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ièges" sheetId="1" state="visible" r:id="rId1"/>
    <sheet xmlns:r="http://schemas.openxmlformats.org/officeDocument/2006/relationships" name="Modèle" sheetId="2" state="visible" r:id="rId2"/>
    <sheet xmlns:r="http://schemas.openxmlformats.org/officeDocument/2006/relationships" name="Régions" sheetId="3" state="visible" r:id="rId3"/>
    <sheet xmlns:r="http://schemas.openxmlformats.org/officeDocument/2006/relationships" name="Méthodologie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i val="1"/>
      <color rgb="FF595959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sz val="10"/>
    </font>
    <font>
      <name val="Calibri"/>
      <charset val="1"/>
      <family val="0"/>
      <b val="1"/>
      <sz val="11"/>
    </font>
    <font>
      <name val="Calibri"/>
      <charset val="1"/>
      <family val="0"/>
      <i val="1"/>
      <color rgb="FF595959"/>
      <sz val="9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sz val="10"/>
    </font>
    <font>
      <name val="Calibri"/>
      <charset val="1"/>
      <family val="0"/>
      <color rgb="FF595959"/>
      <sz val="10"/>
    </font>
  </fonts>
  <fills count="15">
    <fill>
      <patternFill/>
    </fill>
    <fill>
      <patternFill patternType="gray125"/>
    </fill>
    <fill>
      <patternFill patternType="solid">
        <fgColor rgb="FF1F497D"/>
        <bgColor rgb="FF2F5496"/>
      </patternFill>
    </fill>
    <fill>
      <patternFill patternType="solid">
        <fgColor rgb="FFF2F2F2"/>
        <bgColor rgb="FFF7F7F7"/>
      </patternFill>
    </fill>
    <fill>
      <patternFill patternType="solid">
        <fgColor rgb="FFC6EFCE"/>
        <bgColor rgb="FFE2EFDA"/>
      </patternFill>
    </fill>
    <fill>
      <patternFill patternType="solid">
        <fgColor rgb="FFFFD966"/>
        <bgColor rgb="FFFFFF99"/>
      </patternFill>
    </fill>
    <fill>
      <patternFill patternType="solid">
        <fgColor rgb="FFBDD7EE"/>
        <bgColor rgb="FFCCE5FF"/>
      </patternFill>
    </fill>
    <fill>
      <patternFill patternType="solid">
        <fgColor rgb="FFFFC7CE"/>
        <bgColor rgb="FFE2EFDA"/>
      </patternFill>
    </fill>
    <fill>
      <patternFill patternType="solid">
        <fgColor rgb="FF9DC3E6"/>
        <bgColor rgb="FFBDD7EE"/>
      </patternFill>
    </fill>
    <fill>
      <patternFill patternType="solid">
        <fgColor rgb="FF2F5496"/>
        <bgColor rgb="FF1F497D"/>
      </patternFill>
    </fill>
    <fill>
      <patternFill patternType="solid">
        <fgColor rgb="FF4472C4"/>
        <bgColor rgb="FF2F5496"/>
      </patternFill>
    </fill>
    <fill>
      <patternFill patternType="solid">
        <fgColor rgb="FFE2EFDA"/>
        <bgColor rgb="FFF2F2F2"/>
      </patternFill>
    </fill>
    <fill>
      <patternFill patternType="solid">
        <fgColor rgb="FFF7F7F7"/>
        <bgColor rgb="FFF2F2F2"/>
      </patternFill>
    </fill>
    <fill>
      <patternFill patternType="solid">
        <fgColor rgb="FFCCE5FF"/>
        <bgColor rgb="FFBDD7EE"/>
      </patternFill>
    </fill>
    <fill>
      <patternFill patternType="solid">
        <fgColor rgb="FFFFFF99"/>
        <bgColor rgb="FFE2EFDA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1" fontId="8" fillId="3" borderId="0" applyAlignment="1" pivotButton="0" quotePrefix="0" xfId="0">
      <alignment horizontal="center" vertical="bottom"/>
    </xf>
    <xf numFmtId="0" fontId="8" fillId="3" borderId="0" applyAlignment="1" pivotButton="0" quotePrefix="0" xfId="0">
      <alignment horizontal="center" vertical="bottom"/>
    </xf>
    <xf numFmtId="0" fontId="7" fillId="4" borderId="0" applyAlignment="1" pivotButton="0" quotePrefix="0" xfId="0">
      <alignment horizontal="left" vertical="center"/>
    </xf>
    <xf numFmtId="1" fontId="8" fillId="4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left" vertical="center"/>
    </xf>
    <xf numFmtId="1" fontId="8" fillId="5" borderId="0" applyAlignment="1" pivotButton="0" quotePrefix="0" xfId="0">
      <alignment horizontal="center" vertical="bottom"/>
    </xf>
    <xf numFmtId="0" fontId="8" fillId="5" borderId="0" applyAlignment="1" pivotButton="0" quotePrefix="0" xfId="0">
      <alignment horizontal="center" vertical="bottom"/>
    </xf>
    <xf numFmtId="0" fontId="7" fillId="6" borderId="0" applyAlignment="1" pivotButton="0" quotePrefix="0" xfId="0">
      <alignment horizontal="left" vertical="center"/>
    </xf>
    <xf numFmtId="1" fontId="8" fillId="6" borderId="0" applyAlignment="1" pivotButton="0" quotePrefix="0" xfId="0">
      <alignment horizontal="center" vertical="bottom"/>
    </xf>
    <xf numFmtId="0" fontId="8" fillId="6" borderId="0" applyAlignment="1" pivotButton="0" quotePrefix="0" xfId="0">
      <alignment horizontal="center" vertical="bottom"/>
    </xf>
    <xf numFmtId="0" fontId="7" fillId="7" borderId="0" applyAlignment="1" pivotButton="0" quotePrefix="0" xfId="0">
      <alignment horizontal="left" vertical="center"/>
    </xf>
    <xf numFmtId="1" fontId="8" fillId="7" borderId="0" applyAlignment="1" pivotButton="0" quotePrefix="0" xfId="0">
      <alignment horizontal="center" vertical="bottom"/>
    </xf>
    <xf numFmtId="0" fontId="8" fillId="7" borderId="0" applyAlignment="1" pivotButton="0" quotePrefix="0" xfId="0">
      <alignment horizontal="center" vertical="bottom"/>
    </xf>
    <xf numFmtId="0" fontId="7" fillId="8" borderId="0" applyAlignment="1" pivotButton="0" quotePrefix="0" xfId="0">
      <alignment horizontal="left" vertical="center"/>
    </xf>
    <xf numFmtId="1" fontId="8" fillId="8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3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165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6" fontId="12" fillId="0" borderId="0" applyAlignment="1" pivotButton="0" quotePrefix="0" xfId="0">
      <alignment horizontal="general" vertical="bottom"/>
    </xf>
    <xf numFmtId="0" fontId="11" fillId="12" borderId="0" applyAlignment="1" pivotButton="0" quotePrefix="0" xfId="0">
      <alignment horizontal="left" vertical="center"/>
    </xf>
    <xf numFmtId="0" fontId="7" fillId="12" borderId="0" applyAlignment="1" pivotButton="0" quotePrefix="0" xfId="0">
      <alignment horizontal="center" vertical="center"/>
    </xf>
    <xf numFmtId="3" fontId="11" fillId="12" borderId="0" applyAlignment="1" pivotButton="0" quotePrefix="0" xfId="0">
      <alignment horizontal="right" vertical="center"/>
    </xf>
    <xf numFmtId="3" fontId="11" fillId="12" borderId="0" applyAlignment="1" pivotButton="0" quotePrefix="0" xfId="0">
      <alignment horizontal="general" vertical="bottom"/>
    </xf>
    <xf numFmtId="164" fontId="11" fillId="12" borderId="0" applyAlignment="1" pivotButton="0" quotePrefix="0" xfId="0">
      <alignment horizontal="general" vertical="bottom"/>
    </xf>
    <xf numFmtId="0" fontId="7" fillId="12" borderId="0" applyAlignment="1" pivotButton="0" quotePrefix="0" xfId="0">
      <alignment horizontal="center" vertical="bottom"/>
    </xf>
    <xf numFmtId="165" fontId="11" fillId="12" borderId="0" applyAlignment="1" pivotButton="0" quotePrefix="0" xfId="0">
      <alignment horizontal="general" vertical="bottom"/>
    </xf>
    <xf numFmtId="0" fontId="11" fillId="12" borderId="0" applyAlignment="1" pivotButton="0" quotePrefix="0" xfId="0">
      <alignment horizontal="center" vertical="bottom"/>
    </xf>
    <xf numFmtId="166" fontId="12" fillId="12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left" vertical="center"/>
    </xf>
    <xf numFmtId="165" fontId="7" fillId="13" borderId="0" applyAlignment="1" pivotButton="0" quotePrefix="0" xfId="0">
      <alignment horizontal="left" vertical="center"/>
    </xf>
    <xf numFmtId="165" fontId="7" fillId="5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general" vertical="bottom"/>
    </xf>
    <xf numFmtId="0" fontId="11" fillId="14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1" fontId="8" fillId="3" borderId="0" applyAlignment="1" pivotButton="0" quotePrefix="0" xfId="0">
      <alignment horizontal="center" vertical="bottom"/>
    </xf>
    <xf numFmtId="0" fontId="8" fillId="3" borderId="0" applyAlignment="1" pivotButton="0" quotePrefix="0" xfId="0">
      <alignment horizontal="center" vertical="bottom"/>
    </xf>
    <xf numFmtId="0" fontId="7" fillId="4" borderId="0" applyAlignment="1" pivotButton="0" quotePrefix="0" xfId="0">
      <alignment horizontal="left" vertical="center"/>
    </xf>
    <xf numFmtId="1" fontId="8" fillId="4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left" vertical="center"/>
    </xf>
    <xf numFmtId="1" fontId="8" fillId="5" borderId="0" applyAlignment="1" pivotButton="0" quotePrefix="0" xfId="0">
      <alignment horizontal="center" vertical="bottom"/>
    </xf>
    <xf numFmtId="0" fontId="8" fillId="5" borderId="0" applyAlignment="1" pivotButton="0" quotePrefix="0" xfId="0">
      <alignment horizontal="center" vertical="bottom"/>
    </xf>
    <xf numFmtId="0" fontId="7" fillId="6" borderId="0" applyAlignment="1" pivotButton="0" quotePrefix="0" xfId="0">
      <alignment horizontal="left" vertical="center"/>
    </xf>
    <xf numFmtId="1" fontId="8" fillId="6" borderId="0" applyAlignment="1" pivotButton="0" quotePrefix="0" xfId="0">
      <alignment horizontal="center" vertical="bottom"/>
    </xf>
    <xf numFmtId="0" fontId="8" fillId="6" borderId="0" applyAlignment="1" pivotButton="0" quotePrefix="0" xfId="0">
      <alignment horizontal="center" vertical="bottom"/>
    </xf>
    <xf numFmtId="0" fontId="7" fillId="7" borderId="0" applyAlignment="1" pivotButton="0" quotePrefix="0" xfId="0">
      <alignment horizontal="left" vertical="center"/>
    </xf>
    <xf numFmtId="1" fontId="8" fillId="7" borderId="0" applyAlignment="1" pivotButton="0" quotePrefix="0" xfId="0">
      <alignment horizontal="center" vertical="bottom"/>
    </xf>
    <xf numFmtId="0" fontId="8" fillId="7" borderId="0" applyAlignment="1" pivotButton="0" quotePrefix="0" xfId="0">
      <alignment horizontal="center" vertical="bottom"/>
    </xf>
    <xf numFmtId="0" fontId="7" fillId="8" borderId="0" applyAlignment="1" pivotButton="0" quotePrefix="0" xfId="0">
      <alignment horizontal="left" vertical="center"/>
    </xf>
    <xf numFmtId="1" fontId="8" fillId="8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3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165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6" fontId="12" fillId="0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left" vertical="center"/>
    </xf>
    <xf numFmtId="165" fontId="7" fillId="13" borderId="0" applyAlignment="1" pivotButton="0" quotePrefix="0" xfId="0">
      <alignment horizontal="left" vertical="center"/>
    </xf>
    <xf numFmtId="165" fontId="7" fillId="5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general" vertical="bottom"/>
    </xf>
    <xf numFmtId="0" fontId="11" fillId="14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F2F2"/>
      <rgbColor rgb="FF808080"/>
      <rgbColor rgb="FF9999FF"/>
      <rgbColor rgb="FF993366"/>
      <rgbColor rgb="FFF7F7F7"/>
      <rgbColor rgb="FFCCE5FF"/>
      <rgbColor rgb="FF660066"/>
      <rgbColor rgb="FFFF8080"/>
      <rgbColor rgb="FF2F549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DC3E6"/>
      <rgbColor rgb="FFFF99CC"/>
      <rgbColor rgb="FFCC99FF"/>
      <rgbColor rgb="FFFFC7CE"/>
      <rgbColor rgb="FF4472C4"/>
      <rgbColor rgb="FF33CCCC"/>
      <rgbColor rgb="FF99CC00"/>
      <rgbColor rgb="FFFFD966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59" min="1" max="1"/>
    <col width="18" customWidth="1" style="59" min="2" max="8"/>
  </cols>
  <sheetData>
    <row r="1" ht="30" customHeight="1" s="60">
      <c r="A1" s="61" t="inlineStr">
        <is>
          <t>MODÈLE VIVANT QC127 – PROJECTIONS ÉLECTORALES v6.0 (127 circonscriptions)</t>
        </is>
      </c>
    </row>
    <row r="2" ht="15" customHeight="1" s="60">
      <c r="A2" s="62" t="inlineStr">
        <is>
          <t>Pallas Data, 29 août 2026 (n=1108, IVR, ±2,9pp) | Source: DGEQ 2022 + 2018, redécoupage 2026 recalculé géographiquement | Seuil majorité: 64 sièges</t>
        </is>
      </c>
    </row>
    <row r="4" ht="21.75" customHeight="1" s="60">
      <c r="A4" s="63" t="inlineStr">
        <is>
          <t>Scénario</t>
        </is>
      </c>
      <c r="B4" s="63" t="inlineStr">
        <is>
          <t>CAQ</t>
        </is>
      </c>
      <c r="C4" s="63" t="inlineStr">
        <is>
          <t>PLQ</t>
        </is>
      </c>
      <c r="D4" s="63" t="inlineStr">
        <is>
          <t>QS</t>
        </is>
      </c>
      <c r="E4" s="63" t="inlineStr">
        <is>
          <t>PQ</t>
        </is>
      </c>
      <c r="F4" s="63" t="inlineStr">
        <is>
          <t>PCQ</t>
        </is>
      </c>
      <c r="G4" s="63" t="inlineStr">
        <is>
          <t>Autre</t>
        </is>
      </c>
      <c r="H4" s="63" t="inlineStr">
        <is>
          <t>Majorité?</t>
        </is>
      </c>
    </row>
    <row r="5" ht="15" customHeight="1" s="60">
      <c r="A5" s="64" t="inlineStr">
        <is>
          <t>Référence 2022 (DGEQ)</t>
        </is>
      </c>
      <c r="B5" s="65">
        <f>COUNTIF(Modèle!$C$2:$C$128,"CAQ")</f>
        <v/>
      </c>
      <c r="C5" s="65">
        <f>COUNTIF(Modèle!$C$2:$C$128,"PLQ")</f>
        <v/>
      </c>
      <c r="D5" s="65">
        <f>COUNTIF(Modèle!$C$2:$C$128,"QS")</f>
        <v/>
      </c>
      <c r="E5" s="65">
        <f>COUNTIF(Modèle!$C$2:$C$128,"PQ")</f>
        <v/>
      </c>
      <c r="F5" s="65">
        <f>COUNTIF(Modèle!$C$2:$C$128,"PCQ")</f>
        <v/>
      </c>
      <c r="G5" s="65">
        <f>COUNTIF(Modèle!$C$2:$C$128,"Autre")</f>
        <v/>
      </c>
      <c r="H5" s="66">
        <f>IF(MAX(B5:G5)&gt;=64,"OUI ✓","non")</f>
        <v/>
      </c>
    </row>
    <row r="6" ht="15" customHeight="1" s="60">
      <c r="A6" s="67" t="inlineStr">
        <is>
          <t>Scén. A – Swing proportionnel</t>
        </is>
      </c>
      <c r="B6" s="68">
        <f>COUNTIF(Modèle!$AO$2:$AO$128,"CAQ")</f>
        <v/>
      </c>
      <c r="C6" s="68">
        <f>COUNTIF(Modèle!$AO$2:$AO$128,"PLQ")</f>
        <v/>
      </c>
      <c r="D6" s="68">
        <f>COUNTIF(Modèle!$AO$2:$AO$128,"QS")</f>
        <v/>
      </c>
      <c r="E6" s="68">
        <f>COUNTIF(Modèle!$AO$2:$AO$128,"PQ")</f>
        <v/>
      </c>
      <c r="F6" s="68">
        <f>COUNTIF(Modèle!$AO$2:$AO$128,"PCQ")</f>
        <v/>
      </c>
      <c r="G6" s="68">
        <f>COUNTIF(Modèle!$AO$2:$AO$128,"Autre")</f>
        <v/>
      </c>
      <c r="H6" s="69">
        <f>IF(MAX(B6:G6)&gt;=64,"OUI ✓","non")</f>
        <v/>
      </c>
    </row>
    <row r="7" ht="15" customHeight="1" s="60">
      <c r="A7" s="70" t="inlineStr">
        <is>
          <t>Scén. B – A + Inertie locale</t>
        </is>
      </c>
      <c r="B7" s="71">
        <f>COUNTIF(Modèle!$AP$2:$AP$128,"CAQ")</f>
        <v/>
      </c>
      <c r="C7" s="71">
        <f>COUNTIF(Modèle!$AP$2:$AP$128,"PLQ")</f>
        <v/>
      </c>
      <c r="D7" s="71">
        <f>COUNTIF(Modèle!$AP$2:$AP$128,"QS")</f>
        <v/>
      </c>
      <c r="E7" s="71">
        <f>COUNTIF(Modèle!$AP$2:$AP$128,"PQ")</f>
        <v/>
      </c>
      <c r="F7" s="71">
        <f>COUNTIF(Modèle!$AP$2:$AP$128,"PCQ")</f>
        <v/>
      </c>
      <c r="G7" s="71">
        <f>COUNTIF(Modèle!$AP$2:$AP$128,"Autre")</f>
        <v/>
      </c>
      <c r="H7" s="72">
        <f>IF(MAX(B7:G7)&gt;=64,"OUI ✓","non")</f>
        <v/>
      </c>
    </row>
    <row r="8" ht="15" customHeight="1" s="60">
      <c r="A8" s="73" t="inlineStr">
        <is>
          <t>Scén. C – Fourchette haute (+2,9pp)</t>
        </is>
      </c>
      <c r="B8" s="74">
        <f>COUNTIF(Modèle!$AQ$2:$AQ$128,"CAQ")</f>
        <v/>
      </c>
      <c r="C8" s="74">
        <f>COUNTIF(Modèle!$AQ$2:$AQ$128,"PLQ")</f>
        <v/>
      </c>
      <c r="D8" s="74">
        <f>COUNTIF(Modèle!$AQ$2:$AQ$128,"QS")</f>
        <v/>
      </c>
      <c r="E8" s="74">
        <f>COUNTIF(Modèle!$AQ$2:$AQ$128,"PQ")</f>
        <v/>
      </c>
      <c r="F8" s="74">
        <f>COUNTIF(Modèle!$AQ$2:$AQ$128,"PCQ")</f>
        <v/>
      </c>
      <c r="G8" s="74">
        <f>COUNTIF(Modèle!$AQ$2:$AQ$128,"Autre")</f>
        <v/>
      </c>
      <c r="H8" s="75">
        <f>IF(MAX(B8:G8)&gt;=64,"OUI ✓","non")</f>
        <v/>
      </c>
    </row>
    <row r="9" ht="15" customHeight="1" s="60">
      <c r="A9" s="76" t="inlineStr">
        <is>
          <t>Scén. D – Fourchette basse (–2,9pp)</t>
        </is>
      </c>
      <c r="B9" s="77">
        <f>COUNTIF(Modèle!$AR$2:$AR$128,"CAQ")</f>
        <v/>
      </c>
      <c r="C9" s="77">
        <f>COUNTIF(Modèle!$AR$2:$AR$128,"PLQ")</f>
        <v/>
      </c>
      <c r="D9" s="77">
        <f>COUNTIF(Modèle!$AR$2:$AR$128,"QS")</f>
        <v/>
      </c>
      <c r="E9" s="77">
        <f>COUNTIF(Modèle!$AR$2:$AR$128,"PQ")</f>
        <v/>
      </c>
      <c r="F9" s="77">
        <f>COUNTIF(Modèle!$AR$2:$AR$128,"PCQ")</f>
        <v/>
      </c>
      <c r="G9" s="77">
        <f>COUNTIF(Modèle!$AR$2:$AR$128,"Autre")</f>
        <v/>
      </c>
      <c r="H9" s="78">
        <f>IF(MAX(B9:G9)&gt;=64,"OUI ✓","non")</f>
        <v/>
      </c>
    </row>
    <row r="10">
      <c r="A10" s="76" t="inlineStr">
        <is>
          <t>Scén. E – Base 2018 (même sondage)</t>
        </is>
      </c>
      <c r="B10" s="77">
        <f>COUNTIF(Modèle!$BJ$2:$BJ$128,"CAQ")</f>
        <v/>
      </c>
      <c r="C10" s="77">
        <f>COUNTIF(Modèle!$BJ$2:$BJ$128,"PLQ")</f>
        <v/>
      </c>
      <c r="D10" s="77">
        <f>COUNTIF(Modèle!$BJ$2:$BJ$128,"QS")</f>
        <v/>
      </c>
      <c r="E10" s="77">
        <f>COUNTIF(Modèle!$BJ$2:$BJ$128,"PQ")</f>
        <v/>
      </c>
      <c r="F10" s="77">
        <f>COUNTIF(Modèle!$BJ$2:$BJ$128,"PCQ")</f>
        <v/>
      </c>
      <c r="G10" s="77">
        <f>COUNTIF(Modèle!$BJ$2:$BJ$128,"Autre")</f>
        <v/>
      </c>
      <c r="H10" s="78">
        <f>IF(MAX(B10:G10)&gt;=64,"OUI ✓","non")</f>
        <v/>
      </c>
    </row>
    <row r="11" ht="15" customHeight="1" s="60"/>
    <row r="12" ht="15" customHeight="1" s="60">
      <c r="A12" s="79" t="inlineStr">
        <is>
          <t>Fourchette min (C vs D)</t>
        </is>
      </c>
      <c r="B12" s="80">
        <f>MIN(B8,B9)</f>
        <v/>
      </c>
      <c r="C12" s="80">
        <f>MIN(C8,C9)</f>
        <v/>
      </c>
      <c r="D12" s="80">
        <f>MIN(D8,D9)</f>
        <v/>
      </c>
      <c r="E12" s="80">
        <f>MIN(E8,E9)</f>
        <v/>
      </c>
      <c r="F12" s="80">
        <f>MIN(F8,F9)</f>
        <v/>
      </c>
      <c r="G12" s="80">
        <f>MIN(G8,G9)</f>
        <v/>
      </c>
    </row>
    <row r="13">
      <c r="A13" s="79" t="inlineStr">
        <is>
          <t>Fourchette max (C vs D)</t>
        </is>
      </c>
      <c r="B13" s="80">
        <f>MAX(B8,B9)</f>
        <v/>
      </c>
      <c r="C13" s="80">
        <f>MAX(C8,C9)</f>
        <v/>
      </c>
      <c r="D13" s="80">
        <f>MAX(D8,D9)</f>
        <v/>
      </c>
      <c r="E13" s="80">
        <f>MAX(E8,E9)</f>
        <v/>
      </c>
      <c r="F13" s="80">
        <f>MAX(F8,F9)</f>
        <v/>
      </c>
      <c r="G13" s="80">
        <f>MAX(G8,G9)</f>
        <v/>
      </c>
    </row>
    <row r="14" ht="15" customHeight="1" s="60"/>
    <row r="15">
      <c r="A15" s="81" t="inlineStr">
        <is>
          <t>Bascules potentielles (marge &lt;5%pt):</t>
        </is>
      </c>
      <c r="B15" s="82">
        <f>COUNTIF(Modèle!AT2:AT128,"Oui")</f>
        <v/>
      </c>
    </row>
    <row r="16" ht="15" customHeight="1" s="60"/>
    <row r="17" ht="15" customHeight="1" s="60"/>
    <row r="18" ht="15" customHeight="1" s="60"/>
  </sheetData>
  <mergeCells count="3">
    <mergeCell ref="A16:H18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J1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8" customWidth="1" style="59" min="1" max="1"/>
    <col width="20" customWidth="1" style="59" min="2" max="2"/>
    <col width="14" customWidth="1" style="59" min="3" max="3"/>
    <col width="10" customWidth="1" style="59" min="4" max="50"/>
  </cols>
  <sheetData>
    <row r="1" ht="34.5" customHeight="1" s="60">
      <c r="A1" s="84" t="inlineStr">
        <is>
          <t>Circonscription</t>
        </is>
      </c>
      <c r="B1" s="84" t="inlineStr">
        <is>
          <t>Région</t>
        </is>
      </c>
      <c r="C1" s="84" t="inlineStr">
        <is>
          <t>Vainqueur 2022</t>
        </is>
      </c>
      <c r="D1" s="85" t="inlineStr">
        <is>
          <t>CAQ 2022</t>
        </is>
      </c>
      <c r="E1" s="85" t="inlineStr">
        <is>
          <t>PLQ 2022</t>
        </is>
      </c>
      <c r="F1" s="85" t="inlineStr">
        <is>
          <t>QS 2022</t>
        </is>
      </c>
      <c r="G1" s="85" t="inlineStr">
        <is>
          <t>PQ 2022</t>
        </is>
      </c>
      <c r="H1" s="85" t="inlineStr">
        <is>
          <t>PCQ 2022</t>
        </is>
      </c>
      <c r="I1" s="85" t="inlineStr">
        <is>
          <t>Autre 2022</t>
        </is>
      </c>
      <c r="J1" s="85" t="inlineStr">
        <is>
          <t>Total</t>
        </is>
      </c>
      <c r="K1" s="86" t="inlineStr">
        <is>
          <t>% CAQ</t>
        </is>
      </c>
      <c r="L1" s="86" t="inlineStr">
        <is>
          <t>% PLQ</t>
        </is>
      </c>
      <c r="M1" s="86" t="inlineStr">
        <is>
          <t>% QS</t>
        </is>
      </c>
      <c r="N1" s="86" t="inlineStr">
        <is>
          <t>% PQ</t>
        </is>
      </c>
      <c r="O1" s="86" t="inlineStr">
        <is>
          <t>% PCQ</t>
        </is>
      </c>
      <c r="P1" s="86" t="inlineStr">
        <is>
          <t>% Autre</t>
        </is>
      </c>
      <c r="Q1" s="87" t="inlineStr">
        <is>
          <t>A-CAQ</t>
        </is>
      </c>
      <c r="R1" s="87" t="inlineStr">
        <is>
          <t>A-PLQ</t>
        </is>
      </c>
      <c r="S1" s="87" t="inlineStr">
        <is>
          <t>A-QS</t>
        </is>
      </c>
      <c r="T1" s="87" t="inlineStr">
        <is>
          <t>A-PQ</t>
        </is>
      </c>
      <c r="U1" s="87" t="inlineStr">
        <is>
          <t>A-PCQ</t>
        </is>
      </c>
      <c r="V1" s="87" t="inlineStr">
        <is>
          <t>A-Autre</t>
        </is>
      </c>
      <c r="W1" s="88" t="inlineStr">
        <is>
          <t>B-CAQ</t>
        </is>
      </c>
      <c r="X1" s="88" t="inlineStr">
        <is>
          <t>B-PLQ</t>
        </is>
      </c>
      <c r="Y1" s="88" t="inlineStr">
        <is>
          <t>B-QS</t>
        </is>
      </c>
      <c r="Z1" s="88" t="inlineStr">
        <is>
          <t>B-PQ</t>
        </is>
      </c>
      <c r="AA1" s="88" t="inlineStr">
        <is>
          <t>B-PCQ</t>
        </is>
      </c>
      <c r="AB1" s="88" t="inlineStr">
        <is>
          <t>B-Autre</t>
        </is>
      </c>
      <c r="AC1" s="89" t="inlineStr">
        <is>
          <t>C-CAQ</t>
        </is>
      </c>
      <c r="AD1" s="89" t="inlineStr">
        <is>
          <t>C-PLQ</t>
        </is>
      </c>
      <c r="AE1" s="89" t="inlineStr">
        <is>
          <t>C-QS</t>
        </is>
      </c>
      <c r="AF1" s="89" t="inlineStr">
        <is>
          <t>C-PQ</t>
        </is>
      </c>
      <c r="AG1" s="89" t="inlineStr">
        <is>
          <t>C-PCQ</t>
        </is>
      </c>
      <c r="AH1" s="89" t="inlineStr">
        <is>
          <t>C-Autre</t>
        </is>
      </c>
      <c r="AI1" s="90" t="inlineStr">
        <is>
          <t>D-CAQ</t>
        </is>
      </c>
      <c r="AJ1" s="90" t="inlineStr">
        <is>
          <t>D-PLQ</t>
        </is>
      </c>
      <c r="AK1" s="90" t="inlineStr">
        <is>
          <t>D-QS</t>
        </is>
      </c>
      <c r="AL1" s="90" t="inlineStr">
        <is>
          <t>D-PQ</t>
        </is>
      </c>
      <c r="AM1" s="90" t="inlineStr">
        <is>
          <t>D-PCQ</t>
        </is>
      </c>
      <c r="AN1" s="90" t="inlineStr">
        <is>
          <t>D-Autre</t>
        </is>
      </c>
      <c r="AO1" s="91" t="inlineStr">
        <is>
          <t>Vainq. A</t>
        </is>
      </c>
      <c r="AP1" s="91" t="inlineStr">
        <is>
          <t>Vainq. B</t>
        </is>
      </c>
      <c r="AQ1" s="91" t="inlineStr">
        <is>
          <t>Vainq. C</t>
        </is>
      </c>
      <c r="AR1" s="91" t="inlineStr">
        <is>
          <t>Vainq. D</t>
        </is>
      </c>
      <c r="AS1" s="92" t="inlineStr">
        <is>
          <t>Marge 2022</t>
        </is>
      </c>
      <c r="AT1" s="92" t="inlineStr">
        <is>
          <t>Bascule</t>
        </is>
      </c>
      <c r="AU1" s="93" t="inlineStr">
        <is>
          <t>Résidu CAQ</t>
        </is>
      </c>
      <c r="AV1" s="93" t="inlineStr">
        <is>
          <t>Résidu PLQ</t>
        </is>
      </c>
      <c r="AW1" s="93" t="inlineStr">
        <is>
          <t>Résidu QS</t>
        </is>
      </c>
      <c r="AX1" s="93" t="inlineStr">
        <is>
          <t>Résidu PQ</t>
        </is>
      </c>
      <c r="AY1" s="84" t="inlineStr">
        <is>
          <t>CAQ 2018</t>
        </is>
      </c>
      <c r="AZ1" s="84" t="inlineStr">
        <is>
          <t>PLQ 2018</t>
        </is>
      </c>
      <c r="BA1" s="84" t="inlineStr">
        <is>
          <t>QS 2018</t>
        </is>
      </c>
      <c r="BB1" s="84" t="inlineStr">
        <is>
          <t>PQ 2018</t>
        </is>
      </c>
      <c r="BC1" s="84" t="inlineStr">
        <is>
          <t>Autre 2018</t>
        </is>
      </c>
      <c r="BD1" s="84" t="inlineStr">
        <is>
          <t>E-CAQ</t>
        </is>
      </c>
      <c r="BE1" s="84" t="inlineStr">
        <is>
          <t>E-PLQ</t>
        </is>
      </c>
      <c r="BF1" s="84" t="inlineStr">
        <is>
          <t>E-QS</t>
        </is>
      </c>
      <c r="BG1" s="84" t="inlineStr">
        <is>
          <t>E-PQ</t>
        </is>
      </c>
      <c r="BH1" s="84" t="inlineStr">
        <is>
          <t>E-PCQ</t>
        </is>
      </c>
      <c r="BI1" s="84" t="inlineStr">
        <is>
          <t>E-Autre</t>
        </is>
      </c>
      <c r="BJ1" s="84" t="inlineStr">
        <is>
          <t>Vainq. E</t>
        </is>
      </c>
    </row>
    <row r="2" ht="15" customHeight="1" s="60">
      <c r="A2" s="94" t="inlineStr">
        <is>
          <t>Abitibi-Est</t>
        </is>
      </c>
      <c r="B2" s="94" t="inlineStr">
        <is>
          <t>Reste du Québec</t>
        </is>
      </c>
      <c r="C2" s="95" t="inlineStr">
        <is>
          <t>CAQ</t>
        </is>
      </c>
      <c r="D2" s="96" t="n">
        <v>9762</v>
      </c>
      <c r="E2" s="96" t="n">
        <v>3044</v>
      </c>
      <c r="F2" s="96" t="n">
        <v>2838</v>
      </c>
      <c r="G2" s="96" t="n">
        <v>2565</v>
      </c>
      <c r="H2" s="96" t="n">
        <v>2486</v>
      </c>
      <c r="I2" s="96" t="n">
        <v>0</v>
      </c>
      <c r="J2" s="97">
        <f>SUM(D2:I2)</f>
        <v/>
      </c>
      <c r="K2" s="98">
        <f>IFERROR(D2/J2,0)</f>
        <v/>
      </c>
      <c r="L2" s="98">
        <f>IFERROR(E2/J2,0)</f>
        <v/>
      </c>
      <c r="M2" s="98">
        <f>IFERROR(F2/J2,0)</f>
        <v/>
      </c>
      <c r="N2" s="98">
        <f>IFERROR(G2/J2,0)</f>
        <v/>
      </c>
      <c r="O2" s="98">
        <f>IFERROR(H2/J2,0)</f>
        <v/>
      </c>
      <c r="P2" s="98">
        <f>IFERROR(I2/J2,0)</f>
        <v/>
      </c>
      <c r="Q2" s="97">
        <f>D2*INDEX(Régions!$T$2:$T$6,MATCH($B2,Régions!$A$2:$A$6,0))</f>
        <v/>
      </c>
      <c r="R2" s="97">
        <f>E2*INDEX(Régions!$U$2:$U$6,MATCH($B2,Régions!$A$2:$A$6,0))</f>
        <v/>
      </c>
      <c r="S2" s="97">
        <f>F2*INDEX(Régions!$V$2:$V$6,MATCH($B2,Régions!$A$2:$A$6,0))</f>
        <v/>
      </c>
      <c r="T2" s="97">
        <f>G2*INDEX(Régions!$W$2:$W$6,MATCH($B2,Régions!$A$2:$A$6,0))</f>
        <v/>
      </c>
      <c r="U2" s="97">
        <f>H2*INDEX(Régions!$X$2:$X$6,MATCH($B2,Régions!$A$2:$A$6,0))</f>
        <v/>
      </c>
      <c r="V2" s="97">
        <f>I2*INDEX(Régions!$Y$2:$Y$6,MATCH($B2,Régions!$A$2:$A$6,0))</f>
        <v/>
      </c>
      <c r="W2" s="97">
        <f>Q2+(AU2/100)*J2*Régions!$O$2</f>
        <v/>
      </c>
      <c r="X2" s="97">
        <f>R2+(AV2/100)*J2*Régions!$O$2</f>
        <v/>
      </c>
      <c r="Y2" s="97">
        <f>S2+(AW2/100)*J2*Régions!$O$2</f>
        <v/>
      </c>
      <c r="Z2" s="97">
        <f>T2+(AX2/100)*J2*Régions!$O$2</f>
        <v/>
      </c>
      <c r="AA2" s="97">
        <f>U2</f>
        <v/>
      </c>
      <c r="AB2" s="97">
        <f>V2</f>
        <v/>
      </c>
      <c r="AC2" s="97">
        <f>D2*INDEX(Régions!$Z$2:$Z$6,MATCH($B2,Régions!$A$2:$A$6,0))</f>
        <v/>
      </c>
      <c r="AD2" s="97">
        <f>E2*INDEX(Régions!$AA$2:$AA$6,MATCH($B2,Régions!$A$2:$A$6,0))</f>
        <v/>
      </c>
      <c r="AE2" s="97">
        <f>F2*INDEX(Régions!$AB$2:$AB$6,MATCH($B2,Régions!$A$2:$A$6,0))</f>
        <v/>
      </c>
      <c r="AF2" s="97">
        <f>G2*INDEX(Régions!$AC$2:$AC$6,MATCH($B2,Régions!$A$2:$A$6,0))</f>
        <v/>
      </c>
      <c r="AG2" s="97">
        <f>H2*INDEX(Régions!$AD$2:$AD$6,MATCH($B2,Régions!$A$2:$A$6,0))</f>
        <v/>
      </c>
      <c r="AH2" s="97">
        <f>I2*INDEX(Régions!$AE$2:$AE$6,MATCH($B2,Régions!$A$2:$A$6,0))</f>
        <v/>
      </c>
      <c r="AI2" s="97">
        <f>D2*INDEX(Régions!$AF$2:$AF$6,MATCH($B2,Régions!$A$2:$A$6,0))</f>
        <v/>
      </c>
      <c r="AJ2" s="97">
        <f>E2*INDEX(Régions!$AG$2:$AG$6,MATCH($B2,Régions!$A$2:$A$6,0))</f>
        <v/>
      </c>
      <c r="AK2" s="97">
        <f>F2*INDEX(Régions!$AH$2:$AH$6,MATCH($B2,Régions!$A$2:$A$6,0))</f>
        <v/>
      </c>
      <c r="AL2" s="97">
        <f>G2*INDEX(Régions!$AI$2:$AI$6,MATCH($B2,Régions!$A$2:$A$6,0))</f>
        <v/>
      </c>
      <c r="AM2" s="97">
        <f>H2*INDEX(Régions!$AJ$2:$AJ$6,MATCH($B2,Régions!$A$2:$A$6,0))</f>
        <v/>
      </c>
      <c r="AN2" s="97">
        <f>I2*INDEX(Régions!$AK$2:$AK$6,MATCH($B2,Régions!$A$2:$A$6,0))</f>
        <v/>
      </c>
      <c r="AO2" s="99">
        <f>INDEX({"CAQ","PLQ","QS","PQ","PCQ","Autre"},MATCH(MAX(Q2:V2),Q2:V2,0))</f>
        <v/>
      </c>
      <c r="AP2" s="99">
        <f>INDEX({"CAQ","PLQ","QS","PQ","PCQ","Autre"},MATCH(MAX(W2:AB2),W2:AB2,0))</f>
        <v/>
      </c>
      <c r="AQ2" s="99">
        <f>INDEX({"CAQ","PLQ","QS","PQ","PCQ","Autre"},MATCH(MAX(AC2:AH2),AC2:AH2,0))</f>
        <v/>
      </c>
      <c r="AR2" s="99">
        <f>INDEX({"CAQ","PLQ","QS","PQ","PCQ","Autre"},MATCH(MAX(AI2:AN2),AI2:AN2,0))</f>
        <v/>
      </c>
      <c r="AS2" s="100">
        <f>(MAX(K2:P2)-LARGE(K2:P2,2))*100</f>
        <v/>
      </c>
      <c r="AT2" s="101">
        <f>IF(AS2&lt;5,"Oui","Non")</f>
        <v/>
      </c>
      <c r="AU2" s="102" t="n">
        <v>-1.497</v>
      </c>
      <c r="AV2" s="102" t="n">
        <v>8.708</v>
      </c>
      <c r="AW2" s="102" t="n">
        <v>-0.958</v>
      </c>
      <c r="AX2" s="102" t="n">
        <v>-3.106</v>
      </c>
      <c r="AY2" s="96" t="n">
        <v>8967</v>
      </c>
      <c r="AZ2" s="96" t="n">
        <v>3936</v>
      </c>
      <c r="BA2" s="96" t="n">
        <v>3287</v>
      </c>
      <c r="BB2" s="96" t="n">
        <v>4090</v>
      </c>
      <c r="BC2" s="96" t="n">
        <v>711</v>
      </c>
      <c r="BD2" s="97">
        <f>AY2*INDEX(Régions!$AQ$2:$AQ$6,MATCH($B2,Régions!$A$2:$A$6,0))</f>
        <v/>
      </c>
      <c r="BE2" s="97">
        <f>AZ2*INDEX(Régions!$AR$2:$AR$6,MATCH($B2,Régions!$A$2:$A$6,0))</f>
        <v/>
      </c>
      <c r="BF2" s="97">
        <f>BA2*INDEX(Régions!$AS$2:$AS$6,MATCH($B2,Régions!$A$2:$A$6,0))</f>
        <v/>
      </c>
      <c r="BG2" s="97">
        <f>BB2*INDEX(Régions!$AT$2:$AT$6,MATCH($B2,Régions!$A$2:$A$6,0))</f>
        <v/>
      </c>
      <c r="BH2" s="97">
        <f>U2</f>
        <v/>
      </c>
      <c r="BI2" s="97">
        <f>BC2*INDEX(Régions!$AU$2:$AU$6,MATCH($B2,Régions!$A$2:$A$6,0))</f>
        <v/>
      </c>
      <c r="BJ2" s="97">
        <f>INDEX({"CAQ","PLQ","QS","PQ","PCQ","Autre"},MATCH(MAX(BD2:BI2),BD2:BI2,0))</f>
        <v/>
      </c>
    </row>
    <row r="3" ht="15" customHeight="1" s="60">
      <c r="A3" s="94" t="inlineStr">
        <is>
          <t>Abitibi-Ouest</t>
        </is>
      </c>
      <c r="B3" s="94" t="inlineStr">
        <is>
          <t>Reste du Québec</t>
        </is>
      </c>
      <c r="C3" s="95" t="inlineStr">
        <is>
          <t>CAQ</t>
        </is>
      </c>
      <c r="D3" s="96" t="n">
        <v>10399</v>
      </c>
      <c r="E3" s="96" t="n">
        <v>1153</v>
      </c>
      <c r="F3" s="96" t="n">
        <v>3623</v>
      </c>
      <c r="G3" s="96" t="n">
        <v>4619</v>
      </c>
      <c r="H3" s="96" t="n">
        <v>2293</v>
      </c>
      <c r="I3" s="96" t="n">
        <v>159</v>
      </c>
      <c r="J3" s="97">
        <f>SUM(D3:I3)</f>
        <v/>
      </c>
      <c r="K3" s="98">
        <f>IFERROR(D3/J3,0)</f>
        <v/>
      </c>
      <c r="L3" s="98">
        <f>IFERROR(E3/J3,0)</f>
        <v/>
      </c>
      <c r="M3" s="98">
        <f>IFERROR(F3/J3,0)</f>
        <v/>
      </c>
      <c r="N3" s="98">
        <f>IFERROR(G3/J3,0)</f>
        <v/>
      </c>
      <c r="O3" s="98">
        <f>IFERROR(H3/J3,0)</f>
        <v/>
      </c>
      <c r="P3" s="98">
        <f>IFERROR(I3/J3,0)</f>
        <v/>
      </c>
      <c r="Q3" s="97">
        <f>D3*INDEX(Régions!$T$2:$T$6,MATCH($B3,Régions!$A$2:$A$6,0))</f>
        <v/>
      </c>
      <c r="R3" s="97">
        <f>E3*INDEX(Régions!$U$2:$U$6,MATCH($B3,Régions!$A$2:$A$6,0))</f>
        <v/>
      </c>
      <c r="S3" s="97">
        <f>F3*INDEX(Régions!$V$2:$V$6,MATCH($B3,Régions!$A$2:$A$6,0))</f>
        <v/>
      </c>
      <c r="T3" s="97">
        <f>G3*INDEX(Régions!$W$2:$W$6,MATCH($B3,Régions!$A$2:$A$6,0))</f>
        <v/>
      </c>
      <c r="U3" s="97">
        <f>H3*INDEX(Régions!$X$2:$X$6,MATCH($B3,Régions!$A$2:$A$6,0))</f>
        <v/>
      </c>
      <c r="V3" s="97">
        <f>I3*INDEX(Régions!$Y$2:$Y$6,MATCH($B3,Régions!$A$2:$A$6,0))</f>
        <v/>
      </c>
      <c r="W3" s="97">
        <f>Q3+(AU3/100)*J3*Régions!$O$2</f>
        <v/>
      </c>
      <c r="X3" s="97">
        <f>R3+(AV3/100)*J3*Régions!$O$2</f>
        <v/>
      </c>
      <c r="Y3" s="97">
        <f>S3+(AW3/100)*J3*Régions!$O$2</f>
        <v/>
      </c>
      <c r="Z3" s="97">
        <f>T3+(AX3/100)*J3*Régions!$O$2</f>
        <v/>
      </c>
      <c r="AA3" s="97">
        <f>U3</f>
        <v/>
      </c>
      <c r="AB3" s="97">
        <f>V3</f>
        <v/>
      </c>
      <c r="AC3" s="97">
        <f>D3*INDEX(Régions!$Z$2:$Z$6,MATCH($B3,Régions!$A$2:$A$6,0))</f>
        <v/>
      </c>
      <c r="AD3" s="97">
        <f>E3*INDEX(Régions!$AA$2:$AA$6,MATCH($B3,Régions!$A$2:$A$6,0))</f>
        <v/>
      </c>
      <c r="AE3" s="97">
        <f>F3*INDEX(Régions!$AB$2:$AB$6,MATCH($B3,Régions!$A$2:$A$6,0))</f>
        <v/>
      </c>
      <c r="AF3" s="97">
        <f>G3*INDEX(Régions!$AC$2:$AC$6,MATCH($B3,Régions!$A$2:$A$6,0))</f>
        <v/>
      </c>
      <c r="AG3" s="97">
        <f>H3*INDEX(Régions!$AD$2:$AD$6,MATCH($B3,Régions!$A$2:$A$6,0))</f>
        <v/>
      </c>
      <c r="AH3" s="97">
        <f>I3*INDEX(Régions!$AE$2:$AE$6,MATCH($B3,Régions!$A$2:$A$6,0))</f>
        <v/>
      </c>
      <c r="AI3" s="97">
        <f>D3*INDEX(Régions!$AF$2:$AF$6,MATCH($B3,Régions!$A$2:$A$6,0))</f>
        <v/>
      </c>
      <c r="AJ3" s="97">
        <f>E3*INDEX(Régions!$AG$2:$AG$6,MATCH($B3,Régions!$A$2:$A$6,0))</f>
        <v/>
      </c>
      <c r="AK3" s="97">
        <f>F3*INDEX(Régions!$AH$2:$AH$6,MATCH($B3,Régions!$A$2:$A$6,0))</f>
        <v/>
      </c>
      <c r="AL3" s="97">
        <f>G3*INDEX(Régions!$AI$2:$AI$6,MATCH($B3,Régions!$A$2:$A$6,0))</f>
        <v/>
      </c>
      <c r="AM3" s="97">
        <f>H3*INDEX(Régions!$AJ$2:$AJ$6,MATCH($B3,Régions!$A$2:$A$6,0))</f>
        <v/>
      </c>
      <c r="AN3" s="97">
        <f>I3*INDEX(Régions!$AK$2:$AK$6,MATCH($B3,Régions!$A$2:$A$6,0))</f>
        <v/>
      </c>
      <c r="AO3" s="99">
        <f>INDEX({"CAQ","PLQ","QS","PQ","PCQ","Autre"},MATCH(MAX(Q3:V3),Q3:V3,0))</f>
        <v/>
      </c>
      <c r="AP3" s="99">
        <f>INDEX({"CAQ","PLQ","QS","PQ","PCQ","Autre"},MATCH(MAX(W3:AB3),W3:AB3,0))</f>
        <v/>
      </c>
      <c r="AQ3" s="99">
        <f>INDEX({"CAQ","PLQ","QS","PQ","PCQ","Autre"},MATCH(MAX(AC3:AH3),AC3:AH3,0))</f>
        <v/>
      </c>
      <c r="AR3" s="99">
        <f>INDEX({"CAQ","PLQ","QS","PQ","PCQ","Autre"},MATCH(MAX(AI3:AN3),AI3:AN3,0))</f>
        <v/>
      </c>
      <c r="AS3" s="100">
        <f>(MAX(K3:P3)-LARGE(K3:P3,2))*100</f>
        <v/>
      </c>
      <c r="AT3" s="101">
        <f>IF(AS3&lt;5,"Oui","Non")</f>
        <v/>
      </c>
      <c r="AU3" s="102" t="n">
        <v>6.676</v>
      </c>
      <c r="AV3" s="102" t="n">
        <v>6.622</v>
      </c>
      <c r="AW3" s="102" t="n">
        <v>0.68</v>
      </c>
      <c r="AX3" s="102" t="n">
        <v>-8.51</v>
      </c>
      <c r="AY3" s="96" t="n">
        <v>7680</v>
      </c>
      <c r="AZ3" s="96" t="n">
        <v>2546</v>
      </c>
      <c r="BA3" s="96" t="n">
        <v>3735</v>
      </c>
      <c r="BB3" s="96" t="n">
        <v>7486</v>
      </c>
      <c r="BC3" s="96" t="n">
        <v>1062</v>
      </c>
      <c r="BD3" s="97">
        <f>AY3*INDEX(Régions!$AQ$2:$AQ$6,MATCH($B3,Régions!$A$2:$A$6,0))</f>
        <v/>
      </c>
      <c r="BE3" s="97">
        <f>AZ3*INDEX(Régions!$AR$2:$AR$6,MATCH($B3,Régions!$A$2:$A$6,0))</f>
        <v/>
      </c>
      <c r="BF3" s="97">
        <f>BA3*INDEX(Régions!$AS$2:$AS$6,MATCH($B3,Régions!$A$2:$A$6,0))</f>
        <v/>
      </c>
      <c r="BG3" s="97">
        <f>BB3*INDEX(Régions!$AT$2:$AT$6,MATCH($B3,Régions!$A$2:$A$6,0))</f>
        <v/>
      </c>
      <c r="BH3" s="97">
        <f>U3</f>
        <v/>
      </c>
      <c r="BI3" s="97">
        <f>BC3*INDEX(Régions!$AU$2:$AU$6,MATCH($B3,Régions!$A$2:$A$6,0))</f>
        <v/>
      </c>
      <c r="BJ3" s="97">
        <f>INDEX({"CAQ","PLQ","QS","PQ","PCQ","Autre"},MATCH(MAX(BD3:BI3),BD3:BI3,0))</f>
        <v/>
      </c>
    </row>
    <row r="4" ht="15" customHeight="1" s="60">
      <c r="A4" s="94" t="inlineStr">
        <is>
          <t>Acadie</t>
        </is>
      </c>
      <c r="B4" s="94" t="inlineStr">
        <is>
          <t>Île de Montréal</t>
        </is>
      </c>
      <c r="C4" s="95" t="inlineStr">
        <is>
          <t>PLQ</t>
        </is>
      </c>
      <c r="D4" s="96" t="n">
        <v>4446</v>
      </c>
      <c r="E4" s="96" t="n">
        <v>10981</v>
      </c>
      <c r="F4" s="96" t="n">
        <v>4468</v>
      </c>
      <c r="G4" s="96" t="n">
        <v>2565</v>
      </c>
      <c r="H4" s="96" t="n">
        <v>2955</v>
      </c>
      <c r="I4" s="96" t="n">
        <v>569</v>
      </c>
      <c r="J4" s="97">
        <f>SUM(D4:I4)</f>
        <v/>
      </c>
      <c r="K4" s="98">
        <f>IFERROR(D4/J4,0)</f>
        <v/>
      </c>
      <c r="L4" s="98">
        <f>IFERROR(E4/J4,0)</f>
        <v/>
      </c>
      <c r="M4" s="98">
        <f>IFERROR(F4/J4,0)</f>
        <v/>
      </c>
      <c r="N4" s="98">
        <f>IFERROR(G4/J4,0)</f>
        <v/>
      </c>
      <c r="O4" s="98">
        <f>IFERROR(H4/J4,0)</f>
        <v/>
      </c>
      <c r="P4" s="98">
        <f>IFERROR(I4/J4,0)</f>
        <v/>
      </c>
      <c r="Q4" s="97">
        <f>D4*INDEX(Régions!$T$2:$T$6,MATCH($B4,Régions!$A$2:$A$6,0))</f>
        <v/>
      </c>
      <c r="R4" s="97">
        <f>E4*INDEX(Régions!$U$2:$U$6,MATCH($B4,Régions!$A$2:$A$6,0))</f>
        <v/>
      </c>
      <c r="S4" s="97">
        <f>F4*INDEX(Régions!$V$2:$V$6,MATCH($B4,Régions!$A$2:$A$6,0))</f>
        <v/>
      </c>
      <c r="T4" s="97">
        <f>G4*INDEX(Régions!$W$2:$W$6,MATCH($B4,Régions!$A$2:$A$6,0))</f>
        <v/>
      </c>
      <c r="U4" s="97">
        <f>H4*INDEX(Régions!$X$2:$X$6,MATCH($B4,Régions!$A$2:$A$6,0))</f>
        <v/>
      </c>
      <c r="V4" s="97">
        <f>I4*INDEX(Régions!$Y$2:$Y$6,MATCH($B4,Régions!$A$2:$A$6,0))</f>
        <v/>
      </c>
      <c r="W4" s="97">
        <f>Q4+(AU4/100)*J4*Régions!$O$2</f>
        <v/>
      </c>
      <c r="X4" s="97">
        <f>R4+(AV4/100)*J4*Régions!$O$2</f>
        <v/>
      </c>
      <c r="Y4" s="97">
        <f>S4+(AW4/100)*J4*Régions!$O$2</f>
        <v/>
      </c>
      <c r="Z4" s="97">
        <f>T4+(AX4/100)*J4*Régions!$O$2</f>
        <v/>
      </c>
      <c r="AA4" s="97">
        <f>U4</f>
        <v/>
      </c>
      <c r="AB4" s="97">
        <f>V4</f>
        <v/>
      </c>
      <c r="AC4" s="97">
        <f>D4*INDEX(Régions!$Z$2:$Z$6,MATCH($B4,Régions!$A$2:$A$6,0))</f>
        <v/>
      </c>
      <c r="AD4" s="97">
        <f>E4*INDEX(Régions!$AA$2:$AA$6,MATCH($B4,Régions!$A$2:$A$6,0))</f>
        <v/>
      </c>
      <c r="AE4" s="97">
        <f>F4*INDEX(Régions!$AB$2:$AB$6,MATCH($B4,Régions!$A$2:$A$6,0))</f>
        <v/>
      </c>
      <c r="AF4" s="97">
        <f>G4*INDEX(Régions!$AC$2:$AC$6,MATCH($B4,Régions!$A$2:$A$6,0))</f>
        <v/>
      </c>
      <c r="AG4" s="97">
        <f>H4*INDEX(Régions!$AD$2:$AD$6,MATCH($B4,Régions!$A$2:$A$6,0))</f>
        <v/>
      </c>
      <c r="AH4" s="97">
        <f>I4*INDEX(Régions!$AE$2:$AE$6,MATCH($B4,Régions!$A$2:$A$6,0))</f>
        <v/>
      </c>
      <c r="AI4" s="97">
        <f>D4*INDEX(Régions!$AF$2:$AF$6,MATCH($B4,Régions!$A$2:$A$6,0))</f>
        <v/>
      </c>
      <c r="AJ4" s="97">
        <f>E4*INDEX(Régions!$AG$2:$AG$6,MATCH($B4,Régions!$A$2:$A$6,0))</f>
        <v/>
      </c>
      <c r="AK4" s="97">
        <f>F4*INDEX(Régions!$AH$2:$AH$6,MATCH($B4,Régions!$A$2:$A$6,0))</f>
        <v/>
      </c>
      <c r="AL4" s="97">
        <f>G4*INDEX(Régions!$AI$2:$AI$6,MATCH($B4,Régions!$A$2:$A$6,0))</f>
        <v/>
      </c>
      <c r="AM4" s="97">
        <f>H4*INDEX(Régions!$AJ$2:$AJ$6,MATCH($B4,Régions!$A$2:$A$6,0))</f>
        <v/>
      </c>
      <c r="AN4" s="97">
        <f>I4*INDEX(Régions!$AK$2:$AK$6,MATCH($B4,Régions!$A$2:$A$6,0))</f>
        <v/>
      </c>
      <c r="AO4" s="99">
        <f>INDEX({"CAQ","PLQ","QS","PQ","PCQ","Autre"},MATCH(MAX(Q4:V4),Q4:V4,0))</f>
        <v/>
      </c>
      <c r="AP4" s="99">
        <f>INDEX({"CAQ","PLQ","QS","PQ","PCQ","Autre"},MATCH(MAX(W4:AB4),W4:AB4,0))</f>
        <v/>
      </c>
      <c r="AQ4" s="99">
        <f>INDEX({"CAQ","PLQ","QS","PQ","PCQ","Autre"},MATCH(MAX(AC4:AH4),AC4:AH4,0))</f>
        <v/>
      </c>
      <c r="AR4" s="99">
        <f>INDEX({"CAQ","PLQ","QS","PQ","PCQ","Autre"},MATCH(MAX(AI4:AN4),AI4:AN4,0))</f>
        <v/>
      </c>
      <c r="AS4" s="100">
        <f>(MAX(K4:P4)-LARGE(K4:P4,2))*100</f>
        <v/>
      </c>
      <c r="AT4" s="101">
        <f>IF(AS4&lt;5,"Oui","Non")</f>
        <v/>
      </c>
      <c r="AU4" s="102" t="n">
        <v>-1.51</v>
      </c>
      <c r="AV4" s="102" t="n">
        <v>-2.701</v>
      </c>
      <c r="AW4" s="102" t="n">
        <v>2.702</v>
      </c>
      <c r="AX4" s="102" t="n">
        <v>2.023</v>
      </c>
      <c r="AY4" s="96" t="n">
        <v>4391</v>
      </c>
      <c r="AZ4" s="96" t="n">
        <v>14305</v>
      </c>
      <c r="BA4" s="96" t="n">
        <v>3656</v>
      </c>
      <c r="BB4" s="96" t="n">
        <v>2394</v>
      </c>
      <c r="BC4" s="96" t="n">
        <v>1845</v>
      </c>
      <c r="BD4" s="97">
        <f>AY4*INDEX(Régions!$AQ$2:$AQ$6,MATCH($B4,Régions!$A$2:$A$6,0))</f>
        <v/>
      </c>
      <c r="BE4" s="97">
        <f>AZ4*INDEX(Régions!$AR$2:$AR$6,MATCH($B4,Régions!$A$2:$A$6,0))</f>
        <v/>
      </c>
      <c r="BF4" s="97">
        <f>BA4*INDEX(Régions!$AS$2:$AS$6,MATCH($B4,Régions!$A$2:$A$6,0))</f>
        <v/>
      </c>
      <c r="BG4" s="97">
        <f>BB4*INDEX(Régions!$AT$2:$AT$6,MATCH($B4,Régions!$A$2:$A$6,0))</f>
        <v/>
      </c>
      <c r="BH4" s="97">
        <f>U4</f>
        <v/>
      </c>
      <c r="BI4" s="97">
        <f>BC4*INDEX(Régions!$AU$2:$AU$6,MATCH($B4,Régions!$A$2:$A$6,0))</f>
        <v/>
      </c>
      <c r="BJ4" s="97">
        <f>INDEX({"CAQ","PLQ","QS","PQ","PCQ","Autre"},MATCH(MAX(BD4:BI4),BD4:BI4,0))</f>
        <v/>
      </c>
    </row>
    <row r="5" ht="15" customHeight="1" s="60">
      <c r="A5" s="94" t="inlineStr">
        <is>
          <t>Anjou–Louis-Riel</t>
        </is>
      </c>
      <c r="B5" s="94" t="inlineStr">
        <is>
          <t>Île de Montréal</t>
        </is>
      </c>
      <c r="C5" s="95" t="inlineStr">
        <is>
          <t>CAQ</t>
        </is>
      </c>
      <c r="D5" s="96" t="n">
        <v>9376</v>
      </c>
      <c r="E5" s="96" t="n">
        <v>8045</v>
      </c>
      <c r="F5" s="96" t="n">
        <v>3893</v>
      </c>
      <c r="G5" s="96" t="n">
        <v>2910</v>
      </c>
      <c r="H5" s="96" t="n">
        <v>1887</v>
      </c>
      <c r="I5" s="96" t="n">
        <v>252</v>
      </c>
      <c r="J5" s="97">
        <f>SUM(D5:I5)</f>
        <v/>
      </c>
      <c r="K5" s="98">
        <f>IFERROR(D5/J5,0)</f>
        <v/>
      </c>
      <c r="L5" s="98">
        <f>IFERROR(E5/J5,0)</f>
        <v/>
      </c>
      <c r="M5" s="98">
        <f>IFERROR(F5/J5,0)</f>
        <v/>
      </c>
      <c r="N5" s="98">
        <f>IFERROR(G5/J5,0)</f>
        <v/>
      </c>
      <c r="O5" s="98">
        <f>IFERROR(H5/J5,0)</f>
        <v/>
      </c>
      <c r="P5" s="98">
        <f>IFERROR(I5/J5,0)</f>
        <v/>
      </c>
      <c r="Q5" s="97">
        <f>D5*INDEX(Régions!$T$2:$T$6,MATCH($B5,Régions!$A$2:$A$6,0))</f>
        <v/>
      </c>
      <c r="R5" s="97">
        <f>E5*INDEX(Régions!$U$2:$U$6,MATCH($B5,Régions!$A$2:$A$6,0))</f>
        <v/>
      </c>
      <c r="S5" s="97">
        <f>F5*INDEX(Régions!$V$2:$V$6,MATCH($B5,Régions!$A$2:$A$6,0))</f>
        <v/>
      </c>
      <c r="T5" s="97">
        <f>G5*INDEX(Régions!$W$2:$W$6,MATCH($B5,Régions!$A$2:$A$6,0))</f>
        <v/>
      </c>
      <c r="U5" s="97">
        <f>H5*INDEX(Régions!$X$2:$X$6,MATCH($B5,Régions!$A$2:$A$6,0))</f>
        <v/>
      </c>
      <c r="V5" s="97">
        <f>I5*INDEX(Régions!$Y$2:$Y$6,MATCH($B5,Régions!$A$2:$A$6,0))</f>
        <v/>
      </c>
      <c r="W5" s="97">
        <f>Q5+(AU5/100)*J5*Régions!$O$2</f>
        <v/>
      </c>
      <c r="X5" s="97">
        <f>R5+(AV5/100)*J5*Régions!$O$2</f>
        <v/>
      </c>
      <c r="Y5" s="97">
        <f>S5+(AW5/100)*J5*Régions!$O$2</f>
        <v/>
      </c>
      <c r="Z5" s="97">
        <f>T5+(AX5/100)*J5*Régions!$O$2</f>
        <v/>
      </c>
      <c r="AA5" s="97">
        <f>U5</f>
        <v/>
      </c>
      <c r="AB5" s="97">
        <f>V5</f>
        <v/>
      </c>
      <c r="AC5" s="97">
        <f>D5*INDEX(Régions!$Z$2:$Z$6,MATCH($B5,Régions!$A$2:$A$6,0))</f>
        <v/>
      </c>
      <c r="AD5" s="97">
        <f>E5*INDEX(Régions!$AA$2:$AA$6,MATCH($B5,Régions!$A$2:$A$6,0))</f>
        <v/>
      </c>
      <c r="AE5" s="97">
        <f>F5*INDEX(Régions!$AB$2:$AB$6,MATCH($B5,Régions!$A$2:$A$6,0))</f>
        <v/>
      </c>
      <c r="AF5" s="97">
        <f>G5*INDEX(Régions!$AC$2:$AC$6,MATCH($B5,Régions!$A$2:$A$6,0))</f>
        <v/>
      </c>
      <c r="AG5" s="97">
        <f>H5*INDEX(Régions!$AD$2:$AD$6,MATCH($B5,Régions!$A$2:$A$6,0))</f>
        <v/>
      </c>
      <c r="AH5" s="97">
        <f>I5*INDEX(Régions!$AE$2:$AE$6,MATCH($B5,Régions!$A$2:$A$6,0))</f>
        <v/>
      </c>
      <c r="AI5" s="97">
        <f>D5*INDEX(Régions!$AF$2:$AF$6,MATCH($B5,Régions!$A$2:$A$6,0))</f>
        <v/>
      </c>
      <c r="AJ5" s="97">
        <f>E5*INDEX(Régions!$AG$2:$AG$6,MATCH($B5,Régions!$A$2:$A$6,0))</f>
        <v/>
      </c>
      <c r="AK5" s="97">
        <f>F5*INDEX(Régions!$AH$2:$AH$6,MATCH($B5,Régions!$A$2:$A$6,0))</f>
        <v/>
      </c>
      <c r="AL5" s="97">
        <f>G5*INDEX(Régions!$AI$2:$AI$6,MATCH($B5,Régions!$A$2:$A$6,0))</f>
        <v/>
      </c>
      <c r="AM5" s="97">
        <f>H5*INDEX(Régions!$AJ$2:$AJ$6,MATCH($B5,Régions!$A$2:$A$6,0))</f>
        <v/>
      </c>
      <c r="AN5" s="97">
        <f>I5*INDEX(Régions!$AK$2:$AK$6,MATCH($B5,Régions!$A$2:$A$6,0))</f>
        <v/>
      </c>
      <c r="AO5" s="99">
        <f>INDEX({"CAQ","PLQ","QS","PQ","PCQ","Autre"},MATCH(MAX(Q5:V5),Q5:V5,0))</f>
        <v/>
      </c>
      <c r="AP5" s="99">
        <f>INDEX({"CAQ","PLQ","QS","PQ","PCQ","Autre"},MATCH(MAX(W5:AB5),W5:AB5,0))</f>
        <v/>
      </c>
      <c r="AQ5" s="99">
        <f>INDEX({"CAQ","PLQ","QS","PQ","PCQ","Autre"},MATCH(MAX(AC5:AH5),AC5:AH5,0))</f>
        <v/>
      </c>
      <c r="AR5" s="99">
        <f>INDEX({"CAQ","PLQ","QS","PQ","PCQ","Autre"},MATCH(MAX(AI5:AN5),AI5:AN5,0))</f>
        <v/>
      </c>
      <c r="AS5" s="100">
        <f>(MAX(K5:P5)-LARGE(K5:P5,2))*100</f>
        <v/>
      </c>
      <c r="AT5" s="101">
        <f>IF(AS5&lt;5,"Oui","Non")</f>
        <v/>
      </c>
      <c r="AU5" s="102" t="n">
        <v>4.546</v>
      </c>
      <c r="AV5" s="102" t="n">
        <v>0.29</v>
      </c>
      <c r="AW5" s="102" t="n">
        <v>-0.507</v>
      </c>
      <c r="AX5" s="102" t="n">
        <v>-2.503</v>
      </c>
      <c r="AY5" s="96" t="n">
        <v>7995</v>
      </c>
      <c r="AZ5" s="96" t="n">
        <v>10802</v>
      </c>
      <c r="BA5" s="96" t="n">
        <v>4018</v>
      </c>
      <c r="BB5" s="96" t="n">
        <v>4064</v>
      </c>
      <c r="BC5" s="96" t="n">
        <v>775</v>
      </c>
      <c r="BD5" s="97">
        <f>AY5*INDEX(Régions!$AQ$2:$AQ$6,MATCH($B5,Régions!$A$2:$A$6,0))</f>
        <v/>
      </c>
      <c r="BE5" s="97">
        <f>AZ5*INDEX(Régions!$AR$2:$AR$6,MATCH($B5,Régions!$A$2:$A$6,0))</f>
        <v/>
      </c>
      <c r="BF5" s="97">
        <f>BA5*INDEX(Régions!$AS$2:$AS$6,MATCH($B5,Régions!$A$2:$A$6,0))</f>
        <v/>
      </c>
      <c r="BG5" s="97">
        <f>BB5*INDEX(Régions!$AT$2:$AT$6,MATCH($B5,Régions!$A$2:$A$6,0))</f>
        <v/>
      </c>
      <c r="BH5" s="97">
        <f>U5</f>
        <v/>
      </c>
      <c r="BI5" s="97">
        <f>BC5*INDEX(Régions!$AU$2:$AU$6,MATCH($B5,Régions!$A$2:$A$6,0))</f>
        <v/>
      </c>
      <c r="BJ5" s="97">
        <f>INDEX({"CAQ","PLQ","QS","PQ","PCQ","Autre"},MATCH(MAX(BD5:BI5),BD5:BI5,0))</f>
        <v/>
      </c>
    </row>
    <row r="6" ht="15" customHeight="1" s="60">
      <c r="A6" s="94" t="inlineStr">
        <is>
          <t>Argenteuil</t>
        </is>
      </c>
      <c r="B6" s="94" t="inlineStr">
        <is>
          <t>Reste du Québec</t>
        </is>
      </c>
      <c r="C6" s="95" t="inlineStr">
        <is>
          <t>CAQ</t>
        </is>
      </c>
      <c r="D6" s="96" t="n">
        <v>11414</v>
      </c>
      <c r="E6" s="96" t="n">
        <v>2535</v>
      </c>
      <c r="F6" s="96" t="n">
        <v>2753</v>
      </c>
      <c r="G6" s="96" t="n">
        <v>4090</v>
      </c>
      <c r="H6" s="96" t="n">
        <v>4005</v>
      </c>
      <c r="I6" s="96" t="n">
        <v>408</v>
      </c>
      <c r="J6" s="97">
        <f>SUM(D6:I6)</f>
        <v/>
      </c>
      <c r="K6" s="98">
        <f>IFERROR(D6/J6,0)</f>
        <v/>
      </c>
      <c r="L6" s="98">
        <f>IFERROR(E6/J6,0)</f>
        <v/>
      </c>
      <c r="M6" s="98">
        <f>IFERROR(F6/J6,0)</f>
        <v/>
      </c>
      <c r="N6" s="98">
        <f>IFERROR(G6/J6,0)</f>
        <v/>
      </c>
      <c r="O6" s="98">
        <f>IFERROR(H6/J6,0)</f>
        <v/>
      </c>
      <c r="P6" s="98">
        <f>IFERROR(I6/J6,0)</f>
        <v/>
      </c>
      <c r="Q6" s="97">
        <f>D6*INDEX(Régions!$T$2:$T$6,MATCH($B6,Régions!$A$2:$A$6,0))</f>
        <v/>
      </c>
      <c r="R6" s="97">
        <f>E6*INDEX(Régions!$U$2:$U$6,MATCH($B6,Régions!$A$2:$A$6,0))</f>
        <v/>
      </c>
      <c r="S6" s="97">
        <f>F6*INDEX(Régions!$V$2:$V$6,MATCH($B6,Régions!$A$2:$A$6,0))</f>
        <v/>
      </c>
      <c r="T6" s="97">
        <f>G6*INDEX(Régions!$W$2:$W$6,MATCH($B6,Régions!$A$2:$A$6,0))</f>
        <v/>
      </c>
      <c r="U6" s="97">
        <f>H6*INDEX(Régions!$X$2:$X$6,MATCH($B6,Régions!$A$2:$A$6,0))</f>
        <v/>
      </c>
      <c r="V6" s="97">
        <f>I6*INDEX(Régions!$Y$2:$Y$6,MATCH($B6,Régions!$A$2:$A$6,0))</f>
        <v/>
      </c>
      <c r="W6" s="97">
        <f>Q6+(AU6/100)*J6*Régions!$O$2</f>
        <v/>
      </c>
      <c r="X6" s="97">
        <f>R6+(AV6/100)*J6*Régions!$O$2</f>
        <v/>
      </c>
      <c r="Y6" s="97">
        <f>S6+(AW6/100)*J6*Régions!$O$2</f>
        <v/>
      </c>
      <c r="Z6" s="97">
        <f>T6+(AX6/100)*J6*Régions!$O$2</f>
        <v/>
      </c>
      <c r="AA6" s="97">
        <f>U6</f>
        <v/>
      </c>
      <c r="AB6" s="97">
        <f>V6</f>
        <v/>
      </c>
      <c r="AC6" s="97">
        <f>D6*INDEX(Régions!$Z$2:$Z$6,MATCH($B6,Régions!$A$2:$A$6,0))</f>
        <v/>
      </c>
      <c r="AD6" s="97">
        <f>E6*INDEX(Régions!$AA$2:$AA$6,MATCH($B6,Régions!$A$2:$A$6,0))</f>
        <v/>
      </c>
      <c r="AE6" s="97">
        <f>F6*INDEX(Régions!$AB$2:$AB$6,MATCH($B6,Régions!$A$2:$A$6,0))</f>
        <v/>
      </c>
      <c r="AF6" s="97">
        <f>G6*INDEX(Régions!$AC$2:$AC$6,MATCH($B6,Régions!$A$2:$A$6,0))</f>
        <v/>
      </c>
      <c r="AG6" s="97">
        <f>H6*INDEX(Régions!$AD$2:$AD$6,MATCH($B6,Régions!$A$2:$A$6,0))</f>
        <v/>
      </c>
      <c r="AH6" s="97">
        <f>I6*INDEX(Régions!$AE$2:$AE$6,MATCH($B6,Régions!$A$2:$A$6,0))</f>
        <v/>
      </c>
      <c r="AI6" s="97">
        <f>D6*INDEX(Régions!$AF$2:$AF$6,MATCH($B6,Régions!$A$2:$A$6,0))</f>
        <v/>
      </c>
      <c r="AJ6" s="97">
        <f>E6*INDEX(Régions!$AG$2:$AG$6,MATCH($B6,Régions!$A$2:$A$6,0))</f>
        <v/>
      </c>
      <c r="AK6" s="97">
        <f>F6*INDEX(Régions!$AH$2:$AH$6,MATCH($B6,Régions!$A$2:$A$6,0))</f>
        <v/>
      </c>
      <c r="AL6" s="97">
        <f>G6*INDEX(Régions!$AI$2:$AI$6,MATCH($B6,Régions!$A$2:$A$6,0))</f>
        <v/>
      </c>
      <c r="AM6" s="97">
        <f>H6*INDEX(Régions!$AJ$2:$AJ$6,MATCH($B6,Régions!$A$2:$A$6,0))</f>
        <v/>
      </c>
      <c r="AN6" s="97">
        <f>I6*INDEX(Régions!$AK$2:$AK$6,MATCH($B6,Régions!$A$2:$A$6,0))</f>
        <v/>
      </c>
      <c r="AO6" s="99">
        <f>INDEX({"CAQ","PLQ","QS","PQ","PCQ","Autre"},MATCH(MAX(Q6:V6),Q6:V6,0))</f>
        <v/>
      </c>
      <c r="AP6" s="99">
        <f>INDEX({"CAQ","PLQ","QS","PQ","PCQ","Autre"},MATCH(MAX(W6:AB6),W6:AB6,0))</f>
        <v/>
      </c>
      <c r="AQ6" s="99">
        <f>INDEX({"CAQ","PLQ","QS","PQ","PCQ","Autre"},MATCH(MAX(AC6:AH6),AC6:AH6,0))</f>
        <v/>
      </c>
      <c r="AR6" s="99">
        <f>INDEX({"CAQ","PLQ","QS","PQ","PCQ","Autre"},MATCH(MAX(AI6:AN6),AI6:AN6,0))</f>
        <v/>
      </c>
      <c r="AS6" s="100">
        <f>(MAX(K6:P6)-LARGE(K6:P6,2))*100</f>
        <v/>
      </c>
      <c r="AT6" s="101">
        <f>IF(AS6&lt;5,"Oui","Non")</f>
        <v/>
      </c>
      <c r="AU6" s="102" t="n">
        <v>-0.11</v>
      </c>
      <c r="AV6" s="102" t="n">
        <v>5.703</v>
      </c>
      <c r="AW6" s="102" t="n">
        <v>-0.363</v>
      </c>
      <c r="AX6" s="102" t="n">
        <v>-0.819</v>
      </c>
      <c r="AY6" s="96" t="n">
        <v>9275</v>
      </c>
      <c r="AZ6" s="96" t="n">
        <v>4022</v>
      </c>
      <c r="BA6" s="96" t="n">
        <v>2886</v>
      </c>
      <c r="BB6" s="96" t="n">
        <v>4945</v>
      </c>
      <c r="BC6" s="96" t="n">
        <v>2386</v>
      </c>
      <c r="BD6" s="97">
        <f>AY6*INDEX(Régions!$AQ$2:$AQ$6,MATCH($B6,Régions!$A$2:$A$6,0))</f>
        <v/>
      </c>
      <c r="BE6" s="97">
        <f>AZ6*INDEX(Régions!$AR$2:$AR$6,MATCH($B6,Régions!$A$2:$A$6,0))</f>
        <v/>
      </c>
      <c r="BF6" s="97">
        <f>BA6*INDEX(Régions!$AS$2:$AS$6,MATCH($B6,Régions!$A$2:$A$6,0))</f>
        <v/>
      </c>
      <c r="BG6" s="97">
        <f>BB6*INDEX(Régions!$AT$2:$AT$6,MATCH($B6,Régions!$A$2:$A$6,0))</f>
        <v/>
      </c>
      <c r="BH6" s="97">
        <f>U6</f>
        <v/>
      </c>
      <c r="BI6" s="97">
        <f>BC6*INDEX(Régions!$AU$2:$AU$6,MATCH($B6,Régions!$A$2:$A$6,0))</f>
        <v/>
      </c>
      <c r="BJ6" s="97">
        <f>INDEX({"CAQ","PLQ","QS","PQ","PCQ","Autre"},MATCH(MAX(BD6:BI6),BD6:BI6,0))</f>
        <v/>
      </c>
    </row>
    <row r="7" ht="15" customHeight="1" s="60">
      <c r="A7" s="94" t="inlineStr">
        <is>
          <t>Arthabaska-L'Érable</t>
        </is>
      </c>
      <c r="B7" s="94" t="inlineStr">
        <is>
          <t>Reste du Québec</t>
        </is>
      </c>
      <c r="C7" s="95" t="inlineStr">
        <is>
          <t>CAQ</t>
        </is>
      </c>
      <c r="D7" s="96" t="n">
        <v>22986</v>
      </c>
      <c r="E7" s="96" t="n">
        <v>1669</v>
      </c>
      <c r="F7" s="96" t="n">
        <v>4100</v>
      </c>
      <c r="G7" s="96" t="n">
        <v>4460</v>
      </c>
      <c r="H7" s="96" t="n">
        <v>10951</v>
      </c>
      <c r="I7" s="96" t="n">
        <v>252</v>
      </c>
      <c r="J7" s="97">
        <f>SUM(D7:I7)</f>
        <v/>
      </c>
      <c r="K7" s="98">
        <f>IFERROR(D7/J7,0)</f>
        <v/>
      </c>
      <c r="L7" s="98">
        <f>IFERROR(E7/J7,0)</f>
        <v/>
      </c>
      <c r="M7" s="98">
        <f>IFERROR(F7/J7,0)</f>
        <v/>
      </c>
      <c r="N7" s="98">
        <f>IFERROR(G7/J7,0)</f>
        <v/>
      </c>
      <c r="O7" s="98">
        <f>IFERROR(H7/J7,0)</f>
        <v/>
      </c>
      <c r="P7" s="98">
        <f>IFERROR(I7/J7,0)</f>
        <v/>
      </c>
      <c r="Q7" s="97">
        <f>D7*INDEX(Régions!$T$2:$T$6,MATCH($B7,Régions!$A$2:$A$6,0))</f>
        <v/>
      </c>
      <c r="R7" s="97">
        <f>E7*INDEX(Régions!$U$2:$U$6,MATCH($B7,Régions!$A$2:$A$6,0))</f>
        <v/>
      </c>
      <c r="S7" s="97">
        <f>F7*INDEX(Régions!$V$2:$V$6,MATCH($B7,Régions!$A$2:$A$6,0))</f>
        <v/>
      </c>
      <c r="T7" s="97">
        <f>G7*INDEX(Régions!$W$2:$W$6,MATCH($B7,Régions!$A$2:$A$6,0))</f>
        <v/>
      </c>
      <c r="U7" s="97">
        <f>H7*INDEX(Régions!$X$2:$X$6,MATCH($B7,Régions!$A$2:$A$6,0))</f>
        <v/>
      </c>
      <c r="V7" s="97">
        <f>I7*INDEX(Régions!$Y$2:$Y$6,MATCH($B7,Régions!$A$2:$A$6,0))</f>
        <v/>
      </c>
      <c r="W7" s="97">
        <f>Q7+(AU7/100)*J7*Régions!$O$2</f>
        <v/>
      </c>
      <c r="X7" s="97">
        <f>R7+(AV7/100)*J7*Régions!$O$2</f>
        <v/>
      </c>
      <c r="Y7" s="97">
        <f>S7+(AW7/100)*J7*Régions!$O$2</f>
        <v/>
      </c>
      <c r="Z7" s="97">
        <f>T7+(AX7/100)*J7*Régions!$O$2</f>
        <v/>
      </c>
      <c r="AA7" s="97">
        <f>U7</f>
        <v/>
      </c>
      <c r="AB7" s="97">
        <f>V7</f>
        <v/>
      </c>
      <c r="AC7" s="97">
        <f>D7*INDEX(Régions!$Z$2:$Z$6,MATCH($B7,Régions!$A$2:$A$6,0))</f>
        <v/>
      </c>
      <c r="AD7" s="97">
        <f>E7*INDEX(Régions!$AA$2:$AA$6,MATCH($B7,Régions!$A$2:$A$6,0))</f>
        <v/>
      </c>
      <c r="AE7" s="97">
        <f>F7*INDEX(Régions!$AB$2:$AB$6,MATCH($B7,Régions!$A$2:$A$6,0))</f>
        <v/>
      </c>
      <c r="AF7" s="97">
        <f>G7*INDEX(Régions!$AC$2:$AC$6,MATCH($B7,Régions!$A$2:$A$6,0))</f>
        <v/>
      </c>
      <c r="AG7" s="97">
        <f>H7*INDEX(Régions!$AD$2:$AD$6,MATCH($B7,Régions!$A$2:$A$6,0))</f>
        <v/>
      </c>
      <c r="AH7" s="97">
        <f>I7*INDEX(Régions!$AE$2:$AE$6,MATCH($B7,Régions!$A$2:$A$6,0))</f>
        <v/>
      </c>
      <c r="AI7" s="97">
        <f>D7*INDEX(Régions!$AF$2:$AF$6,MATCH($B7,Régions!$A$2:$A$6,0))</f>
        <v/>
      </c>
      <c r="AJ7" s="97">
        <f>E7*INDEX(Régions!$AG$2:$AG$6,MATCH($B7,Régions!$A$2:$A$6,0))</f>
        <v/>
      </c>
      <c r="AK7" s="97">
        <f>F7*INDEX(Régions!$AH$2:$AH$6,MATCH($B7,Régions!$A$2:$A$6,0))</f>
        <v/>
      </c>
      <c r="AL7" s="97">
        <f>G7*INDEX(Régions!$AI$2:$AI$6,MATCH($B7,Régions!$A$2:$A$6,0))</f>
        <v/>
      </c>
      <c r="AM7" s="97">
        <f>H7*INDEX(Régions!$AJ$2:$AJ$6,MATCH($B7,Régions!$A$2:$A$6,0))</f>
        <v/>
      </c>
      <c r="AN7" s="97">
        <f>I7*INDEX(Régions!$AK$2:$AK$6,MATCH($B7,Régions!$A$2:$A$6,0))</f>
        <v/>
      </c>
      <c r="AO7" s="99">
        <f>INDEX({"CAQ","PLQ","QS","PQ","PCQ","Autre"},MATCH(MAX(Q7:V7),Q7:V7,0))</f>
        <v/>
      </c>
      <c r="AP7" s="99">
        <f>INDEX({"CAQ","PLQ","QS","PQ","PCQ","Autre"},MATCH(MAX(W7:AB7),W7:AB7,0))</f>
        <v/>
      </c>
      <c r="AQ7" s="99">
        <f>INDEX({"CAQ","PLQ","QS","PQ","PCQ","Autre"},MATCH(MAX(AC7:AH7),AC7:AH7,0))</f>
        <v/>
      </c>
      <c r="AR7" s="99">
        <f>INDEX({"CAQ","PLQ","QS","PQ","PCQ","Autre"},MATCH(MAX(AI7:AN7),AI7:AN7,0))</f>
        <v/>
      </c>
      <c r="AS7" s="100">
        <f>(MAX(K7:P7)-LARGE(K7:P7,2))*100</f>
        <v/>
      </c>
      <c r="AT7" s="101">
        <f>IF(AS7&lt;5,"Oui","Non")</f>
        <v/>
      </c>
      <c r="AU7" s="102" t="n">
        <v>-16.008</v>
      </c>
      <c r="AV7" s="102" t="n">
        <v>5.147</v>
      </c>
      <c r="AW7" s="102" t="n">
        <v>-2.372</v>
      </c>
      <c r="AX7" s="102" t="n">
        <v>4.61</v>
      </c>
      <c r="AY7" s="96" t="n">
        <v>25130</v>
      </c>
      <c r="AZ7" s="96" t="n">
        <v>4619</v>
      </c>
      <c r="BA7" s="96" t="n">
        <v>5119</v>
      </c>
      <c r="BB7" s="96" t="n">
        <v>3828</v>
      </c>
      <c r="BC7" s="96" t="n">
        <v>1963</v>
      </c>
      <c r="BD7" s="97">
        <f>AY7*INDEX(Régions!$AQ$2:$AQ$6,MATCH($B7,Régions!$A$2:$A$6,0))</f>
        <v/>
      </c>
      <c r="BE7" s="97">
        <f>AZ7*INDEX(Régions!$AR$2:$AR$6,MATCH($B7,Régions!$A$2:$A$6,0))</f>
        <v/>
      </c>
      <c r="BF7" s="97">
        <f>BA7*INDEX(Régions!$AS$2:$AS$6,MATCH($B7,Régions!$A$2:$A$6,0))</f>
        <v/>
      </c>
      <c r="BG7" s="97">
        <f>BB7*INDEX(Régions!$AT$2:$AT$6,MATCH($B7,Régions!$A$2:$A$6,0))</f>
        <v/>
      </c>
      <c r="BH7" s="97">
        <f>U7</f>
        <v/>
      </c>
      <c r="BI7" s="97">
        <f>BC7*INDEX(Régions!$AU$2:$AU$6,MATCH($B7,Régions!$A$2:$A$6,0))</f>
        <v/>
      </c>
      <c r="BJ7" s="97">
        <f>INDEX({"CAQ","PLQ","QS","PQ","PCQ","Autre"},MATCH(MAX(BD7:BI7),BD7:BI7,0))</f>
        <v/>
      </c>
    </row>
    <row r="8" ht="15" customHeight="1" s="60">
      <c r="A8" s="94" t="inlineStr">
        <is>
          <t>Beauce-Nord</t>
        </is>
      </c>
      <c r="B8" s="94" t="inlineStr">
        <is>
          <t>Reste du Québec</t>
        </is>
      </c>
      <c r="C8" s="95" t="inlineStr">
        <is>
          <t>CAQ</t>
        </is>
      </c>
      <c r="D8" s="96" t="n">
        <v>14590</v>
      </c>
      <c r="E8" s="96" t="n">
        <v>951</v>
      </c>
      <c r="F8" s="96" t="n">
        <v>1522</v>
      </c>
      <c r="G8" s="96" t="n">
        <v>1994</v>
      </c>
      <c r="H8" s="96" t="n">
        <v>14388</v>
      </c>
      <c r="I8" s="96" t="n">
        <v>146</v>
      </c>
      <c r="J8" s="97">
        <f>SUM(D8:I8)</f>
        <v/>
      </c>
      <c r="K8" s="98">
        <f>IFERROR(D8/J8,0)</f>
        <v/>
      </c>
      <c r="L8" s="98">
        <f>IFERROR(E8/J8,0)</f>
        <v/>
      </c>
      <c r="M8" s="98">
        <f>IFERROR(F8/J8,0)</f>
        <v/>
      </c>
      <c r="N8" s="98">
        <f>IFERROR(G8/J8,0)</f>
        <v/>
      </c>
      <c r="O8" s="98">
        <f>IFERROR(H8/J8,0)</f>
        <v/>
      </c>
      <c r="P8" s="98">
        <f>IFERROR(I8/J8,0)</f>
        <v/>
      </c>
      <c r="Q8" s="97">
        <f>D8*INDEX(Régions!$T$2:$T$6,MATCH($B8,Régions!$A$2:$A$6,0))</f>
        <v/>
      </c>
      <c r="R8" s="97">
        <f>E8*INDEX(Régions!$U$2:$U$6,MATCH($B8,Régions!$A$2:$A$6,0))</f>
        <v/>
      </c>
      <c r="S8" s="97">
        <f>F8*INDEX(Régions!$V$2:$V$6,MATCH($B8,Régions!$A$2:$A$6,0))</f>
        <v/>
      </c>
      <c r="T8" s="97">
        <f>G8*INDEX(Régions!$W$2:$W$6,MATCH($B8,Régions!$A$2:$A$6,0))</f>
        <v/>
      </c>
      <c r="U8" s="97">
        <f>H8*INDEX(Régions!$X$2:$X$6,MATCH($B8,Régions!$A$2:$A$6,0))</f>
        <v/>
      </c>
      <c r="V8" s="97">
        <f>I8*INDEX(Régions!$Y$2:$Y$6,MATCH($B8,Régions!$A$2:$A$6,0))</f>
        <v/>
      </c>
      <c r="W8" s="97">
        <f>Q8+(AU8/100)*J8*Régions!$O$2</f>
        <v/>
      </c>
      <c r="X8" s="97">
        <f>R8+(AV8/100)*J8*Régions!$O$2</f>
        <v/>
      </c>
      <c r="Y8" s="97">
        <f>S8+(AW8/100)*J8*Régions!$O$2</f>
        <v/>
      </c>
      <c r="Z8" s="97">
        <f>T8+(AX8/100)*J8*Régions!$O$2</f>
        <v/>
      </c>
      <c r="AA8" s="97">
        <f>U8</f>
        <v/>
      </c>
      <c r="AB8" s="97">
        <f>V8</f>
        <v/>
      </c>
      <c r="AC8" s="97">
        <f>D8*INDEX(Régions!$Z$2:$Z$6,MATCH($B8,Régions!$A$2:$A$6,0))</f>
        <v/>
      </c>
      <c r="AD8" s="97">
        <f>E8*INDEX(Régions!$AA$2:$AA$6,MATCH($B8,Régions!$A$2:$A$6,0))</f>
        <v/>
      </c>
      <c r="AE8" s="97">
        <f>F8*INDEX(Régions!$AB$2:$AB$6,MATCH($B8,Régions!$A$2:$A$6,0))</f>
        <v/>
      </c>
      <c r="AF8" s="97">
        <f>G8*INDEX(Régions!$AC$2:$AC$6,MATCH($B8,Régions!$A$2:$A$6,0))</f>
        <v/>
      </c>
      <c r="AG8" s="97">
        <f>H8*INDEX(Régions!$AD$2:$AD$6,MATCH($B8,Régions!$A$2:$A$6,0))</f>
        <v/>
      </c>
      <c r="AH8" s="97">
        <f>I8*INDEX(Régions!$AE$2:$AE$6,MATCH($B8,Régions!$A$2:$A$6,0))</f>
        <v/>
      </c>
      <c r="AI8" s="97">
        <f>D8*INDEX(Régions!$AF$2:$AF$6,MATCH($B8,Régions!$A$2:$A$6,0))</f>
        <v/>
      </c>
      <c r="AJ8" s="97">
        <f>E8*INDEX(Régions!$AG$2:$AG$6,MATCH($B8,Régions!$A$2:$A$6,0))</f>
        <v/>
      </c>
      <c r="AK8" s="97">
        <f>F8*INDEX(Régions!$AH$2:$AH$6,MATCH($B8,Régions!$A$2:$A$6,0))</f>
        <v/>
      </c>
      <c r="AL8" s="97">
        <f>G8*INDEX(Régions!$AI$2:$AI$6,MATCH($B8,Régions!$A$2:$A$6,0))</f>
        <v/>
      </c>
      <c r="AM8" s="97">
        <f>H8*INDEX(Régions!$AJ$2:$AJ$6,MATCH($B8,Régions!$A$2:$A$6,0))</f>
        <v/>
      </c>
      <c r="AN8" s="97">
        <f>I8*INDEX(Régions!$AK$2:$AK$6,MATCH($B8,Régions!$A$2:$A$6,0))</f>
        <v/>
      </c>
      <c r="AO8" s="99">
        <f>INDEX({"CAQ","PLQ","QS","PQ","PCQ","Autre"},MATCH(MAX(Q8:V8),Q8:V8,0))</f>
        <v/>
      </c>
      <c r="AP8" s="99">
        <f>INDEX({"CAQ","PLQ","QS","PQ","PCQ","Autre"},MATCH(MAX(W8:AB8),W8:AB8,0))</f>
        <v/>
      </c>
      <c r="AQ8" s="99">
        <f>INDEX({"CAQ","PLQ","QS","PQ","PCQ","Autre"},MATCH(MAX(AC8:AH8),AC8:AH8,0))</f>
        <v/>
      </c>
      <c r="AR8" s="99">
        <f>INDEX({"CAQ","PLQ","QS","PQ","PCQ","Autre"},MATCH(MAX(AI8:AN8),AI8:AN8,0))</f>
        <v/>
      </c>
      <c r="AS8" s="100">
        <f>(MAX(K8:P8)-LARGE(K8:P8,2))*100</f>
        <v/>
      </c>
      <c r="AT8" s="101">
        <f>IF(AS8&lt;5,"Oui","Non")</f>
        <v/>
      </c>
      <c r="AU8" s="102" t="n">
        <v>-28.885</v>
      </c>
      <c r="AV8" s="102" t="n">
        <v>-0.081</v>
      </c>
      <c r="AW8" s="102" t="n">
        <v>-1.54</v>
      </c>
      <c r="AX8" s="102" t="n">
        <v>4.8</v>
      </c>
      <c r="AY8" s="96" t="n">
        <v>20038</v>
      </c>
      <c r="AZ8" s="96" t="n">
        <v>4729</v>
      </c>
      <c r="BA8" s="96" t="n">
        <v>2131</v>
      </c>
      <c r="BB8" s="96" t="n">
        <v>1546</v>
      </c>
      <c r="BC8" s="96" t="n">
        <v>1748</v>
      </c>
      <c r="BD8" s="97">
        <f>AY8*INDEX(Régions!$AQ$2:$AQ$6,MATCH($B8,Régions!$A$2:$A$6,0))</f>
        <v/>
      </c>
      <c r="BE8" s="97">
        <f>AZ8*INDEX(Régions!$AR$2:$AR$6,MATCH($B8,Régions!$A$2:$A$6,0))</f>
        <v/>
      </c>
      <c r="BF8" s="97">
        <f>BA8*INDEX(Régions!$AS$2:$AS$6,MATCH($B8,Régions!$A$2:$A$6,0))</f>
        <v/>
      </c>
      <c r="BG8" s="97">
        <f>BB8*INDEX(Régions!$AT$2:$AT$6,MATCH($B8,Régions!$A$2:$A$6,0))</f>
        <v/>
      </c>
      <c r="BH8" s="97">
        <f>U8</f>
        <v/>
      </c>
      <c r="BI8" s="97">
        <f>BC8*INDEX(Régions!$AU$2:$AU$6,MATCH($B8,Régions!$A$2:$A$6,0))</f>
        <v/>
      </c>
      <c r="BJ8" s="97">
        <f>INDEX({"CAQ","PLQ","QS","PQ","PCQ","Autre"},MATCH(MAX(BD8:BI8),BD8:BI8,0))</f>
        <v/>
      </c>
    </row>
    <row r="9" ht="15" customHeight="1" s="60">
      <c r="A9" s="94" t="inlineStr">
        <is>
          <t>Beauce-Sud</t>
        </is>
      </c>
      <c r="B9" s="94" t="inlineStr">
        <is>
          <t>Reste du Québec</t>
        </is>
      </c>
      <c r="C9" s="95" t="inlineStr">
        <is>
          <t>CAQ</t>
        </is>
      </c>
      <c r="D9" s="96" t="n">
        <v>16615</v>
      </c>
      <c r="E9" s="96" t="n">
        <v>1057</v>
      </c>
      <c r="F9" s="96" t="n">
        <v>1623</v>
      </c>
      <c r="G9" s="96" t="n">
        <v>1505</v>
      </c>
      <c r="H9" s="96" t="n">
        <v>16187</v>
      </c>
      <c r="I9" s="96" t="n">
        <v>306</v>
      </c>
      <c r="J9" s="97">
        <f>SUM(D9:I9)</f>
        <v/>
      </c>
      <c r="K9" s="98">
        <f>IFERROR(D9/J9,0)</f>
        <v/>
      </c>
      <c r="L9" s="98">
        <f>IFERROR(E9/J9,0)</f>
        <v/>
      </c>
      <c r="M9" s="98">
        <f>IFERROR(F9/J9,0)</f>
        <v/>
      </c>
      <c r="N9" s="98">
        <f>IFERROR(G9/J9,0)</f>
        <v/>
      </c>
      <c r="O9" s="98">
        <f>IFERROR(H9/J9,0)</f>
        <v/>
      </c>
      <c r="P9" s="98">
        <f>IFERROR(I9/J9,0)</f>
        <v/>
      </c>
      <c r="Q9" s="97">
        <f>D9*INDEX(Régions!$T$2:$T$6,MATCH($B9,Régions!$A$2:$A$6,0))</f>
        <v/>
      </c>
      <c r="R9" s="97">
        <f>E9*INDEX(Régions!$U$2:$U$6,MATCH($B9,Régions!$A$2:$A$6,0))</f>
        <v/>
      </c>
      <c r="S9" s="97">
        <f>F9*INDEX(Régions!$V$2:$V$6,MATCH($B9,Régions!$A$2:$A$6,0))</f>
        <v/>
      </c>
      <c r="T9" s="97">
        <f>G9*INDEX(Régions!$W$2:$W$6,MATCH($B9,Régions!$A$2:$A$6,0))</f>
        <v/>
      </c>
      <c r="U9" s="97">
        <f>H9*INDEX(Régions!$X$2:$X$6,MATCH($B9,Régions!$A$2:$A$6,0))</f>
        <v/>
      </c>
      <c r="V9" s="97">
        <f>I9*INDEX(Régions!$Y$2:$Y$6,MATCH($B9,Régions!$A$2:$A$6,0))</f>
        <v/>
      </c>
      <c r="W9" s="97">
        <f>Q9+(AU9/100)*J9*Régions!$O$2</f>
        <v/>
      </c>
      <c r="X9" s="97">
        <f>R9+(AV9/100)*J9*Régions!$O$2</f>
        <v/>
      </c>
      <c r="Y9" s="97">
        <f>S9+(AW9/100)*J9*Régions!$O$2</f>
        <v/>
      </c>
      <c r="Z9" s="97">
        <f>T9+(AX9/100)*J9*Régions!$O$2</f>
        <v/>
      </c>
      <c r="AA9" s="97">
        <f>U9</f>
        <v/>
      </c>
      <c r="AB9" s="97">
        <f>V9</f>
        <v/>
      </c>
      <c r="AC9" s="97">
        <f>D9*INDEX(Régions!$Z$2:$Z$6,MATCH($B9,Régions!$A$2:$A$6,0))</f>
        <v/>
      </c>
      <c r="AD9" s="97">
        <f>E9*INDEX(Régions!$AA$2:$AA$6,MATCH($B9,Régions!$A$2:$A$6,0))</f>
        <v/>
      </c>
      <c r="AE9" s="97">
        <f>F9*INDEX(Régions!$AB$2:$AB$6,MATCH($B9,Régions!$A$2:$A$6,0))</f>
        <v/>
      </c>
      <c r="AF9" s="97">
        <f>G9*INDEX(Régions!$AC$2:$AC$6,MATCH($B9,Régions!$A$2:$A$6,0))</f>
        <v/>
      </c>
      <c r="AG9" s="97">
        <f>H9*INDEX(Régions!$AD$2:$AD$6,MATCH($B9,Régions!$A$2:$A$6,0))</f>
        <v/>
      </c>
      <c r="AH9" s="97">
        <f>I9*INDEX(Régions!$AE$2:$AE$6,MATCH($B9,Régions!$A$2:$A$6,0))</f>
        <v/>
      </c>
      <c r="AI9" s="97">
        <f>D9*INDEX(Régions!$AF$2:$AF$6,MATCH($B9,Régions!$A$2:$A$6,0))</f>
        <v/>
      </c>
      <c r="AJ9" s="97">
        <f>E9*INDEX(Régions!$AG$2:$AG$6,MATCH($B9,Régions!$A$2:$A$6,0))</f>
        <v/>
      </c>
      <c r="AK9" s="97">
        <f>F9*INDEX(Régions!$AH$2:$AH$6,MATCH($B9,Régions!$A$2:$A$6,0))</f>
        <v/>
      </c>
      <c r="AL9" s="97">
        <f>G9*INDEX(Régions!$AI$2:$AI$6,MATCH($B9,Régions!$A$2:$A$6,0))</f>
        <v/>
      </c>
      <c r="AM9" s="97">
        <f>H9*INDEX(Régions!$AJ$2:$AJ$6,MATCH($B9,Régions!$A$2:$A$6,0))</f>
        <v/>
      </c>
      <c r="AN9" s="97">
        <f>I9*INDEX(Régions!$AK$2:$AK$6,MATCH($B9,Régions!$A$2:$A$6,0))</f>
        <v/>
      </c>
      <c r="AO9" s="99">
        <f>INDEX({"CAQ","PLQ","QS","PQ","PCQ","Autre"},MATCH(MAX(Q9:V9),Q9:V9,0))</f>
        <v/>
      </c>
      <c r="AP9" s="99">
        <f>INDEX({"CAQ","PLQ","QS","PQ","PCQ","Autre"},MATCH(MAX(W9:AB9),W9:AB9,0))</f>
        <v/>
      </c>
      <c r="AQ9" s="99">
        <f>INDEX({"CAQ","PLQ","QS","PQ","PCQ","Autre"},MATCH(MAX(AC9:AH9),AC9:AH9,0))</f>
        <v/>
      </c>
      <c r="AR9" s="99">
        <f>INDEX({"CAQ","PLQ","QS","PQ","PCQ","Autre"},MATCH(MAX(AI9:AN9),AI9:AN9,0))</f>
        <v/>
      </c>
      <c r="AS9" s="100">
        <f>(MAX(K9:P9)-LARGE(K9:P9,2))*100</f>
        <v/>
      </c>
      <c r="AT9" s="101">
        <f>IF(AS9&lt;5,"Oui","Non")</f>
        <v/>
      </c>
      <c r="AU9" s="102" t="n">
        <v>-24.076</v>
      </c>
      <c r="AV9" s="102" t="n">
        <v>-5.246</v>
      </c>
      <c r="AW9" s="102" t="n">
        <v>-0.451</v>
      </c>
      <c r="AX9" s="102" t="n">
        <v>3.906</v>
      </c>
      <c r="AY9" s="96" t="n">
        <v>20937</v>
      </c>
      <c r="AZ9" s="96" t="n">
        <v>6958</v>
      </c>
      <c r="BA9" s="96" t="n">
        <v>1934</v>
      </c>
      <c r="BB9" s="96" t="n">
        <v>1374</v>
      </c>
      <c r="BC9" s="96" t="n">
        <v>2200</v>
      </c>
      <c r="BD9" s="97">
        <f>AY9*INDEX(Régions!$AQ$2:$AQ$6,MATCH($B9,Régions!$A$2:$A$6,0))</f>
        <v/>
      </c>
      <c r="BE9" s="97">
        <f>AZ9*INDEX(Régions!$AR$2:$AR$6,MATCH($B9,Régions!$A$2:$A$6,0))</f>
        <v/>
      </c>
      <c r="BF9" s="97">
        <f>BA9*INDEX(Régions!$AS$2:$AS$6,MATCH($B9,Régions!$A$2:$A$6,0))</f>
        <v/>
      </c>
      <c r="BG9" s="97">
        <f>BB9*INDEX(Régions!$AT$2:$AT$6,MATCH($B9,Régions!$A$2:$A$6,0))</f>
        <v/>
      </c>
      <c r="BH9" s="97">
        <f>U9</f>
        <v/>
      </c>
      <c r="BI9" s="97">
        <f>BC9*INDEX(Régions!$AU$2:$AU$6,MATCH($B9,Régions!$A$2:$A$6,0))</f>
        <v/>
      </c>
      <c r="BJ9" s="97">
        <f>INDEX({"CAQ","PLQ","QS","PQ","PCQ","Autre"},MATCH(MAX(BD9:BI9),BD9:BI9,0))</f>
        <v/>
      </c>
    </row>
    <row r="10" ht="15" customHeight="1" s="60">
      <c r="A10" s="94" t="inlineStr">
        <is>
          <t>Beauharnois</t>
        </is>
      </c>
      <c r="B10" s="94" t="inlineStr">
        <is>
          <t>Banlieue de Montréal</t>
        </is>
      </c>
      <c r="C10" s="95" t="inlineStr">
        <is>
          <t>CAQ</t>
        </is>
      </c>
      <c r="D10" s="96" t="n">
        <v>19554</v>
      </c>
      <c r="E10" s="96" t="n">
        <v>2796</v>
      </c>
      <c r="F10" s="96" t="n">
        <v>4724</v>
      </c>
      <c r="G10" s="96" t="n">
        <v>6043</v>
      </c>
      <c r="H10" s="96" t="n">
        <v>3601</v>
      </c>
      <c r="I10" s="96" t="n">
        <v>457</v>
      </c>
      <c r="J10" s="97">
        <f>SUM(D10:I10)</f>
        <v/>
      </c>
      <c r="K10" s="98">
        <f>IFERROR(D10/J10,0)</f>
        <v/>
      </c>
      <c r="L10" s="98">
        <f>IFERROR(E10/J10,0)</f>
        <v/>
      </c>
      <c r="M10" s="98">
        <f>IFERROR(F10/J10,0)</f>
        <v/>
      </c>
      <c r="N10" s="98">
        <f>IFERROR(G10/J10,0)</f>
        <v/>
      </c>
      <c r="O10" s="98">
        <f>IFERROR(H10/J10,0)</f>
        <v/>
      </c>
      <c r="P10" s="98">
        <f>IFERROR(I10/J10,0)</f>
        <v/>
      </c>
      <c r="Q10" s="97">
        <f>D10*INDEX(Régions!$T$2:$T$6,MATCH($B10,Régions!$A$2:$A$6,0))</f>
        <v/>
      </c>
      <c r="R10" s="97">
        <f>E10*INDEX(Régions!$U$2:$U$6,MATCH($B10,Régions!$A$2:$A$6,0))</f>
        <v/>
      </c>
      <c r="S10" s="97">
        <f>F10*INDEX(Régions!$V$2:$V$6,MATCH($B10,Régions!$A$2:$A$6,0))</f>
        <v/>
      </c>
      <c r="T10" s="97">
        <f>G10*INDEX(Régions!$W$2:$W$6,MATCH($B10,Régions!$A$2:$A$6,0))</f>
        <v/>
      </c>
      <c r="U10" s="97">
        <f>H10*INDEX(Régions!$X$2:$X$6,MATCH($B10,Régions!$A$2:$A$6,0))</f>
        <v/>
      </c>
      <c r="V10" s="97">
        <f>I10*INDEX(Régions!$Y$2:$Y$6,MATCH($B10,Régions!$A$2:$A$6,0))</f>
        <v/>
      </c>
      <c r="W10" s="97">
        <f>Q10+(AU10/100)*J10*Régions!$O$2</f>
        <v/>
      </c>
      <c r="X10" s="97">
        <f>R10+(AV10/100)*J10*Régions!$O$2</f>
        <v/>
      </c>
      <c r="Y10" s="97">
        <f>S10+(AW10/100)*J10*Régions!$O$2</f>
        <v/>
      </c>
      <c r="Z10" s="97">
        <f>T10+(AX10/100)*J10*Régions!$O$2</f>
        <v/>
      </c>
      <c r="AA10" s="97">
        <f>U10</f>
        <v/>
      </c>
      <c r="AB10" s="97">
        <f>V10</f>
        <v/>
      </c>
      <c r="AC10" s="97">
        <f>D10*INDEX(Régions!$Z$2:$Z$6,MATCH($B10,Régions!$A$2:$A$6,0))</f>
        <v/>
      </c>
      <c r="AD10" s="97">
        <f>E10*INDEX(Régions!$AA$2:$AA$6,MATCH($B10,Régions!$A$2:$A$6,0))</f>
        <v/>
      </c>
      <c r="AE10" s="97">
        <f>F10*INDEX(Régions!$AB$2:$AB$6,MATCH($B10,Régions!$A$2:$A$6,0))</f>
        <v/>
      </c>
      <c r="AF10" s="97">
        <f>G10*INDEX(Régions!$AC$2:$AC$6,MATCH($B10,Régions!$A$2:$A$6,0))</f>
        <v/>
      </c>
      <c r="AG10" s="97">
        <f>H10*INDEX(Régions!$AD$2:$AD$6,MATCH($B10,Régions!$A$2:$A$6,0))</f>
        <v/>
      </c>
      <c r="AH10" s="97">
        <f>I10*INDEX(Régions!$AE$2:$AE$6,MATCH($B10,Régions!$A$2:$A$6,0))</f>
        <v/>
      </c>
      <c r="AI10" s="97">
        <f>D10*INDEX(Régions!$AF$2:$AF$6,MATCH($B10,Régions!$A$2:$A$6,0))</f>
        <v/>
      </c>
      <c r="AJ10" s="97">
        <f>E10*INDEX(Régions!$AG$2:$AG$6,MATCH($B10,Régions!$A$2:$A$6,0))</f>
        <v/>
      </c>
      <c r="AK10" s="97">
        <f>F10*INDEX(Régions!$AH$2:$AH$6,MATCH($B10,Régions!$A$2:$A$6,0))</f>
        <v/>
      </c>
      <c r="AL10" s="97">
        <f>G10*INDEX(Régions!$AI$2:$AI$6,MATCH($B10,Régions!$A$2:$A$6,0))</f>
        <v/>
      </c>
      <c r="AM10" s="97">
        <f>H10*INDEX(Régions!$AJ$2:$AJ$6,MATCH($B10,Régions!$A$2:$A$6,0))</f>
        <v/>
      </c>
      <c r="AN10" s="97">
        <f>I10*INDEX(Régions!$AK$2:$AK$6,MATCH($B10,Régions!$A$2:$A$6,0))</f>
        <v/>
      </c>
      <c r="AO10" s="99">
        <f>INDEX({"CAQ","PLQ","QS","PQ","PCQ","Autre"},MATCH(MAX(Q10:V10),Q10:V10,0))</f>
        <v/>
      </c>
      <c r="AP10" s="99">
        <f>INDEX({"CAQ","PLQ","QS","PQ","PCQ","Autre"},MATCH(MAX(W10:AB10),W10:AB10,0))</f>
        <v/>
      </c>
      <c r="AQ10" s="99">
        <f>INDEX({"CAQ","PLQ","QS","PQ","PCQ","Autre"},MATCH(MAX(AC10:AH10),AC10:AH10,0))</f>
        <v/>
      </c>
      <c r="AR10" s="99">
        <f>INDEX({"CAQ","PLQ","QS","PQ","PCQ","Autre"},MATCH(MAX(AI10:AN10),AI10:AN10,0))</f>
        <v/>
      </c>
      <c r="AS10" s="100">
        <f>(MAX(K10:P10)-LARGE(K10:P10,2))*100</f>
        <v/>
      </c>
      <c r="AT10" s="101">
        <f>IF(AS10&lt;5,"Oui","Non")</f>
        <v/>
      </c>
      <c r="AU10" s="102" t="n">
        <v>3.564</v>
      </c>
      <c r="AV10" s="102" t="n">
        <v>-0.528</v>
      </c>
      <c r="AW10" s="102" t="n">
        <v>-1.274</v>
      </c>
      <c r="AX10" s="102" t="n">
        <v>-1.366</v>
      </c>
      <c r="AY10" s="96" t="n">
        <v>16442</v>
      </c>
      <c r="AZ10" s="96" t="n">
        <v>5355</v>
      </c>
      <c r="BA10" s="96" t="n">
        <v>5256</v>
      </c>
      <c r="BB10" s="96" t="n">
        <v>7386</v>
      </c>
      <c r="BC10" s="96" t="n">
        <v>1375</v>
      </c>
      <c r="BD10" s="97">
        <f>AY10*INDEX(Régions!$AQ$2:$AQ$6,MATCH($B10,Régions!$A$2:$A$6,0))</f>
        <v/>
      </c>
      <c r="BE10" s="97">
        <f>AZ10*INDEX(Régions!$AR$2:$AR$6,MATCH($B10,Régions!$A$2:$A$6,0))</f>
        <v/>
      </c>
      <c r="BF10" s="97">
        <f>BA10*INDEX(Régions!$AS$2:$AS$6,MATCH($B10,Régions!$A$2:$A$6,0))</f>
        <v/>
      </c>
      <c r="BG10" s="97">
        <f>BB10*INDEX(Régions!$AT$2:$AT$6,MATCH($B10,Régions!$A$2:$A$6,0))</f>
        <v/>
      </c>
      <c r="BH10" s="97">
        <f>U10</f>
        <v/>
      </c>
      <c r="BI10" s="97">
        <f>BC10*INDEX(Régions!$AU$2:$AU$6,MATCH($B10,Régions!$A$2:$A$6,0))</f>
        <v/>
      </c>
      <c r="BJ10" s="97">
        <f>INDEX({"CAQ","PLQ","QS","PQ","PCQ","Autre"},MATCH(MAX(BD10:BI10),BD10:BI10,0))</f>
        <v/>
      </c>
    </row>
    <row r="11" ht="15" customHeight="1" s="60">
      <c r="A11" s="94" t="inlineStr">
        <is>
          <t>Bellechasse</t>
        </is>
      </c>
      <c r="B11" s="94" t="inlineStr">
        <is>
          <t>Reste du Québec</t>
        </is>
      </c>
      <c r="C11" s="95" t="inlineStr">
        <is>
          <t>CAQ</t>
        </is>
      </c>
      <c r="D11" s="96" t="n">
        <v>15065</v>
      </c>
      <c r="E11" s="96" t="n">
        <v>1360</v>
      </c>
      <c r="F11" s="96" t="n">
        <v>1988</v>
      </c>
      <c r="G11" s="96" t="n">
        <v>2908</v>
      </c>
      <c r="H11" s="96" t="n">
        <v>11612</v>
      </c>
      <c r="I11" s="96" t="n">
        <v>0</v>
      </c>
      <c r="J11" s="97">
        <f>SUM(D11:I11)</f>
        <v/>
      </c>
      <c r="K11" s="98">
        <f>IFERROR(D11/J11,0)</f>
        <v/>
      </c>
      <c r="L11" s="98">
        <f>IFERROR(E11/J11,0)</f>
        <v/>
      </c>
      <c r="M11" s="98">
        <f>IFERROR(F11/J11,0)</f>
        <v/>
      </c>
      <c r="N11" s="98">
        <f>IFERROR(G11/J11,0)</f>
        <v/>
      </c>
      <c r="O11" s="98">
        <f>IFERROR(H11/J11,0)</f>
        <v/>
      </c>
      <c r="P11" s="98">
        <f>IFERROR(I11/J11,0)</f>
        <v/>
      </c>
      <c r="Q11" s="97">
        <f>D11*INDEX(Régions!$T$2:$T$6,MATCH($B11,Régions!$A$2:$A$6,0))</f>
        <v/>
      </c>
      <c r="R11" s="97">
        <f>E11*INDEX(Régions!$U$2:$U$6,MATCH($B11,Régions!$A$2:$A$6,0))</f>
        <v/>
      </c>
      <c r="S11" s="97">
        <f>F11*INDEX(Régions!$V$2:$V$6,MATCH($B11,Régions!$A$2:$A$6,0))</f>
        <v/>
      </c>
      <c r="T11" s="97">
        <f>G11*INDEX(Régions!$W$2:$W$6,MATCH($B11,Régions!$A$2:$A$6,0))</f>
        <v/>
      </c>
      <c r="U11" s="97">
        <f>H11*INDEX(Régions!$X$2:$X$6,MATCH($B11,Régions!$A$2:$A$6,0))</f>
        <v/>
      </c>
      <c r="V11" s="97">
        <f>I11*INDEX(Régions!$Y$2:$Y$6,MATCH($B11,Régions!$A$2:$A$6,0))</f>
        <v/>
      </c>
      <c r="W11" s="97">
        <f>Q11+(AU11/100)*J11*Régions!$O$2</f>
        <v/>
      </c>
      <c r="X11" s="97">
        <f>R11+(AV11/100)*J11*Régions!$O$2</f>
        <v/>
      </c>
      <c r="Y11" s="97">
        <f>S11+(AW11/100)*J11*Régions!$O$2</f>
        <v/>
      </c>
      <c r="Z11" s="97">
        <f>T11+(AX11/100)*J11*Régions!$O$2</f>
        <v/>
      </c>
      <c r="AA11" s="97">
        <f>U11</f>
        <v/>
      </c>
      <c r="AB11" s="97">
        <f>V11</f>
        <v/>
      </c>
      <c r="AC11" s="97">
        <f>D11*INDEX(Régions!$Z$2:$Z$6,MATCH($B11,Régions!$A$2:$A$6,0))</f>
        <v/>
      </c>
      <c r="AD11" s="97">
        <f>E11*INDEX(Régions!$AA$2:$AA$6,MATCH($B11,Régions!$A$2:$A$6,0))</f>
        <v/>
      </c>
      <c r="AE11" s="97">
        <f>F11*INDEX(Régions!$AB$2:$AB$6,MATCH($B11,Régions!$A$2:$A$6,0))</f>
        <v/>
      </c>
      <c r="AF11" s="97">
        <f>G11*INDEX(Régions!$AC$2:$AC$6,MATCH($B11,Régions!$A$2:$A$6,0))</f>
        <v/>
      </c>
      <c r="AG11" s="97">
        <f>H11*INDEX(Régions!$AD$2:$AD$6,MATCH($B11,Régions!$A$2:$A$6,0))</f>
        <v/>
      </c>
      <c r="AH11" s="97">
        <f>I11*INDEX(Régions!$AE$2:$AE$6,MATCH($B11,Régions!$A$2:$A$6,0))</f>
        <v/>
      </c>
      <c r="AI11" s="97">
        <f>D11*INDEX(Régions!$AF$2:$AF$6,MATCH($B11,Régions!$A$2:$A$6,0))</f>
        <v/>
      </c>
      <c r="AJ11" s="97">
        <f>E11*INDEX(Régions!$AG$2:$AG$6,MATCH($B11,Régions!$A$2:$A$6,0))</f>
        <v/>
      </c>
      <c r="AK11" s="97">
        <f>F11*INDEX(Régions!$AH$2:$AH$6,MATCH($B11,Régions!$A$2:$A$6,0))</f>
        <v/>
      </c>
      <c r="AL11" s="97">
        <f>G11*INDEX(Régions!$AI$2:$AI$6,MATCH($B11,Régions!$A$2:$A$6,0))</f>
        <v/>
      </c>
      <c r="AM11" s="97">
        <f>H11*INDEX(Régions!$AJ$2:$AJ$6,MATCH($B11,Régions!$A$2:$A$6,0))</f>
        <v/>
      </c>
      <c r="AN11" s="97">
        <f>I11*INDEX(Régions!$AK$2:$AK$6,MATCH($B11,Régions!$A$2:$A$6,0))</f>
        <v/>
      </c>
      <c r="AO11" s="99">
        <f>INDEX({"CAQ","PLQ","QS","PQ","PCQ","Autre"},MATCH(MAX(Q11:V11),Q11:V11,0))</f>
        <v/>
      </c>
      <c r="AP11" s="99">
        <f>INDEX({"CAQ","PLQ","QS","PQ","PCQ","Autre"},MATCH(MAX(W11:AB11),W11:AB11,0))</f>
        <v/>
      </c>
      <c r="AQ11" s="99">
        <f>INDEX({"CAQ","PLQ","QS","PQ","PCQ","Autre"},MATCH(MAX(AC11:AH11),AC11:AH11,0))</f>
        <v/>
      </c>
      <c r="AR11" s="99">
        <f>INDEX({"CAQ","PLQ","QS","PQ","PCQ","Autre"},MATCH(MAX(AI11:AN11),AI11:AN11,0))</f>
        <v/>
      </c>
      <c r="AS11" s="100">
        <f>(MAX(K11:P11)-LARGE(K11:P11,2))*100</f>
        <v/>
      </c>
      <c r="AT11" s="101">
        <f>IF(AS11&lt;5,"Oui","Non")</f>
        <v/>
      </c>
      <c r="AU11" s="102" t="n">
        <v>-14.054</v>
      </c>
      <c r="AV11" s="102" t="n">
        <v>-10.282</v>
      </c>
      <c r="AW11" s="102" t="n">
        <v>-0.481</v>
      </c>
      <c r="AX11" s="102" t="n">
        <v>5.554</v>
      </c>
      <c r="AY11" s="96" t="n">
        <v>16302</v>
      </c>
      <c r="AZ11" s="96" t="n">
        <v>8223</v>
      </c>
      <c r="BA11" s="96" t="n">
        <v>2272</v>
      </c>
      <c r="BB11" s="96" t="n">
        <v>2198</v>
      </c>
      <c r="BC11" s="96" t="n">
        <v>1279</v>
      </c>
      <c r="BD11" s="97">
        <f>AY11*INDEX(Régions!$AQ$2:$AQ$6,MATCH($B11,Régions!$A$2:$A$6,0))</f>
        <v/>
      </c>
      <c r="BE11" s="97">
        <f>AZ11*INDEX(Régions!$AR$2:$AR$6,MATCH($B11,Régions!$A$2:$A$6,0))</f>
        <v/>
      </c>
      <c r="BF11" s="97">
        <f>BA11*INDEX(Régions!$AS$2:$AS$6,MATCH($B11,Régions!$A$2:$A$6,0))</f>
        <v/>
      </c>
      <c r="BG11" s="97">
        <f>BB11*INDEX(Régions!$AT$2:$AT$6,MATCH($B11,Régions!$A$2:$A$6,0))</f>
        <v/>
      </c>
      <c r="BH11" s="97">
        <f>U11</f>
        <v/>
      </c>
      <c r="BI11" s="97">
        <f>BC11*INDEX(Régions!$AU$2:$AU$6,MATCH($B11,Régions!$A$2:$A$6,0))</f>
        <v/>
      </c>
      <c r="BJ11" s="97">
        <f>INDEX({"CAQ","PLQ","QS","PQ","PCQ","Autre"},MATCH(MAX(BD11:BI11),BD11:BI11,0))</f>
        <v/>
      </c>
    </row>
    <row r="12" ht="15" customHeight="1" s="60">
      <c r="A12" s="94" t="inlineStr">
        <is>
          <t>Bellefeuille</t>
        </is>
      </c>
      <c r="B12" s="94" t="inlineStr">
        <is>
          <t>Reste du Québec</t>
        </is>
      </c>
      <c r="C12" s="95" t="inlineStr">
        <is>
          <t>CAQ</t>
        </is>
      </c>
      <c r="D12" s="96" t="n">
        <v>13523</v>
      </c>
      <c r="E12" s="96" t="n">
        <v>1898</v>
      </c>
      <c r="F12" s="96" t="n">
        <v>3856</v>
      </c>
      <c r="G12" s="96" t="n">
        <v>4873</v>
      </c>
      <c r="H12" s="96" t="n">
        <v>3366</v>
      </c>
      <c r="I12" s="96" t="n">
        <v>330</v>
      </c>
      <c r="J12" s="97">
        <f>SUM(D12:I12)</f>
        <v/>
      </c>
      <c r="K12" s="98">
        <f>IFERROR(D12/J12,0)</f>
        <v/>
      </c>
      <c r="L12" s="98">
        <f>IFERROR(E12/J12,0)</f>
        <v/>
      </c>
      <c r="M12" s="98">
        <f>IFERROR(F12/J12,0)</f>
        <v/>
      </c>
      <c r="N12" s="98">
        <f>IFERROR(G12/J12,0)</f>
        <v/>
      </c>
      <c r="O12" s="98">
        <f>IFERROR(H12/J12,0)</f>
        <v/>
      </c>
      <c r="P12" s="98">
        <f>IFERROR(I12/J12,0)</f>
        <v/>
      </c>
      <c r="Q12" s="97">
        <f>D12*INDEX(Régions!$T$2:$T$6,MATCH($B12,Régions!$A$2:$A$6,0))</f>
        <v/>
      </c>
      <c r="R12" s="97">
        <f>E12*INDEX(Régions!$U$2:$U$6,MATCH($B12,Régions!$A$2:$A$6,0))</f>
        <v/>
      </c>
      <c r="S12" s="97">
        <f>F12*INDEX(Régions!$V$2:$V$6,MATCH($B12,Régions!$A$2:$A$6,0))</f>
        <v/>
      </c>
      <c r="T12" s="97">
        <f>G12*INDEX(Régions!$W$2:$W$6,MATCH($B12,Régions!$A$2:$A$6,0))</f>
        <v/>
      </c>
      <c r="U12" s="97">
        <f>H12*INDEX(Régions!$X$2:$X$6,MATCH($B12,Régions!$A$2:$A$6,0))</f>
        <v/>
      </c>
      <c r="V12" s="97">
        <f>I12*INDEX(Régions!$Y$2:$Y$6,MATCH($B12,Régions!$A$2:$A$6,0))</f>
        <v/>
      </c>
      <c r="W12" s="97">
        <f>Q12+(AU12/100)*J12*Régions!$O$2</f>
        <v/>
      </c>
      <c r="X12" s="97">
        <f>R12+(AV12/100)*J12*Régions!$O$2</f>
        <v/>
      </c>
      <c r="Y12" s="97">
        <f>S12+(AW12/100)*J12*Régions!$O$2</f>
        <v/>
      </c>
      <c r="Z12" s="97">
        <f>T12+(AX12/100)*J12*Régions!$O$2</f>
        <v/>
      </c>
      <c r="AA12" s="97">
        <f>U12</f>
        <v/>
      </c>
      <c r="AB12" s="97">
        <f>V12</f>
        <v/>
      </c>
      <c r="AC12" s="97">
        <f>D12*INDEX(Régions!$Z$2:$Z$6,MATCH($B12,Régions!$A$2:$A$6,0))</f>
        <v/>
      </c>
      <c r="AD12" s="97">
        <f>E12*INDEX(Régions!$AA$2:$AA$6,MATCH($B12,Régions!$A$2:$A$6,0))</f>
        <v/>
      </c>
      <c r="AE12" s="97">
        <f>F12*INDEX(Régions!$AB$2:$AB$6,MATCH($B12,Régions!$A$2:$A$6,0))</f>
        <v/>
      </c>
      <c r="AF12" s="97">
        <f>G12*INDEX(Régions!$AC$2:$AC$6,MATCH($B12,Régions!$A$2:$A$6,0))</f>
        <v/>
      </c>
      <c r="AG12" s="97">
        <f>H12*INDEX(Régions!$AD$2:$AD$6,MATCH($B12,Régions!$A$2:$A$6,0))</f>
        <v/>
      </c>
      <c r="AH12" s="97">
        <f>I12*INDEX(Régions!$AE$2:$AE$6,MATCH($B12,Régions!$A$2:$A$6,0))</f>
        <v/>
      </c>
      <c r="AI12" s="97">
        <f>D12*INDEX(Régions!$AF$2:$AF$6,MATCH($B12,Régions!$A$2:$A$6,0))</f>
        <v/>
      </c>
      <c r="AJ12" s="97">
        <f>E12*INDEX(Régions!$AG$2:$AG$6,MATCH($B12,Régions!$A$2:$A$6,0))</f>
        <v/>
      </c>
      <c r="AK12" s="97">
        <f>F12*INDEX(Régions!$AH$2:$AH$6,MATCH($B12,Régions!$A$2:$A$6,0))</f>
        <v/>
      </c>
      <c r="AL12" s="97">
        <f>G12*INDEX(Régions!$AI$2:$AI$6,MATCH($B12,Régions!$A$2:$A$6,0))</f>
        <v/>
      </c>
      <c r="AM12" s="97">
        <f>H12*INDEX(Régions!$AJ$2:$AJ$6,MATCH($B12,Régions!$A$2:$A$6,0))</f>
        <v/>
      </c>
      <c r="AN12" s="97">
        <f>I12*INDEX(Régions!$AK$2:$AK$6,MATCH($B12,Régions!$A$2:$A$6,0))</f>
        <v/>
      </c>
      <c r="AO12" s="99">
        <f>INDEX({"CAQ","PLQ","QS","PQ","PCQ","Autre"},MATCH(MAX(Q12:V12),Q12:V12,0))</f>
        <v/>
      </c>
      <c r="AP12" s="99">
        <f>INDEX({"CAQ","PLQ","QS","PQ","PCQ","Autre"},MATCH(MAX(W12:AB12),W12:AB12,0))</f>
        <v/>
      </c>
      <c r="AQ12" s="99">
        <f>INDEX({"CAQ","PLQ","QS","PQ","PCQ","Autre"},MATCH(MAX(AC12:AH12),AC12:AH12,0))</f>
        <v/>
      </c>
      <c r="AR12" s="99">
        <f>INDEX({"CAQ","PLQ","QS","PQ","PCQ","Autre"},MATCH(MAX(AI12:AN12),AI12:AN12,0))</f>
        <v/>
      </c>
      <c r="AS12" s="100">
        <f>(MAX(K12:P12)-LARGE(K12:P12,2))*100</f>
        <v/>
      </c>
      <c r="AT12" s="101">
        <f>IF(AS12&lt;5,"Oui","Non")</f>
        <v/>
      </c>
      <c r="AU12" s="102" t="n">
        <v>-2.474</v>
      </c>
      <c r="AV12" s="102" t="n">
        <v>8.09</v>
      </c>
      <c r="AW12" s="102" t="n">
        <v>0.311</v>
      </c>
      <c r="AX12" s="102" t="n">
        <v>-1.669</v>
      </c>
      <c r="AY12" s="96" t="n">
        <v>11805</v>
      </c>
      <c r="AZ12" s="96" t="n">
        <v>3005</v>
      </c>
      <c r="BA12" s="96" t="n">
        <v>3803</v>
      </c>
      <c r="BB12" s="96" t="n">
        <v>6061</v>
      </c>
      <c r="BC12" s="96" t="n">
        <v>1507</v>
      </c>
      <c r="BD12" s="97">
        <f>AY12*INDEX(Régions!$AQ$2:$AQ$6,MATCH($B12,Régions!$A$2:$A$6,0))</f>
        <v/>
      </c>
      <c r="BE12" s="97">
        <f>AZ12*INDEX(Régions!$AR$2:$AR$6,MATCH($B12,Régions!$A$2:$A$6,0))</f>
        <v/>
      </c>
      <c r="BF12" s="97">
        <f>BA12*INDEX(Régions!$AS$2:$AS$6,MATCH($B12,Régions!$A$2:$A$6,0))</f>
        <v/>
      </c>
      <c r="BG12" s="97">
        <f>BB12*INDEX(Régions!$AT$2:$AT$6,MATCH($B12,Régions!$A$2:$A$6,0))</f>
        <v/>
      </c>
      <c r="BH12" s="97">
        <f>U12</f>
        <v/>
      </c>
      <c r="BI12" s="97">
        <f>BC12*INDEX(Régions!$AU$2:$AU$6,MATCH($B12,Régions!$A$2:$A$6,0))</f>
        <v/>
      </c>
      <c r="BJ12" s="97">
        <f>INDEX({"CAQ","PLQ","QS","PQ","PCQ","Autre"},MATCH(MAX(BD12:BI12),BD12:BI12,0))</f>
        <v/>
      </c>
    </row>
    <row r="13" ht="15" customHeight="1" s="60">
      <c r="A13" s="94" t="inlineStr">
        <is>
          <t>Berthier</t>
        </is>
      </c>
      <c r="B13" s="94" t="inlineStr">
        <is>
          <t>Reste du Québec</t>
        </is>
      </c>
      <c r="C13" s="95" t="inlineStr">
        <is>
          <t>CAQ</t>
        </is>
      </c>
      <c r="D13" s="96" t="n">
        <v>17317</v>
      </c>
      <c r="E13" s="96" t="n">
        <v>867</v>
      </c>
      <c r="F13" s="96" t="n">
        <v>4788</v>
      </c>
      <c r="G13" s="96" t="n">
        <v>7073</v>
      </c>
      <c r="H13" s="96" t="n">
        <v>3735</v>
      </c>
      <c r="I13" s="96" t="n">
        <v>197</v>
      </c>
      <c r="J13" s="97">
        <f>SUM(D13:I13)</f>
        <v/>
      </c>
      <c r="K13" s="98">
        <f>IFERROR(D13/J13,0)</f>
        <v/>
      </c>
      <c r="L13" s="98">
        <f>IFERROR(E13/J13,0)</f>
        <v/>
      </c>
      <c r="M13" s="98">
        <f>IFERROR(F13/J13,0)</f>
        <v/>
      </c>
      <c r="N13" s="98">
        <f>IFERROR(G13/J13,0)</f>
        <v/>
      </c>
      <c r="O13" s="98">
        <f>IFERROR(H13/J13,0)</f>
        <v/>
      </c>
      <c r="P13" s="98">
        <f>IFERROR(I13/J13,0)</f>
        <v/>
      </c>
      <c r="Q13" s="97">
        <f>D13*INDEX(Régions!$T$2:$T$6,MATCH($B13,Régions!$A$2:$A$6,0))</f>
        <v/>
      </c>
      <c r="R13" s="97">
        <f>E13*INDEX(Régions!$U$2:$U$6,MATCH($B13,Régions!$A$2:$A$6,0))</f>
        <v/>
      </c>
      <c r="S13" s="97">
        <f>F13*INDEX(Régions!$V$2:$V$6,MATCH($B13,Régions!$A$2:$A$6,0))</f>
        <v/>
      </c>
      <c r="T13" s="97">
        <f>G13*INDEX(Régions!$W$2:$W$6,MATCH($B13,Régions!$A$2:$A$6,0))</f>
        <v/>
      </c>
      <c r="U13" s="97">
        <f>H13*INDEX(Régions!$X$2:$X$6,MATCH($B13,Régions!$A$2:$A$6,0))</f>
        <v/>
      </c>
      <c r="V13" s="97">
        <f>I13*INDEX(Régions!$Y$2:$Y$6,MATCH($B13,Régions!$A$2:$A$6,0))</f>
        <v/>
      </c>
      <c r="W13" s="97">
        <f>Q13+(AU13/100)*J13*Régions!$O$2</f>
        <v/>
      </c>
      <c r="X13" s="97">
        <f>R13+(AV13/100)*J13*Régions!$O$2</f>
        <v/>
      </c>
      <c r="Y13" s="97">
        <f>S13+(AW13/100)*J13*Régions!$O$2</f>
        <v/>
      </c>
      <c r="Z13" s="97">
        <f>T13+(AX13/100)*J13*Régions!$O$2</f>
        <v/>
      </c>
      <c r="AA13" s="97">
        <f>U13</f>
        <v/>
      </c>
      <c r="AB13" s="97">
        <f>V13</f>
        <v/>
      </c>
      <c r="AC13" s="97">
        <f>D13*INDEX(Régions!$Z$2:$Z$6,MATCH($B13,Régions!$A$2:$A$6,0))</f>
        <v/>
      </c>
      <c r="AD13" s="97">
        <f>E13*INDEX(Régions!$AA$2:$AA$6,MATCH($B13,Régions!$A$2:$A$6,0))</f>
        <v/>
      </c>
      <c r="AE13" s="97">
        <f>F13*INDEX(Régions!$AB$2:$AB$6,MATCH($B13,Régions!$A$2:$A$6,0))</f>
        <v/>
      </c>
      <c r="AF13" s="97">
        <f>G13*INDEX(Régions!$AC$2:$AC$6,MATCH($B13,Régions!$A$2:$A$6,0))</f>
        <v/>
      </c>
      <c r="AG13" s="97">
        <f>H13*INDEX(Régions!$AD$2:$AD$6,MATCH($B13,Régions!$A$2:$A$6,0))</f>
        <v/>
      </c>
      <c r="AH13" s="97">
        <f>I13*INDEX(Régions!$AE$2:$AE$6,MATCH($B13,Régions!$A$2:$A$6,0))</f>
        <v/>
      </c>
      <c r="AI13" s="97">
        <f>D13*INDEX(Régions!$AF$2:$AF$6,MATCH($B13,Régions!$A$2:$A$6,0))</f>
        <v/>
      </c>
      <c r="AJ13" s="97">
        <f>E13*INDEX(Régions!$AG$2:$AG$6,MATCH($B13,Régions!$A$2:$A$6,0))</f>
        <v/>
      </c>
      <c r="AK13" s="97">
        <f>F13*INDEX(Régions!$AH$2:$AH$6,MATCH($B13,Régions!$A$2:$A$6,0))</f>
        <v/>
      </c>
      <c r="AL13" s="97">
        <f>G13*INDEX(Régions!$AI$2:$AI$6,MATCH($B13,Régions!$A$2:$A$6,0))</f>
        <v/>
      </c>
      <c r="AM13" s="97">
        <f>H13*INDEX(Régions!$AJ$2:$AJ$6,MATCH($B13,Régions!$A$2:$A$6,0))</f>
        <v/>
      </c>
      <c r="AN13" s="97">
        <f>I13*INDEX(Régions!$AK$2:$AK$6,MATCH($B13,Régions!$A$2:$A$6,0))</f>
        <v/>
      </c>
      <c r="AO13" s="99">
        <f>INDEX({"CAQ","PLQ","QS","PQ","PCQ","Autre"},MATCH(MAX(Q13:V13),Q13:V13,0))</f>
        <v/>
      </c>
      <c r="AP13" s="99">
        <f>INDEX({"CAQ","PLQ","QS","PQ","PCQ","Autre"},MATCH(MAX(W13:AB13),W13:AB13,0))</f>
        <v/>
      </c>
      <c r="AQ13" s="99">
        <f>INDEX({"CAQ","PLQ","QS","PQ","PCQ","Autre"},MATCH(MAX(AC13:AH13),AC13:AH13,0))</f>
        <v/>
      </c>
      <c r="AR13" s="99">
        <f>INDEX({"CAQ","PLQ","QS","PQ","PCQ","Autre"},MATCH(MAX(AI13:AN13),AI13:AN13,0))</f>
        <v/>
      </c>
      <c r="AS13" s="100">
        <f>(MAX(K13:P13)-LARGE(K13:P13,2))*100</f>
        <v/>
      </c>
      <c r="AT13" s="101">
        <f>IF(AS13&lt;5,"Oui","Non")</f>
        <v/>
      </c>
      <c r="AU13" s="102" t="n">
        <v>-0.114</v>
      </c>
      <c r="AV13" s="102" t="n">
        <v>7.668</v>
      </c>
      <c r="AW13" s="102" t="n">
        <v>-0.347</v>
      </c>
      <c r="AX13" s="102" t="n">
        <v>-4.123</v>
      </c>
      <c r="AY13" s="96" t="n">
        <v>14703</v>
      </c>
      <c r="AZ13" s="96" t="n">
        <v>2487</v>
      </c>
      <c r="BA13" s="96" t="n">
        <v>5026</v>
      </c>
      <c r="BB13" s="96" t="n">
        <v>9423</v>
      </c>
      <c r="BC13" s="96" t="n">
        <v>940</v>
      </c>
      <c r="BD13" s="97">
        <f>AY13*INDEX(Régions!$AQ$2:$AQ$6,MATCH($B13,Régions!$A$2:$A$6,0))</f>
        <v/>
      </c>
      <c r="BE13" s="97">
        <f>AZ13*INDEX(Régions!$AR$2:$AR$6,MATCH($B13,Régions!$A$2:$A$6,0))</f>
        <v/>
      </c>
      <c r="BF13" s="97">
        <f>BA13*INDEX(Régions!$AS$2:$AS$6,MATCH($B13,Régions!$A$2:$A$6,0))</f>
        <v/>
      </c>
      <c r="BG13" s="97">
        <f>BB13*INDEX(Régions!$AT$2:$AT$6,MATCH($B13,Régions!$A$2:$A$6,0))</f>
        <v/>
      </c>
      <c r="BH13" s="97">
        <f>U13</f>
        <v/>
      </c>
      <c r="BI13" s="97">
        <f>BC13*INDEX(Régions!$AU$2:$AU$6,MATCH($B13,Régions!$A$2:$A$6,0))</f>
        <v/>
      </c>
      <c r="BJ13" s="97">
        <f>INDEX({"CAQ","PLQ","QS","PQ","PCQ","Autre"},MATCH(MAX(BD13:BI13),BD13:BI13,0))</f>
        <v/>
      </c>
    </row>
    <row r="14" ht="15" customHeight="1" s="60">
      <c r="A14" s="94" t="inlineStr">
        <is>
          <t>Bertrand</t>
        </is>
      </c>
      <c r="B14" s="94" t="inlineStr">
        <is>
          <t>Banlieue de Montréal</t>
        </is>
      </c>
      <c r="C14" s="95" t="inlineStr">
        <is>
          <t>CAQ</t>
        </is>
      </c>
      <c r="D14" s="96" t="n">
        <v>15922</v>
      </c>
      <c r="E14" s="96" t="n">
        <v>2114</v>
      </c>
      <c r="F14" s="96" t="n">
        <v>5680</v>
      </c>
      <c r="G14" s="96" t="n">
        <v>7257</v>
      </c>
      <c r="H14" s="96" t="n">
        <v>3443</v>
      </c>
      <c r="I14" s="96" t="n">
        <v>761</v>
      </c>
      <c r="J14" s="97">
        <f>SUM(D14:I14)</f>
        <v/>
      </c>
      <c r="K14" s="98">
        <f>IFERROR(D14/J14,0)</f>
        <v/>
      </c>
      <c r="L14" s="98">
        <f>IFERROR(E14/J14,0)</f>
        <v/>
      </c>
      <c r="M14" s="98">
        <f>IFERROR(F14/J14,0)</f>
        <v/>
      </c>
      <c r="N14" s="98">
        <f>IFERROR(G14/J14,0)</f>
        <v/>
      </c>
      <c r="O14" s="98">
        <f>IFERROR(H14/J14,0)</f>
        <v/>
      </c>
      <c r="P14" s="98">
        <f>IFERROR(I14/J14,0)</f>
        <v/>
      </c>
      <c r="Q14" s="97">
        <f>D14*INDEX(Régions!$T$2:$T$6,MATCH($B14,Régions!$A$2:$A$6,0))</f>
        <v/>
      </c>
      <c r="R14" s="97">
        <f>E14*INDEX(Régions!$U$2:$U$6,MATCH($B14,Régions!$A$2:$A$6,0))</f>
        <v/>
      </c>
      <c r="S14" s="97">
        <f>F14*INDEX(Régions!$V$2:$V$6,MATCH($B14,Régions!$A$2:$A$6,0))</f>
        <v/>
      </c>
      <c r="T14" s="97">
        <f>G14*INDEX(Régions!$W$2:$W$6,MATCH($B14,Régions!$A$2:$A$6,0))</f>
        <v/>
      </c>
      <c r="U14" s="97">
        <f>H14*INDEX(Régions!$X$2:$X$6,MATCH($B14,Régions!$A$2:$A$6,0))</f>
        <v/>
      </c>
      <c r="V14" s="97">
        <f>I14*INDEX(Régions!$Y$2:$Y$6,MATCH($B14,Régions!$A$2:$A$6,0))</f>
        <v/>
      </c>
      <c r="W14" s="97">
        <f>Q14+(AU14/100)*J14*Régions!$O$2</f>
        <v/>
      </c>
      <c r="X14" s="97">
        <f>R14+(AV14/100)*J14*Régions!$O$2</f>
        <v/>
      </c>
      <c r="Y14" s="97">
        <f>S14+(AW14/100)*J14*Régions!$O$2</f>
        <v/>
      </c>
      <c r="Z14" s="97">
        <f>T14+(AX14/100)*J14*Régions!$O$2</f>
        <v/>
      </c>
      <c r="AA14" s="97">
        <f>U14</f>
        <v/>
      </c>
      <c r="AB14" s="97">
        <f>V14</f>
        <v/>
      </c>
      <c r="AC14" s="97">
        <f>D14*INDEX(Régions!$Z$2:$Z$6,MATCH($B14,Régions!$A$2:$A$6,0))</f>
        <v/>
      </c>
      <c r="AD14" s="97">
        <f>E14*INDEX(Régions!$AA$2:$AA$6,MATCH($B14,Régions!$A$2:$A$6,0))</f>
        <v/>
      </c>
      <c r="AE14" s="97">
        <f>F14*INDEX(Régions!$AB$2:$AB$6,MATCH($B14,Régions!$A$2:$A$6,0))</f>
        <v/>
      </c>
      <c r="AF14" s="97">
        <f>G14*INDEX(Régions!$AC$2:$AC$6,MATCH($B14,Régions!$A$2:$A$6,0))</f>
        <v/>
      </c>
      <c r="AG14" s="97">
        <f>H14*INDEX(Régions!$AD$2:$AD$6,MATCH($B14,Régions!$A$2:$A$6,0))</f>
        <v/>
      </c>
      <c r="AH14" s="97">
        <f>I14*INDEX(Régions!$AE$2:$AE$6,MATCH($B14,Régions!$A$2:$A$6,0))</f>
        <v/>
      </c>
      <c r="AI14" s="97">
        <f>D14*INDEX(Régions!$AF$2:$AF$6,MATCH($B14,Régions!$A$2:$A$6,0))</f>
        <v/>
      </c>
      <c r="AJ14" s="97">
        <f>E14*INDEX(Régions!$AG$2:$AG$6,MATCH($B14,Régions!$A$2:$A$6,0))</f>
        <v/>
      </c>
      <c r="AK14" s="97">
        <f>F14*INDEX(Régions!$AH$2:$AH$6,MATCH($B14,Régions!$A$2:$A$6,0))</f>
        <v/>
      </c>
      <c r="AL14" s="97">
        <f>G14*INDEX(Régions!$AI$2:$AI$6,MATCH($B14,Régions!$A$2:$A$6,0))</f>
        <v/>
      </c>
      <c r="AM14" s="97">
        <f>H14*INDEX(Régions!$AJ$2:$AJ$6,MATCH($B14,Régions!$A$2:$A$6,0))</f>
        <v/>
      </c>
      <c r="AN14" s="97">
        <f>I14*INDEX(Régions!$AK$2:$AK$6,MATCH($B14,Régions!$A$2:$A$6,0))</f>
        <v/>
      </c>
      <c r="AO14" s="99">
        <f>INDEX({"CAQ","PLQ","QS","PQ","PCQ","Autre"},MATCH(MAX(Q14:V14),Q14:V14,0))</f>
        <v/>
      </c>
      <c r="AP14" s="99">
        <f>INDEX({"CAQ","PLQ","QS","PQ","PCQ","Autre"},MATCH(MAX(W14:AB14),W14:AB14,0))</f>
        <v/>
      </c>
      <c r="AQ14" s="99">
        <f>INDEX({"CAQ","PLQ","QS","PQ","PCQ","Autre"},MATCH(MAX(AC14:AH14),AC14:AH14,0))</f>
        <v/>
      </c>
      <c r="AR14" s="99">
        <f>INDEX({"CAQ","PLQ","QS","PQ","PCQ","Autre"},MATCH(MAX(AI14:AN14),AI14:AN14,0))</f>
        <v/>
      </c>
      <c r="AS14" s="100">
        <f>(MAX(K14:P14)-LARGE(K14:P14,2))*100</f>
        <v/>
      </c>
      <c r="AT14" s="101">
        <f>IF(AS14&lt;5,"Oui","Non")</f>
        <v/>
      </c>
      <c r="AU14" s="102" t="n">
        <v>0.589</v>
      </c>
      <c r="AV14" s="102" t="n">
        <v>-0.48</v>
      </c>
      <c r="AW14" s="102" t="n">
        <v>-1.274</v>
      </c>
      <c r="AX14" s="102" t="n">
        <v>0.216</v>
      </c>
      <c r="AY14" s="96" t="n">
        <v>13864</v>
      </c>
      <c r="AZ14" s="96" t="n">
        <v>4469</v>
      </c>
      <c r="BA14" s="96" t="n">
        <v>6045</v>
      </c>
      <c r="BB14" s="96" t="n">
        <v>7813</v>
      </c>
      <c r="BC14" s="96" t="n">
        <v>1178</v>
      </c>
      <c r="BD14" s="97">
        <f>AY14*INDEX(Régions!$AQ$2:$AQ$6,MATCH($B14,Régions!$A$2:$A$6,0))</f>
        <v/>
      </c>
      <c r="BE14" s="97">
        <f>AZ14*INDEX(Régions!$AR$2:$AR$6,MATCH($B14,Régions!$A$2:$A$6,0))</f>
        <v/>
      </c>
      <c r="BF14" s="97">
        <f>BA14*INDEX(Régions!$AS$2:$AS$6,MATCH($B14,Régions!$A$2:$A$6,0))</f>
        <v/>
      </c>
      <c r="BG14" s="97">
        <f>BB14*INDEX(Régions!$AT$2:$AT$6,MATCH($B14,Régions!$A$2:$A$6,0))</f>
        <v/>
      </c>
      <c r="BH14" s="97">
        <f>U14</f>
        <v/>
      </c>
      <c r="BI14" s="97">
        <f>BC14*INDEX(Régions!$AU$2:$AU$6,MATCH($B14,Régions!$A$2:$A$6,0))</f>
        <v/>
      </c>
      <c r="BJ14" s="97">
        <f>INDEX({"CAQ","PLQ","QS","PQ","PCQ","Autre"},MATCH(MAX(BD14:BI14),BD14:BI14,0))</f>
        <v/>
      </c>
    </row>
    <row r="15" ht="15" customHeight="1" s="60">
      <c r="A15" s="94" t="inlineStr">
        <is>
          <t>Blainville</t>
        </is>
      </c>
      <c r="B15" s="94" t="inlineStr">
        <is>
          <t>Banlieue de Montréal</t>
        </is>
      </c>
      <c r="C15" s="95" t="inlineStr">
        <is>
          <t>CAQ</t>
        </is>
      </c>
      <c r="D15" s="96" t="n">
        <v>21151</v>
      </c>
      <c r="E15" s="96" t="n">
        <v>4719</v>
      </c>
      <c r="F15" s="96" t="n">
        <v>5988</v>
      </c>
      <c r="G15" s="96" t="n">
        <v>6601</v>
      </c>
      <c r="H15" s="96" t="n">
        <v>4175</v>
      </c>
      <c r="I15" s="96" t="n">
        <v>140</v>
      </c>
      <c r="J15" s="97">
        <f>SUM(D15:I15)</f>
        <v/>
      </c>
      <c r="K15" s="98">
        <f>IFERROR(D15/J15,0)</f>
        <v/>
      </c>
      <c r="L15" s="98">
        <f>IFERROR(E15/J15,0)</f>
        <v/>
      </c>
      <c r="M15" s="98">
        <f>IFERROR(F15/J15,0)</f>
        <v/>
      </c>
      <c r="N15" s="98">
        <f>IFERROR(G15/J15,0)</f>
        <v/>
      </c>
      <c r="O15" s="98">
        <f>IFERROR(H15/J15,0)</f>
        <v/>
      </c>
      <c r="P15" s="98">
        <f>IFERROR(I15/J15,0)</f>
        <v/>
      </c>
      <c r="Q15" s="97">
        <f>D15*INDEX(Régions!$T$2:$T$6,MATCH($B15,Régions!$A$2:$A$6,0))</f>
        <v/>
      </c>
      <c r="R15" s="97">
        <f>E15*INDEX(Régions!$U$2:$U$6,MATCH($B15,Régions!$A$2:$A$6,0))</f>
        <v/>
      </c>
      <c r="S15" s="97">
        <f>F15*INDEX(Régions!$V$2:$V$6,MATCH($B15,Régions!$A$2:$A$6,0))</f>
        <v/>
      </c>
      <c r="T15" s="97">
        <f>G15*INDEX(Régions!$W$2:$W$6,MATCH($B15,Régions!$A$2:$A$6,0))</f>
        <v/>
      </c>
      <c r="U15" s="97">
        <f>H15*INDEX(Régions!$X$2:$X$6,MATCH($B15,Régions!$A$2:$A$6,0))</f>
        <v/>
      </c>
      <c r="V15" s="97">
        <f>I15*INDEX(Régions!$Y$2:$Y$6,MATCH($B15,Régions!$A$2:$A$6,0))</f>
        <v/>
      </c>
      <c r="W15" s="97">
        <f>Q15+(AU15/100)*J15*Régions!$O$2</f>
        <v/>
      </c>
      <c r="X15" s="97">
        <f>R15+(AV15/100)*J15*Régions!$O$2</f>
        <v/>
      </c>
      <c r="Y15" s="97">
        <f>S15+(AW15/100)*J15*Régions!$O$2</f>
        <v/>
      </c>
      <c r="Z15" s="97">
        <f>T15+(AX15/100)*J15*Régions!$O$2</f>
        <v/>
      </c>
      <c r="AA15" s="97">
        <f>U15</f>
        <v/>
      </c>
      <c r="AB15" s="97">
        <f>V15</f>
        <v/>
      </c>
      <c r="AC15" s="97">
        <f>D15*INDEX(Régions!$Z$2:$Z$6,MATCH($B15,Régions!$A$2:$A$6,0))</f>
        <v/>
      </c>
      <c r="AD15" s="97">
        <f>E15*INDEX(Régions!$AA$2:$AA$6,MATCH($B15,Régions!$A$2:$A$6,0))</f>
        <v/>
      </c>
      <c r="AE15" s="97">
        <f>F15*INDEX(Régions!$AB$2:$AB$6,MATCH($B15,Régions!$A$2:$A$6,0))</f>
        <v/>
      </c>
      <c r="AF15" s="97">
        <f>G15*INDEX(Régions!$AC$2:$AC$6,MATCH($B15,Régions!$A$2:$A$6,0))</f>
        <v/>
      </c>
      <c r="AG15" s="97">
        <f>H15*INDEX(Régions!$AD$2:$AD$6,MATCH($B15,Régions!$A$2:$A$6,0))</f>
        <v/>
      </c>
      <c r="AH15" s="97">
        <f>I15*INDEX(Régions!$AE$2:$AE$6,MATCH($B15,Régions!$A$2:$A$6,0))</f>
        <v/>
      </c>
      <c r="AI15" s="97">
        <f>D15*INDEX(Régions!$AF$2:$AF$6,MATCH($B15,Régions!$A$2:$A$6,0))</f>
        <v/>
      </c>
      <c r="AJ15" s="97">
        <f>E15*INDEX(Régions!$AG$2:$AG$6,MATCH($B15,Régions!$A$2:$A$6,0))</f>
        <v/>
      </c>
      <c r="AK15" s="97">
        <f>F15*INDEX(Régions!$AH$2:$AH$6,MATCH($B15,Régions!$A$2:$A$6,0))</f>
        <v/>
      </c>
      <c r="AL15" s="97">
        <f>G15*INDEX(Régions!$AI$2:$AI$6,MATCH($B15,Régions!$A$2:$A$6,0))</f>
        <v/>
      </c>
      <c r="AM15" s="97">
        <f>H15*INDEX(Régions!$AJ$2:$AJ$6,MATCH($B15,Régions!$A$2:$A$6,0))</f>
        <v/>
      </c>
      <c r="AN15" s="97">
        <f>I15*INDEX(Régions!$AK$2:$AK$6,MATCH($B15,Régions!$A$2:$A$6,0))</f>
        <v/>
      </c>
      <c r="AO15" s="99">
        <f>INDEX({"CAQ","PLQ","QS","PQ","PCQ","Autre"},MATCH(MAX(Q15:V15),Q15:V15,0))</f>
        <v/>
      </c>
      <c r="AP15" s="99">
        <f>INDEX({"CAQ","PLQ","QS","PQ","PCQ","Autre"},MATCH(MAX(W15:AB15),W15:AB15,0))</f>
        <v/>
      </c>
      <c r="AQ15" s="99">
        <f>INDEX({"CAQ","PLQ","QS","PQ","PCQ","Autre"},MATCH(MAX(AC15:AH15),AC15:AH15,0))</f>
        <v/>
      </c>
      <c r="AR15" s="99">
        <f>INDEX({"CAQ","PLQ","QS","PQ","PCQ","Autre"},MATCH(MAX(AI15:AN15),AI15:AN15,0))</f>
        <v/>
      </c>
      <c r="AS15" s="100">
        <f>(MAX(K15:P15)-LARGE(K15:P15,2))*100</f>
        <v/>
      </c>
      <c r="AT15" s="101">
        <f>IF(AS15&lt;5,"Oui","Non")</f>
        <v/>
      </c>
      <c r="AU15" s="102" t="n">
        <v>-1.951</v>
      </c>
      <c r="AV15" s="102" t="n">
        <v>-1.137</v>
      </c>
      <c r="AW15" s="102" t="n">
        <v>-0.428</v>
      </c>
      <c r="AX15" s="102" t="n">
        <v>4.877</v>
      </c>
      <c r="AY15" s="96" t="n">
        <v>20459</v>
      </c>
      <c r="AZ15" s="96" t="n">
        <v>8083</v>
      </c>
      <c r="BA15" s="96" t="n">
        <v>6409</v>
      </c>
      <c r="BB15" s="96" t="n">
        <v>5745</v>
      </c>
      <c r="BC15" s="96" t="n">
        <v>1686</v>
      </c>
      <c r="BD15" s="97">
        <f>AY15*INDEX(Régions!$AQ$2:$AQ$6,MATCH($B15,Régions!$A$2:$A$6,0))</f>
        <v/>
      </c>
      <c r="BE15" s="97">
        <f>AZ15*INDEX(Régions!$AR$2:$AR$6,MATCH($B15,Régions!$A$2:$A$6,0))</f>
        <v/>
      </c>
      <c r="BF15" s="97">
        <f>BA15*INDEX(Régions!$AS$2:$AS$6,MATCH($B15,Régions!$A$2:$A$6,0))</f>
        <v/>
      </c>
      <c r="BG15" s="97">
        <f>BB15*INDEX(Régions!$AT$2:$AT$6,MATCH($B15,Régions!$A$2:$A$6,0))</f>
        <v/>
      </c>
      <c r="BH15" s="97">
        <f>U15</f>
        <v/>
      </c>
      <c r="BI15" s="97">
        <f>BC15*INDEX(Régions!$AU$2:$AU$6,MATCH($B15,Régions!$A$2:$A$6,0))</f>
        <v/>
      </c>
      <c r="BJ15" s="97">
        <f>INDEX({"CAQ","PLQ","QS","PQ","PCQ","Autre"},MATCH(MAX(BD15:BI15),BD15:BI15,0))</f>
        <v/>
      </c>
    </row>
    <row r="16" ht="15" customHeight="1" s="60">
      <c r="A16" s="94" t="inlineStr">
        <is>
          <t>Bonaventure</t>
        </is>
      </c>
      <c r="B16" s="94" t="inlineStr">
        <is>
          <t>Reste du Québec</t>
        </is>
      </c>
      <c r="C16" s="95" t="inlineStr">
        <is>
          <t>CAQ</t>
        </is>
      </c>
      <c r="D16" s="96" t="n">
        <v>9919</v>
      </c>
      <c r="E16" s="96" t="n">
        <v>1911</v>
      </c>
      <c r="F16" s="96" t="n">
        <v>2417</v>
      </c>
      <c r="G16" s="96" t="n">
        <v>6708</v>
      </c>
      <c r="H16" s="96" t="n">
        <v>1219</v>
      </c>
      <c r="I16" s="96" t="n">
        <v>139</v>
      </c>
      <c r="J16" s="97">
        <f>SUM(D16:I16)</f>
        <v/>
      </c>
      <c r="K16" s="98">
        <f>IFERROR(D16/J16,0)</f>
        <v/>
      </c>
      <c r="L16" s="98">
        <f>IFERROR(E16/J16,0)</f>
        <v/>
      </c>
      <c r="M16" s="98">
        <f>IFERROR(F16/J16,0)</f>
        <v/>
      </c>
      <c r="N16" s="98">
        <f>IFERROR(G16/J16,0)</f>
        <v/>
      </c>
      <c r="O16" s="98">
        <f>IFERROR(H16/J16,0)</f>
        <v/>
      </c>
      <c r="P16" s="98">
        <f>IFERROR(I16/J16,0)</f>
        <v/>
      </c>
      <c r="Q16" s="97">
        <f>D16*INDEX(Régions!$T$2:$T$6,MATCH($B16,Régions!$A$2:$A$6,0))</f>
        <v/>
      </c>
      <c r="R16" s="97">
        <f>E16*INDEX(Régions!$U$2:$U$6,MATCH($B16,Régions!$A$2:$A$6,0))</f>
        <v/>
      </c>
      <c r="S16" s="97">
        <f>F16*INDEX(Régions!$V$2:$V$6,MATCH($B16,Régions!$A$2:$A$6,0))</f>
        <v/>
      </c>
      <c r="T16" s="97">
        <f>G16*INDEX(Régions!$W$2:$W$6,MATCH($B16,Régions!$A$2:$A$6,0))</f>
        <v/>
      </c>
      <c r="U16" s="97">
        <f>H16*INDEX(Régions!$X$2:$X$6,MATCH($B16,Régions!$A$2:$A$6,0))</f>
        <v/>
      </c>
      <c r="V16" s="97">
        <f>I16*INDEX(Régions!$Y$2:$Y$6,MATCH($B16,Régions!$A$2:$A$6,0))</f>
        <v/>
      </c>
      <c r="W16" s="97">
        <f>Q16+(AU16/100)*J16*Régions!$O$2</f>
        <v/>
      </c>
      <c r="X16" s="97">
        <f>R16+(AV16/100)*J16*Régions!$O$2</f>
        <v/>
      </c>
      <c r="Y16" s="97">
        <f>S16+(AW16/100)*J16*Régions!$O$2</f>
        <v/>
      </c>
      <c r="Z16" s="97">
        <f>T16+(AX16/100)*J16*Régions!$O$2</f>
        <v/>
      </c>
      <c r="AA16" s="97">
        <f>U16</f>
        <v/>
      </c>
      <c r="AB16" s="97">
        <f>V16</f>
        <v/>
      </c>
      <c r="AC16" s="97">
        <f>D16*INDEX(Régions!$Z$2:$Z$6,MATCH($B16,Régions!$A$2:$A$6,0))</f>
        <v/>
      </c>
      <c r="AD16" s="97">
        <f>E16*INDEX(Régions!$AA$2:$AA$6,MATCH($B16,Régions!$A$2:$A$6,0))</f>
        <v/>
      </c>
      <c r="AE16" s="97">
        <f>F16*INDEX(Régions!$AB$2:$AB$6,MATCH($B16,Régions!$A$2:$A$6,0))</f>
        <v/>
      </c>
      <c r="AF16" s="97">
        <f>G16*INDEX(Régions!$AC$2:$AC$6,MATCH($B16,Régions!$A$2:$A$6,0))</f>
        <v/>
      </c>
      <c r="AG16" s="97">
        <f>H16*INDEX(Régions!$AD$2:$AD$6,MATCH($B16,Régions!$A$2:$A$6,0))</f>
        <v/>
      </c>
      <c r="AH16" s="97">
        <f>I16*INDEX(Régions!$AE$2:$AE$6,MATCH($B16,Régions!$A$2:$A$6,0))</f>
        <v/>
      </c>
      <c r="AI16" s="97">
        <f>D16*INDEX(Régions!$AF$2:$AF$6,MATCH($B16,Régions!$A$2:$A$6,0))</f>
        <v/>
      </c>
      <c r="AJ16" s="97">
        <f>E16*INDEX(Régions!$AG$2:$AG$6,MATCH($B16,Régions!$A$2:$A$6,0))</f>
        <v/>
      </c>
      <c r="AK16" s="97">
        <f>F16*INDEX(Régions!$AH$2:$AH$6,MATCH($B16,Régions!$A$2:$A$6,0))</f>
        <v/>
      </c>
      <c r="AL16" s="97">
        <f>G16*INDEX(Régions!$AI$2:$AI$6,MATCH($B16,Régions!$A$2:$A$6,0))</f>
        <v/>
      </c>
      <c r="AM16" s="97">
        <f>H16*INDEX(Régions!$AJ$2:$AJ$6,MATCH($B16,Régions!$A$2:$A$6,0))</f>
        <v/>
      </c>
      <c r="AN16" s="97">
        <f>I16*INDEX(Régions!$AK$2:$AK$6,MATCH($B16,Régions!$A$2:$A$6,0))</f>
        <v/>
      </c>
      <c r="AO16" s="99">
        <f>INDEX({"CAQ","PLQ","QS","PQ","PCQ","Autre"},MATCH(MAX(Q16:V16),Q16:V16,0))</f>
        <v/>
      </c>
      <c r="AP16" s="99">
        <f>INDEX({"CAQ","PLQ","QS","PQ","PCQ","Autre"},MATCH(MAX(W16:AB16),W16:AB16,0))</f>
        <v/>
      </c>
      <c r="AQ16" s="99">
        <f>INDEX({"CAQ","PLQ","QS","PQ","PCQ","Autre"},MATCH(MAX(AC16:AH16),AC16:AH16,0))</f>
        <v/>
      </c>
      <c r="AR16" s="99">
        <f>INDEX({"CAQ","PLQ","QS","PQ","PCQ","Autre"},MATCH(MAX(AI16:AN16),AI16:AN16,0))</f>
        <v/>
      </c>
      <c r="AS16" s="100">
        <f>(MAX(K16:P16)-LARGE(K16:P16,2))*100</f>
        <v/>
      </c>
      <c r="AT16" s="101">
        <f>IF(AS16&lt;5,"Oui","Non")</f>
        <v/>
      </c>
      <c r="AU16" s="102" t="n">
        <v>22.5</v>
      </c>
      <c r="AV16" s="102" t="n">
        <v>-4.213</v>
      </c>
      <c r="AW16" s="102" t="n">
        <v>-3.179</v>
      </c>
      <c r="AX16" s="102" t="n">
        <v>-4.413</v>
      </c>
      <c r="AY16" s="96" t="n">
        <v>3502</v>
      </c>
      <c r="AZ16" s="96" t="n">
        <v>5586</v>
      </c>
      <c r="BA16" s="96" t="n">
        <v>3282</v>
      </c>
      <c r="BB16" s="96" t="n">
        <v>8415</v>
      </c>
      <c r="BC16" s="96" t="n">
        <v>1096</v>
      </c>
      <c r="BD16" s="97">
        <f>AY16*INDEX(Régions!$AQ$2:$AQ$6,MATCH($B16,Régions!$A$2:$A$6,0))</f>
        <v/>
      </c>
      <c r="BE16" s="97">
        <f>AZ16*INDEX(Régions!$AR$2:$AR$6,MATCH($B16,Régions!$A$2:$A$6,0))</f>
        <v/>
      </c>
      <c r="BF16" s="97">
        <f>BA16*INDEX(Régions!$AS$2:$AS$6,MATCH($B16,Régions!$A$2:$A$6,0))</f>
        <v/>
      </c>
      <c r="BG16" s="97">
        <f>BB16*INDEX(Régions!$AT$2:$AT$6,MATCH($B16,Régions!$A$2:$A$6,0))</f>
        <v/>
      </c>
      <c r="BH16" s="97">
        <f>U16</f>
        <v/>
      </c>
      <c r="BI16" s="97">
        <f>BC16*INDEX(Régions!$AU$2:$AU$6,MATCH($B16,Régions!$A$2:$A$6,0))</f>
        <v/>
      </c>
      <c r="BJ16" s="97">
        <f>INDEX({"CAQ","PLQ","QS","PQ","PCQ","Autre"},MATCH(MAX(BD16:BI16),BD16:BI16,0))</f>
        <v/>
      </c>
    </row>
    <row r="17" ht="15" customHeight="1" s="60">
      <c r="A17" s="94" t="inlineStr">
        <is>
          <t>Borduas</t>
        </is>
      </c>
      <c r="B17" s="94" t="inlineStr">
        <is>
          <t>Banlieue de Montréal</t>
        </is>
      </c>
      <c r="C17" s="95" t="inlineStr">
        <is>
          <t>CAQ</t>
        </is>
      </c>
      <c r="D17" s="96" t="n">
        <v>21265</v>
      </c>
      <c r="E17" s="96" t="n">
        <v>2173</v>
      </c>
      <c r="F17" s="96" t="n">
        <v>6284</v>
      </c>
      <c r="G17" s="96" t="n">
        <v>8078</v>
      </c>
      <c r="H17" s="96" t="n">
        <v>3136</v>
      </c>
      <c r="I17" s="96" t="n">
        <v>574</v>
      </c>
      <c r="J17" s="97">
        <f>SUM(D17:I17)</f>
        <v/>
      </c>
      <c r="K17" s="98">
        <f>IFERROR(D17/J17,0)</f>
        <v/>
      </c>
      <c r="L17" s="98">
        <f>IFERROR(E17/J17,0)</f>
        <v/>
      </c>
      <c r="M17" s="98">
        <f>IFERROR(F17/J17,0)</f>
        <v/>
      </c>
      <c r="N17" s="98">
        <f>IFERROR(G17/J17,0)</f>
        <v/>
      </c>
      <c r="O17" s="98">
        <f>IFERROR(H17/J17,0)</f>
        <v/>
      </c>
      <c r="P17" s="98">
        <f>IFERROR(I17/J17,0)</f>
        <v/>
      </c>
      <c r="Q17" s="97">
        <f>D17*INDEX(Régions!$T$2:$T$6,MATCH($B17,Régions!$A$2:$A$6,0))</f>
        <v/>
      </c>
      <c r="R17" s="97">
        <f>E17*INDEX(Régions!$U$2:$U$6,MATCH($B17,Régions!$A$2:$A$6,0))</f>
        <v/>
      </c>
      <c r="S17" s="97">
        <f>F17*INDEX(Régions!$V$2:$V$6,MATCH($B17,Régions!$A$2:$A$6,0))</f>
        <v/>
      </c>
      <c r="T17" s="97">
        <f>G17*INDEX(Régions!$W$2:$W$6,MATCH($B17,Régions!$A$2:$A$6,0))</f>
        <v/>
      </c>
      <c r="U17" s="97">
        <f>H17*INDEX(Régions!$X$2:$X$6,MATCH($B17,Régions!$A$2:$A$6,0))</f>
        <v/>
      </c>
      <c r="V17" s="97">
        <f>I17*INDEX(Régions!$Y$2:$Y$6,MATCH($B17,Régions!$A$2:$A$6,0))</f>
        <v/>
      </c>
      <c r="W17" s="97">
        <f>Q17+(AU17/100)*J17*Régions!$O$2</f>
        <v/>
      </c>
      <c r="X17" s="97">
        <f>R17+(AV17/100)*J17*Régions!$O$2</f>
        <v/>
      </c>
      <c r="Y17" s="97">
        <f>S17+(AW17/100)*J17*Régions!$O$2</f>
        <v/>
      </c>
      <c r="Z17" s="97">
        <f>T17+(AX17/100)*J17*Régions!$O$2</f>
        <v/>
      </c>
      <c r="AA17" s="97">
        <f>U17</f>
        <v/>
      </c>
      <c r="AB17" s="97">
        <f>V17</f>
        <v/>
      </c>
      <c r="AC17" s="97">
        <f>D17*INDEX(Régions!$Z$2:$Z$6,MATCH($B17,Régions!$A$2:$A$6,0))</f>
        <v/>
      </c>
      <c r="AD17" s="97">
        <f>E17*INDEX(Régions!$AA$2:$AA$6,MATCH($B17,Régions!$A$2:$A$6,0))</f>
        <v/>
      </c>
      <c r="AE17" s="97">
        <f>F17*INDEX(Régions!$AB$2:$AB$6,MATCH($B17,Régions!$A$2:$A$6,0))</f>
        <v/>
      </c>
      <c r="AF17" s="97">
        <f>G17*INDEX(Régions!$AC$2:$AC$6,MATCH($B17,Régions!$A$2:$A$6,0))</f>
        <v/>
      </c>
      <c r="AG17" s="97">
        <f>H17*INDEX(Régions!$AD$2:$AD$6,MATCH($B17,Régions!$A$2:$A$6,0))</f>
        <v/>
      </c>
      <c r="AH17" s="97">
        <f>I17*INDEX(Régions!$AE$2:$AE$6,MATCH($B17,Régions!$A$2:$A$6,0))</f>
        <v/>
      </c>
      <c r="AI17" s="97">
        <f>D17*INDEX(Régions!$AF$2:$AF$6,MATCH($B17,Régions!$A$2:$A$6,0))</f>
        <v/>
      </c>
      <c r="AJ17" s="97">
        <f>E17*INDEX(Régions!$AG$2:$AG$6,MATCH($B17,Régions!$A$2:$A$6,0))</f>
        <v/>
      </c>
      <c r="AK17" s="97">
        <f>F17*INDEX(Régions!$AH$2:$AH$6,MATCH($B17,Régions!$A$2:$A$6,0))</f>
        <v/>
      </c>
      <c r="AL17" s="97">
        <f>G17*INDEX(Régions!$AI$2:$AI$6,MATCH($B17,Régions!$A$2:$A$6,0))</f>
        <v/>
      </c>
      <c r="AM17" s="97">
        <f>H17*INDEX(Régions!$AJ$2:$AJ$6,MATCH($B17,Régions!$A$2:$A$6,0))</f>
        <v/>
      </c>
      <c r="AN17" s="97">
        <f>I17*INDEX(Régions!$AK$2:$AK$6,MATCH($B17,Régions!$A$2:$A$6,0))</f>
        <v/>
      </c>
      <c r="AO17" s="99">
        <f>INDEX({"CAQ","PLQ","QS","PQ","PCQ","Autre"},MATCH(MAX(Q17:V17),Q17:V17,0))</f>
        <v/>
      </c>
      <c r="AP17" s="99">
        <f>INDEX({"CAQ","PLQ","QS","PQ","PCQ","Autre"},MATCH(MAX(W17:AB17),W17:AB17,0))</f>
        <v/>
      </c>
      <c r="AQ17" s="99">
        <f>INDEX({"CAQ","PLQ","QS","PQ","PCQ","Autre"},MATCH(MAX(AC17:AH17),AC17:AH17,0))</f>
        <v/>
      </c>
      <c r="AR17" s="99">
        <f>INDEX({"CAQ","PLQ","QS","PQ","PCQ","Autre"},MATCH(MAX(AI17:AN17),AI17:AN17,0))</f>
        <v/>
      </c>
      <c r="AS17" s="100">
        <f>(MAX(K17:P17)-LARGE(K17:P17,2))*100</f>
        <v/>
      </c>
      <c r="AT17" s="101">
        <f>IF(AS17&lt;5,"Oui","Non")</f>
        <v/>
      </c>
      <c r="AU17" s="102" t="n">
        <v>0.319</v>
      </c>
      <c r="AV17" s="102" t="n">
        <v>0.653</v>
      </c>
      <c r="AW17" s="102" t="n">
        <v>0.187</v>
      </c>
      <c r="AX17" s="102" t="n">
        <v>1.062</v>
      </c>
      <c r="AY17" s="96" t="n">
        <v>19482</v>
      </c>
      <c r="AZ17" s="96" t="n">
        <v>4683</v>
      </c>
      <c r="BA17" s="96" t="n">
        <v>6379</v>
      </c>
      <c r="BB17" s="96" t="n">
        <v>8725</v>
      </c>
      <c r="BC17" s="96" t="n">
        <v>1503</v>
      </c>
      <c r="BD17" s="97">
        <f>AY17*INDEX(Régions!$AQ$2:$AQ$6,MATCH($B17,Régions!$A$2:$A$6,0))</f>
        <v/>
      </c>
      <c r="BE17" s="97">
        <f>AZ17*INDEX(Régions!$AR$2:$AR$6,MATCH($B17,Régions!$A$2:$A$6,0))</f>
        <v/>
      </c>
      <c r="BF17" s="97">
        <f>BA17*INDEX(Régions!$AS$2:$AS$6,MATCH($B17,Régions!$A$2:$A$6,0))</f>
        <v/>
      </c>
      <c r="BG17" s="97">
        <f>BB17*INDEX(Régions!$AT$2:$AT$6,MATCH($B17,Régions!$A$2:$A$6,0))</f>
        <v/>
      </c>
      <c r="BH17" s="97">
        <f>U17</f>
        <v/>
      </c>
      <c r="BI17" s="97">
        <f>BC17*INDEX(Régions!$AU$2:$AU$6,MATCH($B17,Régions!$A$2:$A$6,0))</f>
        <v/>
      </c>
      <c r="BJ17" s="97">
        <f>INDEX({"CAQ","PLQ","QS","PQ","PCQ","Autre"},MATCH(MAX(BD17:BI17),BD17:BI17,0))</f>
        <v/>
      </c>
    </row>
    <row r="18" ht="15" customHeight="1" s="60">
      <c r="A18" s="94" t="inlineStr">
        <is>
          <t>Bourassa-Sauvé</t>
        </is>
      </c>
      <c r="B18" s="94" t="inlineStr">
        <is>
          <t>Île de Montréal</t>
        </is>
      </c>
      <c r="C18" s="95" t="inlineStr">
        <is>
          <t>PLQ</t>
        </is>
      </c>
      <c r="D18" s="96" t="n">
        <v>6049</v>
      </c>
      <c r="E18" s="96" t="n">
        <v>9704</v>
      </c>
      <c r="F18" s="96" t="n">
        <v>3737</v>
      </c>
      <c r="G18" s="96" t="n">
        <v>2101</v>
      </c>
      <c r="H18" s="96" t="n">
        <v>2161</v>
      </c>
      <c r="I18" s="96" t="n">
        <v>430</v>
      </c>
      <c r="J18" s="97">
        <f>SUM(D18:I18)</f>
        <v/>
      </c>
      <c r="K18" s="98">
        <f>IFERROR(D18/J18,0)</f>
        <v/>
      </c>
      <c r="L18" s="98">
        <f>IFERROR(E18/J18,0)</f>
        <v/>
      </c>
      <c r="M18" s="98">
        <f>IFERROR(F18/J18,0)</f>
        <v/>
      </c>
      <c r="N18" s="98">
        <f>IFERROR(G18/J18,0)</f>
        <v/>
      </c>
      <c r="O18" s="98">
        <f>IFERROR(H18/J18,0)</f>
        <v/>
      </c>
      <c r="P18" s="98">
        <f>IFERROR(I18/J18,0)</f>
        <v/>
      </c>
      <c r="Q18" s="97">
        <f>D18*INDEX(Régions!$T$2:$T$6,MATCH($B18,Régions!$A$2:$A$6,0))</f>
        <v/>
      </c>
      <c r="R18" s="97">
        <f>E18*INDEX(Régions!$U$2:$U$6,MATCH($B18,Régions!$A$2:$A$6,0))</f>
        <v/>
      </c>
      <c r="S18" s="97">
        <f>F18*INDEX(Régions!$V$2:$V$6,MATCH($B18,Régions!$A$2:$A$6,0))</f>
        <v/>
      </c>
      <c r="T18" s="97">
        <f>G18*INDEX(Régions!$W$2:$W$6,MATCH($B18,Régions!$A$2:$A$6,0))</f>
        <v/>
      </c>
      <c r="U18" s="97">
        <f>H18*INDEX(Régions!$X$2:$X$6,MATCH($B18,Régions!$A$2:$A$6,0))</f>
        <v/>
      </c>
      <c r="V18" s="97">
        <f>I18*INDEX(Régions!$Y$2:$Y$6,MATCH($B18,Régions!$A$2:$A$6,0))</f>
        <v/>
      </c>
      <c r="W18" s="97">
        <f>Q18+(AU18/100)*J18*Régions!$O$2</f>
        <v/>
      </c>
      <c r="X18" s="97">
        <f>R18+(AV18/100)*J18*Régions!$O$2</f>
        <v/>
      </c>
      <c r="Y18" s="97">
        <f>S18+(AW18/100)*J18*Régions!$O$2</f>
        <v/>
      </c>
      <c r="Z18" s="97">
        <f>T18+(AX18/100)*J18*Régions!$O$2</f>
        <v/>
      </c>
      <c r="AA18" s="97">
        <f>U18</f>
        <v/>
      </c>
      <c r="AB18" s="97">
        <f>V18</f>
        <v/>
      </c>
      <c r="AC18" s="97">
        <f>D18*INDEX(Régions!$Z$2:$Z$6,MATCH($B18,Régions!$A$2:$A$6,0))</f>
        <v/>
      </c>
      <c r="AD18" s="97">
        <f>E18*INDEX(Régions!$AA$2:$AA$6,MATCH($B18,Régions!$A$2:$A$6,0))</f>
        <v/>
      </c>
      <c r="AE18" s="97">
        <f>F18*INDEX(Régions!$AB$2:$AB$6,MATCH($B18,Régions!$A$2:$A$6,0))</f>
        <v/>
      </c>
      <c r="AF18" s="97">
        <f>G18*INDEX(Régions!$AC$2:$AC$6,MATCH($B18,Régions!$A$2:$A$6,0))</f>
        <v/>
      </c>
      <c r="AG18" s="97">
        <f>H18*INDEX(Régions!$AD$2:$AD$6,MATCH($B18,Régions!$A$2:$A$6,0))</f>
        <v/>
      </c>
      <c r="AH18" s="97">
        <f>I18*INDEX(Régions!$AE$2:$AE$6,MATCH($B18,Régions!$A$2:$A$6,0))</f>
        <v/>
      </c>
      <c r="AI18" s="97">
        <f>D18*INDEX(Régions!$AF$2:$AF$6,MATCH($B18,Régions!$A$2:$A$6,0))</f>
        <v/>
      </c>
      <c r="AJ18" s="97">
        <f>E18*INDEX(Régions!$AG$2:$AG$6,MATCH($B18,Régions!$A$2:$A$6,0))</f>
        <v/>
      </c>
      <c r="AK18" s="97">
        <f>F18*INDEX(Régions!$AH$2:$AH$6,MATCH($B18,Régions!$A$2:$A$6,0))</f>
        <v/>
      </c>
      <c r="AL18" s="97">
        <f>G18*INDEX(Régions!$AI$2:$AI$6,MATCH($B18,Régions!$A$2:$A$6,0))</f>
        <v/>
      </c>
      <c r="AM18" s="97">
        <f>H18*INDEX(Régions!$AJ$2:$AJ$6,MATCH($B18,Régions!$A$2:$A$6,0))</f>
        <v/>
      </c>
      <c r="AN18" s="97">
        <f>I18*INDEX(Régions!$AK$2:$AK$6,MATCH($B18,Régions!$A$2:$A$6,0))</f>
        <v/>
      </c>
      <c r="AO18" s="99">
        <f>INDEX({"CAQ","PLQ","QS","PQ","PCQ","Autre"},MATCH(MAX(Q18:V18),Q18:V18,0))</f>
        <v/>
      </c>
      <c r="AP18" s="99">
        <f>INDEX({"CAQ","PLQ","QS","PQ","PCQ","Autre"},MATCH(MAX(W18:AB18),W18:AB18,0))</f>
        <v/>
      </c>
      <c r="AQ18" s="99">
        <f>INDEX({"CAQ","PLQ","QS","PQ","PCQ","Autre"},MATCH(MAX(AC18:AH18),AC18:AH18,0))</f>
        <v/>
      </c>
      <c r="AR18" s="99">
        <f>INDEX({"CAQ","PLQ","QS","PQ","PCQ","Autre"},MATCH(MAX(AI18:AN18),AI18:AN18,0))</f>
        <v/>
      </c>
      <c r="AS18" s="100">
        <f>(MAX(K18:P18)-LARGE(K18:P18,2))*100</f>
        <v/>
      </c>
      <c r="AT18" s="101">
        <f>IF(AS18&lt;5,"Oui","Non")</f>
        <v/>
      </c>
      <c r="AU18" s="102" t="n">
        <v>-0.569</v>
      </c>
      <c r="AV18" s="102" t="n">
        <v>2.802</v>
      </c>
      <c r="AW18" s="102" t="n">
        <v>0.731</v>
      </c>
      <c r="AX18" s="102" t="n">
        <v>-0.795</v>
      </c>
      <c r="AY18" s="96" t="n">
        <v>5826</v>
      </c>
      <c r="AZ18" s="96" t="n">
        <v>11456</v>
      </c>
      <c r="BA18" s="96" t="n">
        <v>3469</v>
      </c>
      <c r="BB18" s="96" t="n">
        <v>2640</v>
      </c>
      <c r="BC18" s="96" t="n">
        <v>1426</v>
      </c>
      <c r="BD18" s="97">
        <f>AY18*INDEX(Régions!$AQ$2:$AQ$6,MATCH($B18,Régions!$A$2:$A$6,0))</f>
        <v/>
      </c>
      <c r="BE18" s="97">
        <f>AZ18*INDEX(Régions!$AR$2:$AR$6,MATCH($B18,Régions!$A$2:$A$6,0))</f>
        <v/>
      </c>
      <c r="BF18" s="97">
        <f>BA18*INDEX(Régions!$AS$2:$AS$6,MATCH($B18,Régions!$A$2:$A$6,0))</f>
        <v/>
      </c>
      <c r="BG18" s="97">
        <f>BB18*INDEX(Régions!$AT$2:$AT$6,MATCH($B18,Régions!$A$2:$A$6,0))</f>
        <v/>
      </c>
      <c r="BH18" s="97">
        <f>U18</f>
        <v/>
      </c>
      <c r="BI18" s="97">
        <f>BC18*INDEX(Régions!$AU$2:$AU$6,MATCH($B18,Régions!$A$2:$A$6,0))</f>
        <v/>
      </c>
      <c r="BJ18" s="97">
        <f>INDEX({"CAQ","PLQ","QS","PQ","PCQ","Autre"},MATCH(MAX(BD18:BI18),BD18:BI18,0))</f>
        <v/>
      </c>
    </row>
    <row r="19" ht="15" customHeight="1" s="60">
      <c r="A19" s="94" t="inlineStr">
        <is>
          <t>Brome-Missisquoi</t>
        </is>
      </c>
      <c r="B19" s="94" t="inlineStr">
        <is>
          <t>Banlieue de Montréal</t>
        </is>
      </c>
      <c r="C19" s="95" t="inlineStr">
        <is>
          <t>CAQ</t>
        </is>
      </c>
      <c r="D19" s="96" t="n">
        <v>16477</v>
      </c>
      <c r="E19" s="96" t="n">
        <v>4279</v>
      </c>
      <c r="F19" s="96" t="n">
        <v>5716</v>
      </c>
      <c r="G19" s="96" t="n">
        <v>4291</v>
      </c>
      <c r="H19" s="96" t="n">
        <v>4418</v>
      </c>
      <c r="I19" s="96" t="n">
        <v>738</v>
      </c>
      <c r="J19" s="97">
        <f>SUM(D19:I19)</f>
        <v/>
      </c>
      <c r="K19" s="98">
        <f>IFERROR(D19/J19,0)</f>
        <v/>
      </c>
      <c r="L19" s="98">
        <f>IFERROR(E19/J19,0)</f>
        <v/>
      </c>
      <c r="M19" s="98">
        <f>IFERROR(F19/J19,0)</f>
        <v/>
      </c>
      <c r="N19" s="98">
        <f>IFERROR(G19/J19,0)</f>
        <v/>
      </c>
      <c r="O19" s="98">
        <f>IFERROR(H19/J19,0)</f>
        <v/>
      </c>
      <c r="P19" s="98">
        <f>IFERROR(I19/J19,0)</f>
        <v/>
      </c>
      <c r="Q19" s="97">
        <f>D19*INDEX(Régions!$T$2:$T$6,MATCH($B19,Régions!$A$2:$A$6,0))</f>
        <v/>
      </c>
      <c r="R19" s="97">
        <f>E19*INDEX(Régions!$U$2:$U$6,MATCH($B19,Régions!$A$2:$A$6,0))</f>
        <v/>
      </c>
      <c r="S19" s="97">
        <f>F19*INDEX(Régions!$V$2:$V$6,MATCH($B19,Régions!$A$2:$A$6,0))</f>
        <v/>
      </c>
      <c r="T19" s="97">
        <f>G19*INDEX(Régions!$W$2:$W$6,MATCH($B19,Régions!$A$2:$A$6,0))</f>
        <v/>
      </c>
      <c r="U19" s="97">
        <f>H19*INDEX(Régions!$X$2:$X$6,MATCH($B19,Régions!$A$2:$A$6,0))</f>
        <v/>
      </c>
      <c r="V19" s="97">
        <f>I19*INDEX(Régions!$Y$2:$Y$6,MATCH($B19,Régions!$A$2:$A$6,0))</f>
        <v/>
      </c>
      <c r="W19" s="97">
        <f>Q19+(AU19/100)*J19*Régions!$O$2</f>
        <v/>
      </c>
      <c r="X19" s="97">
        <f>R19+(AV19/100)*J19*Régions!$O$2</f>
        <v/>
      </c>
      <c r="Y19" s="97">
        <f>S19+(AW19/100)*J19*Régions!$O$2</f>
        <v/>
      </c>
      <c r="Z19" s="97">
        <f>T19+(AX19/100)*J19*Régions!$O$2</f>
        <v/>
      </c>
      <c r="AA19" s="97">
        <f>U19</f>
        <v/>
      </c>
      <c r="AB19" s="97">
        <f>V19</f>
        <v/>
      </c>
      <c r="AC19" s="97">
        <f>D19*INDEX(Régions!$Z$2:$Z$6,MATCH($B19,Régions!$A$2:$A$6,0))</f>
        <v/>
      </c>
      <c r="AD19" s="97">
        <f>E19*INDEX(Régions!$AA$2:$AA$6,MATCH($B19,Régions!$A$2:$A$6,0))</f>
        <v/>
      </c>
      <c r="AE19" s="97">
        <f>F19*INDEX(Régions!$AB$2:$AB$6,MATCH($B19,Régions!$A$2:$A$6,0))</f>
        <v/>
      </c>
      <c r="AF19" s="97">
        <f>G19*INDEX(Régions!$AC$2:$AC$6,MATCH($B19,Régions!$A$2:$A$6,0))</f>
        <v/>
      </c>
      <c r="AG19" s="97">
        <f>H19*INDEX(Régions!$AD$2:$AD$6,MATCH($B19,Régions!$A$2:$A$6,0))</f>
        <v/>
      </c>
      <c r="AH19" s="97">
        <f>I19*INDEX(Régions!$AE$2:$AE$6,MATCH($B19,Régions!$A$2:$A$6,0))</f>
        <v/>
      </c>
      <c r="AI19" s="97">
        <f>D19*INDEX(Régions!$AF$2:$AF$6,MATCH($B19,Régions!$A$2:$A$6,0))</f>
        <v/>
      </c>
      <c r="AJ19" s="97">
        <f>E19*INDEX(Régions!$AG$2:$AG$6,MATCH($B19,Régions!$A$2:$A$6,0))</f>
        <v/>
      </c>
      <c r="AK19" s="97">
        <f>F19*INDEX(Régions!$AH$2:$AH$6,MATCH($B19,Régions!$A$2:$A$6,0))</f>
        <v/>
      </c>
      <c r="AL19" s="97">
        <f>G19*INDEX(Régions!$AI$2:$AI$6,MATCH($B19,Régions!$A$2:$A$6,0))</f>
        <v/>
      </c>
      <c r="AM19" s="97">
        <f>H19*INDEX(Régions!$AJ$2:$AJ$6,MATCH($B19,Régions!$A$2:$A$6,0))</f>
        <v/>
      </c>
      <c r="AN19" s="97">
        <f>I19*INDEX(Régions!$AK$2:$AK$6,MATCH($B19,Régions!$A$2:$A$6,0))</f>
        <v/>
      </c>
      <c r="AO19" s="99">
        <f>INDEX({"CAQ","PLQ","QS","PQ","PCQ","Autre"},MATCH(MAX(Q19:V19),Q19:V19,0))</f>
        <v/>
      </c>
      <c r="AP19" s="99">
        <f>INDEX({"CAQ","PLQ","QS","PQ","PCQ","Autre"},MATCH(MAX(W19:AB19),W19:AB19,0))</f>
        <v/>
      </c>
      <c r="AQ19" s="99">
        <f>INDEX({"CAQ","PLQ","QS","PQ","PCQ","Autre"},MATCH(MAX(AC19:AH19),AC19:AH19,0))</f>
        <v/>
      </c>
      <c r="AR19" s="99">
        <f>INDEX({"CAQ","PLQ","QS","PQ","PCQ","Autre"},MATCH(MAX(AI19:AN19),AI19:AN19,0))</f>
        <v/>
      </c>
      <c r="AS19" s="100">
        <f>(MAX(K19:P19)-LARGE(K19:P19,2))*100</f>
        <v/>
      </c>
      <c r="AT19" s="101">
        <f>IF(AS19&lt;5,"Oui","Non")</f>
        <v/>
      </c>
      <c r="AU19" s="102" t="n">
        <v>-1.639</v>
      </c>
      <c r="AV19" s="102" t="n">
        <v>-5.387</v>
      </c>
      <c r="AW19" s="102" t="n">
        <v>-0.673</v>
      </c>
      <c r="AX19" s="102" t="n">
        <v>4.228</v>
      </c>
      <c r="AY19" s="96" t="n">
        <v>14740</v>
      </c>
      <c r="AZ19" s="96" t="n">
        <v>8038</v>
      </c>
      <c r="BA19" s="96" t="n">
        <v>5739</v>
      </c>
      <c r="BB19" s="96" t="n">
        <v>3560</v>
      </c>
      <c r="BC19" s="96" t="n">
        <v>1133</v>
      </c>
      <c r="BD19" s="97">
        <f>AY19*INDEX(Régions!$AQ$2:$AQ$6,MATCH($B19,Régions!$A$2:$A$6,0))</f>
        <v/>
      </c>
      <c r="BE19" s="97">
        <f>AZ19*INDEX(Régions!$AR$2:$AR$6,MATCH($B19,Régions!$A$2:$A$6,0))</f>
        <v/>
      </c>
      <c r="BF19" s="97">
        <f>BA19*INDEX(Régions!$AS$2:$AS$6,MATCH($B19,Régions!$A$2:$A$6,0))</f>
        <v/>
      </c>
      <c r="BG19" s="97">
        <f>BB19*INDEX(Régions!$AT$2:$AT$6,MATCH($B19,Régions!$A$2:$A$6,0))</f>
        <v/>
      </c>
      <c r="BH19" s="97">
        <f>U19</f>
        <v/>
      </c>
      <c r="BI19" s="97">
        <f>BC19*INDEX(Régions!$AU$2:$AU$6,MATCH($B19,Régions!$A$2:$A$6,0))</f>
        <v/>
      </c>
      <c r="BJ19" s="97">
        <f>INDEX({"CAQ","PLQ","QS","PQ","PCQ","Autre"},MATCH(MAX(BD19:BI19),BD19:BI19,0))</f>
        <v/>
      </c>
    </row>
    <row r="20" ht="15" customHeight="1" s="60">
      <c r="A20" s="94" t="inlineStr">
        <is>
          <t>Camille-Laurin</t>
        </is>
      </c>
      <c r="B20" s="94" t="inlineStr">
        <is>
          <t>Île de Montréal</t>
        </is>
      </c>
      <c r="C20" s="95" t="inlineStr">
        <is>
          <t>PQ</t>
        </is>
      </c>
      <c r="D20" s="96" t="n">
        <v>9165</v>
      </c>
      <c r="E20" s="96" t="n">
        <v>4724</v>
      </c>
      <c r="F20" s="96" t="n">
        <v>0</v>
      </c>
      <c r="G20" s="96" t="n">
        <v>11959</v>
      </c>
      <c r="H20" s="96" t="n">
        <v>1869</v>
      </c>
      <c r="I20" s="96" t="n">
        <v>973</v>
      </c>
      <c r="J20" s="97">
        <f>SUM(D20:I20)</f>
        <v/>
      </c>
      <c r="K20" s="98">
        <f>IFERROR(D20/J20,0)</f>
        <v/>
      </c>
      <c r="L20" s="98">
        <f>IFERROR(E20/J20,0)</f>
        <v/>
      </c>
      <c r="M20" s="98">
        <f>IFERROR(F20/J20,0)</f>
        <v/>
      </c>
      <c r="N20" s="98">
        <f>IFERROR(G20/J20,0)</f>
        <v/>
      </c>
      <c r="O20" s="98">
        <f>IFERROR(H20/J20,0)</f>
        <v/>
      </c>
      <c r="P20" s="98">
        <f>IFERROR(I20/J20,0)</f>
        <v/>
      </c>
      <c r="Q20" s="97">
        <f>D20*INDEX(Régions!$T$2:$T$6,MATCH($B20,Régions!$A$2:$A$6,0))</f>
        <v/>
      </c>
      <c r="R20" s="97">
        <f>E20*INDEX(Régions!$U$2:$U$6,MATCH($B20,Régions!$A$2:$A$6,0))</f>
        <v/>
      </c>
      <c r="S20" s="97">
        <f>F20*INDEX(Régions!$V$2:$V$6,MATCH($B20,Régions!$A$2:$A$6,0))</f>
        <v/>
      </c>
      <c r="T20" s="97">
        <f>G20*INDEX(Régions!$W$2:$W$6,MATCH($B20,Régions!$A$2:$A$6,0))</f>
        <v/>
      </c>
      <c r="U20" s="97">
        <f>H20*INDEX(Régions!$X$2:$X$6,MATCH($B20,Régions!$A$2:$A$6,0))</f>
        <v/>
      </c>
      <c r="V20" s="97">
        <f>I20*INDEX(Régions!$Y$2:$Y$6,MATCH($B20,Régions!$A$2:$A$6,0))</f>
        <v/>
      </c>
      <c r="W20" s="97">
        <f>Q20+(AU20/100)*J20*Régions!$O$2</f>
        <v/>
      </c>
      <c r="X20" s="97">
        <f>R20+(AV20/100)*J20*Régions!$O$2</f>
        <v/>
      </c>
      <c r="Y20" s="97">
        <f>S20+(AW20/100)*J20*Régions!$O$2</f>
        <v/>
      </c>
      <c r="Z20" s="97">
        <f>T20+(AX20/100)*J20*Régions!$O$2</f>
        <v/>
      </c>
      <c r="AA20" s="97">
        <f>U20</f>
        <v/>
      </c>
      <c r="AB20" s="97">
        <f>V20</f>
        <v/>
      </c>
      <c r="AC20" s="97">
        <f>D20*INDEX(Régions!$Z$2:$Z$6,MATCH($B20,Régions!$A$2:$A$6,0))</f>
        <v/>
      </c>
      <c r="AD20" s="97">
        <f>E20*INDEX(Régions!$AA$2:$AA$6,MATCH($B20,Régions!$A$2:$A$6,0))</f>
        <v/>
      </c>
      <c r="AE20" s="97">
        <f>F20*INDEX(Régions!$AB$2:$AB$6,MATCH($B20,Régions!$A$2:$A$6,0))</f>
        <v/>
      </c>
      <c r="AF20" s="97">
        <f>G20*INDEX(Régions!$AC$2:$AC$6,MATCH($B20,Régions!$A$2:$A$6,0))</f>
        <v/>
      </c>
      <c r="AG20" s="97">
        <f>H20*INDEX(Régions!$AD$2:$AD$6,MATCH($B20,Régions!$A$2:$A$6,0))</f>
        <v/>
      </c>
      <c r="AH20" s="97">
        <f>I20*INDEX(Régions!$AE$2:$AE$6,MATCH($B20,Régions!$A$2:$A$6,0))</f>
        <v/>
      </c>
      <c r="AI20" s="97">
        <f>D20*INDEX(Régions!$AF$2:$AF$6,MATCH($B20,Régions!$A$2:$A$6,0))</f>
        <v/>
      </c>
      <c r="AJ20" s="97">
        <f>E20*INDEX(Régions!$AG$2:$AG$6,MATCH($B20,Régions!$A$2:$A$6,0))</f>
        <v/>
      </c>
      <c r="AK20" s="97">
        <f>F20*INDEX(Régions!$AH$2:$AH$6,MATCH($B20,Régions!$A$2:$A$6,0))</f>
        <v/>
      </c>
      <c r="AL20" s="97">
        <f>G20*INDEX(Régions!$AI$2:$AI$6,MATCH($B20,Régions!$A$2:$A$6,0))</f>
        <v/>
      </c>
      <c r="AM20" s="97">
        <f>H20*INDEX(Régions!$AJ$2:$AJ$6,MATCH($B20,Régions!$A$2:$A$6,0))</f>
        <v/>
      </c>
      <c r="AN20" s="97">
        <f>I20*INDEX(Régions!$AK$2:$AK$6,MATCH($B20,Régions!$A$2:$A$6,0))</f>
        <v/>
      </c>
      <c r="AO20" s="99">
        <f>INDEX({"CAQ","PLQ","QS","PQ","PCQ","Autre"},MATCH(MAX(Q20:V20),Q20:V20,0))</f>
        <v/>
      </c>
      <c r="AP20" s="99">
        <f>INDEX({"CAQ","PLQ","QS","PQ","PCQ","Autre"},MATCH(MAX(W20:AB20),W20:AB20,0))</f>
        <v/>
      </c>
      <c r="AQ20" s="99">
        <f>INDEX({"CAQ","PLQ","QS","PQ","PCQ","Autre"},MATCH(MAX(AC20:AH20),AC20:AH20,0))</f>
        <v/>
      </c>
      <c r="AR20" s="99">
        <f>INDEX({"CAQ","PLQ","QS","PQ","PCQ","Autre"},MATCH(MAX(AI20:AN20),AI20:AN20,0))</f>
        <v/>
      </c>
      <c r="AS20" s="100">
        <f>(MAX(K20:P20)-LARGE(K20:P20,2))*100</f>
        <v/>
      </c>
      <c r="AT20" s="101">
        <f>IF(AS20&lt;5,"Oui","Non")</f>
        <v/>
      </c>
      <c r="AU20" s="102" t="n">
        <v>2.272</v>
      </c>
      <c r="AV20" s="102" t="n">
        <v>6.424</v>
      </c>
      <c r="AW20" s="102" t="n">
        <v>-25.186</v>
      </c>
      <c r="AX20" s="102" t="n">
        <v>16.827</v>
      </c>
      <c r="AY20" s="96" t="n">
        <v>8870</v>
      </c>
      <c r="AZ20" s="96" t="n">
        <v>6074</v>
      </c>
      <c r="BA20" s="96" t="n">
        <v>7865</v>
      </c>
      <c r="BB20" s="96" t="n">
        <v>8370</v>
      </c>
      <c r="BC20" s="96" t="n">
        <v>999</v>
      </c>
      <c r="BD20" s="97">
        <f>AY20*INDEX(Régions!$AQ$2:$AQ$6,MATCH($B20,Régions!$A$2:$A$6,0))</f>
        <v/>
      </c>
      <c r="BE20" s="97">
        <f>AZ20*INDEX(Régions!$AR$2:$AR$6,MATCH($B20,Régions!$A$2:$A$6,0))</f>
        <v/>
      </c>
      <c r="BF20" s="97">
        <f>BA20*INDEX(Régions!$AS$2:$AS$6,MATCH($B20,Régions!$A$2:$A$6,0))</f>
        <v/>
      </c>
      <c r="BG20" s="97">
        <f>BB20*INDEX(Régions!$AT$2:$AT$6,MATCH($B20,Régions!$A$2:$A$6,0))</f>
        <v/>
      </c>
      <c r="BH20" s="97">
        <f>U20</f>
        <v/>
      </c>
      <c r="BI20" s="97">
        <f>BC20*INDEX(Régions!$AU$2:$AU$6,MATCH($B20,Régions!$A$2:$A$6,0))</f>
        <v/>
      </c>
      <c r="BJ20" s="97">
        <f>INDEX({"CAQ","PLQ","QS","PQ","PCQ","Autre"},MATCH(MAX(BD20:BI20),BD20:BI20,0))</f>
        <v/>
      </c>
    </row>
    <row r="21" ht="15" customHeight="1" s="60">
      <c r="A21" s="94" t="inlineStr">
        <is>
          <t>Chambly</t>
        </is>
      </c>
      <c r="B21" s="94" t="inlineStr">
        <is>
          <t>Banlieue de Montréal</t>
        </is>
      </c>
      <c r="C21" s="95" t="inlineStr">
        <is>
          <t>CAQ</t>
        </is>
      </c>
      <c r="D21" s="96" t="n">
        <v>18501</v>
      </c>
      <c r="E21" s="96" t="n">
        <v>2997</v>
      </c>
      <c r="F21" s="96" t="n">
        <v>6250</v>
      </c>
      <c r="G21" s="96" t="n">
        <v>6831</v>
      </c>
      <c r="H21" s="96" t="n">
        <v>3181</v>
      </c>
      <c r="I21" s="96" t="n">
        <v>411</v>
      </c>
      <c r="J21" s="97">
        <f>SUM(D21:I21)</f>
        <v/>
      </c>
      <c r="K21" s="98">
        <f>IFERROR(D21/J21,0)</f>
        <v/>
      </c>
      <c r="L21" s="98">
        <f>IFERROR(E21/J21,0)</f>
        <v/>
      </c>
      <c r="M21" s="98">
        <f>IFERROR(F21/J21,0)</f>
        <v/>
      </c>
      <c r="N21" s="98">
        <f>IFERROR(G21/J21,0)</f>
        <v/>
      </c>
      <c r="O21" s="98">
        <f>IFERROR(H21/J21,0)</f>
        <v/>
      </c>
      <c r="P21" s="98">
        <f>IFERROR(I21/J21,0)</f>
        <v/>
      </c>
      <c r="Q21" s="97">
        <f>D21*INDEX(Régions!$T$2:$T$6,MATCH($B21,Régions!$A$2:$A$6,0))</f>
        <v/>
      </c>
      <c r="R21" s="97">
        <f>E21*INDEX(Régions!$U$2:$U$6,MATCH($B21,Régions!$A$2:$A$6,0))</f>
        <v/>
      </c>
      <c r="S21" s="97">
        <f>F21*INDEX(Régions!$V$2:$V$6,MATCH($B21,Régions!$A$2:$A$6,0))</f>
        <v/>
      </c>
      <c r="T21" s="97">
        <f>G21*INDEX(Régions!$W$2:$W$6,MATCH($B21,Régions!$A$2:$A$6,0))</f>
        <v/>
      </c>
      <c r="U21" s="97">
        <f>H21*INDEX(Régions!$X$2:$X$6,MATCH($B21,Régions!$A$2:$A$6,0))</f>
        <v/>
      </c>
      <c r="V21" s="97">
        <f>I21*INDEX(Régions!$Y$2:$Y$6,MATCH($B21,Régions!$A$2:$A$6,0))</f>
        <v/>
      </c>
      <c r="W21" s="97">
        <f>Q21+(AU21/100)*J21*Régions!$O$2</f>
        <v/>
      </c>
      <c r="X21" s="97">
        <f>R21+(AV21/100)*J21*Régions!$O$2</f>
        <v/>
      </c>
      <c r="Y21" s="97">
        <f>S21+(AW21/100)*J21*Régions!$O$2</f>
        <v/>
      </c>
      <c r="Z21" s="97">
        <f>T21+(AX21/100)*J21*Régions!$O$2</f>
        <v/>
      </c>
      <c r="AA21" s="97">
        <f>U21</f>
        <v/>
      </c>
      <c r="AB21" s="97">
        <f>V21</f>
        <v/>
      </c>
      <c r="AC21" s="97">
        <f>D21*INDEX(Régions!$Z$2:$Z$6,MATCH($B21,Régions!$A$2:$A$6,0))</f>
        <v/>
      </c>
      <c r="AD21" s="97">
        <f>E21*INDEX(Régions!$AA$2:$AA$6,MATCH($B21,Régions!$A$2:$A$6,0))</f>
        <v/>
      </c>
      <c r="AE21" s="97">
        <f>F21*INDEX(Régions!$AB$2:$AB$6,MATCH($B21,Régions!$A$2:$A$6,0))</f>
        <v/>
      </c>
      <c r="AF21" s="97">
        <f>G21*INDEX(Régions!$AC$2:$AC$6,MATCH($B21,Régions!$A$2:$A$6,0))</f>
        <v/>
      </c>
      <c r="AG21" s="97">
        <f>H21*INDEX(Régions!$AD$2:$AD$6,MATCH($B21,Régions!$A$2:$A$6,0))</f>
        <v/>
      </c>
      <c r="AH21" s="97">
        <f>I21*INDEX(Régions!$AE$2:$AE$6,MATCH($B21,Régions!$A$2:$A$6,0))</f>
        <v/>
      </c>
      <c r="AI21" s="97">
        <f>D21*INDEX(Régions!$AF$2:$AF$6,MATCH($B21,Régions!$A$2:$A$6,0))</f>
        <v/>
      </c>
      <c r="AJ21" s="97">
        <f>E21*INDEX(Régions!$AG$2:$AG$6,MATCH($B21,Régions!$A$2:$A$6,0))</f>
        <v/>
      </c>
      <c r="AK21" s="97">
        <f>F21*INDEX(Régions!$AH$2:$AH$6,MATCH($B21,Régions!$A$2:$A$6,0))</f>
        <v/>
      </c>
      <c r="AL21" s="97">
        <f>G21*INDEX(Régions!$AI$2:$AI$6,MATCH($B21,Régions!$A$2:$A$6,0))</f>
        <v/>
      </c>
      <c r="AM21" s="97">
        <f>H21*INDEX(Régions!$AJ$2:$AJ$6,MATCH($B21,Régions!$A$2:$A$6,0))</f>
        <v/>
      </c>
      <c r="AN21" s="97">
        <f>I21*INDEX(Régions!$AK$2:$AK$6,MATCH($B21,Régions!$A$2:$A$6,0))</f>
        <v/>
      </c>
      <c r="AO21" s="99">
        <f>INDEX({"CAQ","PLQ","QS","PQ","PCQ","Autre"},MATCH(MAX(Q21:V21),Q21:V21,0))</f>
        <v/>
      </c>
      <c r="AP21" s="99">
        <f>INDEX({"CAQ","PLQ","QS","PQ","PCQ","Autre"},MATCH(MAX(W21:AB21),W21:AB21,0))</f>
        <v/>
      </c>
      <c r="AQ21" s="99">
        <f>INDEX({"CAQ","PLQ","QS","PQ","PCQ","Autre"},MATCH(MAX(AC21:AH21),AC21:AH21,0))</f>
        <v/>
      </c>
      <c r="AR21" s="99">
        <f>INDEX({"CAQ","PLQ","QS","PQ","PCQ","Autre"},MATCH(MAX(AI21:AN21),AI21:AN21,0))</f>
        <v/>
      </c>
      <c r="AS21" s="100">
        <f>(MAX(K21:P21)-LARGE(K21:P21,2))*100</f>
        <v/>
      </c>
      <c r="AT21" s="101">
        <f>IF(AS21&lt;5,"Oui","Non")</f>
        <v/>
      </c>
      <c r="AU21" s="102" t="n">
        <v>-4.917</v>
      </c>
      <c r="AV21" s="102" t="n">
        <v>2.55</v>
      </c>
      <c r="AW21" s="102" t="n">
        <v>0.678</v>
      </c>
      <c r="AX21" s="102" t="n">
        <v>3.479</v>
      </c>
      <c r="AY21" s="96" t="n">
        <v>18914</v>
      </c>
      <c r="AZ21" s="96" t="n">
        <v>4593</v>
      </c>
      <c r="BA21" s="96" t="n">
        <v>6169</v>
      </c>
      <c r="BB21" s="96" t="n">
        <v>6555</v>
      </c>
      <c r="BC21" s="96" t="n">
        <v>1403</v>
      </c>
      <c r="BD21" s="97">
        <f>AY21*INDEX(Régions!$AQ$2:$AQ$6,MATCH($B21,Régions!$A$2:$A$6,0))</f>
        <v/>
      </c>
      <c r="BE21" s="97">
        <f>AZ21*INDEX(Régions!$AR$2:$AR$6,MATCH($B21,Régions!$A$2:$A$6,0))</f>
        <v/>
      </c>
      <c r="BF21" s="97">
        <f>BA21*INDEX(Régions!$AS$2:$AS$6,MATCH($B21,Régions!$A$2:$A$6,0))</f>
        <v/>
      </c>
      <c r="BG21" s="97">
        <f>BB21*INDEX(Régions!$AT$2:$AT$6,MATCH($B21,Régions!$A$2:$A$6,0))</f>
        <v/>
      </c>
      <c r="BH21" s="97">
        <f>U21</f>
        <v/>
      </c>
      <c r="BI21" s="97">
        <f>BC21*INDEX(Régions!$AU$2:$AU$6,MATCH($B21,Régions!$A$2:$A$6,0))</f>
        <v/>
      </c>
      <c r="BJ21" s="97">
        <f>INDEX({"CAQ","PLQ","QS","PQ","PCQ","Autre"},MATCH(MAX(BD21:BI21),BD21:BI21,0))</f>
        <v/>
      </c>
    </row>
    <row r="22" ht="15" customHeight="1" s="60">
      <c r="A22" s="94" t="inlineStr">
        <is>
          <t>Champlain</t>
        </is>
      </c>
      <c r="B22" s="94" t="inlineStr">
        <is>
          <t>Reste du Québec</t>
        </is>
      </c>
      <c r="C22" s="95" t="inlineStr">
        <is>
          <t>CAQ</t>
        </is>
      </c>
      <c r="D22" s="96" t="n">
        <v>23513</v>
      </c>
      <c r="E22" s="96" t="n">
        <v>2138</v>
      </c>
      <c r="F22" s="96" t="n">
        <v>3775</v>
      </c>
      <c r="G22" s="96" t="n">
        <v>5065</v>
      </c>
      <c r="H22" s="96" t="n">
        <v>7383</v>
      </c>
      <c r="I22" s="96" t="n">
        <v>194</v>
      </c>
      <c r="J22" s="97">
        <f>SUM(D22:I22)</f>
        <v/>
      </c>
      <c r="K22" s="98">
        <f>IFERROR(D22/J22,0)</f>
        <v/>
      </c>
      <c r="L22" s="98">
        <f>IFERROR(E22/J22,0)</f>
        <v/>
      </c>
      <c r="M22" s="98">
        <f>IFERROR(F22/J22,0)</f>
        <v/>
      </c>
      <c r="N22" s="98">
        <f>IFERROR(G22/J22,0)</f>
        <v/>
      </c>
      <c r="O22" s="98">
        <f>IFERROR(H22/J22,0)</f>
        <v/>
      </c>
      <c r="P22" s="98">
        <f>IFERROR(I22/J22,0)</f>
        <v/>
      </c>
      <c r="Q22" s="97">
        <f>D22*INDEX(Régions!$T$2:$T$6,MATCH($B22,Régions!$A$2:$A$6,0))</f>
        <v/>
      </c>
      <c r="R22" s="97">
        <f>E22*INDEX(Régions!$U$2:$U$6,MATCH($B22,Régions!$A$2:$A$6,0))</f>
        <v/>
      </c>
      <c r="S22" s="97">
        <f>F22*INDEX(Régions!$V$2:$V$6,MATCH($B22,Régions!$A$2:$A$6,0))</f>
        <v/>
      </c>
      <c r="T22" s="97">
        <f>G22*INDEX(Régions!$W$2:$W$6,MATCH($B22,Régions!$A$2:$A$6,0))</f>
        <v/>
      </c>
      <c r="U22" s="97">
        <f>H22*INDEX(Régions!$X$2:$X$6,MATCH($B22,Régions!$A$2:$A$6,0))</f>
        <v/>
      </c>
      <c r="V22" s="97">
        <f>I22*INDEX(Régions!$Y$2:$Y$6,MATCH($B22,Régions!$A$2:$A$6,0))</f>
        <v/>
      </c>
      <c r="W22" s="97">
        <f>Q22+(AU22/100)*J22*Régions!$O$2</f>
        <v/>
      </c>
      <c r="X22" s="97">
        <f>R22+(AV22/100)*J22*Régions!$O$2</f>
        <v/>
      </c>
      <c r="Y22" s="97">
        <f>S22+(AW22/100)*J22*Régions!$O$2</f>
        <v/>
      </c>
      <c r="Z22" s="97">
        <f>T22+(AX22/100)*J22*Régions!$O$2</f>
        <v/>
      </c>
      <c r="AA22" s="97">
        <f>U22</f>
        <v/>
      </c>
      <c r="AB22" s="97">
        <f>V22</f>
        <v/>
      </c>
      <c r="AC22" s="97">
        <f>D22*INDEX(Régions!$Z$2:$Z$6,MATCH($B22,Régions!$A$2:$A$6,0))</f>
        <v/>
      </c>
      <c r="AD22" s="97">
        <f>E22*INDEX(Régions!$AA$2:$AA$6,MATCH($B22,Régions!$A$2:$A$6,0))</f>
        <v/>
      </c>
      <c r="AE22" s="97">
        <f>F22*INDEX(Régions!$AB$2:$AB$6,MATCH($B22,Régions!$A$2:$A$6,0))</f>
        <v/>
      </c>
      <c r="AF22" s="97">
        <f>G22*INDEX(Régions!$AC$2:$AC$6,MATCH($B22,Régions!$A$2:$A$6,0))</f>
        <v/>
      </c>
      <c r="AG22" s="97">
        <f>H22*INDEX(Régions!$AD$2:$AD$6,MATCH($B22,Régions!$A$2:$A$6,0))</f>
        <v/>
      </c>
      <c r="AH22" s="97">
        <f>I22*INDEX(Régions!$AE$2:$AE$6,MATCH($B22,Régions!$A$2:$A$6,0))</f>
        <v/>
      </c>
      <c r="AI22" s="97">
        <f>D22*INDEX(Régions!$AF$2:$AF$6,MATCH($B22,Régions!$A$2:$A$6,0))</f>
        <v/>
      </c>
      <c r="AJ22" s="97">
        <f>E22*INDEX(Régions!$AG$2:$AG$6,MATCH($B22,Régions!$A$2:$A$6,0))</f>
        <v/>
      </c>
      <c r="AK22" s="97">
        <f>F22*INDEX(Régions!$AH$2:$AH$6,MATCH($B22,Régions!$A$2:$A$6,0))</f>
        <v/>
      </c>
      <c r="AL22" s="97">
        <f>G22*INDEX(Régions!$AI$2:$AI$6,MATCH($B22,Régions!$A$2:$A$6,0))</f>
        <v/>
      </c>
      <c r="AM22" s="97">
        <f>H22*INDEX(Régions!$AJ$2:$AJ$6,MATCH($B22,Régions!$A$2:$A$6,0))</f>
        <v/>
      </c>
      <c r="AN22" s="97">
        <f>I22*INDEX(Régions!$AK$2:$AK$6,MATCH($B22,Régions!$A$2:$A$6,0))</f>
        <v/>
      </c>
      <c r="AO22" s="99">
        <f>INDEX({"CAQ","PLQ","QS","PQ","PCQ","Autre"},MATCH(MAX(Q22:V22),Q22:V22,0))</f>
        <v/>
      </c>
      <c r="AP22" s="99">
        <f>INDEX({"CAQ","PLQ","QS","PQ","PCQ","Autre"},MATCH(MAX(W22:AB22),W22:AB22,0))</f>
        <v/>
      </c>
      <c r="AQ22" s="99">
        <f>INDEX({"CAQ","PLQ","QS","PQ","PCQ","Autre"},MATCH(MAX(AC22:AH22),AC22:AH22,0))</f>
        <v/>
      </c>
      <c r="AR22" s="99">
        <f>INDEX({"CAQ","PLQ","QS","PQ","PCQ","Autre"},MATCH(MAX(AI22:AN22),AI22:AN22,0))</f>
        <v/>
      </c>
      <c r="AS22" s="100">
        <f>(MAX(K22:P22)-LARGE(K22:P22,2))*100</f>
        <v/>
      </c>
      <c r="AT22" s="101">
        <f>IF(AS22&lt;5,"Oui","Non")</f>
        <v/>
      </c>
      <c r="AU22" s="102" t="n">
        <v>-1.919</v>
      </c>
      <c r="AV22" s="102" t="n">
        <v>-0.825</v>
      </c>
      <c r="AW22" s="102" t="n">
        <v>-2.996</v>
      </c>
      <c r="AX22" s="102" t="n">
        <v>3.942</v>
      </c>
      <c r="AY22" s="96" t="n">
        <v>21153</v>
      </c>
      <c r="AZ22" s="96" t="n">
        <v>7610</v>
      </c>
      <c r="BA22" s="96" t="n">
        <v>5285</v>
      </c>
      <c r="BB22" s="96" t="n">
        <v>4928</v>
      </c>
      <c r="BC22" s="96" t="n">
        <v>1812</v>
      </c>
      <c r="BD22" s="97">
        <f>AY22*INDEX(Régions!$AQ$2:$AQ$6,MATCH($B22,Régions!$A$2:$A$6,0))</f>
        <v/>
      </c>
      <c r="BE22" s="97">
        <f>AZ22*INDEX(Régions!$AR$2:$AR$6,MATCH($B22,Régions!$A$2:$A$6,0))</f>
        <v/>
      </c>
      <c r="BF22" s="97">
        <f>BA22*INDEX(Régions!$AS$2:$AS$6,MATCH($B22,Régions!$A$2:$A$6,0))</f>
        <v/>
      </c>
      <c r="BG22" s="97">
        <f>BB22*INDEX(Régions!$AT$2:$AT$6,MATCH($B22,Régions!$A$2:$A$6,0))</f>
        <v/>
      </c>
      <c r="BH22" s="97">
        <f>U22</f>
        <v/>
      </c>
      <c r="BI22" s="97">
        <f>BC22*INDEX(Régions!$AU$2:$AU$6,MATCH($B22,Régions!$A$2:$A$6,0))</f>
        <v/>
      </c>
      <c r="BJ22" s="97">
        <f>INDEX({"CAQ","PLQ","QS","PQ","PCQ","Autre"},MATCH(MAX(BD22:BI22),BD22:BI22,0))</f>
        <v/>
      </c>
    </row>
    <row r="23" ht="15" customHeight="1" s="60">
      <c r="A23" s="94" t="inlineStr">
        <is>
          <t>Chapleau</t>
        </is>
      </c>
      <c r="B23" s="94" t="inlineStr">
        <is>
          <t>Île de Montréal</t>
        </is>
      </c>
      <c r="C23" s="95" t="inlineStr">
        <is>
          <t>CAQ</t>
        </is>
      </c>
      <c r="D23" s="96" t="n">
        <v>17989</v>
      </c>
      <c r="E23" s="96" t="n">
        <v>4518</v>
      </c>
      <c r="F23" s="96" t="n">
        <v>4553</v>
      </c>
      <c r="G23" s="96" t="n">
        <v>3348</v>
      </c>
      <c r="H23" s="96" t="n">
        <v>3569</v>
      </c>
      <c r="I23" s="96" t="n">
        <v>385</v>
      </c>
      <c r="J23" s="97">
        <f>SUM(D23:I23)</f>
        <v/>
      </c>
      <c r="K23" s="98">
        <f>IFERROR(D23/J23,0)</f>
        <v/>
      </c>
      <c r="L23" s="98">
        <f>IFERROR(E23/J23,0)</f>
        <v/>
      </c>
      <c r="M23" s="98">
        <f>IFERROR(F23/J23,0)</f>
        <v/>
      </c>
      <c r="N23" s="98">
        <f>IFERROR(G23/J23,0)</f>
        <v/>
      </c>
      <c r="O23" s="98">
        <f>IFERROR(H23/J23,0)</f>
        <v/>
      </c>
      <c r="P23" s="98">
        <f>IFERROR(I23/J23,0)</f>
        <v/>
      </c>
      <c r="Q23" s="97">
        <f>D23*INDEX(Régions!$T$2:$T$6,MATCH($B23,Régions!$A$2:$A$6,0))</f>
        <v/>
      </c>
      <c r="R23" s="97">
        <f>E23*INDEX(Régions!$U$2:$U$6,MATCH($B23,Régions!$A$2:$A$6,0))</f>
        <v/>
      </c>
      <c r="S23" s="97">
        <f>F23*INDEX(Régions!$V$2:$V$6,MATCH($B23,Régions!$A$2:$A$6,0))</f>
        <v/>
      </c>
      <c r="T23" s="97">
        <f>G23*INDEX(Régions!$W$2:$W$6,MATCH($B23,Régions!$A$2:$A$6,0))</f>
        <v/>
      </c>
      <c r="U23" s="97">
        <f>H23*INDEX(Régions!$X$2:$X$6,MATCH($B23,Régions!$A$2:$A$6,0))</f>
        <v/>
      </c>
      <c r="V23" s="97">
        <f>I23*INDEX(Régions!$Y$2:$Y$6,MATCH($B23,Régions!$A$2:$A$6,0))</f>
        <v/>
      </c>
      <c r="W23" s="97">
        <f>Q23+(AU23/100)*J23*Régions!$O$2</f>
        <v/>
      </c>
      <c r="X23" s="97">
        <f>R23+(AV23/100)*J23*Régions!$O$2</f>
        <v/>
      </c>
      <c r="Y23" s="97">
        <f>S23+(AW23/100)*J23*Régions!$O$2</f>
        <v/>
      </c>
      <c r="Z23" s="97">
        <f>T23+(AX23/100)*J23*Régions!$O$2</f>
        <v/>
      </c>
      <c r="AA23" s="97">
        <f>U23</f>
        <v/>
      </c>
      <c r="AB23" s="97">
        <f>V23</f>
        <v/>
      </c>
      <c r="AC23" s="97">
        <f>D23*INDEX(Régions!$Z$2:$Z$6,MATCH($B23,Régions!$A$2:$A$6,0))</f>
        <v/>
      </c>
      <c r="AD23" s="97">
        <f>E23*INDEX(Régions!$AA$2:$AA$6,MATCH($B23,Régions!$A$2:$A$6,0))</f>
        <v/>
      </c>
      <c r="AE23" s="97">
        <f>F23*INDEX(Régions!$AB$2:$AB$6,MATCH($B23,Régions!$A$2:$A$6,0))</f>
        <v/>
      </c>
      <c r="AF23" s="97">
        <f>G23*INDEX(Régions!$AC$2:$AC$6,MATCH($B23,Régions!$A$2:$A$6,0))</f>
        <v/>
      </c>
      <c r="AG23" s="97">
        <f>H23*INDEX(Régions!$AD$2:$AD$6,MATCH($B23,Régions!$A$2:$A$6,0))</f>
        <v/>
      </c>
      <c r="AH23" s="97">
        <f>I23*INDEX(Régions!$AE$2:$AE$6,MATCH($B23,Régions!$A$2:$A$6,0))</f>
        <v/>
      </c>
      <c r="AI23" s="97">
        <f>D23*INDEX(Régions!$AF$2:$AF$6,MATCH($B23,Régions!$A$2:$A$6,0))</f>
        <v/>
      </c>
      <c r="AJ23" s="97">
        <f>E23*INDEX(Régions!$AG$2:$AG$6,MATCH($B23,Régions!$A$2:$A$6,0))</f>
        <v/>
      </c>
      <c r="AK23" s="97">
        <f>F23*INDEX(Régions!$AH$2:$AH$6,MATCH($B23,Régions!$A$2:$A$6,0))</f>
        <v/>
      </c>
      <c r="AL23" s="97">
        <f>G23*INDEX(Régions!$AI$2:$AI$6,MATCH($B23,Régions!$A$2:$A$6,0))</f>
        <v/>
      </c>
      <c r="AM23" s="97">
        <f>H23*INDEX(Régions!$AJ$2:$AJ$6,MATCH($B23,Régions!$A$2:$A$6,0))</f>
        <v/>
      </c>
      <c r="AN23" s="97">
        <f>I23*INDEX(Régions!$AK$2:$AK$6,MATCH($B23,Régions!$A$2:$A$6,0))</f>
        <v/>
      </c>
      <c r="AO23" s="99">
        <f>INDEX({"CAQ","PLQ","QS","PQ","PCQ","Autre"},MATCH(MAX(Q23:V23),Q23:V23,0))</f>
        <v/>
      </c>
      <c r="AP23" s="99">
        <f>INDEX({"CAQ","PLQ","QS","PQ","PCQ","Autre"},MATCH(MAX(W23:AB23),W23:AB23,0))</f>
        <v/>
      </c>
      <c r="AQ23" s="99">
        <f>INDEX({"CAQ","PLQ","QS","PQ","PCQ","Autre"},MATCH(MAX(AC23:AH23),AC23:AH23,0))</f>
        <v/>
      </c>
      <c r="AR23" s="99">
        <f>INDEX({"CAQ","PLQ","QS","PQ","PCQ","Autre"},MATCH(MAX(AI23:AN23),AI23:AN23,0))</f>
        <v/>
      </c>
      <c r="AS23" s="100">
        <f>(MAX(K23:P23)-LARGE(K23:P23,2))*100</f>
        <v/>
      </c>
      <c r="AT23" s="101">
        <f>IF(AS23&lt;5,"Oui","Non")</f>
        <v/>
      </c>
      <c r="AU23" s="102" t="n">
        <v>9.272</v>
      </c>
      <c r="AV23" s="102" t="n">
        <v>-9.789999999999999</v>
      </c>
      <c r="AW23" s="102" t="n">
        <v>-3.281</v>
      </c>
      <c r="AX23" s="102" t="n">
        <v>1.722</v>
      </c>
      <c r="AY23" s="96" t="n">
        <v>14451</v>
      </c>
      <c r="AZ23" s="96" t="n">
        <v>11207</v>
      </c>
      <c r="BA23" s="96" t="n">
        <v>5568</v>
      </c>
      <c r="BB23" s="96" t="n">
        <v>3236</v>
      </c>
      <c r="BC23" s="96" t="n">
        <v>808</v>
      </c>
      <c r="BD23" s="97">
        <f>AY23*INDEX(Régions!$AQ$2:$AQ$6,MATCH($B23,Régions!$A$2:$A$6,0))</f>
        <v/>
      </c>
      <c r="BE23" s="97">
        <f>AZ23*INDEX(Régions!$AR$2:$AR$6,MATCH($B23,Régions!$A$2:$A$6,0))</f>
        <v/>
      </c>
      <c r="BF23" s="97">
        <f>BA23*INDEX(Régions!$AS$2:$AS$6,MATCH($B23,Régions!$A$2:$A$6,0))</f>
        <v/>
      </c>
      <c r="BG23" s="97">
        <f>BB23*INDEX(Régions!$AT$2:$AT$6,MATCH($B23,Régions!$A$2:$A$6,0))</f>
        <v/>
      </c>
      <c r="BH23" s="97">
        <f>U23</f>
        <v/>
      </c>
      <c r="BI23" s="97">
        <f>BC23*INDEX(Régions!$AU$2:$AU$6,MATCH($B23,Régions!$A$2:$A$6,0))</f>
        <v/>
      </c>
      <c r="BJ23" s="97">
        <f>INDEX({"CAQ","PLQ","QS","PQ","PCQ","Autre"},MATCH(MAX(BD23:BI23),BD23:BI23,0))</f>
        <v/>
      </c>
    </row>
    <row r="24" ht="15" customHeight="1" s="60">
      <c r="A24" s="94" t="inlineStr">
        <is>
          <t>Charlesbourg</t>
        </is>
      </c>
      <c r="B24" s="94" t="inlineStr">
        <is>
          <t>Québec RMR</t>
        </is>
      </c>
      <c r="C24" s="95" t="inlineStr">
        <is>
          <t>CAQ</t>
        </is>
      </c>
      <c r="D24" s="96" t="n">
        <v>18921</v>
      </c>
      <c r="E24" s="96" t="n">
        <v>2518</v>
      </c>
      <c r="F24" s="96" t="n">
        <v>5486</v>
      </c>
      <c r="G24" s="96" t="n">
        <v>5967</v>
      </c>
      <c r="H24" s="96" t="n">
        <v>8564</v>
      </c>
      <c r="I24" s="96" t="n">
        <v>586</v>
      </c>
      <c r="J24" s="97">
        <f>SUM(D24:I24)</f>
        <v/>
      </c>
      <c r="K24" s="98">
        <f>IFERROR(D24/J24,0)</f>
        <v/>
      </c>
      <c r="L24" s="98">
        <f>IFERROR(E24/J24,0)</f>
        <v/>
      </c>
      <c r="M24" s="98">
        <f>IFERROR(F24/J24,0)</f>
        <v/>
      </c>
      <c r="N24" s="98">
        <f>IFERROR(G24/J24,0)</f>
        <v/>
      </c>
      <c r="O24" s="98">
        <f>IFERROR(H24/J24,0)</f>
        <v/>
      </c>
      <c r="P24" s="98">
        <f>IFERROR(I24/J24,0)</f>
        <v/>
      </c>
      <c r="Q24" s="97">
        <f>D24*INDEX(Régions!$T$2:$T$6,MATCH($B24,Régions!$A$2:$A$6,0))</f>
        <v/>
      </c>
      <c r="R24" s="97">
        <f>E24*INDEX(Régions!$U$2:$U$6,MATCH($B24,Régions!$A$2:$A$6,0))</f>
        <v/>
      </c>
      <c r="S24" s="97">
        <f>F24*INDEX(Régions!$V$2:$V$6,MATCH($B24,Régions!$A$2:$A$6,0))</f>
        <v/>
      </c>
      <c r="T24" s="97">
        <f>G24*INDEX(Régions!$W$2:$W$6,MATCH($B24,Régions!$A$2:$A$6,0))</f>
        <v/>
      </c>
      <c r="U24" s="97">
        <f>H24*INDEX(Régions!$X$2:$X$6,MATCH($B24,Régions!$A$2:$A$6,0))</f>
        <v/>
      </c>
      <c r="V24" s="97">
        <f>I24*INDEX(Régions!$Y$2:$Y$6,MATCH($B24,Régions!$A$2:$A$6,0))</f>
        <v/>
      </c>
      <c r="W24" s="97">
        <f>Q24+(AU24/100)*J24*Régions!$O$2</f>
        <v/>
      </c>
      <c r="X24" s="97">
        <f>R24+(AV24/100)*J24*Régions!$O$2</f>
        <v/>
      </c>
      <c r="Y24" s="97">
        <f>S24+(AW24/100)*J24*Régions!$O$2</f>
        <v/>
      </c>
      <c r="Z24" s="97">
        <f>T24+(AX24/100)*J24*Régions!$O$2</f>
        <v/>
      </c>
      <c r="AA24" s="97">
        <f>U24</f>
        <v/>
      </c>
      <c r="AB24" s="97">
        <f>V24</f>
        <v/>
      </c>
      <c r="AC24" s="97">
        <f>D24*INDEX(Régions!$Z$2:$Z$6,MATCH($B24,Régions!$A$2:$A$6,0))</f>
        <v/>
      </c>
      <c r="AD24" s="97">
        <f>E24*INDEX(Régions!$AA$2:$AA$6,MATCH($B24,Régions!$A$2:$A$6,0))</f>
        <v/>
      </c>
      <c r="AE24" s="97">
        <f>F24*INDEX(Régions!$AB$2:$AB$6,MATCH($B24,Régions!$A$2:$A$6,0))</f>
        <v/>
      </c>
      <c r="AF24" s="97">
        <f>G24*INDEX(Régions!$AC$2:$AC$6,MATCH($B24,Régions!$A$2:$A$6,0))</f>
        <v/>
      </c>
      <c r="AG24" s="97">
        <f>H24*INDEX(Régions!$AD$2:$AD$6,MATCH($B24,Régions!$A$2:$A$6,0))</f>
        <v/>
      </c>
      <c r="AH24" s="97">
        <f>I24*INDEX(Régions!$AE$2:$AE$6,MATCH($B24,Régions!$A$2:$A$6,0))</f>
        <v/>
      </c>
      <c r="AI24" s="97">
        <f>D24*INDEX(Régions!$AF$2:$AF$6,MATCH($B24,Régions!$A$2:$A$6,0))</f>
        <v/>
      </c>
      <c r="AJ24" s="97">
        <f>E24*INDEX(Régions!$AG$2:$AG$6,MATCH($B24,Régions!$A$2:$A$6,0))</f>
        <v/>
      </c>
      <c r="AK24" s="97">
        <f>F24*INDEX(Régions!$AH$2:$AH$6,MATCH($B24,Régions!$A$2:$A$6,0))</f>
        <v/>
      </c>
      <c r="AL24" s="97">
        <f>G24*INDEX(Régions!$AI$2:$AI$6,MATCH($B24,Régions!$A$2:$A$6,0))</f>
        <v/>
      </c>
      <c r="AM24" s="97">
        <f>H24*INDEX(Régions!$AJ$2:$AJ$6,MATCH($B24,Régions!$A$2:$A$6,0))</f>
        <v/>
      </c>
      <c r="AN24" s="97">
        <f>I24*INDEX(Régions!$AK$2:$AK$6,MATCH($B24,Régions!$A$2:$A$6,0))</f>
        <v/>
      </c>
      <c r="AO24" s="99">
        <f>INDEX({"CAQ","PLQ","QS","PQ","PCQ","Autre"},MATCH(MAX(Q24:V24),Q24:V24,0))</f>
        <v/>
      </c>
      <c r="AP24" s="99">
        <f>INDEX({"CAQ","PLQ","QS","PQ","PCQ","Autre"},MATCH(MAX(W24:AB24),W24:AB24,0))</f>
        <v/>
      </c>
      <c r="AQ24" s="99">
        <f>INDEX({"CAQ","PLQ","QS","PQ","PCQ","Autre"},MATCH(MAX(AC24:AH24),AC24:AH24,0))</f>
        <v/>
      </c>
      <c r="AR24" s="99">
        <f>INDEX({"CAQ","PLQ","QS","PQ","PCQ","Autre"},MATCH(MAX(AI24:AN24),AI24:AN24,0))</f>
        <v/>
      </c>
      <c r="AS24" s="100">
        <f>(MAX(K24:P24)-LARGE(K24:P24,2))*100</f>
        <v/>
      </c>
      <c r="AT24" s="101">
        <f>IF(AS24&lt;5,"Oui","Non")</f>
        <v/>
      </c>
      <c r="AU24" s="102" t="n">
        <v>-0.019</v>
      </c>
      <c r="AV24" s="102" t="n">
        <v>-1.586</v>
      </c>
      <c r="AW24" s="102" t="n">
        <v>-0.029</v>
      </c>
      <c r="AX24" s="102" t="n">
        <v>0.522</v>
      </c>
      <c r="AY24" s="96" t="n">
        <v>19985</v>
      </c>
      <c r="AZ24" s="96" t="n">
        <v>9319</v>
      </c>
      <c r="BA24" s="96" t="n">
        <v>5613</v>
      </c>
      <c r="BB24" s="96" t="n">
        <v>4868</v>
      </c>
      <c r="BC24" s="96" t="n">
        <v>1742</v>
      </c>
      <c r="BD24" s="97">
        <f>AY24*INDEX(Régions!$AQ$2:$AQ$6,MATCH($B24,Régions!$A$2:$A$6,0))</f>
        <v/>
      </c>
      <c r="BE24" s="97">
        <f>AZ24*INDEX(Régions!$AR$2:$AR$6,MATCH($B24,Régions!$A$2:$A$6,0))</f>
        <v/>
      </c>
      <c r="BF24" s="97">
        <f>BA24*INDEX(Régions!$AS$2:$AS$6,MATCH($B24,Régions!$A$2:$A$6,0))</f>
        <v/>
      </c>
      <c r="BG24" s="97">
        <f>BB24*INDEX(Régions!$AT$2:$AT$6,MATCH($B24,Régions!$A$2:$A$6,0))</f>
        <v/>
      </c>
      <c r="BH24" s="97">
        <f>U24</f>
        <v/>
      </c>
      <c r="BI24" s="97">
        <f>BC24*INDEX(Régions!$AU$2:$AU$6,MATCH($B24,Régions!$A$2:$A$6,0))</f>
        <v/>
      </c>
      <c r="BJ24" s="97">
        <f>INDEX({"CAQ","PLQ","QS","PQ","PCQ","Autre"},MATCH(MAX(BD24:BI24),BD24:BI24,0))</f>
        <v/>
      </c>
    </row>
    <row r="25" ht="15" customHeight="1" s="60">
      <c r="A25" s="94" t="inlineStr">
        <is>
          <t>Charlevoix–Côte-de-Beaupré</t>
        </is>
      </c>
      <c r="B25" s="94" t="inlineStr">
        <is>
          <t>Québec RMR</t>
        </is>
      </c>
      <c r="C25" s="95" t="inlineStr">
        <is>
          <t>CAQ</t>
        </is>
      </c>
      <c r="D25" s="96" t="n">
        <v>17979</v>
      </c>
      <c r="E25" s="96" t="n">
        <v>1756</v>
      </c>
      <c r="F25" s="96" t="n">
        <v>4677</v>
      </c>
      <c r="G25" s="96" t="n">
        <v>6041</v>
      </c>
      <c r="H25" s="96" t="n">
        <v>6763</v>
      </c>
      <c r="I25" s="96" t="n">
        <v>106</v>
      </c>
      <c r="J25" s="97">
        <f>SUM(D25:I25)</f>
        <v/>
      </c>
      <c r="K25" s="98">
        <f>IFERROR(D25/J25,0)</f>
        <v/>
      </c>
      <c r="L25" s="98">
        <f>IFERROR(E25/J25,0)</f>
        <v/>
      </c>
      <c r="M25" s="98">
        <f>IFERROR(F25/J25,0)</f>
        <v/>
      </c>
      <c r="N25" s="98">
        <f>IFERROR(G25/J25,0)</f>
        <v/>
      </c>
      <c r="O25" s="98">
        <f>IFERROR(H25/J25,0)</f>
        <v/>
      </c>
      <c r="P25" s="98">
        <f>IFERROR(I25/J25,0)</f>
        <v/>
      </c>
      <c r="Q25" s="97">
        <f>D25*INDEX(Régions!$T$2:$T$6,MATCH($B25,Régions!$A$2:$A$6,0))</f>
        <v/>
      </c>
      <c r="R25" s="97">
        <f>E25*INDEX(Régions!$U$2:$U$6,MATCH($B25,Régions!$A$2:$A$6,0))</f>
        <v/>
      </c>
      <c r="S25" s="97">
        <f>F25*INDEX(Régions!$V$2:$V$6,MATCH($B25,Régions!$A$2:$A$6,0))</f>
        <v/>
      </c>
      <c r="T25" s="97">
        <f>G25*INDEX(Régions!$W$2:$W$6,MATCH($B25,Régions!$A$2:$A$6,0))</f>
        <v/>
      </c>
      <c r="U25" s="97">
        <f>H25*INDEX(Régions!$X$2:$X$6,MATCH($B25,Régions!$A$2:$A$6,0))</f>
        <v/>
      </c>
      <c r="V25" s="97">
        <f>I25*INDEX(Régions!$Y$2:$Y$6,MATCH($B25,Régions!$A$2:$A$6,0))</f>
        <v/>
      </c>
      <c r="W25" s="97">
        <f>Q25+(AU25/100)*J25*Régions!$O$2</f>
        <v/>
      </c>
      <c r="X25" s="97">
        <f>R25+(AV25/100)*J25*Régions!$O$2</f>
        <v/>
      </c>
      <c r="Y25" s="97">
        <f>S25+(AW25/100)*J25*Régions!$O$2</f>
        <v/>
      </c>
      <c r="Z25" s="97">
        <f>T25+(AX25/100)*J25*Régions!$O$2</f>
        <v/>
      </c>
      <c r="AA25" s="97">
        <f>U25</f>
        <v/>
      </c>
      <c r="AB25" s="97">
        <f>V25</f>
        <v/>
      </c>
      <c r="AC25" s="97">
        <f>D25*INDEX(Régions!$Z$2:$Z$6,MATCH($B25,Régions!$A$2:$A$6,0))</f>
        <v/>
      </c>
      <c r="AD25" s="97">
        <f>E25*INDEX(Régions!$AA$2:$AA$6,MATCH($B25,Régions!$A$2:$A$6,0))</f>
        <v/>
      </c>
      <c r="AE25" s="97">
        <f>F25*INDEX(Régions!$AB$2:$AB$6,MATCH($B25,Régions!$A$2:$A$6,0))</f>
        <v/>
      </c>
      <c r="AF25" s="97">
        <f>G25*INDEX(Régions!$AC$2:$AC$6,MATCH($B25,Régions!$A$2:$A$6,0))</f>
        <v/>
      </c>
      <c r="AG25" s="97">
        <f>H25*INDEX(Régions!$AD$2:$AD$6,MATCH($B25,Régions!$A$2:$A$6,0))</f>
        <v/>
      </c>
      <c r="AH25" s="97">
        <f>I25*INDEX(Régions!$AE$2:$AE$6,MATCH($B25,Régions!$A$2:$A$6,0))</f>
        <v/>
      </c>
      <c r="AI25" s="97">
        <f>D25*INDEX(Régions!$AF$2:$AF$6,MATCH($B25,Régions!$A$2:$A$6,0))</f>
        <v/>
      </c>
      <c r="AJ25" s="97">
        <f>E25*INDEX(Régions!$AG$2:$AG$6,MATCH($B25,Régions!$A$2:$A$6,0))</f>
        <v/>
      </c>
      <c r="AK25" s="97">
        <f>F25*INDEX(Régions!$AH$2:$AH$6,MATCH($B25,Régions!$A$2:$A$6,0))</f>
        <v/>
      </c>
      <c r="AL25" s="97">
        <f>G25*INDEX(Régions!$AI$2:$AI$6,MATCH($B25,Régions!$A$2:$A$6,0))</f>
        <v/>
      </c>
      <c r="AM25" s="97">
        <f>H25*INDEX(Régions!$AJ$2:$AJ$6,MATCH($B25,Régions!$A$2:$A$6,0))</f>
        <v/>
      </c>
      <c r="AN25" s="97">
        <f>I25*INDEX(Régions!$AK$2:$AK$6,MATCH($B25,Régions!$A$2:$A$6,0))</f>
        <v/>
      </c>
      <c r="AO25" s="99">
        <f>INDEX({"CAQ","PLQ","QS","PQ","PCQ","Autre"},MATCH(MAX(Q25:V25),Q25:V25,0))</f>
        <v/>
      </c>
      <c r="AP25" s="99">
        <f>INDEX({"CAQ","PLQ","QS","PQ","PCQ","Autre"},MATCH(MAX(W25:AB25),W25:AB25,0))</f>
        <v/>
      </c>
      <c r="AQ25" s="99">
        <f>INDEX({"CAQ","PLQ","QS","PQ","PCQ","Autre"},MATCH(MAX(AC25:AH25),AC25:AH25,0))</f>
        <v/>
      </c>
      <c r="AR25" s="99">
        <f>INDEX({"CAQ","PLQ","QS","PQ","PCQ","Autre"},MATCH(MAX(AI25:AN25),AI25:AN25,0))</f>
        <v/>
      </c>
      <c r="AS25" s="100">
        <f>(MAX(K25:P25)-LARGE(K25:P25,2))*100</f>
        <v/>
      </c>
      <c r="AT25" s="101">
        <f>IF(AS25&lt;5,"Oui","Non")</f>
        <v/>
      </c>
      <c r="AU25" s="102" t="n">
        <v>5.903</v>
      </c>
      <c r="AV25" s="102" t="n">
        <v>-3.088</v>
      </c>
      <c r="AW25" s="102" t="n">
        <v>0.097</v>
      </c>
      <c r="AX25" s="102" t="n">
        <v>-3.069</v>
      </c>
      <c r="AY25" s="96" t="n">
        <v>15762</v>
      </c>
      <c r="AZ25" s="96" t="n">
        <v>7871</v>
      </c>
      <c r="BA25" s="96" t="n">
        <v>4472</v>
      </c>
      <c r="BB25" s="96" t="n">
        <v>6012</v>
      </c>
      <c r="BC25" s="96" t="n">
        <v>622</v>
      </c>
      <c r="BD25" s="97">
        <f>AY25*INDEX(Régions!$AQ$2:$AQ$6,MATCH($B25,Régions!$A$2:$A$6,0))</f>
        <v/>
      </c>
      <c r="BE25" s="97">
        <f>AZ25*INDEX(Régions!$AR$2:$AR$6,MATCH($B25,Régions!$A$2:$A$6,0))</f>
        <v/>
      </c>
      <c r="BF25" s="97">
        <f>BA25*INDEX(Régions!$AS$2:$AS$6,MATCH($B25,Régions!$A$2:$A$6,0))</f>
        <v/>
      </c>
      <c r="BG25" s="97">
        <f>BB25*INDEX(Régions!$AT$2:$AT$6,MATCH($B25,Régions!$A$2:$A$6,0))</f>
        <v/>
      </c>
      <c r="BH25" s="97">
        <f>U25</f>
        <v/>
      </c>
      <c r="BI25" s="97">
        <f>BC25*INDEX(Régions!$AU$2:$AU$6,MATCH($B25,Régions!$A$2:$A$6,0))</f>
        <v/>
      </c>
      <c r="BJ25" s="97">
        <f>INDEX({"CAQ","PLQ","QS","PQ","PCQ","Autre"},MATCH(MAX(BD25:BI25),BD25:BI25,0))</f>
        <v/>
      </c>
    </row>
    <row r="26" ht="15" customHeight="1" s="60">
      <c r="A26" s="94" t="inlineStr">
        <is>
          <t>Chauveau</t>
        </is>
      </c>
      <c r="B26" s="94" t="inlineStr">
        <is>
          <t>Québec RMR</t>
        </is>
      </c>
      <c r="C26" s="95" t="inlineStr">
        <is>
          <t>CAQ</t>
        </is>
      </c>
      <c r="D26" s="96" t="n">
        <v>20292</v>
      </c>
      <c r="E26" s="96" t="n">
        <v>1651</v>
      </c>
      <c r="F26" s="96" t="n">
        <v>3816</v>
      </c>
      <c r="G26" s="96" t="n">
        <v>3307</v>
      </c>
      <c r="H26" s="96" t="n">
        <v>13794</v>
      </c>
      <c r="I26" s="96" t="n">
        <v>458</v>
      </c>
      <c r="J26" s="97">
        <f>SUM(D26:I26)</f>
        <v/>
      </c>
      <c r="K26" s="98">
        <f>IFERROR(D26/J26,0)</f>
        <v/>
      </c>
      <c r="L26" s="98">
        <f>IFERROR(E26/J26,0)</f>
        <v/>
      </c>
      <c r="M26" s="98">
        <f>IFERROR(F26/J26,0)</f>
        <v/>
      </c>
      <c r="N26" s="98">
        <f>IFERROR(G26/J26,0)</f>
        <v/>
      </c>
      <c r="O26" s="98">
        <f>IFERROR(H26/J26,0)</f>
        <v/>
      </c>
      <c r="P26" s="98">
        <f>IFERROR(I26/J26,0)</f>
        <v/>
      </c>
      <c r="Q26" s="97">
        <f>D26*INDEX(Régions!$T$2:$T$6,MATCH($B26,Régions!$A$2:$A$6,0))</f>
        <v/>
      </c>
      <c r="R26" s="97">
        <f>E26*INDEX(Régions!$U$2:$U$6,MATCH($B26,Régions!$A$2:$A$6,0))</f>
        <v/>
      </c>
      <c r="S26" s="97">
        <f>F26*INDEX(Régions!$V$2:$V$6,MATCH($B26,Régions!$A$2:$A$6,0))</f>
        <v/>
      </c>
      <c r="T26" s="97">
        <f>G26*INDEX(Régions!$W$2:$W$6,MATCH($B26,Régions!$A$2:$A$6,0))</f>
        <v/>
      </c>
      <c r="U26" s="97">
        <f>H26*INDEX(Régions!$X$2:$X$6,MATCH($B26,Régions!$A$2:$A$6,0))</f>
        <v/>
      </c>
      <c r="V26" s="97">
        <f>I26*INDEX(Régions!$Y$2:$Y$6,MATCH($B26,Régions!$A$2:$A$6,0))</f>
        <v/>
      </c>
      <c r="W26" s="97">
        <f>Q26+(AU26/100)*J26*Régions!$O$2</f>
        <v/>
      </c>
      <c r="X26" s="97">
        <f>R26+(AV26/100)*J26*Régions!$O$2</f>
        <v/>
      </c>
      <c r="Y26" s="97">
        <f>S26+(AW26/100)*J26*Régions!$O$2</f>
        <v/>
      </c>
      <c r="Z26" s="97">
        <f>T26+(AX26/100)*J26*Régions!$O$2</f>
        <v/>
      </c>
      <c r="AA26" s="97">
        <f>U26</f>
        <v/>
      </c>
      <c r="AB26" s="97">
        <f>V26</f>
        <v/>
      </c>
      <c r="AC26" s="97">
        <f>D26*INDEX(Régions!$Z$2:$Z$6,MATCH($B26,Régions!$A$2:$A$6,0))</f>
        <v/>
      </c>
      <c r="AD26" s="97">
        <f>E26*INDEX(Régions!$AA$2:$AA$6,MATCH($B26,Régions!$A$2:$A$6,0))</f>
        <v/>
      </c>
      <c r="AE26" s="97">
        <f>F26*INDEX(Régions!$AB$2:$AB$6,MATCH($B26,Régions!$A$2:$A$6,0))</f>
        <v/>
      </c>
      <c r="AF26" s="97">
        <f>G26*INDEX(Régions!$AC$2:$AC$6,MATCH($B26,Régions!$A$2:$A$6,0))</f>
        <v/>
      </c>
      <c r="AG26" s="97">
        <f>H26*INDEX(Régions!$AD$2:$AD$6,MATCH($B26,Régions!$A$2:$A$6,0))</f>
        <v/>
      </c>
      <c r="AH26" s="97">
        <f>I26*INDEX(Régions!$AE$2:$AE$6,MATCH($B26,Régions!$A$2:$A$6,0))</f>
        <v/>
      </c>
      <c r="AI26" s="97">
        <f>D26*INDEX(Régions!$AF$2:$AF$6,MATCH($B26,Régions!$A$2:$A$6,0))</f>
        <v/>
      </c>
      <c r="AJ26" s="97">
        <f>E26*INDEX(Régions!$AG$2:$AG$6,MATCH($B26,Régions!$A$2:$A$6,0))</f>
        <v/>
      </c>
      <c r="AK26" s="97">
        <f>F26*INDEX(Régions!$AH$2:$AH$6,MATCH($B26,Régions!$A$2:$A$6,0))</f>
        <v/>
      </c>
      <c r="AL26" s="97">
        <f>G26*INDEX(Régions!$AI$2:$AI$6,MATCH($B26,Régions!$A$2:$A$6,0))</f>
        <v/>
      </c>
      <c r="AM26" s="97">
        <f>H26*INDEX(Régions!$AJ$2:$AJ$6,MATCH($B26,Régions!$A$2:$A$6,0))</f>
        <v/>
      </c>
      <c r="AN26" s="97">
        <f>I26*INDEX(Régions!$AK$2:$AK$6,MATCH($B26,Régions!$A$2:$A$6,0))</f>
        <v/>
      </c>
      <c r="AO26" s="99">
        <f>INDEX({"CAQ","PLQ","QS","PQ","PCQ","Autre"},MATCH(MAX(Q26:V26),Q26:V26,0))</f>
        <v/>
      </c>
      <c r="AP26" s="99">
        <f>INDEX({"CAQ","PLQ","QS","PQ","PCQ","Autre"},MATCH(MAX(W26:AB26),W26:AB26,0))</f>
        <v/>
      </c>
      <c r="AQ26" s="99">
        <f>INDEX({"CAQ","PLQ","QS","PQ","PCQ","Autre"},MATCH(MAX(AC26:AH26),AC26:AH26,0))</f>
        <v/>
      </c>
      <c r="AR26" s="99">
        <f>INDEX({"CAQ","PLQ","QS","PQ","PCQ","Autre"},MATCH(MAX(AI26:AN26),AI26:AN26,0))</f>
        <v/>
      </c>
      <c r="AS26" s="100">
        <f>(MAX(K26:P26)-LARGE(K26:P26,2))*100</f>
        <v/>
      </c>
      <c r="AT26" s="101">
        <f>IF(AS26&lt;5,"Oui","Non")</f>
        <v/>
      </c>
      <c r="AU26" s="102" t="n">
        <v>2.881</v>
      </c>
      <c r="AV26" s="102" t="n">
        <v>-3.796</v>
      </c>
      <c r="AW26" s="102" t="n">
        <v>-1.103</v>
      </c>
      <c r="AX26" s="102" t="n">
        <v>-3.519</v>
      </c>
      <c r="AY26" s="96" t="n">
        <v>18424</v>
      </c>
      <c r="AZ26" s="96" t="n">
        <v>8797</v>
      </c>
      <c r="BA26" s="96" t="n">
        <v>4052</v>
      </c>
      <c r="BB26" s="96" t="n">
        <v>3603</v>
      </c>
      <c r="BC26" s="96" t="n">
        <v>4270</v>
      </c>
      <c r="BD26" s="97">
        <f>AY26*INDEX(Régions!$AQ$2:$AQ$6,MATCH($B26,Régions!$A$2:$A$6,0))</f>
        <v/>
      </c>
      <c r="BE26" s="97">
        <f>AZ26*INDEX(Régions!$AR$2:$AR$6,MATCH($B26,Régions!$A$2:$A$6,0))</f>
        <v/>
      </c>
      <c r="BF26" s="97">
        <f>BA26*INDEX(Régions!$AS$2:$AS$6,MATCH($B26,Régions!$A$2:$A$6,0))</f>
        <v/>
      </c>
      <c r="BG26" s="97">
        <f>BB26*INDEX(Régions!$AT$2:$AT$6,MATCH($B26,Régions!$A$2:$A$6,0))</f>
        <v/>
      </c>
      <c r="BH26" s="97">
        <f>U26</f>
        <v/>
      </c>
      <c r="BI26" s="97">
        <f>BC26*INDEX(Régions!$AU$2:$AU$6,MATCH($B26,Régions!$A$2:$A$6,0))</f>
        <v/>
      </c>
      <c r="BJ26" s="97">
        <f>INDEX({"CAQ","PLQ","QS","PQ","PCQ","Autre"},MATCH(MAX(BD26:BI26),BD26:BI26,0))</f>
        <v/>
      </c>
    </row>
    <row r="27" ht="15" customHeight="1" s="60">
      <c r="A27" s="94" t="inlineStr">
        <is>
          <t>Chicoutimi</t>
        </is>
      </c>
      <c r="B27" s="94" t="inlineStr">
        <is>
          <t>Reste du Québec</t>
        </is>
      </c>
      <c r="C27" s="95" t="inlineStr">
        <is>
          <t>CAQ</t>
        </is>
      </c>
      <c r="D27" s="96" t="n">
        <v>19297</v>
      </c>
      <c r="E27" s="96" t="n">
        <v>941</v>
      </c>
      <c r="F27" s="96" t="n">
        <v>3732</v>
      </c>
      <c r="G27" s="96" t="n">
        <v>4404</v>
      </c>
      <c r="H27" s="96" t="n">
        <v>2613</v>
      </c>
      <c r="I27" s="96" t="n">
        <v>0</v>
      </c>
      <c r="J27" s="97">
        <f>SUM(D27:I27)</f>
        <v/>
      </c>
      <c r="K27" s="98">
        <f>IFERROR(D27/J27,0)</f>
        <v/>
      </c>
      <c r="L27" s="98">
        <f>IFERROR(E27/J27,0)</f>
        <v/>
      </c>
      <c r="M27" s="98">
        <f>IFERROR(F27/J27,0)</f>
        <v/>
      </c>
      <c r="N27" s="98">
        <f>IFERROR(G27/J27,0)</f>
        <v/>
      </c>
      <c r="O27" s="98">
        <f>IFERROR(H27/J27,0)</f>
        <v/>
      </c>
      <c r="P27" s="98">
        <f>IFERROR(I27/J27,0)</f>
        <v/>
      </c>
      <c r="Q27" s="97">
        <f>D27*INDEX(Régions!$T$2:$T$6,MATCH($B27,Régions!$A$2:$A$6,0))</f>
        <v/>
      </c>
      <c r="R27" s="97">
        <f>E27*INDEX(Régions!$U$2:$U$6,MATCH($B27,Régions!$A$2:$A$6,0))</f>
        <v/>
      </c>
      <c r="S27" s="97">
        <f>F27*INDEX(Régions!$V$2:$V$6,MATCH($B27,Régions!$A$2:$A$6,0))</f>
        <v/>
      </c>
      <c r="T27" s="97">
        <f>G27*INDEX(Régions!$W$2:$W$6,MATCH($B27,Régions!$A$2:$A$6,0))</f>
        <v/>
      </c>
      <c r="U27" s="97">
        <f>H27*INDEX(Régions!$X$2:$X$6,MATCH($B27,Régions!$A$2:$A$6,0))</f>
        <v/>
      </c>
      <c r="V27" s="97">
        <f>I27*INDEX(Régions!$Y$2:$Y$6,MATCH($B27,Régions!$A$2:$A$6,0))</f>
        <v/>
      </c>
      <c r="W27" s="97">
        <f>Q27+(AU27/100)*J27*Régions!$O$2</f>
        <v/>
      </c>
      <c r="X27" s="97">
        <f>R27+(AV27/100)*J27*Régions!$O$2</f>
        <v/>
      </c>
      <c r="Y27" s="97">
        <f>S27+(AW27/100)*J27*Régions!$O$2</f>
        <v/>
      </c>
      <c r="Z27" s="97">
        <f>T27+(AX27/100)*J27*Régions!$O$2</f>
        <v/>
      </c>
      <c r="AA27" s="97">
        <f>U27</f>
        <v/>
      </c>
      <c r="AB27" s="97">
        <f>V27</f>
        <v/>
      </c>
      <c r="AC27" s="97">
        <f>D27*INDEX(Régions!$Z$2:$Z$6,MATCH($B27,Régions!$A$2:$A$6,0))</f>
        <v/>
      </c>
      <c r="AD27" s="97">
        <f>E27*INDEX(Régions!$AA$2:$AA$6,MATCH($B27,Régions!$A$2:$A$6,0))</f>
        <v/>
      </c>
      <c r="AE27" s="97">
        <f>F27*INDEX(Régions!$AB$2:$AB$6,MATCH($B27,Régions!$A$2:$A$6,0))</f>
        <v/>
      </c>
      <c r="AF27" s="97">
        <f>G27*INDEX(Régions!$AC$2:$AC$6,MATCH($B27,Régions!$A$2:$A$6,0))</f>
        <v/>
      </c>
      <c r="AG27" s="97">
        <f>H27*INDEX(Régions!$AD$2:$AD$6,MATCH($B27,Régions!$A$2:$A$6,0))</f>
        <v/>
      </c>
      <c r="AH27" s="97">
        <f>I27*INDEX(Régions!$AE$2:$AE$6,MATCH($B27,Régions!$A$2:$A$6,0))</f>
        <v/>
      </c>
      <c r="AI27" s="97">
        <f>D27*INDEX(Régions!$AF$2:$AF$6,MATCH($B27,Régions!$A$2:$A$6,0))</f>
        <v/>
      </c>
      <c r="AJ27" s="97">
        <f>E27*INDEX(Régions!$AG$2:$AG$6,MATCH($B27,Régions!$A$2:$A$6,0))</f>
        <v/>
      </c>
      <c r="AK27" s="97">
        <f>F27*INDEX(Régions!$AH$2:$AH$6,MATCH($B27,Régions!$A$2:$A$6,0))</f>
        <v/>
      </c>
      <c r="AL27" s="97">
        <f>G27*INDEX(Régions!$AI$2:$AI$6,MATCH($B27,Régions!$A$2:$A$6,0))</f>
        <v/>
      </c>
      <c r="AM27" s="97">
        <f>H27*INDEX(Régions!$AJ$2:$AJ$6,MATCH($B27,Régions!$A$2:$A$6,0))</f>
        <v/>
      </c>
      <c r="AN27" s="97">
        <f>I27*INDEX(Régions!$AK$2:$AK$6,MATCH($B27,Régions!$A$2:$A$6,0))</f>
        <v/>
      </c>
      <c r="AO27" s="99">
        <f>INDEX({"CAQ","PLQ","QS","PQ","PCQ","Autre"},MATCH(MAX(Q27:V27),Q27:V27,0))</f>
        <v/>
      </c>
      <c r="AP27" s="99">
        <f>INDEX({"CAQ","PLQ","QS","PQ","PCQ","Autre"},MATCH(MAX(W27:AB27),W27:AB27,0))</f>
        <v/>
      </c>
      <c r="AQ27" s="99">
        <f>INDEX({"CAQ","PLQ","QS","PQ","PCQ","Autre"},MATCH(MAX(AC27:AH27),AC27:AH27,0))</f>
        <v/>
      </c>
      <c r="AR27" s="99">
        <f>INDEX({"CAQ","PLQ","QS","PQ","PCQ","Autre"},MATCH(MAX(AI27:AN27),AI27:AN27,0))</f>
        <v/>
      </c>
      <c r="AS27" s="100">
        <f>(MAX(K27:P27)-LARGE(K27:P27,2))*100</f>
        <v/>
      </c>
      <c r="AT27" s="101">
        <f>IF(AS27&lt;5,"Oui","Non")</f>
        <v/>
      </c>
      <c r="AU27" s="102" t="n">
        <v>17.064</v>
      </c>
      <c r="AV27" s="102" t="n">
        <v>-3.951</v>
      </c>
      <c r="AW27" s="102" t="n">
        <v>0.151</v>
      </c>
      <c r="AX27" s="102" t="n">
        <v>-6.76</v>
      </c>
      <c r="AY27" s="96" t="n">
        <v>12093</v>
      </c>
      <c r="AZ27" s="96" t="n">
        <v>6079</v>
      </c>
      <c r="BA27" s="96" t="n">
        <v>3967</v>
      </c>
      <c r="BB27" s="96" t="n">
        <v>7688</v>
      </c>
      <c r="BC27" s="96" t="n">
        <v>975</v>
      </c>
      <c r="BD27" s="97">
        <f>AY27*INDEX(Régions!$AQ$2:$AQ$6,MATCH($B27,Régions!$A$2:$A$6,0))</f>
        <v/>
      </c>
      <c r="BE27" s="97">
        <f>AZ27*INDEX(Régions!$AR$2:$AR$6,MATCH($B27,Régions!$A$2:$A$6,0))</f>
        <v/>
      </c>
      <c r="BF27" s="97">
        <f>BA27*INDEX(Régions!$AS$2:$AS$6,MATCH($B27,Régions!$A$2:$A$6,0))</f>
        <v/>
      </c>
      <c r="BG27" s="97">
        <f>BB27*INDEX(Régions!$AT$2:$AT$6,MATCH($B27,Régions!$A$2:$A$6,0))</f>
        <v/>
      </c>
      <c r="BH27" s="97">
        <f>U27</f>
        <v/>
      </c>
      <c r="BI27" s="97">
        <f>BC27*INDEX(Régions!$AU$2:$AU$6,MATCH($B27,Régions!$A$2:$A$6,0))</f>
        <v/>
      </c>
      <c r="BJ27" s="97">
        <f>INDEX({"CAQ","PLQ","QS","PQ","PCQ","Autre"},MATCH(MAX(BD27:BI27),BD27:BI27,0))</f>
        <v/>
      </c>
    </row>
    <row r="28" ht="15" customHeight="1" s="60">
      <c r="A28" s="94" t="inlineStr">
        <is>
          <t>Chomedey</t>
        </is>
      </c>
      <c r="B28" s="94" t="inlineStr">
        <is>
          <t>Banlieue de Montréal</t>
        </is>
      </c>
      <c r="C28" s="95" t="inlineStr">
        <is>
          <t>PLQ</t>
        </is>
      </c>
      <c r="D28" s="96" t="n">
        <v>7796</v>
      </c>
      <c r="E28" s="96" t="n">
        <v>10664</v>
      </c>
      <c r="F28" s="96" t="n">
        <v>2304</v>
      </c>
      <c r="G28" s="96" t="n">
        <v>2100</v>
      </c>
      <c r="H28" s="96" t="n">
        <v>5798</v>
      </c>
      <c r="I28" s="96" t="n">
        <v>539</v>
      </c>
      <c r="J28" s="97">
        <f>SUM(D28:I28)</f>
        <v/>
      </c>
      <c r="K28" s="98">
        <f>IFERROR(D28/J28,0)</f>
        <v/>
      </c>
      <c r="L28" s="98">
        <f>IFERROR(E28/J28,0)</f>
        <v/>
      </c>
      <c r="M28" s="98">
        <f>IFERROR(F28/J28,0)</f>
        <v/>
      </c>
      <c r="N28" s="98">
        <f>IFERROR(G28/J28,0)</f>
        <v/>
      </c>
      <c r="O28" s="98">
        <f>IFERROR(H28/J28,0)</f>
        <v/>
      </c>
      <c r="P28" s="98">
        <f>IFERROR(I28/J28,0)</f>
        <v/>
      </c>
      <c r="Q28" s="97">
        <f>D28*INDEX(Régions!$T$2:$T$6,MATCH($B28,Régions!$A$2:$A$6,0))</f>
        <v/>
      </c>
      <c r="R28" s="97">
        <f>E28*INDEX(Régions!$U$2:$U$6,MATCH($B28,Régions!$A$2:$A$6,0))</f>
        <v/>
      </c>
      <c r="S28" s="97">
        <f>F28*INDEX(Régions!$V$2:$V$6,MATCH($B28,Régions!$A$2:$A$6,0))</f>
        <v/>
      </c>
      <c r="T28" s="97">
        <f>G28*INDEX(Régions!$W$2:$W$6,MATCH($B28,Régions!$A$2:$A$6,0))</f>
        <v/>
      </c>
      <c r="U28" s="97">
        <f>H28*INDEX(Régions!$X$2:$X$6,MATCH($B28,Régions!$A$2:$A$6,0))</f>
        <v/>
      </c>
      <c r="V28" s="97">
        <f>I28*INDEX(Régions!$Y$2:$Y$6,MATCH($B28,Régions!$A$2:$A$6,0))</f>
        <v/>
      </c>
      <c r="W28" s="97">
        <f>Q28+(AU28/100)*J28*Régions!$O$2</f>
        <v/>
      </c>
      <c r="X28" s="97">
        <f>R28+(AV28/100)*J28*Régions!$O$2</f>
        <v/>
      </c>
      <c r="Y28" s="97">
        <f>S28+(AW28/100)*J28*Régions!$O$2</f>
        <v/>
      </c>
      <c r="Z28" s="97">
        <f>T28+(AX28/100)*J28*Régions!$O$2</f>
        <v/>
      </c>
      <c r="AA28" s="97">
        <f>U28</f>
        <v/>
      </c>
      <c r="AB28" s="97">
        <f>V28</f>
        <v/>
      </c>
      <c r="AC28" s="97">
        <f>D28*INDEX(Régions!$Z$2:$Z$6,MATCH($B28,Régions!$A$2:$A$6,0))</f>
        <v/>
      </c>
      <c r="AD28" s="97">
        <f>E28*INDEX(Régions!$AA$2:$AA$6,MATCH($B28,Régions!$A$2:$A$6,0))</f>
        <v/>
      </c>
      <c r="AE28" s="97">
        <f>F28*INDEX(Régions!$AB$2:$AB$6,MATCH($B28,Régions!$A$2:$A$6,0))</f>
        <v/>
      </c>
      <c r="AF28" s="97">
        <f>G28*INDEX(Régions!$AC$2:$AC$6,MATCH($B28,Régions!$A$2:$A$6,0))</f>
        <v/>
      </c>
      <c r="AG28" s="97">
        <f>H28*INDEX(Régions!$AD$2:$AD$6,MATCH($B28,Régions!$A$2:$A$6,0))</f>
        <v/>
      </c>
      <c r="AH28" s="97">
        <f>I28*INDEX(Régions!$AE$2:$AE$6,MATCH($B28,Régions!$A$2:$A$6,0))</f>
        <v/>
      </c>
      <c r="AI28" s="97">
        <f>D28*INDEX(Régions!$AF$2:$AF$6,MATCH($B28,Régions!$A$2:$A$6,0))</f>
        <v/>
      </c>
      <c r="AJ28" s="97">
        <f>E28*INDEX(Régions!$AG$2:$AG$6,MATCH($B28,Régions!$A$2:$A$6,0))</f>
        <v/>
      </c>
      <c r="AK28" s="97">
        <f>F28*INDEX(Régions!$AH$2:$AH$6,MATCH($B28,Régions!$A$2:$A$6,0))</f>
        <v/>
      </c>
      <c r="AL28" s="97">
        <f>G28*INDEX(Régions!$AI$2:$AI$6,MATCH($B28,Régions!$A$2:$A$6,0))</f>
        <v/>
      </c>
      <c r="AM28" s="97">
        <f>H28*INDEX(Régions!$AJ$2:$AJ$6,MATCH($B28,Régions!$A$2:$A$6,0))</f>
        <v/>
      </c>
      <c r="AN28" s="97">
        <f>I28*INDEX(Régions!$AK$2:$AK$6,MATCH($B28,Régions!$A$2:$A$6,0))</f>
        <v/>
      </c>
      <c r="AO28" s="99">
        <f>INDEX({"CAQ","PLQ","QS","PQ","PCQ","Autre"},MATCH(MAX(Q28:V28),Q28:V28,0))</f>
        <v/>
      </c>
      <c r="AP28" s="99">
        <f>INDEX({"CAQ","PLQ","QS","PQ","PCQ","Autre"},MATCH(MAX(W28:AB28),W28:AB28,0))</f>
        <v/>
      </c>
      <c r="AQ28" s="99">
        <f>INDEX({"CAQ","PLQ","QS","PQ","PCQ","Autre"},MATCH(MAX(AC28:AH28),AC28:AH28,0))</f>
        <v/>
      </c>
      <c r="AR28" s="99">
        <f>INDEX({"CAQ","PLQ","QS","PQ","PCQ","Autre"},MATCH(MAX(AI28:AN28),AI28:AN28,0))</f>
        <v/>
      </c>
      <c r="AS28" s="100">
        <f>(MAX(K28:P28)-LARGE(K28:P28,2))*100</f>
        <v/>
      </c>
      <c r="AT28" s="101">
        <f>IF(AS28&lt;5,"Oui","Non")</f>
        <v/>
      </c>
      <c r="AU28" s="102" t="n">
        <v>-2.844</v>
      </c>
      <c r="AV28" s="102" t="n">
        <v>-9.256</v>
      </c>
      <c r="AW28" s="102" t="n">
        <v>1.518</v>
      </c>
      <c r="AX28" s="102" t="n">
        <v>2.611</v>
      </c>
      <c r="AY28" s="96" t="n">
        <v>7184</v>
      </c>
      <c r="AZ28" s="96" t="n">
        <v>14328</v>
      </c>
      <c r="BA28" s="96" t="n">
        <v>1922</v>
      </c>
      <c r="BB28" s="96" t="n">
        <v>2063</v>
      </c>
      <c r="BC28" s="96" t="n">
        <v>1702</v>
      </c>
      <c r="BD28" s="97">
        <f>AY28*INDEX(Régions!$AQ$2:$AQ$6,MATCH($B28,Régions!$A$2:$A$6,0))</f>
        <v/>
      </c>
      <c r="BE28" s="97">
        <f>AZ28*INDEX(Régions!$AR$2:$AR$6,MATCH($B28,Régions!$A$2:$A$6,0))</f>
        <v/>
      </c>
      <c r="BF28" s="97">
        <f>BA28*INDEX(Régions!$AS$2:$AS$6,MATCH($B28,Régions!$A$2:$A$6,0))</f>
        <v/>
      </c>
      <c r="BG28" s="97">
        <f>BB28*INDEX(Régions!$AT$2:$AT$6,MATCH($B28,Régions!$A$2:$A$6,0))</f>
        <v/>
      </c>
      <c r="BH28" s="97">
        <f>U28</f>
        <v/>
      </c>
      <c r="BI28" s="97">
        <f>BC28*INDEX(Régions!$AU$2:$AU$6,MATCH($B28,Régions!$A$2:$A$6,0))</f>
        <v/>
      </c>
      <c r="BJ28" s="97">
        <f>INDEX({"CAQ","PLQ","QS","PQ","PCQ","Autre"},MATCH(MAX(BD28:BI28),BD28:BI28,0))</f>
        <v/>
      </c>
    </row>
    <row r="29" ht="15" customHeight="1" s="60">
      <c r="A29" s="94" t="inlineStr">
        <is>
          <t>Chutes-de-la-Chaudière</t>
        </is>
      </c>
      <c r="B29" s="94" t="inlineStr">
        <is>
          <t>Québec RMR</t>
        </is>
      </c>
      <c r="C29" s="95" t="inlineStr">
        <is>
          <t>CAQ</t>
        </is>
      </c>
      <c r="D29" s="96" t="n">
        <v>22055</v>
      </c>
      <c r="E29" s="96" t="n">
        <v>2298</v>
      </c>
      <c r="F29" s="96" t="n">
        <v>4311</v>
      </c>
      <c r="G29" s="96" t="n">
        <v>5163</v>
      </c>
      <c r="H29" s="96" t="n">
        <v>12640</v>
      </c>
      <c r="I29" s="96" t="n">
        <v>0</v>
      </c>
      <c r="J29" s="97">
        <f>SUM(D29:I29)</f>
        <v/>
      </c>
      <c r="K29" s="98">
        <f>IFERROR(D29/J29,0)</f>
        <v/>
      </c>
      <c r="L29" s="98">
        <f>IFERROR(E29/J29,0)</f>
        <v/>
      </c>
      <c r="M29" s="98">
        <f>IFERROR(F29/J29,0)</f>
        <v/>
      </c>
      <c r="N29" s="98">
        <f>IFERROR(G29/J29,0)</f>
        <v/>
      </c>
      <c r="O29" s="98">
        <f>IFERROR(H29/J29,0)</f>
        <v/>
      </c>
      <c r="P29" s="98">
        <f>IFERROR(I29/J29,0)</f>
        <v/>
      </c>
      <c r="Q29" s="97">
        <f>D29*INDEX(Régions!$T$2:$T$6,MATCH($B29,Régions!$A$2:$A$6,0))</f>
        <v/>
      </c>
      <c r="R29" s="97">
        <f>E29*INDEX(Régions!$U$2:$U$6,MATCH($B29,Régions!$A$2:$A$6,0))</f>
        <v/>
      </c>
      <c r="S29" s="97">
        <f>F29*INDEX(Régions!$V$2:$V$6,MATCH($B29,Régions!$A$2:$A$6,0))</f>
        <v/>
      </c>
      <c r="T29" s="97">
        <f>G29*INDEX(Régions!$W$2:$W$6,MATCH($B29,Régions!$A$2:$A$6,0))</f>
        <v/>
      </c>
      <c r="U29" s="97">
        <f>H29*INDEX(Régions!$X$2:$X$6,MATCH($B29,Régions!$A$2:$A$6,0))</f>
        <v/>
      </c>
      <c r="V29" s="97">
        <f>I29*INDEX(Régions!$Y$2:$Y$6,MATCH($B29,Régions!$A$2:$A$6,0))</f>
        <v/>
      </c>
      <c r="W29" s="97">
        <f>Q29+(AU29/100)*J29*Régions!$O$2</f>
        <v/>
      </c>
      <c r="X29" s="97">
        <f>R29+(AV29/100)*J29*Régions!$O$2</f>
        <v/>
      </c>
      <c r="Y29" s="97">
        <f>S29+(AW29/100)*J29*Régions!$O$2</f>
        <v/>
      </c>
      <c r="Z29" s="97">
        <f>T29+(AX29/100)*J29*Régions!$O$2</f>
        <v/>
      </c>
      <c r="AA29" s="97">
        <f>U29</f>
        <v/>
      </c>
      <c r="AB29" s="97">
        <f>V29</f>
        <v/>
      </c>
      <c r="AC29" s="97">
        <f>D29*INDEX(Régions!$Z$2:$Z$6,MATCH($B29,Régions!$A$2:$A$6,0))</f>
        <v/>
      </c>
      <c r="AD29" s="97">
        <f>E29*INDEX(Régions!$AA$2:$AA$6,MATCH($B29,Régions!$A$2:$A$6,0))</f>
        <v/>
      </c>
      <c r="AE29" s="97">
        <f>F29*INDEX(Régions!$AB$2:$AB$6,MATCH($B29,Régions!$A$2:$A$6,0))</f>
        <v/>
      </c>
      <c r="AF29" s="97">
        <f>G29*INDEX(Régions!$AC$2:$AC$6,MATCH($B29,Régions!$A$2:$A$6,0))</f>
        <v/>
      </c>
      <c r="AG29" s="97">
        <f>H29*INDEX(Régions!$AD$2:$AD$6,MATCH($B29,Régions!$A$2:$A$6,0))</f>
        <v/>
      </c>
      <c r="AH29" s="97">
        <f>I29*INDEX(Régions!$AE$2:$AE$6,MATCH($B29,Régions!$A$2:$A$6,0))</f>
        <v/>
      </c>
      <c r="AI29" s="97">
        <f>D29*INDEX(Régions!$AF$2:$AF$6,MATCH($B29,Régions!$A$2:$A$6,0))</f>
        <v/>
      </c>
      <c r="AJ29" s="97">
        <f>E29*INDEX(Régions!$AG$2:$AG$6,MATCH($B29,Régions!$A$2:$A$6,0))</f>
        <v/>
      </c>
      <c r="AK29" s="97">
        <f>F29*INDEX(Régions!$AH$2:$AH$6,MATCH($B29,Régions!$A$2:$A$6,0))</f>
        <v/>
      </c>
      <c r="AL29" s="97">
        <f>G29*INDEX(Régions!$AI$2:$AI$6,MATCH($B29,Régions!$A$2:$A$6,0))</f>
        <v/>
      </c>
      <c r="AM29" s="97">
        <f>H29*INDEX(Régions!$AJ$2:$AJ$6,MATCH($B29,Régions!$A$2:$A$6,0))</f>
        <v/>
      </c>
      <c r="AN29" s="97">
        <f>I29*INDEX(Régions!$AK$2:$AK$6,MATCH($B29,Régions!$A$2:$A$6,0))</f>
        <v/>
      </c>
      <c r="AO29" s="99">
        <f>INDEX({"CAQ","PLQ","QS","PQ","PCQ","Autre"},MATCH(MAX(Q29:V29),Q29:V29,0))</f>
        <v/>
      </c>
      <c r="AP29" s="99">
        <f>INDEX({"CAQ","PLQ","QS","PQ","PCQ","Autre"},MATCH(MAX(W29:AB29),W29:AB29,0))</f>
        <v/>
      </c>
      <c r="AQ29" s="99">
        <f>INDEX({"CAQ","PLQ","QS","PQ","PCQ","Autre"},MATCH(MAX(AC29:AH29),AC29:AH29,0))</f>
        <v/>
      </c>
      <c r="AR29" s="99">
        <f>INDEX({"CAQ","PLQ","QS","PQ","PCQ","Autre"},MATCH(MAX(AI29:AN29),AI29:AN29,0))</f>
        <v/>
      </c>
      <c r="AS29" s="100">
        <f>(MAX(K29:P29)-LARGE(K29:P29,2))*100</f>
        <v/>
      </c>
      <c r="AT29" s="101">
        <f>IF(AS29&lt;5,"Oui","Non")</f>
        <v/>
      </c>
      <c r="AU29" s="102" t="n">
        <v>-8.944000000000001</v>
      </c>
      <c r="AV29" s="102" t="n">
        <v>5.871</v>
      </c>
      <c r="AW29" s="102" t="n">
        <v>-1.711</v>
      </c>
      <c r="AX29" s="102" t="n">
        <v>-0.199</v>
      </c>
      <c r="AY29" s="96" t="n">
        <v>25777</v>
      </c>
      <c r="AZ29" s="96" t="n">
        <v>6038</v>
      </c>
      <c r="BA29" s="96" t="n">
        <v>4950</v>
      </c>
      <c r="BB29" s="96" t="n">
        <v>4055</v>
      </c>
      <c r="BC29" s="96" t="n">
        <v>2496</v>
      </c>
      <c r="BD29" s="97">
        <f>AY29*INDEX(Régions!$AQ$2:$AQ$6,MATCH($B29,Régions!$A$2:$A$6,0))</f>
        <v/>
      </c>
      <c r="BE29" s="97">
        <f>AZ29*INDEX(Régions!$AR$2:$AR$6,MATCH($B29,Régions!$A$2:$A$6,0))</f>
        <v/>
      </c>
      <c r="BF29" s="97">
        <f>BA29*INDEX(Régions!$AS$2:$AS$6,MATCH($B29,Régions!$A$2:$A$6,0))</f>
        <v/>
      </c>
      <c r="BG29" s="97">
        <f>BB29*INDEX(Régions!$AT$2:$AT$6,MATCH($B29,Régions!$A$2:$A$6,0))</f>
        <v/>
      </c>
      <c r="BH29" s="97">
        <f>U29</f>
        <v/>
      </c>
      <c r="BI29" s="97">
        <f>BC29*INDEX(Régions!$AU$2:$AU$6,MATCH($B29,Régions!$A$2:$A$6,0))</f>
        <v/>
      </c>
      <c r="BJ29" s="97">
        <f>INDEX({"CAQ","PLQ","QS","PQ","PCQ","Autre"},MATCH(MAX(BD29:BI29),BD29:BI29,0))</f>
        <v/>
      </c>
    </row>
    <row r="30" ht="15" customHeight="1" s="60">
      <c r="A30" s="94" t="inlineStr">
        <is>
          <t>Châteauguay</t>
        </is>
      </c>
      <c r="B30" s="94" t="inlineStr">
        <is>
          <t>Banlieue de Montréal</t>
        </is>
      </c>
      <c r="C30" s="95" t="inlineStr">
        <is>
          <t>CAQ</t>
        </is>
      </c>
      <c r="D30" s="96" t="n">
        <v>13038</v>
      </c>
      <c r="E30" s="96" t="n">
        <v>8260</v>
      </c>
      <c r="F30" s="96" t="n">
        <v>4261</v>
      </c>
      <c r="G30" s="96" t="n">
        <v>3947</v>
      </c>
      <c r="H30" s="96" t="n">
        <v>3363</v>
      </c>
      <c r="I30" s="96" t="n">
        <v>463</v>
      </c>
      <c r="J30" s="97">
        <f>SUM(D30:I30)</f>
        <v/>
      </c>
      <c r="K30" s="98">
        <f>IFERROR(D30/J30,0)</f>
        <v/>
      </c>
      <c r="L30" s="98">
        <f>IFERROR(E30/J30,0)</f>
        <v/>
      </c>
      <c r="M30" s="98">
        <f>IFERROR(F30/J30,0)</f>
        <v/>
      </c>
      <c r="N30" s="98">
        <f>IFERROR(G30/J30,0)</f>
        <v/>
      </c>
      <c r="O30" s="98">
        <f>IFERROR(H30/J30,0)</f>
        <v/>
      </c>
      <c r="P30" s="98">
        <f>IFERROR(I30/J30,0)</f>
        <v/>
      </c>
      <c r="Q30" s="97">
        <f>D30*INDEX(Régions!$T$2:$T$6,MATCH($B30,Régions!$A$2:$A$6,0))</f>
        <v/>
      </c>
      <c r="R30" s="97">
        <f>E30*INDEX(Régions!$U$2:$U$6,MATCH($B30,Régions!$A$2:$A$6,0))</f>
        <v/>
      </c>
      <c r="S30" s="97">
        <f>F30*INDEX(Régions!$V$2:$V$6,MATCH($B30,Régions!$A$2:$A$6,0))</f>
        <v/>
      </c>
      <c r="T30" s="97">
        <f>G30*INDEX(Régions!$W$2:$W$6,MATCH($B30,Régions!$A$2:$A$6,0))</f>
        <v/>
      </c>
      <c r="U30" s="97">
        <f>H30*INDEX(Régions!$X$2:$X$6,MATCH($B30,Régions!$A$2:$A$6,0))</f>
        <v/>
      </c>
      <c r="V30" s="97">
        <f>I30*INDEX(Régions!$Y$2:$Y$6,MATCH($B30,Régions!$A$2:$A$6,0))</f>
        <v/>
      </c>
      <c r="W30" s="97">
        <f>Q30+(AU30/100)*J30*Régions!$O$2</f>
        <v/>
      </c>
      <c r="X30" s="97">
        <f>R30+(AV30/100)*J30*Régions!$O$2</f>
        <v/>
      </c>
      <c r="Y30" s="97">
        <f>S30+(AW30/100)*J30*Régions!$O$2</f>
        <v/>
      </c>
      <c r="Z30" s="97">
        <f>T30+(AX30/100)*J30*Régions!$O$2</f>
        <v/>
      </c>
      <c r="AA30" s="97">
        <f>U30</f>
        <v/>
      </c>
      <c r="AB30" s="97">
        <f>V30</f>
        <v/>
      </c>
      <c r="AC30" s="97">
        <f>D30*INDEX(Régions!$Z$2:$Z$6,MATCH($B30,Régions!$A$2:$A$6,0))</f>
        <v/>
      </c>
      <c r="AD30" s="97">
        <f>E30*INDEX(Régions!$AA$2:$AA$6,MATCH($B30,Régions!$A$2:$A$6,0))</f>
        <v/>
      </c>
      <c r="AE30" s="97">
        <f>F30*INDEX(Régions!$AB$2:$AB$6,MATCH($B30,Régions!$A$2:$A$6,0))</f>
        <v/>
      </c>
      <c r="AF30" s="97">
        <f>G30*INDEX(Régions!$AC$2:$AC$6,MATCH($B30,Régions!$A$2:$A$6,0))</f>
        <v/>
      </c>
      <c r="AG30" s="97">
        <f>H30*INDEX(Régions!$AD$2:$AD$6,MATCH($B30,Régions!$A$2:$A$6,0))</f>
        <v/>
      </c>
      <c r="AH30" s="97">
        <f>I30*INDEX(Régions!$AE$2:$AE$6,MATCH($B30,Régions!$A$2:$A$6,0))</f>
        <v/>
      </c>
      <c r="AI30" s="97">
        <f>D30*INDEX(Régions!$AF$2:$AF$6,MATCH($B30,Régions!$A$2:$A$6,0))</f>
        <v/>
      </c>
      <c r="AJ30" s="97">
        <f>E30*INDEX(Régions!$AG$2:$AG$6,MATCH($B30,Régions!$A$2:$A$6,0))</f>
        <v/>
      </c>
      <c r="AK30" s="97">
        <f>F30*INDEX(Régions!$AH$2:$AH$6,MATCH($B30,Régions!$A$2:$A$6,0))</f>
        <v/>
      </c>
      <c r="AL30" s="97">
        <f>G30*INDEX(Régions!$AI$2:$AI$6,MATCH($B30,Régions!$A$2:$A$6,0))</f>
        <v/>
      </c>
      <c r="AM30" s="97">
        <f>H30*INDEX(Régions!$AJ$2:$AJ$6,MATCH($B30,Régions!$A$2:$A$6,0))</f>
        <v/>
      </c>
      <c r="AN30" s="97">
        <f>I30*INDEX(Régions!$AK$2:$AK$6,MATCH($B30,Régions!$A$2:$A$6,0))</f>
        <v/>
      </c>
      <c r="AO30" s="99">
        <f>INDEX({"CAQ","PLQ","QS","PQ","PCQ","Autre"},MATCH(MAX(Q30:V30),Q30:V30,0))</f>
        <v/>
      </c>
      <c r="AP30" s="99">
        <f>INDEX({"CAQ","PLQ","QS","PQ","PCQ","Autre"},MATCH(MAX(W30:AB30),W30:AB30,0))</f>
        <v/>
      </c>
      <c r="AQ30" s="99">
        <f>INDEX({"CAQ","PLQ","QS","PQ","PCQ","Autre"},MATCH(MAX(AC30:AH30),AC30:AH30,0))</f>
        <v/>
      </c>
      <c r="AR30" s="99">
        <f>INDEX({"CAQ","PLQ","QS","PQ","PCQ","Autre"},MATCH(MAX(AI30:AN30),AI30:AN30,0))</f>
        <v/>
      </c>
      <c r="AS30" s="100">
        <f>(MAX(K30:P30)-LARGE(K30:P30,2))*100</f>
        <v/>
      </c>
      <c r="AT30" s="101">
        <f>IF(AS30&lt;5,"Oui","Non")</f>
        <v/>
      </c>
      <c r="AU30" s="102" t="n">
        <v>-1.07</v>
      </c>
      <c r="AV30" s="102" t="n">
        <v>-1.986</v>
      </c>
      <c r="AW30" s="102" t="n">
        <v>0.673</v>
      </c>
      <c r="AX30" s="102" t="n">
        <v>2.585</v>
      </c>
      <c r="AY30" s="96" t="n">
        <v>12258</v>
      </c>
      <c r="AZ30" s="96" t="n">
        <v>11137</v>
      </c>
      <c r="BA30" s="96" t="n">
        <v>4236</v>
      </c>
      <c r="BB30" s="96" t="n">
        <v>4055</v>
      </c>
      <c r="BC30" s="96" t="n">
        <v>1392</v>
      </c>
      <c r="BD30" s="97">
        <f>AY30*INDEX(Régions!$AQ$2:$AQ$6,MATCH($B30,Régions!$A$2:$A$6,0))</f>
        <v/>
      </c>
      <c r="BE30" s="97">
        <f>AZ30*INDEX(Régions!$AR$2:$AR$6,MATCH($B30,Régions!$A$2:$A$6,0))</f>
        <v/>
      </c>
      <c r="BF30" s="97">
        <f>BA30*INDEX(Régions!$AS$2:$AS$6,MATCH($B30,Régions!$A$2:$A$6,0))</f>
        <v/>
      </c>
      <c r="BG30" s="97">
        <f>BB30*INDEX(Régions!$AT$2:$AT$6,MATCH($B30,Régions!$A$2:$A$6,0))</f>
        <v/>
      </c>
      <c r="BH30" s="97">
        <f>U30</f>
        <v/>
      </c>
      <c r="BI30" s="97">
        <f>BC30*INDEX(Régions!$AU$2:$AU$6,MATCH($B30,Régions!$A$2:$A$6,0))</f>
        <v/>
      </c>
      <c r="BJ30" s="97">
        <f>INDEX({"CAQ","PLQ","QS","PQ","PCQ","Autre"},MATCH(MAX(BD30:BI30),BD30:BI30,0))</f>
        <v/>
      </c>
    </row>
    <row r="31" ht="15" customHeight="1" s="60">
      <c r="A31" s="94" t="inlineStr">
        <is>
          <t>Côte-du-Sud</t>
        </is>
      </c>
      <c r="B31" s="94" t="inlineStr">
        <is>
          <t>Reste du Québec</t>
        </is>
      </c>
      <c r="C31" s="95" t="inlineStr">
        <is>
          <t>CAQ</t>
        </is>
      </c>
      <c r="D31" s="96" t="n">
        <v>16116</v>
      </c>
      <c r="E31" s="96" t="n">
        <v>2132</v>
      </c>
      <c r="F31" s="96" t="n">
        <v>3154</v>
      </c>
      <c r="G31" s="96" t="n">
        <v>4316</v>
      </c>
      <c r="H31" s="96" t="n">
        <v>7910</v>
      </c>
      <c r="I31" s="96" t="n">
        <v>164</v>
      </c>
      <c r="J31" s="97">
        <f>SUM(D31:I31)</f>
        <v/>
      </c>
      <c r="K31" s="98">
        <f>IFERROR(D31/J31,0)</f>
        <v/>
      </c>
      <c r="L31" s="98">
        <f>IFERROR(E31/J31,0)</f>
        <v/>
      </c>
      <c r="M31" s="98">
        <f>IFERROR(F31/J31,0)</f>
        <v/>
      </c>
      <c r="N31" s="98">
        <f>IFERROR(G31/J31,0)</f>
        <v/>
      </c>
      <c r="O31" s="98">
        <f>IFERROR(H31/J31,0)</f>
        <v/>
      </c>
      <c r="P31" s="98">
        <f>IFERROR(I31/J31,0)</f>
        <v/>
      </c>
      <c r="Q31" s="97">
        <f>D31*INDEX(Régions!$T$2:$T$6,MATCH($B31,Régions!$A$2:$A$6,0))</f>
        <v/>
      </c>
      <c r="R31" s="97">
        <f>E31*INDEX(Régions!$U$2:$U$6,MATCH($B31,Régions!$A$2:$A$6,0))</f>
        <v/>
      </c>
      <c r="S31" s="97">
        <f>F31*INDEX(Régions!$V$2:$V$6,MATCH($B31,Régions!$A$2:$A$6,0))</f>
        <v/>
      </c>
      <c r="T31" s="97">
        <f>G31*INDEX(Régions!$W$2:$W$6,MATCH($B31,Régions!$A$2:$A$6,0))</f>
        <v/>
      </c>
      <c r="U31" s="97">
        <f>H31*INDEX(Régions!$X$2:$X$6,MATCH($B31,Régions!$A$2:$A$6,0))</f>
        <v/>
      </c>
      <c r="V31" s="97">
        <f>I31*INDEX(Régions!$Y$2:$Y$6,MATCH($B31,Régions!$A$2:$A$6,0))</f>
        <v/>
      </c>
      <c r="W31" s="97">
        <f>Q31+(AU31/100)*J31*Régions!$O$2</f>
        <v/>
      </c>
      <c r="X31" s="97">
        <f>R31+(AV31/100)*J31*Régions!$O$2</f>
        <v/>
      </c>
      <c r="Y31" s="97">
        <f>S31+(AW31/100)*J31*Régions!$O$2</f>
        <v/>
      </c>
      <c r="Z31" s="97">
        <f>T31+(AX31/100)*J31*Régions!$O$2</f>
        <v/>
      </c>
      <c r="AA31" s="97">
        <f>U31</f>
        <v/>
      </c>
      <c r="AB31" s="97">
        <f>V31</f>
        <v/>
      </c>
      <c r="AC31" s="97">
        <f>D31*INDEX(Régions!$Z$2:$Z$6,MATCH($B31,Régions!$A$2:$A$6,0))</f>
        <v/>
      </c>
      <c r="AD31" s="97">
        <f>E31*INDEX(Régions!$AA$2:$AA$6,MATCH($B31,Régions!$A$2:$A$6,0))</f>
        <v/>
      </c>
      <c r="AE31" s="97">
        <f>F31*INDEX(Régions!$AB$2:$AB$6,MATCH($B31,Régions!$A$2:$A$6,0))</f>
        <v/>
      </c>
      <c r="AF31" s="97">
        <f>G31*INDEX(Régions!$AC$2:$AC$6,MATCH($B31,Régions!$A$2:$A$6,0))</f>
        <v/>
      </c>
      <c r="AG31" s="97">
        <f>H31*INDEX(Régions!$AD$2:$AD$6,MATCH($B31,Régions!$A$2:$A$6,0))</f>
        <v/>
      </c>
      <c r="AH31" s="97">
        <f>I31*INDEX(Régions!$AE$2:$AE$6,MATCH($B31,Régions!$A$2:$A$6,0))</f>
        <v/>
      </c>
      <c r="AI31" s="97">
        <f>D31*INDEX(Régions!$AF$2:$AF$6,MATCH($B31,Régions!$A$2:$A$6,0))</f>
        <v/>
      </c>
      <c r="AJ31" s="97">
        <f>E31*INDEX(Régions!$AG$2:$AG$6,MATCH($B31,Régions!$A$2:$A$6,0))</f>
        <v/>
      </c>
      <c r="AK31" s="97">
        <f>F31*INDEX(Régions!$AH$2:$AH$6,MATCH($B31,Régions!$A$2:$A$6,0))</f>
        <v/>
      </c>
      <c r="AL31" s="97">
        <f>G31*INDEX(Régions!$AI$2:$AI$6,MATCH($B31,Régions!$A$2:$A$6,0))</f>
        <v/>
      </c>
      <c r="AM31" s="97">
        <f>H31*INDEX(Régions!$AJ$2:$AJ$6,MATCH($B31,Régions!$A$2:$A$6,0))</f>
        <v/>
      </c>
      <c r="AN31" s="97">
        <f>I31*INDEX(Régions!$AK$2:$AK$6,MATCH($B31,Régions!$A$2:$A$6,0))</f>
        <v/>
      </c>
      <c r="AO31" s="99">
        <f>INDEX({"CAQ","PLQ","QS","PQ","PCQ","Autre"},MATCH(MAX(Q31:V31),Q31:V31,0))</f>
        <v/>
      </c>
      <c r="AP31" s="99">
        <f>INDEX({"CAQ","PLQ","QS","PQ","PCQ","Autre"},MATCH(MAX(W31:AB31),W31:AB31,0))</f>
        <v/>
      </c>
      <c r="AQ31" s="99">
        <f>INDEX({"CAQ","PLQ","QS","PQ","PCQ","Autre"},MATCH(MAX(AC31:AH31),AC31:AH31,0))</f>
        <v/>
      </c>
      <c r="AR31" s="99">
        <f>INDEX({"CAQ","PLQ","QS","PQ","PCQ","Autre"},MATCH(MAX(AI31:AN31),AI31:AN31,0))</f>
        <v/>
      </c>
      <c r="AS31" s="100">
        <f>(MAX(K31:P31)-LARGE(K31:P31,2))*100</f>
        <v/>
      </c>
      <c r="AT31" s="101">
        <f>IF(AS31&lt;5,"Oui","Non")</f>
        <v/>
      </c>
      <c r="AU31" s="102" t="n">
        <v>-11.903</v>
      </c>
      <c r="AV31" s="102" t="n">
        <v>-2.929</v>
      </c>
      <c r="AW31" s="102" t="n">
        <v>-0.533</v>
      </c>
      <c r="AX31" s="102" t="n">
        <v>6.649</v>
      </c>
      <c r="AY31" s="96" t="n">
        <v>17595</v>
      </c>
      <c r="AZ31" s="96" t="n">
        <v>7212</v>
      </c>
      <c r="BA31" s="96" t="n">
        <v>3560</v>
      </c>
      <c r="BB31" s="96" t="n">
        <v>3315</v>
      </c>
      <c r="BC31" s="96" t="n">
        <v>1117</v>
      </c>
      <c r="BD31" s="97">
        <f>AY31*INDEX(Régions!$AQ$2:$AQ$6,MATCH($B31,Régions!$A$2:$A$6,0))</f>
        <v/>
      </c>
      <c r="BE31" s="97">
        <f>AZ31*INDEX(Régions!$AR$2:$AR$6,MATCH($B31,Régions!$A$2:$A$6,0))</f>
        <v/>
      </c>
      <c r="BF31" s="97">
        <f>BA31*INDEX(Régions!$AS$2:$AS$6,MATCH($B31,Régions!$A$2:$A$6,0))</f>
        <v/>
      </c>
      <c r="BG31" s="97">
        <f>BB31*INDEX(Régions!$AT$2:$AT$6,MATCH($B31,Régions!$A$2:$A$6,0))</f>
        <v/>
      </c>
      <c r="BH31" s="97">
        <f>U31</f>
        <v/>
      </c>
      <c r="BI31" s="97">
        <f>BC31*INDEX(Régions!$AU$2:$AU$6,MATCH($B31,Régions!$A$2:$A$6,0))</f>
        <v/>
      </c>
      <c r="BJ31" s="97">
        <f>INDEX({"CAQ","PLQ","QS","PQ","PCQ","Autre"},MATCH(MAX(BD31:BI31),BD31:BI31,0))</f>
        <v/>
      </c>
    </row>
    <row r="32" ht="15" customHeight="1" s="60">
      <c r="A32" s="94" t="inlineStr">
        <is>
          <t>D'Arcy-McGee</t>
        </is>
      </c>
      <c r="B32" s="94" t="inlineStr">
        <is>
          <t>Île de Montréal</t>
        </is>
      </c>
      <c r="C32" s="95" t="inlineStr">
        <is>
          <t>PLQ</t>
        </is>
      </c>
      <c r="D32" s="96" t="n">
        <v>1529</v>
      </c>
      <c r="E32" s="96" t="n">
        <v>13298</v>
      </c>
      <c r="F32" s="96" t="n">
        <v>2203</v>
      </c>
      <c r="G32" s="96" t="n">
        <v>648</v>
      </c>
      <c r="H32" s="96" t="n">
        <v>6962</v>
      </c>
      <c r="I32" s="96" t="n">
        <v>1226</v>
      </c>
      <c r="J32" s="97">
        <f>SUM(D32:I32)</f>
        <v/>
      </c>
      <c r="K32" s="98">
        <f>IFERROR(D32/J32,0)</f>
        <v/>
      </c>
      <c r="L32" s="98">
        <f>IFERROR(E32/J32,0)</f>
        <v/>
      </c>
      <c r="M32" s="98">
        <f>IFERROR(F32/J32,0)</f>
        <v/>
      </c>
      <c r="N32" s="98">
        <f>IFERROR(G32/J32,0)</f>
        <v/>
      </c>
      <c r="O32" s="98">
        <f>IFERROR(H32/J32,0)</f>
        <v/>
      </c>
      <c r="P32" s="98">
        <f>IFERROR(I32/J32,0)</f>
        <v/>
      </c>
      <c r="Q32" s="97">
        <f>D32*INDEX(Régions!$T$2:$T$6,MATCH($B32,Régions!$A$2:$A$6,0))</f>
        <v/>
      </c>
      <c r="R32" s="97">
        <f>E32*INDEX(Régions!$U$2:$U$6,MATCH($B32,Régions!$A$2:$A$6,0))</f>
        <v/>
      </c>
      <c r="S32" s="97">
        <f>F32*INDEX(Régions!$V$2:$V$6,MATCH($B32,Régions!$A$2:$A$6,0))</f>
        <v/>
      </c>
      <c r="T32" s="97">
        <f>G32*INDEX(Régions!$W$2:$W$6,MATCH($B32,Régions!$A$2:$A$6,0))</f>
        <v/>
      </c>
      <c r="U32" s="97">
        <f>H32*INDEX(Régions!$X$2:$X$6,MATCH($B32,Régions!$A$2:$A$6,0))</f>
        <v/>
      </c>
      <c r="V32" s="97">
        <f>I32*INDEX(Régions!$Y$2:$Y$6,MATCH($B32,Régions!$A$2:$A$6,0))</f>
        <v/>
      </c>
      <c r="W32" s="97">
        <f>Q32+(AU32/100)*J32*Régions!$O$2</f>
        <v/>
      </c>
      <c r="X32" s="97">
        <f>R32+(AV32/100)*J32*Régions!$O$2</f>
        <v/>
      </c>
      <c r="Y32" s="97">
        <f>S32+(AW32/100)*J32*Régions!$O$2</f>
        <v/>
      </c>
      <c r="Z32" s="97">
        <f>T32+(AX32/100)*J32*Régions!$O$2</f>
        <v/>
      </c>
      <c r="AA32" s="97">
        <f>U32</f>
        <v/>
      </c>
      <c r="AB32" s="97">
        <f>V32</f>
        <v/>
      </c>
      <c r="AC32" s="97">
        <f>D32*INDEX(Régions!$Z$2:$Z$6,MATCH($B32,Régions!$A$2:$A$6,0))</f>
        <v/>
      </c>
      <c r="AD32" s="97">
        <f>E32*INDEX(Régions!$AA$2:$AA$6,MATCH($B32,Régions!$A$2:$A$6,0))</f>
        <v/>
      </c>
      <c r="AE32" s="97">
        <f>F32*INDEX(Régions!$AB$2:$AB$6,MATCH($B32,Régions!$A$2:$A$6,0))</f>
        <v/>
      </c>
      <c r="AF32" s="97">
        <f>G32*INDEX(Régions!$AC$2:$AC$6,MATCH($B32,Régions!$A$2:$A$6,0))</f>
        <v/>
      </c>
      <c r="AG32" s="97">
        <f>H32*INDEX(Régions!$AD$2:$AD$6,MATCH($B32,Régions!$A$2:$A$6,0))</f>
        <v/>
      </c>
      <c r="AH32" s="97">
        <f>I32*INDEX(Régions!$AE$2:$AE$6,MATCH($B32,Régions!$A$2:$A$6,0))</f>
        <v/>
      </c>
      <c r="AI32" s="97">
        <f>D32*INDEX(Régions!$AF$2:$AF$6,MATCH($B32,Régions!$A$2:$A$6,0))</f>
        <v/>
      </c>
      <c r="AJ32" s="97">
        <f>E32*INDEX(Régions!$AG$2:$AG$6,MATCH($B32,Régions!$A$2:$A$6,0))</f>
        <v/>
      </c>
      <c r="AK32" s="97">
        <f>F32*INDEX(Régions!$AH$2:$AH$6,MATCH($B32,Régions!$A$2:$A$6,0))</f>
        <v/>
      </c>
      <c r="AL32" s="97">
        <f>G32*INDEX(Régions!$AI$2:$AI$6,MATCH($B32,Régions!$A$2:$A$6,0))</f>
        <v/>
      </c>
      <c r="AM32" s="97">
        <f>H32*INDEX(Régions!$AJ$2:$AJ$6,MATCH($B32,Régions!$A$2:$A$6,0))</f>
        <v/>
      </c>
      <c r="AN32" s="97">
        <f>I32*INDEX(Régions!$AK$2:$AK$6,MATCH($B32,Régions!$A$2:$A$6,0))</f>
        <v/>
      </c>
      <c r="AO32" s="99">
        <f>INDEX({"CAQ","PLQ","QS","PQ","PCQ","Autre"},MATCH(MAX(Q32:V32),Q32:V32,0))</f>
        <v/>
      </c>
      <c r="AP32" s="99">
        <f>INDEX({"CAQ","PLQ","QS","PQ","PCQ","Autre"},MATCH(MAX(W32:AB32),W32:AB32,0))</f>
        <v/>
      </c>
      <c r="AQ32" s="99">
        <f>INDEX({"CAQ","PLQ","QS","PQ","PCQ","Autre"},MATCH(MAX(AC32:AH32),AC32:AH32,0))</f>
        <v/>
      </c>
      <c r="AR32" s="99">
        <f>INDEX({"CAQ","PLQ","QS","PQ","PCQ","Autre"},MATCH(MAX(AI32:AN32),AI32:AN32,0))</f>
        <v/>
      </c>
      <c r="AS32" s="100">
        <f>(MAX(K32:P32)-LARGE(K32:P32,2))*100</f>
        <v/>
      </c>
      <c r="AT32" s="101">
        <f>IF(AS32&lt;5,"Oui","Non")</f>
        <v/>
      </c>
      <c r="AU32" s="102" t="n">
        <v>-2.594</v>
      </c>
      <c r="AV32" s="102" t="n">
        <v>-14.069</v>
      </c>
      <c r="AW32" s="102" t="n">
        <v>0.526</v>
      </c>
      <c r="AX32" s="102" t="n">
        <v>1.102</v>
      </c>
      <c r="AY32" s="96" t="n">
        <v>1643</v>
      </c>
      <c r="AZ32" s="96" t="n">
        <v>19085</v>
      </c>
      <c r="BA32" s="96" t="n">
        <v>1861</v>
      </c>
      <c r="BB32" s="96" t="n">
        <v>657</v>
      </c>
      <c r="BC32" s="96" t="n">
        <v>2435</v>
      </c>
      <c r="BD32" s="97">
        <f>AY32*INDEX(Régions!$AQ$2:$AQ$6,MATCH($B32,Régions!$A$2:$A$6,0))</f>
        <v/>
      </c>
      <c r="BE32" s="97">
        <f>AZ32*INDEX(Régions!$AR$2:$AR$6,MATCH($B32,Régions!$A$2:$A$6,0))</f>
        <v/>
      </c>
      <c r="BF32" s="97">
        <f>BA32*INDEX(Régions!$AS$2:$AS$6,MATCH($B32,Régions!$A$2:$A$6,0))</f>
        <v/>
      </c>
      <c r="BG32" s="97">
        <f>BB32*INDEX(Régions!$AT$2:$AT$6,MATCH($B32,Régions!$A$2:$A$6,0))</f>
        <v/>
      </c>
      <c r="BH32" s="97">
        <f>U32</f>
        <v/>
      </c>
      <c r="BI32" s="97">
        <f>BC32*INDEX(Régions!$AU$2:$AU$6,MATCH($B32,Régions!$A$2:$A$6,0))</f>
        <v/>
      </c>
      <c r="BJ32" s="97">
        <f>INDEX({"CAQ","PLQ","QS","PQ","PCQ","Autre"},MATCH(MAX(BD32:BI32),BD32:BI32,0))</f>
        <v/>
      </c>
    </row>
    <row r="33" ht="15" customHeight="1" s="60">
      <c r="A33" s="94" t="inlineStr">
        <is>
          <t>Daniel-Johnson</t>
        </is>
      </c>
      <c r="B33" s="94" t="inlineStr">
        <is>
          <t>Banlieue de Montréal</t>
        </is>
      </c>
      <c r="C33" s="95" t="inlineStr">
        <is>
          <t>CAQ</t>
        </is>
      </c>
      <c r="D33" s="96" t="n">
        <v>16209</v>
      </c>
      <c r="E33" s="96" t="n">
        <v>1949</v>
      </c>
      <c r="F33" s="96" t="n">
        <v>4768</v>
      </c>
      <c r="G33" s="96" t="n">
        <v>4530</v>
      </c>
      <c r="H33" s="96" t="n">
        <v>4268</v>
      </c>
      <c r="I33" s="96" t="n">
        <v>341</v>
      </c>
      <c r="J33" s="97">
        <f>SUM(D33:I33)</f>
        <v/>
      </c>
      <c r="K33" s="98">
        <f>IFERROR(D33/J33,0)</f>
        <v/>
      </c>
      <c r="L33" s="98">
        <f>IFERROR(E33/J33,0)</f>
        <v/>
      </c>
      <c r="M33" s="98">
        <f>IFERROR(F33/J33,0)</f>
        <v/>
      </c>
      <c r="N33" s="98">
        <f>IFERROR(G33/J33,0)</f>
        <v/>
      </c>
      <c r="O33" s="98">
        <f>IFERROR(H33/J33,0)</f>
        <v/>
      </c>
      <c r="P33" s="98">
        <f>IFERROR(I33/J33,0)</f>
        <v/>
      </c>
      <c r="Q33" s="97">
        <f>D33*INDEX(Régions!$T$2:$T$6,MATCH($B33,Régions!$A$2:$A$6,0))</f>
        <v/>
      </c>
      <c r="R33" s="97">
        <f>E33*INDEX(Régions!$U$2:$U$6,MATCH($B33,Régions!$A$2:$A$6,0))</f>
        <v/>
      </c>
      <c r="S33" s="97">
        <f>F33*INDEX(Régions!$V$2:$V$6,MATCH($B33,Régions!$A$2:$A$6,0))</f>
        <v/>
      </c>
      <c r="T33" s="97">
        <f>G33*INDEX(Régions!$W$2:$W$6,MATCH($B33,Régions!$A$2:$A$6,0))</f>
        <v/>
      </c>
      <c r="U33" s="97">
        <f>H33*INDEX(Régions!$X$2:$X$6,MATCH($B33,Régions!$A$2:$A$6,0))</f>
        <v/>
      </c>
      <c r="V33" s="97">
        <f>I33*INDEX(Régions!$Y$2:$Y$6,MATCH($B33,Régions!$A$2:$A$6,0))</f>
        <v/>
      </c>
      <c r="W33" s="97">
        <f>Q33+(AU33/100)*J33*Régions!$O$2</f>
        <v/>
      </c>
      <c r="X33" s="97">
        <f>R33+(AV33/100)*J33*Régions!$O$2</f>
        <v/>
      </c>
      <c r="Y33" s="97">
        <f>S33+(AW33/100)*J33*Régions!$O$2</f>
        <v/>
      </c>
      <c r="Z33" s="97">
        <f>T33+(AX33/100)*J33*Régions!$O$2</f>
        <v/>
      </c>
      <c r="AA33" s="97">
        <f>U33</f>
        <v/>
      </c>
      <c r="AB33" s="97">
        <f>V33</f>
        <v/>
      </c>
      <c r="AC33" s="97">
        <f>D33*INDEX(Régions!$Z$2:$Z$6,MATCH($B33,Régions!$A$2:$A$6,0))</f>
        <v/>
      </c>
      <c r="AD33" s="97">
        <f>E33*INDEX(Régions!$AA$2:$AA$6,MATCH($B33,Régions!$A$2:$A$6,0))</f>
        <v/>
      </c>
      <c r="AE33" s="97">
        <f>F33*INDEX(Régions!$AB$2:$AB$6,MATCH($B33,Régions!$A$2:$A$6,0))</f>
        <v/>
      </c>
      <c r="AF33" s="97">
        <f>G33*INDEX(Régions!$AC$2:$AC$6,MATCH($B33,Régions!$A$2:$A$6,0))</f>
        <v/>
      </c>
      <c r="AG33" s="97">
        <f>H33*INDEX(Régions!$AD$2:$AD$6,MATCH($B33,Régions!$A$2:$A$6,0))</f>
        <v/>
      </c>
      <c r="AH33" s="97">
        <f>I33*INDEX(Régions!$AE$2:$AE$6,MATCH($B33,Régions!$A$2:$A$6,0))</f>
        <v/>
      </c>
      <c r="AI33" s="97">
        <f>D33*INDEX(Régions!$AF$2:$AF$6,MATCH($B33,Régions!$A$2:$A$6,0))</f>
        <v/>
      </c>
      <c r="AJ33" s="97">
        <f>E33*INDEX(Régions!$AG$2:$AG$6,MATCH($B33,Régions!$A$2:$A$6,0))</f>
        <v/>
      </c>
      <c r="AK33" s="97">
        <f>F33*INDEX(Régions!$AH$2:$AH$6,MATCH($B33,Régions!$A$2:$A$6,0))</f>
        <v/>
      </c>
      <c r="AL33" s="97">
        <f>G33*INDEX(Régions!$AI$2:$AI$6,MATCH($B33,Régions!$A$2:$A$6,0))</f>
        <v/>
      </c>
      <c r="AM33" s="97">
        <f>H33*INDEX(Régions!$AJ$2:$AJ$6,MATCH($B33,Régions!$A$2:$A$6,0))</f>
        <v/>
      </c>
      <c r="AN33" s="97">
        <f>I33*INDEX(Régions!$AK$2:$AK$6,MATCH($B33,Régions!$A$2:$A$6,0))</f>
        <v/>
      </c>
      <c r="AO33" s="99">
        <f>INDEX({"CAQ","PLQ","QS","PQ","PCQ","Autre"},MATCH(MAX(Q33:V33),Q33:V33,0))</f>
        <v/>
      </c>
      <c r="AP33" s="99">
        <f>INDEX({"CAQ","PLQ","QS","PQ","PCQ","Autre"},MATCH(MAX(W33:AB33),W33:AB33,0))</f>
        <v/>
      </c>
      <c r="AQ33" s="99">
        <f>INDEX({"CAQ","PLQ","QS","PQ","PCQ","Autre"},MATCH(MAX(AC33:AH33),AC33:AH33,0))</f>
        <v/>
      </c>
      <c r="AR33" s="99">
        <f>INDEX({"CAQ","PLQ","QS","PQ","PCQ","Autre"},MATCH(MAX(AI33:AN33),AI33:AN33,0))</f>
        <v/>
      </c>
      <c r="AS33" s="100">
        <f>(MAX(K33:P33)-LARGE(K33:P33,2))*100</f>
        <v/>
      </c>
      <c r="AT33" s="101">
        <f>IF(AS33&lt;5,"Oui","Non")</f>
        <v/>
      </c>
      <c r="AU33" s="102" t="n">
        <v>-1.851</v>
      </c>
      <c r="AV33" s="102" t="n">
        <v>-2.819</v>
      </c>
      <c r="AW33" s="102" t="n">
        <v>-2.033</v>
      </c>
      <c r="AX33" s="102" t="n">
        <v>3.538</v>
      </c>
      <c r="AY33" s="96" t="n">
        <v>14972</v>
      </c>
      <c r="AZ33" s="96" t="n">
        <v>4801</v>
      </c>
      <c r="BA33" s="96" t="n">
        <v>5346</v>
      </c>
      <c r="BB33" s="96" t="n">
        <v>4130</v>
      </c>
      <c r="BC33" s="96" t="n">
        <v>1136</v>
      </c>
      <c r="BD33" s="97">
        <f>AY33*INDEX(Régions!$AQ$2:$AQ$6,MATCH($B33,Régions!$A$2:$A$6,0))</f>
        <v/>
      </c>
      <c r="BE33" s="97">
        <f>AZ33*INDEX(Régions!$AR$2:$AR$6,MATCH($B33,Régions!$A$2:$A$6,0))</f>
        <v/>
      </c>
      <c r="BF33" s="97">
        <f>BA33*INDEX(Régions!$AS$2:$AS$6,MATCH($B33,Régions!$A$2:$A$6,0))</f>
        <v/>
      </c>
      <c r="BG33" s="97">
        <f>BB33*INDEX(Régions!$AT$2:$AT$6,MATCH($B33,Régions!$A$2:$A$6,0))</f>
        <v/>
      </c>
      <c r="BH33" s="97">
        <f>U33</f>
        <v/>
      </c>
      <c r="BI33" s="97">
        <f>BC33*INDEX(Régions!$AU$2:$AU$6,MATCH($B33,Régions!$A$2:$A$6,0))</f>
        <v/>
      </c>
      <c r="BJ33" s="97">
        <f>INDEX({"CAQ","PLQ","QS","PQ","PCQ","Autre"},MATCH(MAX(BD33:BI33),BD33:BI33,0))</f>
        <v/>
      </c>
    </row>
    <row r="34" ht="15" customHeight="1" s="60">
      <c r="A34" s="94" t="inlineStr">
        <is>
          <t>Deux-Montagnes</t>
        </is>
      </c>
      <c r="B34" s="94" t="inlineStr">
        <is>
          <t>Banlieue de Montréal</t>
        </is>
      </c>
      <c r="C34" s="95" t="inlineStr">
        <is>
          <t>CAQ</t>
        </is>
      </c>
      <c r="D34" s="96" t="n">
        <v>15854</v>
      </c>
      <c r="E34" s="96" t="n">
        <v>3460</v>
      </c>
      <c r="F34" s="96" t="n">
        <v>4766</v>
      </c>
      <c r="G34" s="96" t="n">
        <v>5777</v>
      </c>
      <c r="H34" s="96" t="n">
        <v>3308</v>
      </c>
      <c r="I34" s="96" t="n">
        <v>510</v>
      </c>
      <c r="J34" s="97">
        <f>SUM(D34:I34)</f>
        <v/>
      </c>
      <c r="K34" s="98">
        <f>IFERROR(D34/J34,0)</f>
        <v/>
      </c>
      <c r="L34" s="98">
        <f>IFERROR(E34/J34,0)</f>
        <v/>
      </c>
      <c r="M34" s="98">
        <f>IFERROR(F34/J34,0)</f>
        <v/>
      </c>
      <c r="N34" s="98">
        <f>IFERROR(G34/J34,0)</f>
        <v/>
      </c>
      <c r="O34" s="98">
        <f>IFERROR(H34/J34,0)</f>
        <v/>
      </c>
      <c r="P34" s="98">
        <f>IFERROR(I34/J34,0)</f>
        <v/>
      </c>
      <c r="Q34" s="97">
        <f>D34*INDEX(Régions!$T$2:$T$6,MATCH($B34,Régions!$A$2:$A$6,0))</f>
        <v/>
      </c>
      <c r="R34" s="97">
        <f>E34*INDEX(Régions!$U$2:$U$6,MATCH($B34,Régions!$A$2:$A$6,0))</f>
        <v/>
      </c>
      <c r="S34" s="97">
        <f>F34*INDEX(Régions!$V$2:$V$6,MATCH($B34,Régions!$A$2:$A$6,0))</f>
        <v/>
      </c>
      <c r="T34" s="97">
        <f>G34*INDEX(Régions!$W$2:$W$6,MATCH($B34,Régions!$A$2:$A$6,0))</f>
        <v/>
      </c>
      <c r="U34" s="97">
        <f>H34*INDEX(Régions!$X$2:$X$6,MATCH($B34,Régions!$A$2:$A$6,0))</f>
        <v/>
      </c>
      <c r="V34" s="97">
        <f>I34*INDEX(Régions!$Y$2:$Y$6,MATCH($B34,Régions!$A$2:$A$6,0))</f>
        <v/>
      </c>
      <c r="W34" s="97">
        <f>Q34+(AU34/100)*J34*Régions!$O$2</f>
        <v/>
      </c>
      <c r="X34" s="97">
        <f>R34+(AV34/100)*J34*Régions!$O$2</f>
        <v/>
      </c>
      <c r="Y34" s="97">
        <f>S34+(AW34/100)*J34*Régions!$O$2</f>
        <v/>
      </c>
      <c r="Z34" s="97">
        <f>T34+(AX34/100)*J34*Régions!$O$2</f>
        <v/>
      </c>
      <c r="AA34" s="97">
        <f>U34</f>
        <v/>
      </c>
      <c r="AB34" s="97">
        <f>V34</f>
        <v/>
      </c>
      <c r="AC34" s="97">
        <f>D34*INDEX(Régions!$Z$2:$Z$6,MATCH($B34,Régions!$A$2:$A$6,0))</f>
        <v/>
      </c>
      <c r="AD34" s="97">
        <f>E34*INDEX(Régions!$AA$2:$AA$6,MATCH($B34,Régions!$A$2:$A$6,0))</f>
        <v/>
      </c>
      <c r="AE34" s="97">
        <f>F34*INDEX(Régions!$AB$2:$AB$6,MATCH($B34,Régions!$A$2:$A$6,0))</f>
        <v/>
      </c>
      <c r="AF34" s="97">
        <f>G34*INDEX(Régions!$AC$2:$AC$6,MATCH($B34,Régions!$A$2:$A$6,0))</f>
        <v/>
      </c>
      <c r="AG34" s="97">
        <f>H34*INDEX(Régions!$AD$2:$AD$6,MATCH($B34,Régions!$A$2:$A$6,0))</f>
        <v/>
      </c>
      <c r="AH34" s="97">
        <f>I34*INDEX(Régions!$AE$2:$AE$6,MATCH($B34,Régions!$A$2:$A$6,0))</f>
        <v/>
      </c>
      <c r="AI34" s="97">
        <f>D34*INDEX(Régions!$AF$2:$AF$6,MATCH($B34,Régions!$A$2:$A$6,0))</f>
        <v/>
      </c>
      <c r="AJ34" s="97">
        <f>E34*INDEX(Régions!$AG$2:$AG$6,MATCH($B34,Régions!$A$2:$A$6,0))</f>
        <v/>
      </c>
      <c r="AK34" s="97">
        <f>F34*INDEX(Régions!$AH$2:$AH$6,MATCH($B34,Régions!$A$2:$A$6,0))</f>
        <v/>
      </c>
      <c r="AL34" s="97">
        <f>G34*INDEX(Régions!$AI$2:$AI$6,MATCH($B34,Régions!$A$2:$A$6,0))</f>
        <v/>
      </c>
      <c r="AM34" s="97">
        <f>H34*INDEX(Régions!$AJ$2:$AJ$6,MATCH($B34,Régions!$A$2:$A$6,0))</f>
        <v/>
      </c>
      <c r="AN34" s="97">
        <f>I34*INDEX(Régions!$AK$2:$AK$6,MATCH($B34,Régions!$A$2:$A$6,0))</f>
        <v/>
      </c>
      <c r="AO34" s="99">
        <f>INDEX({"CAQ","PLQ","QS","PQ","PCQ","Autre"},MATCH(MAX(Q34:V34),Q34:V34,0))</f>
        <v/>
      </c>
      <c r="AP34" s="99">
        <f>INDEX({"CAQ","PLQ","QS","PQ","PCQ","Autre"},MATCH(MAX(W34:AB34),W34:AB34,0))</f>
        <v/>
      </c>
      <c r="AQ34" s="99">
        <f>INDEX({"CAQ","PLQ","QS","PQ","PCQ","Autre"},MATCH(MAX(AC34:AH34),AC34:AH34,0))</f>
        <v/>
      </c>
      <c r="AR34" s="99">
        <f>INDEX({"CAQ","PLQ","QS","PQ","PCQ","Autre"},MATCH(MAX(AI34:AN34),AI34:AN34,0))</f>
        <v/>
      </c>
      <c r="AS34" s="100">
        <f>(MAX(K34:P34)-LARGE(K34:P34,2))*100</f>
        <v/>
      </c>
      <c r="AT34" s="101">
        <f>IF(AS34&lt;5,"Oui","Non")</f>
        <v/>
      </c>
      <c r="AU34" s="102" t="n">
        <v>-3.488</v>
      </c>
      <c r="AV34" s="102" t="n">
        <v>3.797</v>
      </c>
      <c r="AW34" s="102" t="n">
        <v>0.317</v>
      </c>
      <c r="AX34" s="102" t="n">
        <v>1.036</v>
      </c>
      <c r="AY34" s="96" t="n">
        <v>16039</v>
      </c>
      <c r="AZ34" s="96" t="n">
        <v>4524</v>
      </c>
      <c r="BA34" s="96" t="n">
        <v>4912</v>
      </c>
      <c r="BB34" s="96" t="n">
        <v>6464</v>
      </c>
      <c r="BC34" s="96" t="n">
        <v>1869</v>
      </c>
      <c r="BD34" s="97">
        <f>AY34*INDEX(Régions!$AQ$2:$AQ$6,MATCH($B34,Régions!$A$2:$A$6,0))</f>
        <v/>
      </c>
      <c r="BE34" s="97">
        <f>AZ34*INDEX(Régions!$AR$2:$AR$6,MATCH($B34,Régions!$A$2:$A$6,0))</f>
        <v/>
      </c>
      <c r="BF34" s="97">
        <f>BA34*INDEX(Régions!$AS$2:$AS$6,MATCH($B34,Régions!$A$2:$A$6,0))</f>
        <v/>
      </c>
      <c r="BG34" s="97">
        <f>BB34*INDEX(Régions!$AT$2:$AT$6,MATCH($B34,Régions!$A$2:$A$6,0))</f>
        <v/>
      </c>
      <c r="BH34" s="97">
        <f>U34</f>
        <v/>
      </c>
      <c r="BI34" s="97">
        <f>BC34*INDEX(Régions!$AU$2:$AU$6,MATCH($B34,Régions!$A$2:$A$6,0))</f>
        <v/>
      </c>
      <c r="BJ34" s="97">
        <f>INDEX({"CAQ","PLQ","QS","PQ","PCQ","Autre"},MATCH(MAX(BD34:BI34),BD34:BI34,0))</f>
        <v/>
      </c>
    </row>
    <row r="35" ht="15" customHeight="1" s="60">
      <c r="A35" s="94" t="inlineStr">
        <is>
          <t>Drummond–Bois-Francs</t>
        </is>
      </c>
      <c r="B35" s="94" t="inlineStr">
        <is>
          <t>Reste du Québec</t>
        </is>
      </c>
      <c r="C35" s="95" t="inlineStr">
        <is>
          <t>CAQ</t>
        </is>
      </c>
      <c r="D35" s="96" t="n">
        <v>18267</v>
      </c>
      <c r="E35" s="96" t="n">
        <v>1422</v>
      </c>
      <c r="F35" s="96" t="n">
        <v>3763</v>
      </c>
      <c r="G35" s="96" t="n">
        <v>5337</v>
      </c>
      <c r="H35" s="96" t="n">
        <v>6179</v>
      </c>
      <c r="I35" s="96" t="n">
        <v>441</v>
      </c>
      <c r="J35" s="97">
        <f>SUM(D35:I35)</f>
        <v/>
      </c>
      <c r="K35" s="98">
        <f>IFERROR(D35/J35,0)</f>
        <v/>
      </c>
      <c r="L35" s="98">
        <f>IFERROR(E35/J35,0)</f>
        <v/>
      </c>
      <c r="M35" s="98">
        <f>IFERROR(F35/J35,0)</f>
        <v/>
      </c>
      <c r="N35" s="98">
        <f>IFERROR(G35/J35,0)</f>
        <v/>
      </c>
      <c r="O35" s="98">
        <f>IFERROR(H35/J35,0)</f>
        <v/>
      </c>
      <c r="P35" s="98">
        <f>IFERROR(I35/J35,0)</f>
        <v/>
      </c>
      <c r="Q35" s="97">
        <f>D35*INDEX(Régions!$T$2:$T$6,MATCH($B35,Régions!$A$2:$A$6,0))</f>
        <v/>
      </c>
      <c r="R35" s="97">
        <f>E35*INDEX(Régions!$U$2:$U$6,MATCH($B35,Régions!$A$2:$A$6,0))</f>
        <v/>
      </c>
      <c r="S35" s="97">
        <f>F35*INDEX(Régions!$V$2:$V$6,MATCH($B35,Régions!$A$2:$A$6,0))</f>
        <v/>
      </c>
      <c r="T35" s="97">
        <f>G35*INDEX(Régions!$W$2:$W$6,MATCH($B35,Régions!$A$2:$A$6,0))</f>
        <v/>
      </c>
      <c r="U35" s="97">
        <f>H35*INDEX(Régions!$X$2:$X$6,MATCH($B35,Régions!$A$2:$A$6,0))</f>
        <v/>
      </c>
      <c r="V35" s="97">
        <f>I35*INDEX(Régions!$Y$2:$Y$6,MATCH($B35,Régions!$A$2:$A$6,0))</f>
        <v/>
      </c>
      <c r="W35" s="97">
        <f>Q35+(AU35/100)*J35*Régions!$O$2</f>
        <v/>
      </c>
      <c r="X35" s="97">
        <f>R35+(AV35/100)*J35*Régions!$O$2</f>
        <v/>
      </c>
      <c r="Y35" s="97">
        <f>S35+(AW35/100)*J35*Régions!$O$2</f>
        <v/>
      </c>
      <c r="Z35" s="97">
        <f>T35+(AX35/100)*J35*Régions!$O$2</f>
        <v/>
      </c>
      <c r="AA35" s="97">
        <f>U35</f>
        <v/>
      </c>
      <c r="AB35" s="97">
        <f>V35</f>
        <v/>
      </c>
      <c r="AC35" s="97">
        <f>D35*INDEX(Régions!$Z$2:$Z$6,MATCH($B35,Régions!$A$2:$A$6,0))</f>
        <v/>
      </c>
      <c r="AD35" s="97">
        <f>E35*INDEX(Régions!$AA$2:$AA$6,MATCH($B35,Régions!$A$2:$A$6,0))</f>
        <v/>
      </c>
      <c r="AE35" s="97">
        <f>F35*INDEX(Régions!$AB$2:$AB$6,MATCH($B35,Régions!$A$2:$A$6,0))</f>
        <v/>
      </c>
      <c r="AF35" s="97">
        <f>G35*INDEX(Régions!$AC$2:$AC$6,MATCH($B35,Régions!$A$2:$A$6,0))</f>
        <v/>
      </c>
      <c r="AG35" s="97">
        <f>H35*INDEX(Régions!$AD$2:$AD$6,MATCH($B35,Régions!$A$2:$A$6,0))</f>
        <v/>
      </c>
      <c r="AH35" s="97">
        <f>I35*INDEX(Régions!$AE$2:$AE$6,MATCH($B35,Régions!$A$2:$A$6,0))</f>
        <v/>
      </c>
      <c r="AI35" s="97">
        <f>D35*INDEX(Régions!$AF$2:$AF$6,MATCH($B35,Régions!$A$2:$A$6,0))</f>
        <v/>
      </c>
      <c r="AJ35" s="97">
        <f>E35*INDEX(Régions!$AG$2:$AG$6,MATCH($B35,Régions!$A$2:$A$6,0))</f>
        <v/>
      </c>
      <c r="AK35" s="97">
        <f>F35*INDEX(Régions!$AH$2:$AH$6,MATCH($B35,Régions!$A$2:$A$6,0))</f>
        <v/>
      </c>
      <c r="AL35" s="97">
        <f>G35*INDEX(Régions!$AI$2:$AI$6,MATCH($B35,Régions!$A$2:$A$6,0))</f>
        <v/>
      </c>
      <c r="AM35" s="97">
        <f>H35*INDEX(Régions!$AJ$2:$AJ$6,MATCH($B35,Régions!$A$2:$A$6,0))</f>
        <v/>
      </c>
      <c r="AN35" s="97">
        <f>I35*INDEX(Régions!$AK$2:$AK$6,MATCH($B35,Régions!$A$2:$A$6,0))</f>
        <v/>
      </c>
      <c r="AO35" s="99">
        <f>INDEX({"CAQ","PLQ","QS","PQ","PCQ","Autre"},MATCH(MAX(Q35:V35),Q35:V35,0))</f>
        <v/>
      </c>
      <c r="AP35" s="99">
        <f>INDEX({"CAQ","PLQ","QS","PQ","PCQ","Autre"},MATCH(MAX(W35:AB35),W35:AB35,0))</f>
        <v/>
      </c>
      <c r="AQ35" s="99">
        <f>INDEX({"CAQ","PLQ","QS","PQ","PCQ","Autre"},MATCH(MAX(AC35:AH35),AC35:AH35,0))</f>
        <v/>
      </c>
      <c r="AR35" s="99">
        <f>INDEX({"CAQ","PLQ","QS","PQ","PCQ","Autre"},MATCH(MAX(AI35:AN35),AI35:AN35,0))</f>
        <v/>
      </c>
      <c r="AS35" s="100">
        <f>(MAX(K35:P35)-LARGE(K35:P35,2))*100</f>
        <v/>
      </c>
      <c r="AT35" s="101">
        <f>IF(AS35&lt;5,"Oui","Non")</f>
        <v/>
      </c>
      <c r="AU35" s="102" t="n">
        <v>-10.648</v>
      </c>
      <c r="AV35" s="102" t="n">
        <v>3.753</v>
      </c>
      <c r="AW35" s="102" t="n">
        <v>-3.367</v>
      </c>
      <c r="AX35" s="102" t="n">
        <v>6.479</v>
      </c>
      <c r="AY35" s="96" t="n">
        <v>19089</v>
      </c>
      <c r="AZ35" s="96" t="n">
        <v>4414</v>
      </c>
      <c r="BA35" s="96" t="n">
        <v>5081</v>
      </c>
      <c r="BB35" s="96" t="n">
        <v>4265</v>
      </c>
      <c r="BC35" s="96" t="n">
        <v>1066</v>
      </c>
      <c r="BD35" s="97">
        <f>AY35*INDEX(Régions!$AQ$2:$AQ$6,MATCH($B35,Régions!$A$2:$A$6,0))</f>
        <v/>
      </c>
      <c r="BE35" s="97">
        <f>AZ35*INDEX(Régions!$AR$2:$AR$6,MATCH($B35,Régions!$A$2:$A$6,0))</f>
        <v/>
      </c>
      <c r="BF35" s="97">
        <f>BA35*INDEX(Régions!$AS$2:$AS$6,MATCH($B35,Régions!$A$2:$A$6,0))</f>
        <v/>
      </c>
      <c r="BG35" s="97">
        <f>BB35*INDEX(Régions!$AT$2:$AT$6,MATCH($B35,Régions!$A$2:$A$6,0))</f>
        <v/>
      </c>
      <c r="BH35" s="97">
        <f>U35</f>
        <v/>
      </c>
      <c r="BI35" s="97">
        <f>BC35*INDEX(Régions!$AU$2:$AU$6,MATCH($B35,Régions!$A$2:$A$6,0))</f>
        <v/>
      </c>
      <c r="BJ35" s="97">
        <f>INDEX({"CAQ","PLQ","QS","PQ","PCQ","Autre"},MATCH(MAX(BD35:BI35),BD35:BI35,0))</f>
        <v/>
      </c>
    </row>
    <row r="36" ht="15" customHeight="1" s="60">
      <c r="A36" s="94" t="inlineStr">
        <is>
          <t>Dubuc</t>
        </is>
      </c>
      <c r="B36" s="94" t="inlineStr">
        <is>
          <t>Reste du Québec</t>
        </is>
      </c>
      <c r="C36" s="95" t="inlineStr">
        <is>
          <t>CAQ</t>
        </is>
      </c>
      <c r="D36" s="96" t="n">
        <v>15475</v>
      </c>
      <c r="E36" s="96" t="n">
        <v>668</v>
      </c>
      <c r="F36" s="96" t="n">
        <v>2842</v>
      </c>
      <c r="G36" s="96" t="n">
        <v>4710</v>
      </c>
      <c r="H36" s="96" t="n">
        <v>2962</v>
      </c>
      <c r="I36" s="96" t="n">
        <v>200</v>
      </c>
      <c r="J36" s="97">
        <f>SUM(D36:I36)</f>
        <v/>
      </c>
      <c r="K36" s="98">
        <f>IFERROR(D36/J36,0)</f>
        <v/>
      </c>
      <c r="L36" s="98">
        <f>IFERROR(E36/J36,0)</f>
        <v/>
      </c>
      <c r="M36" s="98">
        <f>IFERROR(F36/J36,0)</f>
        <v/>
      </c>
      <c r="N36" s="98">
        <f>IFERROR(G36/J36,0)</f>
        <v/>
      </c>
      <c r="O36" s="98">
        <f>IFERROR(H36/J36,0)</f>
        <v/>
      </c>
      <c r="P36" s="98">
        <f>IFERROR(I36/J36,0)</f>
        <v/>
      </c>
      <c r="Q36" s="97">
        <f>D36*INDEX(Régions!$T$2:$T$6,MATCH($B36,Régions!$A$2:$A$6,0))</f>
        <v/>
      </c>
      <c r="R36" s="97">
        <f>E36*INDEX(Régions!$U$2:$U$6,MATCH($B36,Régions!$A$2:$A$6,0))</f>
        <v/>
      </c>
      <c r="S36" s="97">
        <f>F36*INDEX(Régions!$V$2:$V$6,MATCH($B36,Régions!$A$2:$A$6,0))</f>
        <v/>
      </c>
      <c r="T36" s="97">
        <f>G36*INDEX(Régions!$W$2:$W$6,MATCH($B36,Régions!$A$2:$A$6,0))</f>
        <v/>
      </c>
      <c r="U36" s="97">
        <f>H36*INDEX(Régions!$X$2:$X$6,MATCH($B36,Régions!$A$2:$A$6,0))</f>
        <v/>
      </c>
      <c r="V36" s="97">
        <f>I36*INDEX(Régions!$Y$2:$Y$6,MATCH($B36,Régions!$A$2:$A$6,0))</f>
        <v/>
      </c>
      <c r="W36" s="97">
        <f>Q36+(AU36/100)*J36*Régions!$O$2</f>
        <v/>
      </c>
      <c r="X36" s="97">
        <f>R36+(AV36/100)*J36*Régions!$O$2</f>
        <v/>
      </c>
      <c r="Y36" s="97">
        <f>S36+(AW36/100)*J36*Régions!$O$2</f>
        <v/>
      </c>
      <c r="Z36" s="97">
        <f>T36+(AX36/100)*J36*Régions!$O$2</f>
        <v/>
      </c>
      <c r="AA36" s="97">
        <f>U36</f>
        <v/>
      </c>
      <c r="AB36" s="97">
        <f>V36</f>
        <v/>
      </c>
      <c r="AC36" s="97">
        <f>D36*INDEX(Régions!$Z$2:$Z$6,MATCH($B36,Régions!$A$2:$A$6,0))</f>
        <v/>
      </c>
      <c r="AD36" s="97">
        <f>E36*INDEX(Régions!$AA$2:$AA$6,MATCH($B36,Régions!$A$2:$A$6,0))</f>
        <v/>
      </c>
      <c r="AE36" s="97">
        <f>F36*INDEX(Régions!$AB$2:$AB$6,MATCH($B36,Régions!$A$2:$A$6,0))</f>
        <v/>
      </c>
      <c r="AF36" s="97">
        <f>G36*INDEX(Régions!$AC$2:$AC$6,MATCH($B36,Régions!$A$2:$A$6,0))</f>
        <v/>
      </c>
      <c r="AG36" s="97">
        <f>H36*INDEX(Régions!$AD$2:$AD$6,MATCH($B36,Régions!$A$2:$A$6,0))</f>
        <v/>
      </c>
      <c r="AH36" s="97">
        <f>I36*INDEX(Régions!$AE$2:$AE$6,MATCH($B36,Régions!$A$2:$A$6,0))</f>
        <v/>
      </c>
      <c r="AI36" s="97">
        <f>D36*INDEX(Régions!$AF$2:$AF$6,MATCH($B36,Régions!$A$2:$A$6,0))</f>
        <v/>
      </c>
      <c r="AJ36" s="97">
        <f>E36*INDEX(Régions!$AG$2:$AG$6,MATCH($B36,Régions!$A$2:$A$6,0))</f>
        <v/>
      </c>
      <c r="AK36" s="97">
        <f>F36*INDEX(Régions!$AH$2:$AH$6,MATCH($B36,Régions!$A$2:$A$6,0))</f>
        <v/>
      </c>
      <c r="AL36" s="97">
        <f>G36*INDEX(Régions!$AI$2:$AI$6,MATCH($B36,Régions!$A$2:$A$6,0))</f>
        <v/>
      </c>
      <c r="AM36" s="97">
        <f>H36*INDEX(Régions!$AJ$2:$AJ$6,MATCH($B36,Régions!$A$2:$A$6,0))</f>
        <v/>
      </c>
      <c r="AN36" s="97">
        <f>I36*INDEX(Régions!$AK$2:$AK$6,MATCH($B36,Régions!$A$2:$A$6,0))</f>
        <v/>
      </c>
      <c r="AO36" s="99">
        <f>INDEX({"CAQ","PLQ","QS","PQ","PCQ","Autre"},MATCH(MAX(Q36:V36),Q36:V36,0))</f>
        <v/>
      </c>
      <c r="AP36" s="99">
        <f>INDEX({"CAQ","PLQ","QS","PQ","PCQ","Autre"},MATCH(MAX(W36:AB36),W36:AB36,0))</f>
        <v/>
      </c>
      <c r="AQ36" s="99">
        <f>INDEX({"CAQ","PLQ","QS","PQ","PCQ","Autre"},MATCH(MAX(AC36:AH36),AC36:AH36,0))</f>
        <v/>
      </c>
      <c r="AR36" s="99">
        <f>INDEX({"CAQ","PLQ","QS","PQ","PCQ","Autre"},MATCH(MAX(AI36:AN36),AI36:AN36,0))</f>
        <v/>
      </c>
      <c r="AS36" s="100">
        <f>(MAX(K36:P36)-LARGE(K36:P36,2))*100</f>
        <v/>
      </c>
      <c r="AT36" s="101">
        <f>IF(AS36&lt;5,"Oui","Non")</f>
        <v/>
      </c>
      <c r="AU36" s="102" t="n">
        <v>11.445</v>
      </c>
      <c r="AV36" s="102" t="n">
        <v>-7.124</v>
      </c>
      <c r="AW36" s="102" t="n">
        <v>-0.511</v>
      </c>
      <c r="AX36" s="102" t="n">
        <v>0.347</v>
      </c>
      <c r="AY36" s="96" t="n">
        <v>10566</v>
      </c>
      <c r="AZ36" s="96" t="n">
        <v>5874</v>
      </c>
      <c r="BA36" s="96" t="n">
        <v>3173</v>
      </c>
      <c r="BB36" s="96" t="n">
        <v>5561</v>
      </c>
      <c r="BC36" s="96" t="n">
        <v>1092</v>
      </c>
      <c r="BD36" s="97">
        <f>AY36*INDEX(Régions!$AQ$2:$AQ$6,MATCH($B36,Régions!$A$2:$A$6,0))</f>
        <v/>
      </c>
      <c r="BE36" s="97">
        <f>AZ36*INDEX(Régions!$AR$2:$AR$6,MATCH($B36,Régions!$A$2:$A$6,0))</f>
        <v/>
      </c>
      <c r="BF36" s="97">
        <f>BA36*INDEX(Régions!$AS$2:$AS$6,MATCH($B36,Régions!$A$2:$A$6,0))</f>
        <v/>
      </c>
      <c r="BG36" s="97">
        <f>BB36*INDEX(Régions!$AT$2:$AT$6,MATCH($B36,Régions!$A$2:$A$6,0))</f>
        <v/>
      </c>
      <c r="BH36" s="97">
        <f>U36</f>
        <v/>
      </c>
      <c r="BI36" s="97">
        <f>BC36*INDEX(Régions!$AU$2:$AU$6,MATCH($B36,Régions!$A$2:$A$6,0))</f>
        <v/>
      </c>
      <c r="BJ36" s="97">
        <f>INDEX({"CAQ","PLQ","QS","PQ","PCQ","Autre"},MATCH(MAX(BD36:BI36),BD36:BI36,0))</f>
        <v/>
      </c>
    </row>
    <row r="37" ht="15" customHeight="1" s="60">
      <c r="A37" s="94" t="inlineStr">
        <is>
          <t>Duplessis</t>
        </is>
      </c>
      <c r="B37" s="94" t="inlineStr">
        <is>
          <t>Reste du Québec</t>
        </is>
      </c>
      <c r="C37" s="95" t="inlineStr">
        <is>
          <t>CAQ</t>
        </is>
      </c>
      <c r="D37" s="96" t="n">
        <v>8785</v>
      </c>
      <c r="E37" s="96" t="n">
        <v>783</v>
      </c>
      <c r="F37" s="96" t="n">
        <v>1821</v>
      </c>
      <c r="G37" s="96" t="n">
        <v>4825</v>
      </c>
      <c r="H37" s="96" t="n">
        <v>3059</v>
      </c>
      <c r="I37" s="96" t="n">
        <v>190</v>
      </c>
      <c r="J37" s="97">
        <f>SUM(D37:I37)</f>
        <v/>
      </c>
      <c r="K37" s="98">
        <f>IFERROR(D37/J37,0)</f>
        <v/>
      </c>
      <c r="L37" s="98">
        <f>IFERROR(E37/J37,0)</f>
        <v/>
      </c>
      <c r="M37" s="98">
        <f>IFERROR(F37/J37,0)</f>
        <v/>
      </c>
      <c r="N37" s="98">
        <f>IFERROR(G37/J37,0)</f>
        <v/>
      </c>
      <c r="O37" s="98">
        <f>IFERROR(H37/J37,0)</f>
        <v/>
      </c>
      <c r="P37" s="98">
        <f>IFERROR(I37/J37,0)</f>
        <v/>
      </c>
      <c r="Q37" s="97">
        <f>D37*INDEX(Régions!$T$2:$T$6,MATCH($B37,Régions!$A$2:$A$6,0))</f>
        <v/>
      </c>
      <c r="R37" s="97">
        <f>E37*INDEX(Régions!$U$2:$U$6,MATCH($B37,Régions!$A$2:$A$6,0))</f>
        <v/>
      </c>
      <c r="S37" s="97">
        <f>F37*INDEX(Régions!$V$2:$V$6,MATCH($B37,Régions!$A$2:$A$6,0))</f>
        <v/>
      </c>
      <c r="T37" s="97">
        <f>G37*INDEX(Régions!$W$2:$W$6,MATCH($B37,Régions!$A$2:$A$6,0))</f>
        <v/>
      </c>
      <c r="U37" s="97">
        <f>H37*INDEX(Régions!$X$2:$X$6,MATCH($B37,Régions!$A$2:$A$6,0))</f>
        <v/>
      </c>
      <c r="V37" s="97">
        <f>I37*INDEX(Régions!$Y$2:$Y$6,MATCH($B37,Régions!$A$2:$A$6,0))</f>
        <v/>
      </c>
      <c r="W37" s="97">
        <f>Q37+(AU37/100)*J37*Régions!$O$2</f>
        <v/>
      </c>
      <c r="X37" s="97">
        <f>R37+(AV37/100)*J37*Régions!$O$2</f>
        <v/>
      </c>
      <c r="Y37" s="97">
        <f>S37+(AW37/100)*J37*Régions!$O$2</f>
        <v/>
      </c>
      <c r="Z37" s="97">
        <f>T37+(AX37/100)*J37*Régions!$O$2</f>
        <v/>
      </c>
      <c r="AA37" s="97">
        <f>U37</f>
        <v/>
      </c>
      <c r="AB37" s="97">
        <f>V37</f>
        <v/>
      </c>
      <c r="AC37" s="97">
        <f>D37*INDEX(Régions!$Z$2:$Z$6,MATCH($B37,Régions!$A$2:$A$6,0))</f>
        <v/>
      </c>
      <c r="AD37" s="97">
        <f>E37*INDEX(Régions!$AA$2:$AA$6,MATCH($B37,Régions!$A$2:$A$6,0))</f>
        <v/>
      </c>
      <c r="AE37" s="97">
        <f>F37*INDEX(Régions!$AB$2:$AB$6,MATCH($B37,Régions!$A$2:$A$6,0))</f>
        <v/>
      </c>
      <c r="AF37" s="97">
        <f>G37*INDEX(Régions!$AC$2:$AC$6,MATCH($B37,Régions!$A$2:$A$6,0))</f>
        <v/>
      </c>
      <c r="AG37" s="97">
        <f>H37*INDEX(Régions!$AD$2:$AD$6,MATCH($B37,Régions!$A$2:$A$6,0))</f>
        <v/>
      </c>
      <c r="AH37" s="97">
        <f>I37*INDEX(Régions!$AE$2:$AE$6,MATCH($B37,Régions!$A$2:$A$6,0))</f>
        <v/>
      </c>
      <c r="AI37" s="97">
        <f>D37*INDEX(Régions!$AF$2:$AF$6,MATCH($B37,Régions!$A$2:$A$6,0))</f>
        <v/>
      </c>
      <c r="AJ37" s="97">
        <f>E37*INDEX(Régions!$AG$2:$AG$6,MATCH($B37,Régions!$A$2:$A$6,0))</f>
        <v/>
      </c>
      <c r="AK37" s="97">
        <f>F37*INDEX(Régions!$AH$2:$AH$6,MATCH($B37,Régions!$A$2:$A$6,0))</f>
        <v/>
      </c>
      <c r="AL37" s="97">
        <f>G37*INDEX(Régions!$AI$2:$AI$6,MATCH($B37,Régions!$A$2:$A$6,0))</f>
        <v/>
      </c>
      <c r="AM37" s="97">
        <f>H37*INDEX(Régions!$AJ$2:$AJ$6,MATCH($B37,Régions!$A$2:$A$6,0))</f>
        <v/>
      </c>
      <c r="AN37" s="97">
        <f>I37*INDEX(Régions!$AK$2:$AK$6,MATCH($B37,Régions!$A$2:$A$6,0))</f>
        <v/>
      </c>
      <c r="AO37" s="99">
        <f>INDEX({"CAQ","PLQ","QS","PQ","PCQ","Autre"},MATCH(MAX(Q37:V37),Q37:V37,0))</f>
        <v/>
      </c>
      <c r="AP37" s="99">
        <f>INDEX({"CAQ","PLQ","QS","PQ","PCQ","Autre"},MATCH(MAX(W37:AB37),W37:AB37,0))</f>
        <v/>
      </c>
      <c r="AQ37" s="99">
        <f>INDEX({"CAQ","PLQ","QS","PQ","PCQ","Autre"},MATCH(MAX(AC37:AH37),AC37:AH37,0))</f>
        <v/>
      </c>
      <c r="AR37" s="99">
        <f>INDEX({"CAQ","PLQ","QS","PQ","PCQ","Autre"},MATCH(MAX(AI37:AN37),AI37:AN37,0))</f>
        <v/>
      </c>
      <c r="AS37" s="100">
        <f>(MAX(K37:P37)-LARGE(K37:P37,2))*100</f>
        <v/>
      </c>
      <c r="AT37" s="101">
        <f>IF(AS37&lt;5,"Oui","Non")</f>
        <v/>
      </c>
      <c r="AU37" s="102" t="n">
        <v>5.49</v>
      </c>
      <c r="AV37" s="102" t="n">
        <v>-1.15</v>
      </c>
      <c r="AW37" s="102" t="n">
        <v>-2.039</v>
      </c>
      <c r="AX37" s="102" t="n">
        <v>-5.542</v>
      </c>
      <c r="AY37" s="96" t="n">
        <v>6896</v>
      </c>
      <c r="AZ37" s="96" t="n">
        <v>3668</v>
      </c>
      <c r="BA37" s="96" t="n">
        <v>2534</v>
      </c>
      <c r="BB37" s="96" t="n">
        <v>7023</v>
      </c>
      <c r="BC37" s="96" t="n">
        <v>344</v>
      </c>
      <c r="BD37" s="97">
        <f>AY37*INDEX(Régions!$AQ$2:$AQ$6,MATCH($B37,Régions!$A$2:$A$6,0))</f>
        <v/>
      </c>
      <c r="BE37" s="97">
        <f>AZ37*INDEX(Régions!$AR$2:$AR$6,MATCH($B37,Régions!$A$2:$A$6,0))</f>
        <v/>
      </c>
      <c r="BF37" s="97">
        <f>BA37*INDEX(Régions!$AS$2:$AS$6,MATCH($B37,Régions!$A$2:$A$6,0))</f>
        <v/>
      </c>
      <c r="BG37" s="97">
        <f>BB37*INDEX(Régions!$AT$2:$AT$6,MATCH($B37,Régions!$A$2:$A$6,0))</f>
        <v/>
      </c>
      <c r="BH37" s="97">
        <f>U37</f>
        <v/>
      </c>
      <c r="BI37" s="97">
        <f>BC37*INDEX(Régions!$AU$2:$AU$6,MATCH($B37,Régions!$A$2:$A$6,0))</f>
        <v/>
      </c>
      <c r="BJ37" s="97">
        <f>INDEX({"CAQ","PLQ","QS","PQ","PCQ","Autre"},MATCH(MAX(BD37:BI37),BD37:BI37,0))</f>
        <v/>
      </c>
    </row>
    <row r="38" ht="15" customHeight="1" s="60">
      <c r="A38" s="94" t="inlineStr">
        <is>
          <t>Fabre</t>
        </is>
      </c>
      <c r="B38" s="94" t="inlineStr">
        <is>
          <t>Banlieue de Montréal</t>
        </is>
      </c>
      <c r="C38" s="95" t="inlineStr">
        <is>
          <t>CAQ</t>
        </is>
      </c>
      <c r="D38" s="96" t="n">
        <v>10912</v>
      </c>
      <c r="E38" s="96" t="n">
        <v>10606</v>
      </c>
      <c r="F38" s="96" t="n">
        <v>3820</v>
      </c>
      <c r="G38" s="96" t="n">
        <v>3346</v>
      </c>
      <c r="H38" s="96" t="n">
        <v>5205</v>
      </c>
      <c r="I38" s="96" t="n">
        <v>418</v>
      </c>
      <c r="J38" s="97">
        <f>SUM(D38:I38)</f>
        <v/>
      </c>
      <c r="K38" s="98">
        <f>IFERROR(D38/J38,0)</f>
        <v/>
      </c>
      <c r="L38" s="98">
        <f>IFERROR(E38/J38,0)</f>
        <v/>
      </c>
      <c r="M38" s="98">
        <f>IFERROR(F38/J38,0)</f>
        <v/>
      </c>
      <c r="N38" s="98">
        <f>IFERROR(G38/J38,0)</f>
        <v/>
      </c>
      <c r="O38" s="98">
        <f>IFERROR(H38/J38,0)</f>
        <v/>
      </c>
      <c r="P38" s="98">
        <f>IFERROR(I38/J38,0)</f>
        <v/>
      </c>
      <c r="Q38" s="97">
        <f>D38*INDEX(Régions!$T$2:$T$6,MATCH($B38,Régions!$A$2:$A$6,0))</f>
        <v/>
      </c>
      <c r="R38" s="97">
        <f>E38*INDEX(Régions!$U$2:$U$6,MATCH($B38,Régions!$A$2:$A$6,0))</f>
        <v/>
      </c>
      <c r="S38" s="97">
        <f>F38*INDEX(Régions!$V$2:$V$6,MATCH($B38,Régions!$A$2:$A$6,0))</f>
        <v/>
      </c>
      <c r="T38" s="97">
        <f>G38*INDEX(Régions!$W$2:$W$6,MATCH($B38,Régions!$A$2:$A$6,0))</f>
        <v/>
      </c>
      <c r="U38" s="97">
        <f>H38*INDEX(Régions!$X$2:$X$6,MATCH($B38,Régions!$A$2:$A$6,0))</f>
        <v/>
      </c>
      <c r="V38" s="97">
        <f>I38*INDEX(Régions!$Y$2:$Y$6,MATCH($B38,Régions!$A$2:$A$6,0))</f>
        <v/>
      </c>
      <c r="W38" s="97">
        <f>Q38+(AU38/100)*J38*Régions!$O$2</f>
        <v/>
      </c>
      <c r="X38" s="97">
        <f>R38+(AV38/100)*J38*Régions!$O$2</f>
        <v/>
      </c>
      <c r="Y38" s="97">
        <f>S38+(AW38/100)*J38*Régions!$O$2</f>
        <v/>
      </c>
      <c r="Z38" s="97">
        <f>T38+(AX38/100)*J38*Régions!$O$2</f>
        <v/>
      </c>
      <c r="AA38" s="97">
        <f>U38</f>
        <v/>
      </c>
      <c r="AB38" s="97">
        <f>V38</f>
        <v/>
      </c>
      <c r="AC38" s="97">
        <f>D38*INDEX(Régions!$Z$2:$Z$6,MATCH($B38,Régions!$A$2:$A$6,0))</f>
        <v/>
      </c>
      <c r="AD38" s="97">
        <f>E38*INDEX(Régions!$AA$2:$AA$6,MATCH($B38,Régions!$A$2:$A$6,0))</f>
        <v/>
      </c>
      <c r="AE38" s="97">
        <f>F38*INDEX(Régions!$AB$2:$AB$6,MATCH($B38,Régions!$A$2:$A$6,0))</f>
        <v/>
      </c>
      <c r="AF38" s="97">
        <f>G38*INDEX(Régions!$AC$2:$AC$6,MATCH($B38,Régions!$A$2:$A$6,0))</f>
        <v/>
      </c>
      <c r="AG38" s="97">
        <f>H38*INDEX(Régions!$AD$2:$AD$6,MATCH($B38,Régions!$A$2:$A$6,0))</f>
        <v/>
      </c>
      <c r="AH38" s="97">
        <f>I38*INDEX(Régions!$AE$2:$AE$6,MATCH($B38,Régions!$A$2:$A$6,0))</f>
        <v/>
      </c>
      <c r="AI38" s="97">
        <f>D38*INDEX(Régions!$AF$2:$AF$6,MATCH($B38,Régions!$A$2:$A$6,0))</f>
        <v/>
      </c>
      <c r="AJ38" s="97">
        <f>E38*INDEX(Régions!$AG$2:$AG$6,MATCH($B38,Régions!$A$2:$A$6,0))</f>
        <v/>
      </c>
      <c r="AK38" s="97">
        <f>F38*INDEX(Régions!$AH$2:$AH$6,MATCH($B38,Régions!$A$2:$A$6,0))</f>
        <v/>
      </c>
      <c r="AL38" s="97">
        <f>G38*INDEX(Régions!$AI$2:$AI$6,MATCH($B38,Régions!$A$2:$A$6,0))</f>
        <v/>
      </c>
      <c r="AM38" s="97">
        <f>H38*INDEX(Régions!$AJ$2:$AJ$6,MATCH($B38,Régions!$A$2:$A$6,0))</f>
        <v/>
      </c>
      <c r="AN38" s="97">
        <f>I38*INDEX(Régions!$AK$2:$AK$6,MATCH($B38,Régions!$A$2:$A$6,0))</f>
        <v/>
      </c>
      <c r="AO38" s="99">
        <f>INDEX({"CAQ","PLQ","QS","PQ","PCQ","Autre"},MATCH(MAX(Q38:V38),Q38:V38,0))</f>
        <v/>
      </c>
      <c r="AP38" s="99">
        <f>INDEX({"CAQ","PLQ","QS","PQ","PCQ","Autre"},MATCH(MAX(W38:AB38),W38:AB38,0))</f>
        <v/>
      </c>
      <c r="AQ38" s="99">
        <f>INDEX({"CAQ","PLQ","QS","PQ","PCQ","Autre"},MATCH(MAX(AC38:AH38),AC38:AH38,0))</f>
        <v/>
      </c>
      <c r="AR38" s="99">
        <f>INDEX({"CAQ","PLQ","QS","PQ","PCQ","Autre"},MATCH(MAX(AI38:AN38),AI38:AN38,0))</f>
        <v/>
      </c>
      <c r="AS38" s="100">
        <f>(MAX(K38:P38)-LARGE(K38:P38,2))*100</f>
        <v/>
      </c>
      <c r="AT38" s="101">
        <f>IF(AS38&lt;5,"Oui","Non")</f>
        <v/>
      </c>
      <c r="AU38" s="102" t="n">
        <v>-3.877</v>
      </c>
      <c r="AV38" s="102" t="n">
        <v>0.297</v>
      </c>
      <c r="AW38" s="102" t="n">
        <v>1.059</v>
      </c>
      <c r="AX38" s="102" t="n">
        <v>-0.75</v>
      </c>
      <c r="AY38" s="96" t="n">
        <v>10540</v>
      </c>
      <c r="AZ38" s="96" t="n">
        <v>12147</v>
      </c>
      <c r="BA38" s="96" t="n">
        <v>3487</v>
      </c>
      <c r="BB38" s="96" t="n">
        <v>4372</v>
      </c>
      <c r="BC38" s="96" t="n">
        <v>1828</v>
      </c>
      <c r="BD38" s="97">
        <f>AY38*INDEX(Régions!$AQ$2:$AQ$6,MATCH($B38,Régions!$A$2:$A$6,0))</f>
        <v/>
      </c>
      <c r="BE38" s="97">
        <f>AZ38*INDEX(Régions!$AR$2:$AR$6,MATCH($B38,Régions!$A$2:$A$6,0))</f>
        <v/>
      </c>
      <c r="BF38" s="97">
        <f>BA38*INDEX(Régions!$AS$2:$AS$6,MATCH($B38,Régions!$A$2:$A$6,0))</f>
        <v/>
      </c>
      <c r="BG38" s="97">
        <f>BB38*INDEX(Régions!$AT$2:$AT$6,MATCH($B38,Régions!$A$2:$A$6,0))</f>
        <v/>
      </c>
      <c r="BH38" s="97">
        <f>U38</f>
        <v/>
      </c>
      <c r="BI38" s="97">
        <f>BC38*INDEX(Régions!$AU$2:$AU$6,MATCH($B38,Régions!$A$2:$A$6,0))</f>
        <v/>
      </c>
      <c r="BJ38" s="97">
        <f>INDEX({"CAQ","PLQ","QS","PQ","PCQ","Autre"},MATCH(MAX(BD38:BI38),BD38:BI38,0))</f>
        <v/>
      </c>
    </row>
    <row r="39" ht="15" customHeight="1" s="60">
      <c r="A39" s="94" t="inlineStr">
        <is>
          <t>Gaspé</t>
        </is>
      </c>
      <c r="B39" s="94" t="inlineStr">
        <is>
          <t>Reste du Québec</t>
        </is>
      </c>
      <c r="C39" s="95" t="inlineStr">
        <is>
          <t>CAQ</t>
        </is>
      </c>
      <c r="D39" s="96" t="n">
        <v>7542</v>
      </c>
      <c r="E39" s="96" t="n">
        <v>1255</v>
      </c>
      <c r="F39" s="96" t="n">
        <v>1634</v>
      </c>
      <c r="G39" s="96" t="n">
        <v>6832</v>
      </c>
      <c r="H39" s="96" t="n">
        <v>956</v>
      </c>
      <c r="I39" s="96" t="n">
        <v>0</v>
      </c>
      <c r="J39" s="97">
        <f>SUM(D39:I39)</f>
        <v/>
      </c>
      <c r="K39" s="98">
        <f>IFERROR(D39/J39,0)</f>
        <v/>
      </c>
      <c r="L39" s="98">
        <f>IFERROR(E39/J39,0)</f>
        <v/>
      </c>
      <c r="M39" s="98">
        <f>IFERROR(F39/J39,0)</f>
        <v/>
      </c>
      <c r="N39" s="98">
        <f>IFERROR(G39/J39,0)</f>
        <v/>
      </c>
      <c r="O39" s="98">
        <f>IFERROR(H39/J39,0)</f>
        <v/>
      </c>
      <c r="P39" s="98">
        <f>IFERROR(I39/J39,0)</f>
        <v/>
      </c>
      <c r="Q39" s="97">
        <f>D39*INDEX(Régions!$T$2:$T$6,MATCH($B39,Régions!$A$2:$A$6,0))</f>
        <v/>
      </c>
      <c r="R39" s="97">
        <f>E39*INDEX(Régions!$U$2:$U$6,MATCH($B39,Régions!$A$2:$A$6,0))</f>
        <v/>
      </c>
      <c r="S39" s="97">
        <f>F39*INDEX(Régions!$V$2:$V$6,MATCH($B39,Régions!$A$2:$A$6,0))</f>
        <v/>
      </c>
      <c r="T39" s="97">
        <f>G39*INDEX(Régions!$W$2:$W$6,MATCH($B39,Régions!$A$2:$A$6,0))</f>
        <v/>
      </c>
      <c r="U39" s="97">
        <f>H39*INDEX(Régions!$X$2:$X$6,MATCH($B39,Régions!$A$2:$A$6,0))</f>
        <v/>
      </c>
      <c r="V39" s="97">
        <f>I39*INDEX(Régions!$Y$2:$Y$6,MATCH($B39,Régions!$A$2:$A$6,0))</f>
        <v/>
      </c>
      <c r="W39" s="97">
        <f>Q39+(AU39/100)*J39*Régions!$O$2</f>
        <v/>
      </c>
      <c r="X39" s="97">
        <f>R39+(AV39/100)*J39*Régions!$O$2</f>
        <v/>
      </c>
      <c r="Y39" s="97">
        <f>S39+(AW39/100)*J39*Régions!$O$2</f>
        <v/>
      </c>
      <c r="Z39" s="97">
        <f>T39+(AX39/100)*J39*Régions!$O$2</f>
        <v/>
      </c>
      <c r="AA39" s="97">
        <f>U39</f>
        <v/>
      </c>
      <c r="AB39" s="97">
        <f>V39</f>
        <v/>
      </c>
      <c r="AC39" s="97">
        <f>D39*INDEX(Régions!$Z$2:$Z$6,MATCH($B39,Régions!$A$2:$A$6,0))</f>
        <v/>
      </c>
      <c r="AD39" s="97">
        <f>E39*INDEX(Régions!$AA$2:$AA$6,MATCH($B39,Régions!$A$2:$A$6,0))</f>
        <v/>
      </c>
      <c r="AE39" s="97">
        <f>F39*INDEX(Régions!$AB$2:$AB$6,MATCH($B39,Régions!$A$2:$A$6,0))</f>
        <v/>
      </c>
      <c r="AF39" s="97">
        <f>G39*INDEX(Régions!$AC$2:$AC$6,MATCH($B39,Régions!$A$2:$A$6,0))</f>
        <v/>
      </c>
      <c r="AG39" s="97">
        <f>H39*INDEX(Régions!$AD$2:$AD$6,MATCH($B39,Régions!$A$2:$A$6,0))</f>
        <v/>
      </c>
      <c r="AH39" s="97">
        <f>I39*INDEX(Régions!$AE$2:$AE$6,MATCH($B39,Régions!$A$2:$A$6,0))</f>
        <v/>
      </c>
      <c r="AI39" s="97">
        <f>D39*INDEX(Régions!$AF$2:$AF$6,MATCH($B39,Régions!$A$2:$A$6,0))</f>
        <v/>
      </c>
      <c r="AJ39" s="97">
        <f>E39*INDEX(Régions!$AG$2:$AG$6,MATCH($B39,Régions!$A$2:$A$6,0))</f>
        <v/>
      </c>
      <c r="AK39" s="97">
        <f>F39*INDEX(Régions!$AH$2:$AH$6,MATCH($B39,Régions!$A$2:$A$6,0))</f>
        <v/>
      </c>
      <c r="AL39" s="97">
        <f>G39*INDEX(Régions!$AI$2:$AI$6,MATCH($B39,Régions!$A$2:$A$6,0))</f>
        <v/>
      </c>
      <c r="AM39" s="97">
        <f>H39*INDEX(Régions!$AJ$2:$AJ$6,MATCH($B39,Régions!$A$2:$A$6,0))</f>
        <v/>
      </c>
      <c r="AN39" s="97">
        <f>I39*INDEX(Régions!$AK$2:$AK$6,MATCH($B39,Régions!$A$2:$A$6,0))</f>
        <v/>
      </c>
      <c r="AO39" s="99">
        <f>INDEX({"CAQ","PLQ","QS","PQ","PCQ","Autre"},MATCH(MAX(Q39:V39),Q39:V39,0))</f>
        <v/>
      </c>
      <c r="AP39" s="99">
        <f>INDEX({"CAQ","PLQ","QS","PQ","PCQ","Autre"},MATCH(MAX(W39:AB39),W39:AB39,0))</f>
        <v/>
      </c>
      <c r="AQ39" s="99">
        <f>INDEX({"CAQ","PLQ","QS","PQ","PCQ","Autre"},MATCH(MAX(AC39:AH39),AC39:AH39,0))</f>
        <v/>
      </c>
      <c r="AR39" s="99">
        <f>INDEX({"CAQ","PLQ","QS","PQ","PCQ","Autre"},MATCH(MAX(AI39:AN39),AI39:AN39,0))</f>
        <v/>
      </c>
      <c r="AS39" s="100">
        <f>(MAX(K39:P39)-LARGE(K39:P39,2))*100</f>
        <v/>
      </c>
      <c r="AT39" s="101">
        <f>IF(AS39&lt;5,"Oui","Non")</f>
        <v/>
      </c>
      <c r="AU39" s="102" t="n">
        <v>15.851</v>
      </c>
      <c r="AV39" s="102" t="n">
        <v>-13.542</v>
      </c>
      <c r="AW39" s="102" t="n">
        <v>-3.858</v>
      </c>
      <c r="AX39" s="102" t="n">
        <v>8.073</v>
      </c>
      <c r="AY39" s="96" t="n">
        <v>3521</v>
      </c>
      <c r="AZ39" s="96" t="n">
        <v>5962</v>
      </c>
      <c r="BA39" s="96" t="n">
        <v>2482</v>
      </c>
      <c r="BB39" s="96" t="n">
        <v>6004</v>
      </c>
      <c r="BC39" s="96" t="n">
        <v>0</v>
      </c>
      <c r="BD39" s="97">
        <f>AY39*INDEX(Régions!$AQ$2:$AQ$6,MATCH($B39,Régions!$A$2:$A$6,0))</f>
        <v/>
      </c>
      <c r="BE39" s="97">
        <f>AZ39*INDEX(Régions!$AR$2:$AR$6,MATCH($B39,Régions!$A$2:$A$6,0))</f>
        <v/>
      </c>
      <c r="BF39" s="97">
        <f>BA39*INDEX(Régions!$AS$2:$AS$6,MATCH($B39,Régions!$A$2:$A$6,0))</f>
        <v/>
      </c>
      <c r="BG39" s="97">
        <f>BB39*INDEX(Régions!$AT$2:$AT$6,MATCH($B39,Régions!$A$2:$A$6,0))</f>
        <v/>
      </c>
      <c r="BH39" s="97">
        <f>U39</f>
        <v/>
      </c>
      <c r="BI39" s="97">
        <f>BC39*INDEX(Régions!$AU$2:$AU$6,MATCH($B39,Régions!$A$2:$A$6,0))</f>
        <v/>
      </c>
      <c r="BJ39" s="97">
        <f>INDEX({"CAQ","PLQ","QS","PQ","PCQ","Autre"},MATCH(MAX(BD39:BI39),BD39:BI39,0))</f>
        <v/>
      </c>
    </row>
    <row r="40" ht="15" customHeight="1" s="60">
      <c r="A40" s="94" t="inlineStr">
        <is>
          <t>Gatineau</t>
        </is>
      </c>
      <c r="B40" s="94" t="inlineStr">
        <is>
          <t>Reste du Québec</t>
        </is>
      </c>
      <c r="C40" s="95" t="inlineStr">
        <is>
          <t>CAQ</t>
        </is>
      </c>
      <c r="D40" s="96" t="n">
        <v>15946</v>
      </c>
      <c r="E40" s="96" t="n">
        <v>6674</v>
      </c>
      <c r="F40" s="96" t="n">
        <v>4128</v>
      </c>
      <c r="G40" s="96" t="n">
        <v>3312</v>
      </c>
      <c r="H40" s="96" t="n">
        <v>3978</v>
      </c>
      <c r="I40" s="96" t="n">
        <v>82</v>
      </c>
      <c r="J40" s="97">
        <f>SUM(D40:I40)</f>
        <v/>
      </c>
      <c r="K40" s="98">
        <f>IFERROR(D40/J40,0)</f>
        <v/>
      </c>
      <c r="L40" s="98">
        <f>IFERROR(E40/J40,0)</f>
        <v/>
      </c>
      <c r="M40" s="98">
        <f>IFERROR(F40/J40,0)</f>
        <v/>
      </c>
      <c r="N40" s="98">
        <f>IFERROR(G40/J40,0)</f>
        <v/>
      </c>
      <c r="O40" s="98">
        <f>IFERROR(H40/J40,0)</f>
        <v/>
      </c>
      <c r="P40" s="98">
        <f>IFERROR(I40/J40,0)</f>
        <v/>
      </c>
      <c r="Q40" s="97">
        <f>D40*INDEX(Régions!$T$2:$T$6,MATCH($B40,Régions!$A$2:$A$6,0))</f>
        <v/>
      </c>
      <c r="R40" s="97">
        <f>E40*INDEX(Régions!$U$2:$U$6,MATCH($B40,Régions!$A$2:$A$6,0))</f>
        <v/>
      </c>
      <c r="S40" s="97">
        <f>F40*INDEX(Régions!$V$2:$V$6,MATCH($B40,Régions!$A$2:$A$6,0))</f>
        <v/>
      </c>
      <c r="T40" s="97">
        <f>G40*INDEX(Régions!$W$2:$W$6,MATCH($B40,Régions!$A$2:$A$6,0))</f>
        <v/>
      </c>
      <c r="U40" s="97">
        <f>H40*INDEX(Régions!$X$2:$X$6,MATCH($B40,Régions!$A$2:$A$6,0))</f>
        <v/>
      </c>
      <c r="V40" s="97">
        <f>I40*INDEX(Régions!$Y$2:$Y$6,MATCH($B40,Régions!$A$2:$A$6,0))</f>
        <v/>
      </c>
      <c r="W40" s="97">
        <f>Q40+(AU40/100)*J40*Régions!$O$2</f>
        <v/>
      </c>
      <c r="X40" s="97">
        <f>R40+(AV40/100)*J40*Régions!$O$2</f>
        <v/>
      </c>
      <c r="Y40" s="97">
        <f>S40+(AW40/100)*J40*Régions!$O$2</f>
        <v/>
      </c>
      <c r="Z40" s="97">
        <f>T40+(AX40/100)*J40*Régions!$O$2</f>
        <v/>
      </c>
      <c r="AA40" s="97">
        <f>U40</f>
        <v/>
      </c>
      <c r="AB40" s="97">
        <f>V40</f>
        <v/>
      </c>
      <c r="AC40" s="97">
        <f>D40*INDEX(Régions!$Z$2:$Z$6,MATCH($B40,Régions!$A$2:$A$6,0))</f>
        <v/>
      </c>
      <c r="AD40" s="97">
        <f>E40*INDEX(Régions!$AA$2:$AA$6,MATCH($B40,Régions!$A$2:$A$6,0))</f>
        <v/>
      </c>
      <c r="AE40" s="97">
        <f>F40*INDEX(Régions!$AB$2:$AB$6,MATCH($B40,Régions!$A$2:$A$6,0))</f>
        <v/>
      </c>
      <c r="AF40" s="97">
        <f>G40*INDEX(Régions!$AC$2:$AC$6,MATCH($B40,Régions!$A$2:$A$6,0))</f>
        <v/>
      </c>
      <c r="AG40" s="97">
        <f>H40*INDEX(Régions!$AD$2:$AD$6,MATCH($B40,Régions!$A$2:$A$6,0))</f>
        <v/>
      </c>
      <c r="AH40" s="97">
        <f>I40*INDEX(Régions!$AE$2:$AE$6,MATCH($B40,Régions!$A$2:$A$6,0))</f>
        <v/>
      </c>
      <c r="AI40" s="97">
        <f>D40*INDEX(Régions!$AF$2:$AF$6,MATCH($B40,Régions!$A$2:$A$6,0))</f>
        <v/>
      </c>
      <c r="AJ40" s="97">
        <f>E40*INDEX(Régions!$AG$2:$AG$6,MATCH($B40,Régions!$A$2:$A$6,0))</f>
        <v/>
      </c>
      <c r="AK40" s="97">
        <f>F40*INDEX(Régions!$AH$2:$AH$6,MATCH($B40,Régions!$A$2:$A$6,0))</f>
        <v/>
      </c>
      <c r="AL40" s="97">
        <f>G40*INDEX(Régions!$AI$2:$AI$6,MATCH($B40,Régions!$A$2:$A$6,0))</f>
        <v/>
      </c>
      <c r="AM40" s="97">
        <f>H40*INDEX(Régions!$AJ$2:$AJ$6,MATCH($B40,Régions!$A$2:$A$6,0))</f>
        <v/>
      </c>
      <c r="AN40" s="97">
        <f>I40*INDEX(Régions!$AK$2:$AK$6,MATCH($B40,Régions!$A$2:$A$6,0))</f>
        <v/>
      </c>
      <c r="AO40" s="99">
        <f>INDEX({"CAQ","PLQ","QS","PQ","PCQ","Autre"},MATCH(MAX(Q40:V40),Q40:V40,0))</f>
        <v/>
      </c>
      <c r="AP40" s="99">
        <f>INDEX({"CAQ","PLQ","QS","PQ","PCQ","Autre"},MATCH(MAX(W40:AB40),W40:AB40,0))</f>
        <v/>
      </c>
      <c r="AQ40" s="99">
        <f>INDEX({"CAQ","PLQ","QS","PQ","PCQ","Autre"},MATCH(MAX(AC40:AH40),AC40:AH40,0))</f>
        <v/>
      </c>
      <c r="AR40" s="99">
        <f>INDEX({"CAQ","PLQ","QS","PQ","PCQ","Autre"},MATCH(MAX(AI40:AN40),AI40:AN40,0))</f>
        <v/>
      </c>
      <c r="AS40" s="100">
        <f>(MAX(K40:P40)-LARGE(K40:P40,2))*100</f>
        <v/>
      </c>
      <c r="AT40" s="101">
        <f>IF(AS40&lt;5,"Oui","Non")</f>
        <v/>
      </c>
      <c r="AU40" s="102" t="n">
        <v>-0.953</v>
      </c>
      <c r="AV40" s="102" t="n">
        <v>1.819</v>
      </c>
      <c r="AW40" s="102" t="n">
        <v>0.16</v>
      </c>
      <c r="AX40" s="102" t="n">
        <v>4.682</v>
      </c>
      <c r="AY40" s="96" t="n">
        <v>13637</v>
      </c>
      <c r="AZ40" s="96" t="n">
        <v>9963</v>
      </c>
      <c r="BA40" s="96" t="n">
        <v>4223</v>
      </c>
      <c r="BB40" s="96" t="n">
        <v>2943</v>
      </c>
      <c r="BC40" s="96" t="n">
        <v>1907</v>
      </c>
      <c r="BD40" s="97">
        <f>AY40*INDEX(Régions!$AQ$2:$AQ$6,MATCH($B40,Régions!$A$2:$A$6,0))</f>
        <v/>
      </c>
      <c r="BE40" s="97">
        <f>AZ40*INDEX(Régions!$AR$2:$AR$6,MATCH($B40,Régions!$A$2:$A$6,0))</f>
        <v/>
      </c>
      <c r="BF40" s="97">
        <f>BA40*INDEX(Régions!$AS$2:$AS$6,MATCH($B40,Régions!$A$2:$A$6,0))</f>
        <v/>
      </c>
      <c r="BG40" s="97">
        <f>BB40*INDEX(Régions!$AT$2:$AT$6,MATCH($B40,Régions!$A$2:$A$6,0))</f>
        <v/>
      </c>
      <c r="BH40" s="97">
        <f>U40</f>
        <v/>
      </c>
      <c r="BI40" s="97">
        <f>BC40*INDEX(Régions!$AU$2:$AU$6,MATCH($B40,Régions!$A$2:$A$6,0))</f>
        <v/>
      </c>
      <c r="BJ40" s="97">
        <f>INDEX({"CAQ","PLQ","QS","PQ","PCQ","Autre"},MATCH(MAX(BD40:BI40),BD40:BI40,0))</f>
        <v/>
      </c>
    </row>
    <row r="41" ht="15" customHeight="1" s="60">
      <c r="A41" s="94" t="inlineStr">
        <is>
          <t>Gouin</t>
        </is>
      </c>
      <c r="B41" s="94" t="inlineStr">
        <is>
          <t>Île de Montréal</t>
        </is>
      </c>
      <c r="C41" s="95" t="inlineStr">
        <is>
          <t>QS</t>
        </is>
      </c>
      <c r="D41" s="96" t="n">
        <v>3596</v>
      </c>
      <c r="E41" s="96" t="n">
        <v>2444</v>
      </c>
      <c r="F41" s="96" t="n">
        <v>17283</v>
      </c>
      <c r="G41" s="96" t="n">
        <v>3962</v>
      </c>
      <c r="H41" s="96" t="n">
        <v>903</v>
      </c>
      <c r="I41" s="96" t="n">
        <v>890</v>
      </c>
      <c r="J41" s="97">
        <f>SUM(D41:I41)</f>
        <v/>
      </c>
      <c r="K41" s="98">
        <f>IFERROR(D41/J41,0)</f>
        <v/>
      </c>
      <c r="L41" s="98">
        <f>IFERROR(E41/J41,0)</f>
        <v/>
      </c>
      <c r="M41" s="98">
        <f>IFERROR(F41/J41,0)</f>
        <v/>
      </c>
      <c r="N41" s="98">
        <f>IFERROR(G41/J41,0)</f>
        <v/>
      </c>
      <c r="O41" s="98">
        <f>IFERROR(H41/J41,0)</f>
        <v/>
      </c>
      <c r="P41" s="98">
        <f>IFERROR(I41/J41,0)</f>
        <v/>
      </c>
      <c r="Q41" s="97">
        <f>D41*INDEX(Régions!$T$2:$T$6,MATCH($B41,Régions!$A$2:$A$6,0))</f>
        <v/>
      </c>
      <c r="R41" s="97">
        <f>E41*INDEX(Régions!$U$2:$U$6,MATCH($B41,Régions!$A$2:$A$6,0))</f>
        <v/>
      </c>
      <c r="S41" s="97">
        <f>F41*INDEX(Régions!$V$2:$V$6,MATCH($B41,Régions!$A$2:$A$6,0))</f>
        <v/>
      </c>
      <c r="T41" s="97">
        <f>G41*INDEX(Régions!$W$2:$W$6,MATCH($B41,Régions!$A$2:$A$6,0))</f>
        <v/>
      </c>
      <c r="U41" s="97">
        <f>H41*INDEX(Régions!$X$2:$X$6,MATCH($B41,Régions!$A$2:$A$6,0))</f>
        <v/>
      </c>
      <c r="V41" s="97">
        <f>I41*INDEX(Régions!$Y$2:$Y$6,MATCH($B41,Régions!$A$2:$A$6,0))</f>
        <v/>
      </c>
      <c r="W41" s="97">
        <f>Q41+(AU41/100)*J41*Régions!$O$2</f>
        <v/>
      </c>
      <c r="X41" s="97">
        <f>R41+(AV41/100)*J41*Régions!$O$2</f>
        <v/>
      </c>
      <c r="Y41" s="97">
        <f>S41+(AW41/100)*J41*Régions!$O$2</f>
        <v/>
      </c>
      <c r="Z41" s="97">
        <f>T41+(AX41/100)*J41*Régions!$O$2</f>
        <v/>
      </c>
      <c r="AA41" s="97">
        <f>U41</f>
        <v/>
      </c>
      <c r="AB41" s="97">
        <f>V41</f>
        <v/>
      </c>
      <c r="AC41" s="97">
        <f>D41*INDEX(Régions!$Z$2:$Z$6,MATCH($B41,Régions!$A$2:$A$6,0))</f>
        <v/>
      </c>
      <c r="AD41" s="97">
        <f>E41*INDEX(Régions!$AA$2:$AA$6,MATCH($B41,Régions!$A$2:$A$6,0))</f>
        <v/>
      </c>
      <c r="AE41" s="97">
        <f>F41*INDEX(Régions!$AB$2:$AB$6,MATCH($B41,Régions!$A$2:$A$6,0))</f>
        <v/>
      </c>
      <c r="AF41" s="97">
        <f>G41*INDEX(Régions!$AC$2:$AC$6,MATCH($B41,Régions!$A$2:$A$6,0))</f>
        <v/>
      </c>
      <c r="AG41" s="97">
        <f>H41*INDEX(Régions!$AD$2:$AD$6,MATCH($B41,Régions!$A$2:$A$6,0))</f>
        <v/>
      </c>
      <c r="AH41" s="97">
        <f>I41*INDEX(Régions!$AE$2:$AE$6,MATCH($B41,Régions!$A$2:$A$6,0))</f>
        <v/>
      </c>
      <c r="AI41" s="97">
        <f>D41*INDEX(Régions!$AF$2:$AF$6,MATCH($B41,Régions!$A$2:$A$6,0))</f>
        <v/>
      </c>
      <c r="AJ41" s="97">
        <f>E41*INDEX(Régions!$AG$2:$AG$6,MATCH($B41,Régions!$A$2:$A$6,0))</f>
        <v/>
      </c>
      <c r="AK41" s="97">
        <f>F41*INDEX(Régions!$AH$2:$AH$6,MATCH($B41,Régions!$A$2:$A$6,0))</f>
        <v/>
      </c>
      <c r="AL41" s="97">
        <f>G41*INDEX(Régions!$AI$2:$AI$6,MATCH($B41,Régions!$A$2:$A$6,0))</f>
        <v/>
      </c>
      <c r="AM41" s="97">
        <f>H41*INDEX(Régions!$AJ$2:$AJ$6,MATCH($B41,Régions!$A$2:$A$6,0))</f>
        <v/>
      </c>
      <c r="AN41" s="97">
        <f>I41*INDEX(Régions!$AK$2:$AK$6,MATCH($B41,Régions!$A$2:$A$6,0))</f>
        <v/>
      </c>
      <c r="AO41" s="99">
        <f>INDEX({"CAQ","PLQ","QS","PQ","PCQ","Autre"},MATCH(MAX(Q41:V41),Q41:V41,0))</f>
        <v/>
      </c>
      <c r="AP41" s="99">
        <f>INDEX({"CAQ","PLQ","QS","PQ","PCQ","Autre"},MATCH(MAX(W41:AB41),W41:AB41,0))</f>
        <v/>
      </c>
      <c r="AQ41" s="99">
        <f>INDEX({"CAQ","PLQ","QS","PQ","PCQ","Autre"},MATCH(MAX(AC41:AH41),AC41:AH41,0))</f>
        <v/>
      </c>
      <c r="AR41" s="99">
        <f>INDEX({"CAQ","PLQ","QS","PQ","PCQ","Autre"},MATCH(MAX(AI41:AN41),AI41:AN41,0))</f>
        <v/>
      </c>
      <c r="AS41" s="100">
        <f>(MAX(K41:P41)-LARGE(K41:P41,2))*100</f>
        <v/>
      </c>
      <c r="AT41" s="101">
        <f>IF(AS41&lt;5,"Oui","Non")</f>
        <v/>
      </c>
      <c r="AU41" s="102" t="n">
        <v>0.354</v>
      </c>
      <c r="AV41" s="102" t="n">
        <v>5.782</v>
      </c>
      <c r="AW41" s="102" t="n">
        <v>-0.444</v>
      </c>
      <c r="AX41" s="102" t="n">
        <v>-0.099</v>
      </c>
      <c r="AY41" s="96" t="n">
        <v>3011</v>
      </c>
      <c r="AZ41" s="96" t="n">
        <v>3483</v>
      </c>
      <c r="BA41" s="96" t="n">
        <v>17977</v>
      </c>
      <c r="BB41" s="96" t="n">
        <v>4523</v>
      </c>
      <c r="BC41" s="96" t="n">
        <v>1405</v>
      </c>
      <c r="BD41" s="97">
        <f>AY41*INDEX(Régions!$AQ$2:$AQ$6,MATCH($B41,Régions!$A$2:$A$6,0))</f>
        <v/>
      </c>
      <c r="BE41" s="97">
        <f>AZ41*INDEX(Régions!$AR$2:$AR$6,MATCH($B41,Régions!$A$2:$A$6,0))</f>
        <v/>
      </c>
      <c r="BF41" s="97">
        <f>BA41*INDEX(Régions!$AS$2:$AS$6,MATCH($B41,Régions!$A$2:$A$6,0))</f>
        <v/>
      </c>
      <c r="BG41" s="97">
        <f>BB41*INDEX(Régions!$AT$2:$AT$6,MATCH($B41,Régions!$A$2:$A$6,0))</f>
        <v/>
      </c>
      <c r="BH41" s="97">
        <f>U41</f>
        <v/>
      </c>
      <c r="BI41" s="97">
        <f>BC41*INDEX(Régions!$AU$2:$AU$6,MATCH($B41,Régions!$A$2:$A$6,0))</f>
        <v/>
      </c>
      <c r="BJ41" s="97">
        <f>INDEX({"CAQ","PLQ","QS","PQ","PCQ","Autre"},MATCH(MAX(BD41:BI41),BD41:BI41,0))</f>
        <v/>
      </c>
    </row>
    <row r="42" ht="15" customHeight="1" s="60">
      <c r="A42" s="94" t="inlineStr">
        <is>
          <t>Granby</t>
        </is>
      </c>
      <c r="B42" s="94" t="inlineStr">
        <is>
          <t>Reste du Québec</t>
        </is>
      </c>
      <c r="C42" s="95" t="inlineStr">
        <is>
          <t>CAQ</t>
        </is>
      </c>
      <c r="D42" s="96" t="n">
        <v>22282</v>
      </c>
      <c r="E42" s="96" t="n">
        <v>1957</v>
      </c>
      <c r="F42" s="96" t="n">
        <v>5548</v>
      </c>
      <c r="G42" s="96" t="n">
        <v>4578</v>
      </c>
      <c r="H42" s="96" t="n">
        <v>3943</v>
      </c>
      <c r="I42" s="96" t="n">
        <v>335</v>
      </c>
      <c r="J42" s="97">
        <f>SUM(D42:I42)</f>
        <v/>
      </c>
      <c r="K42" s="98">
        <f>IFERROR(D42/J42,0)</f>
        <v/>
      </c>
      <c r="L42" s="98">
        <f>IFERROR(E42/J42,0)</f>
        <v/>
      </c>
      <c r="M42" s="98">
        <f>IFERROR(F42/J42,0)</f>
        <v/>
      </c>
      <c r="N42" s="98">
        <f>IFERROR(G42/J42,0)</f>
        <v/>
      </c>
      <c r="O42" s="98">
        <f>IFERROR(H42/J42,0)</f>
        <v/>
      </c>
      <c r="P42" s="98">
        <f>IFERROR(I42/J42,0)</f>
        <v/>
      </c>
      <c r="Q42" s="97">
        <f>D42*INDEX(Régions!$T$2:$T$6,MATCH($B42,Régions!$A$2:$A$6,0))</f>
        <v/>
      </c>
      <c r="R42" s="97">
        <f>E42*INDEX(Régions!$U$2:$U$6,MATCH($B42,Régions!$A$2:$A$6,0))</f>
        <v/>
      </c>
      <c r="S42" s="97">
        <f>F42*INDEX(Régions!$V$2:$V$6,MATCH($B42,Régions!$A$2:$A$6,0))</f>
        <v/>
      </c>
      <c r="T42" s="97">
        <f>G42*INDEX(Régions!$W$2:$W$6,MATCH($B42,Régions!$A$2:$A$6,0))</f>
        <v/>
      </c>
      <c r="U42" s="97">
        <f>H42*INDEX(Régions!$X$2:$X$6,MATCH($B42,Régions!$A$2:$A$6,0))</f>
        <v/>
      </c>
      <c r="V42" s="97">
        <f>I42*INDEX(Régions!$Y$2:$Y$6,MATCH($B42,Régions!$A$2:$A$6,0))</f>
        <v/>
      </c>
      <c r="W42" s="97">
        <f>Q42+(AU42/100)*J42*Régions!$O$2</f>
        <v/>
      </c>
      <c r="X42" s="97">
        <f>R42+(AV42/100)*J42*Régions!$O$2</f>
        <v/>
      </c>
      <c r="Y42" s="97">
        <f>S42+(AW42/100)*J42*Régions!$O$2</f>
        <v/>
      </c>
      <c r="Z42" s="97">
        <f>T42+(AX42/100)*J42*Régions!$O$2</f>
        <v/>
      </c>
      <c r="AA42" s="97">
        <f>U42</f>
        <v/>
      </c>
      <c r="AB42" s="97">
        <f>V42</f>
        <v/>
      </c>
      <c r="AC42" s="97">
        <f>D42*INDEX(Régions!$Z$2:$Z$6,MATCH($B42,Régions!$A$2:$A$6,0))</f>
        <v/>
      </c>
      <c r="AD42" s="97">
        <f>E42*INDEX(Régions!$AA$2:$AA$6,MATCH($B42,Régions!$A$2:$A$6,0))</f>
        <v/>
      </c>
      <c r="AE42" s="97">
        <f>F42*INDEX(Régions!$AB$2:$AB$6,MATCH($B42,Régions!$A$2:$A$6,0))</f>
        <v/>
      </c>
      <c r="AF42" s="97">
        <f>G42*INDEX(Régions!$AC$2:$AC$6,MATCH($B42,Régions!$A$2:$A$6,0))</f>
        <v/>
      </c>
      <c r="AG42" s="97">
        <f>H42*INDEX(Régions!$AD$2:$AD$6,MATCH($B42,Régions!$A$2:$A$6,0))</f>
        <v/>
      </c>
      <c r="AH42" s="97">
        <f>I42*INDEX(Régions!$AE$2:$AE$6,MATCH($B42,Régions!$A$2:$A$6,0))</f>
        <v/>
      </c>
      <c r="AI42" s="97">
        <f>D42*INDEX(Régions!$AF$2:$AF$6,MATCH($B42,Régions!$A$2:$A$6,0))</f>
        <v/>
      </c>
      <c r="AJ42" s="97">
        <f>E42*INDEX(Régions!$AG$2:$AG$6,MATCH($B42,Régions!$A$2:$A$6,0))</f>
        <v/>
      </c>
      <c r="AK42" s="97">
        <f>F42*INDEX(Régions!$AH$2:$AH$6,MATCH($B42,Régions!$A$2:$A$6,0))</f>
        <v/>
      </c>
      <c r="AL42" s="97">
        <f>G42*INDEX(Régions!$AI$2:$AI$6,MATCH($B42,Régions!$A$2:$A$6,0))</f>
        <v/>
      </c>
      <c r="AM42" s="97">
        <f>H42*INDEX(Régions!$AJ$2:$AJ$6,MATCH($B42,Régions!$A$2:$A$6,0))</f>
        <v/>
      </c>
      <c r="AN42" s="97">
        <f>I42*INDEX(Régions!$AK$2:$AK$6,MATCH($B42,Régions!$A$2:$A$6,0))</f>
        <v/>
      </c>
      <c r="AO42" s="99">
        <f>INDEX({"CAQ","PLQ","QS","PQ","PCQ","Autre"},MATCH(MAX(Q42:V42),Q42:V42,0))</f>
        <v/>
      </c>
      <c r="AP42" s="99">
        <f>INDEX({"CAQ","PLQ","QS","PQ","PCQ","Autre"},MATCH(MAX(W42:AB42),W42:AB42,0))</f>
        <v/>
      </c>
      <c r="AQ42" s="99">
        <f>INDEX({"CAQ","PLQ","QS","PQ","PCQ","Autre"},MATCH(MAX(AC42:AH42),AC42:AH42,0))</f>
        <v/>
      </c>
      <c r="AR42" s="99">
        <f>INDEX({"CAQ","PLQ","QS","PQ","PCQ","Autre"},MATCH(MAX(AI42:AN42),AI42:AN42,0))</f>
        <v/>
      </c>
      <c r="AS42" s="100">
        <f>(MAX(K42:P42)-LARGE(K42:P42,2))*100</f>
        <v/>
      </c>
      <c r="AT42" s="101">
        <f>IF(AS42&lt;5,"Oui","Non")</f>
        <v/>
      </c>
      <c r="AU42" s="102" t="n">
        <v>-9.929</v>
      </c>
      <c r="AV42" s="102" t="n">
        <v>6.537</v>
      </c>
      <c r="AW42" s="102" t="n">
        <v>1.185</v>
      </c>
      <c r="AX42" s="102" t="n">
        <v>6.138</v>
      </c>
      <c r="AY42" s="96" t="n">
        <v>23256</v>
      </c>
      <c r="AZ42" s="96" t="n">
        <v>4255</v>
      </c>
      <c r="BA42" s="96" t="n">
        <v>5342</v>
      </c>
      <c r="BB42" s="96" t="n">
        <v>3657</v>
      </c>
      <c r="BC42" s="96" t="n">
        <v>1219</v>
      </c>
      <c r="BD42" s="97">
        <f>AY42*INDEX(Régions!$AQ$2:$AQ$6,MATCH($B42,Régions!$A$2:$A$6,0))</f>
        <v/>
      </c>
      <c r="BE42" s="97">
        <f>AZ42*INDEX(Régions!$AR$2:$AR$6,MATCH($B42,Régions!$A$2:$A$6,0))</f>
        <v/>
      </c>
      <c r="BF42" s="97">
        <f>BA42*INDEX(Régions!$AS$2:$AS$6,MATCH($B42,Régions!$A$2:$A$6,0))</f>
        <v/>
      </c>
      <c r="BG42" s="97">
        <f>BB42*INDEX(Régions!$AT$2:$AT$6,MATCH($B42,Régions!$A$2:$A$6,0))</f>
        <v/>
      </c>
      <c r="BH42" s="97">
        <f>U42</f>
        <v/>
      </c>
      <c r="BI42" s="97">
        <f>BC42*INDEX(Régions!$AU$2:$AU$6,MATCH($B42,Régions!$A$2:$A$6,0))</f>
        <v/>
      </c>
      <c r="BJ42" s="97">
        <f>INDEX({"CAQ","PLQ","QS","PQ","PCQ","Autre"},MATCH(MAX(BD42:BI42),BD42:BI42,0))</f>
        <v/>
      </c>
    </row>
    <row r="43" ht="15" customHeight="1" s="60">
      <c r="A43" s="94" t="inlineStr">
        <is>
          <t>Groulx</t>
        </is>
      </c>
      <c r="B43" s="94" t="inlineStr">
        <is>
          <t>Banlieue de Montréal</t>
        </is>
      </c>
      <c r="C43" s="95" t="inlineStr">
        <is>
          <t>CAQ</t>
        </is>
      </c>
      <c r="D43" s="96" t="n">
        <v>17431</v>
      </c>
      <c r="E43" s="96" t="n">
        <v>4024</v>
      </c>
      <c r="F43" s="96" t="n">
        <v>5919</v>
      </c>
      <c r="G43" s="96" t="n">
        <v>5588</v>
      </c>
      <c r="H43" s="96" t="n">
        <v>3177</v>
      </c>
      <c r="I43" s="96" t="n">
        <v>368</v>
      </c>
      <c r="J43" s="97">
        <f>SUM(D43:I43)</f>
        <v/>
      </c>
      <c r="K43" s="98">
        <f>IFERROR(D43/J43,0)</f>
        <v/>
      </c>
      <c r="L43" s="98">
        <f>IFERROR(E43/J43,0)</f>
        <v/>
      </c>
      <c r="M43" s="98">
        <f>IFERROR(F43/J43,0)</f>
        <v/>
      </c>
      <c r="N43" s="98">
        <f>IFERROR(G43/J43,0)</f>
        <v/>
      </c>
      <c r="O43" s="98">
        <f>IFERROR(H43/J43,0)</f>
        <v/>
      </c>
      <c r="P43" s="98">
        <f>IFERROR(I43/J43,0)</f>
        <v/>
      </c>
      <c r="Q43" s="97">
        <f>D43*INDEX(Régions!$T$2:$T$6,MATCH($B43,Régions!$A$2:$A$6,0))</f>
        <v/>
      </c>
      <c r="R43" s="97">
        <f>E43*INDEX(Régions!$U$2:$U$6,MATCH($B43,Régions!$A$2:$A$6,0))</f>
        <v/>
      </c>
      <c r="S43" s="97">
        <f>F43*INDEX(Régions!$V$2:$V$6,MATCH($B43,Régions!$A$2:$A$6,0))</f>
        <v/>
      </c>
      <c r="T43" s="97">
        <f>G43*INDEX(Régions!$W$2:$W$6,MATCH($B43,Régions!$A$2:$A$6,0))</f>
        <v/>
      </c>
      <c r="U43" s="97">
        <f>H43*INDEX(Régions!$X$2:$X$6,MATCH($B43,Régions!$A$2:$A$6,0))</f>
        <v/>
      </c>
      <c r="V43" s="97">
        <f>I43*INDEX(Régions!$Y$2:$Y$6,MATCH($B43,Régions!$A$2:$A$6,0))</f>
        <v/>
      </c>
      <c r="W43" s="97">
        <f>Q43+(AU43/100)*J43*Régions!$O$2</f>
        <v/>
      </c>
      <c r="X43" s="97">
        <f>R43+(AV43/100)*J43*Régions!$O$2</f>
        <v/>
      </c>
      <c r="Y43" s="97">
        <f>S43+(AW43/100)*J43*Régions!$O$2</f>
        <v/>
      </c>
      <c r="Z43" s="97">
        <f>T43+(AX43/100)*J43*Régions!$O$2</f>
        <v/>
      </c>
      <c r="AA43" s="97">
        <f>U43</f>
        <v/>
      </c>
      <c r="AB43" s="97">
        <f>V43</f>
        <v/>
      </c>
      <c r="AC43" s="97">
        <f>D43*INDEX(Régions!$Z$2:$Z$6,MATCH($B43,Régions!$A$2:$A$6,0))</f>
        <v/>
      </c>
      <c r="AD43" s="97">
        <f>E43*INDEX(Régions!$AA$2:$AA$6,MATCH($B43,Régions!$A$2:$A$6,0))</f>
        <v/>
      </c>
      <c r="AE43" s="97">
        <f>F43*INDEX(Régions!$AB$2:$AB$6,MATCH($B43,Régions!$A$2:$A$6,0))</f>
        <v/>
      </c>
      <c r="AF43" s="97">
        <f>G43*INDEX(Régions!$AC$2:$AC$6,MATCH($B43,Régions!$A$2:$A$6,0))</f>
        <v/>
      </c>
      <c r="AG43" s="97">
        <f>H43*INDEX(Régions!$AD$2:$AD$6,MATCH($B43,Régions!$A$2:$A$6,0))</f>
        <v/>
      </c>
      <c r="AH43" s="97">
        <f>I43*INDEX(Régions!$AE$2:$AE$6,MATCH($B43,Régions!$A$2:$A$6,0))</f>
        <v/>
      </c>
      <c r="AI43" s="97">
        <f>D43*INDEX(Régions!$AF$2:$AF$6,MATCH($B43,Régions!$A$2:$A$6,0))</f>
        <v/>
      </c>
      <c r="AJ43" s="97">
        <f>E43*INDEX(Régions!$AG$2:$AG$6,MATCH($B43,Régions!$A$2:$A$6,0))</f>
        <v/>
      </c>
      <c r="AK43" s="97">
        <f>F43*INDEX(Régions!$AH$2:$AH$6,MATCH($B43,Régions!$A$2:$A$6,0))</f>
        <v/>
      </c>
      <c r="AL43" s="97">
        <f>G43*INDEX(Régions!$AI$2:$AI$6,MATCH($B43,Régions!$A$2:$A$6,0))</f>
        <v/>
      </c>
      <c r="AM43" s="97">
        <f>H43*INDEX(Régions!$AJ$2:$AJ$6,MATCH($B43,Régions!$A$2:$A$6,0))</f>
        <v/>
      </c>
      <c r="AN43" s="97">
        <f>I43*INDEX(Régions!$AK$2:$AK$6,MATCH($B43,Régions!$A$2:$A$6,0))</f>
        <v/>
      </c>
      <c r="AO43" s="99">
        <f>INDEX({"CAQ","PLQ","QS","PQ","PCQ","Autre"},MATCH(MAX(Q43:V43),Q43:V43,0))</f>
        <v/>
      </c>
      <c r="AP43" s="99">
        <f>INDEX({"CAQ","PLQ","QS","PQ","PCQ","Autre"},MATCH(MAX(W43:AB43),W43:AB43,0))</f>
        <v/>
      </c>
      <c r="AQ43" s="99">
        <f>INDEX({"CAQ","PLQ","QS","PQ","PCQ","Autre"},MATCH(MAX(AC43:AH43),AC43:AH43,0))</f>
        <v/>
      </c>
      <c r="AR43" s="99">
        <f>INDEX({"CAQ","PLQ","QS","PQ","PCQ","Autre"},MATCH(MAX(AI43:AN43),AI43:AN43,0))</f>
        <v/>
      </c>
      <c r="AS43" s="100">
        <f>(MAX(K43:P43)-LARGE(K43:P43,2))*100</f>
        <v/>
      </c>
      <c r="AT43" s="101">
        <f>IF(AS43&lt;5,"Oui","Non")</f>
        <v/>
      </c>
      <c r="AU43" s="102" t="n">
        <v>4.007</v>
      </c>
      <c r="AV43" s="102" t="n">
        <v>-2.336</v>
      </c>
      <c r="AW43" s="102" t="n">
        <v>-0.326</v>
      </c>
      <c r="AX43" s="102" t="n">
        <v>2.512</v>
      </c>
      <c r="AY43" s="96" t="n">
        <v>14770</v>
      </c>
      <c r="AZ43" s="96" t="n">
        <v>7368</v>
      </c>
      <c r="BA43" s="96" t="n">
        <v>6267</v>
      </c>
      <c r="BB43" s="96" t="n">
        <v>5745</v>
      </c>
      <c r="BC43" s="96" t="n">
        <v>2217</v>
      </c>
      <c r="BD43" s="97">
        <f>AY43*INDEX(Régions!$AQ$2:$AQ$6,MATCH($B43,Régions!$A$2:$A$6,0))</f>
        <v/>
      </c>
      <c r="BE43" s="97">
        <f>AZ43*INDEX(Régions!$AR$2:$AR$6,MATCH($B43,Régions!$A$2:$A$6,0))</f>
        <v/>
      </c>
      <c r="BF43" s="97">
        <f>BA43*INDEX(Régions!$AS$2:$AS$6,MATCH($B43,Régions!$A$2:$A$6,0))</f>
        <v/>
      </c>
      <c r="BG43" s="97">
        <f>BB43*INDEX(Régions!$AT$2:$AT$6,MATCH($B43,Régions!$A$2:$A$6,0))</f>
        <v/>
      </c>
      <c r="BH43" s="97">
        <f>U43</f>
        <v/>
      </c>
      <c r="BI43" s="97">
        <f>BC43*INDEX(Régions!$AU$2:$AU$6,MATCH($B43,Régions!$A$2:$A$6,0))</f>
        <v/>
      </c>
      <c r="BJ43" s="97">
        <f>INDEX({"CAQ","PLQ","QS","PQ","PCQ","Autre"},MATCH(MAX(BD43:BI43),BD43:BI43,0))</f>
        <v/>
      </c>
    </row>
    <row r="44" ht="15" customHeight="1" s="60">
      <c r="A44" s="94" t="inlineStr">
        <is>
          <t>Hochelaga-Maisonneuve</t>
        </is>
      </c>
      <c r="B44" s="94" t="inlineStr">
        <is>
          <t>Île de Montréal</t>
        </is>
      </c>
      <c r="C44" s="95" t="inlineStr">
        <is>
          <t>QS</t>
        </is>
      </c>
      <c r="D44" s="96" t="n">
        <v>4727</v>
      </c>
      <c r="E44" s="96" t="n">
        <v>1957</v>
      </c>
      <c r="F44" s="96" t="n">
        <v>12782</v>
      </c>
      <c r="G44" s="96" t="n">
        <v>4014</v>
      </c>
      <c r="H44" s="96" t="n">
        <v>1161</v>
      </c>
      <c r="I44" s="96" t="n">
        <v>499</v>
      </c>
      <c r="J44" s="97">
        <f>SUM(D44:I44)</f>
        <v/>
      </c>
      <c r="K44" s="98">
        <f>IFERROR(D44/J44,0)</f>
        <v/>
      </c>
      <c r="L44" s="98">
        <f>IFERROR(E44/J44,0)</f>
        <v/>
      </c>
      <c r="M44" s="98">
        <f>IFERROR(F44/J44,0)</f>
        <v/>
      </c>
      <c r="N44" s="98">
        <f>IFERROR(G44/J44,0)</f>
        <v/>
      </c>
      <c r="O44" s="98">
        <f>IFERROR(H44/J44,0)</f>
        <v/>
      </c>
      <c r="P44" s="98">
        <f>IFERROR(I44/J44,0)</f>
        <v/>
      </c>
      <c r="Q44" s="97">
        <f>D44*INDEX(Régions!$T$2:$T$6,MATCH($B44,Régions!$A$2:$A$6,0))</f>
        <v/>
      </c>
      <c r="R44" s="97">
        <f>E44*INDEX(Régions!$U$2:$U$6,MATCH($B44,Régions!$A$2:$A$6,0))</f>
        <v/>
      </c>
      <c r="S44" s="97">
        <f>F44*INDEX(Régions!$V$2:$V$6,MATCH($B44,Régions!$A$2:$A$6,0))</f>
        <v/>
      </c>
      <c r="T44" s="97">
        <f>G44*INDEX(Régions!$W$2:$W$6,MATCH($B44,Régions!$A$2:$A$6,0))</f>
        <v/>
      </c>
      <c r="U44" s="97">
        <f>H44*INDEX(Régions!$X$2:$X$6,MATCH($B44,Régions!$A$2:$A$6,0))</f>
        <v/>
      </c>
      <c r="V44" s="97">
        <f>I44*INDEX(Régions!$Y$2:$Y$6,MATCH($B44,Régions!$A$2:$A$6,0))</f>
        <v/>
      </c>
      <c r="W44" s="97">
        <f>Q44+(AU44/100)*J44*Régions!$O$2</f>
        <v/>
      </c>
      <c r="X44" s="97">
        <f>R44+(AV44/100)*J44*Régions!$O$2</f>
        <v/>
      </c>
      <c r="Y44" s="97">
        <f>S44+(AW44/100)*J44*Régions!$O$2</f>
        <v/>
      </c>
      <c r="Z44" s="97">
        <f>T44+(AX44/100)*J44*Régions!$O$2</f>
        <v/>
      </c>
      <c r="AA44" s="97">
        <f>U44</f>
        <v/>
      </c>
      <c r="AB44" s="97">
        <f>V44</f>
        <v/>
      </c>
      <c r="AC44" s="97">
        <f>D44*INDEX(Régions!$Z$2:$Z$6,MATCH($B44,Régions!$A$2:$A$6,0))</f>
        <v/>
      </c>
      <c r="AD44" s="97">
        <f>E44*INDEX(Régions!$AA$2:$AA$6,MATCH($B44,Régions!$A$2:$A$6,0))</f>
        <v/>
      </c>
      <c r="AE44" s="97">
        <f>F44*INDEX(Régions!$AB$2:$AB$6,MATCH($B44,Régions!$A$2:$A$6,0))</f>
        <v/>
      </c>
      <c r="AF44" s="97">
        <f>G44*INDEX(Régions!$AC$2:$AC$6,MATCH($B44,Régions!$A$2:$A$6,0))</f>
        <v/>
      </c>
      <c r="AG44" s="97">
        <f>H44*INDEX(Régions!$AD$2:$AD$6,MATCH($B44,Régions!$A$2:$A$6,0))</f>
        <v/>
      </c>
      <c r="AH44" s="97">
        <f>I44*INDEX(Régions!$AE$2:$AE$6,MATCH($B44,Régions!$A$2:$A$6,0))</f>
        <v/>
      </c>
      <c r="AI44" s="97">
        <f>D44*INDEX(Régions!$AF$2:$AF$6,MATCH($B44,Régions!$A$2:$A$6,0))</f>
        <v/>
      </c>
      <c r="AJ44" s="97">
        <f>E44*INDEX(Régions!$AG$2:$AG$6,MATCH($B44,Régions!$A$2:$A$6,0))</f>
        <v/>
      </c>
      <c r="AK44" s="97">
        <f>F44*INDEX(Régions!$AH$2:$AH$6,MATCH($B44,Régions!$A$2:$A$6,0))</f>
        <v/>
      </c>
      <c r="AL44" s="97">
        <f>G44*INDEX(Régions!$AI$2:$AI$6,MATCH($B44,Régions!$A$2:$A$6,0))</f>
        <v/>
      </c>
      <c r="AM44" s="97">
        <f>H44*INDEX(Régions!$AJ$2:$AJ$6,MATCH($B44,Régions!$A$2:$A$6,0))</f>
        <v/>
      </c>
      <c r="AN44" s="97">
        <f>I44*INDEX(Régions!$AK$2:$AK$6,MATCH($B44,Régions!$A$2:$A$6,0))</f>
        <v/>
      </c>
      <c r="AO44" s="99">
        <f>INDEX({"CAQ","PLQ","QS","PQ","PCQ","Autre"},MATCH(MAX(Q44:V44),Q44:V44,0))</f>
        <v/>
      </c>
      <c r="AP44" s="99">
        <f>INDEX({"CAQ","PLQ","QS","PQ","PCQ","Autre"},MATCH(MAX(W44:AB44),W44:AB44,0))</f>
        <v/>
      </c>
      <c r="AQ44" s="99">
        <f>INDEX({"CAQ","PLQ","QS","PQ","PCQ","Autre"},MATCH(MAX(AC44:AH44),AC44:AH44,0))</f>
        <v/>
      </c>
      <c r="AR44" s="99">
        <f>INDEX({"CAQ","PLQ","QS","PQ","PCQ","Autre"},MATCH(MAX(AI44:AN44),AI44:AN44,0))</f>
        <v/>
      </c>
      <c r="AS44" s="100">
        <f>(MAX(K44:P44)-LARGE(K44:P44,2))*100</f>
        <v/>
      </c>
      <c r="AT44" s="101">
        <f>IF(AS44&lt;5,"Oui","Non")</f>
        <v/>
      </c>
      <c r="AU44" s="102" t="n">
        <v>3.811</v>
      </c>
      <c r="AV44" s="102" t="n">
        <v>6.279</v>
      </c>
      <c r="AW44" s="102" t="n">
        <v>0.05</v>
      </c>
      <c r="AX44" s="102" t="n">
        <v>-6.464</v>
      </c>
      <c r="AY44" s="96" t="n">
        <v>3446</v>
      </c>
      <c r="AZ44" s="96" t="n">
        <v>2766</v>
      </c>
      <c r="BA44" s="96" t="n">
        <v>13387</v>
      </c>
      <c r="BB44" s="96" t="n">
        <v>6309</v>
      </c>
      <c r="BC44" s="96" t="n">
        <v>840</v>
      </c>
      <c r="BD44" s="97">
        <f>AY44*INDEX(Régions!$AQ$2:$AQ$6,MATCH($B44,Régions!$A$2:$A$6,0))</f>
        <v/>
      </c>
      <c r="BE44" s="97">
        <f>AZ44*INDEX(Régions!$AR$2:$AR$6,MATCH($B44,Régions!$A$2:$A$6,0))</f>
        <v/>
      </c>
      <c r="BF44" s="97">
        <f>BA44*INDEX(Régions!$AS$2:$AS$6,MATCH($B44,Régions!$A$2:$A$6,0))</f>
        <v/>
      </c>
      <c r="BG44" s="97">
        <f>BB44*INDEX(Régions!$AT$2:$AT$6,MATCH($B44,Régions!$A$2:$A$6,0))</f>
        <v/>
      </c>
      <c r="BH44" s="97">
        <f>U44</f>
        <v/>
      </c>
      <c r="BI44" s="97">
        <f>BC44*INDEX(Régions!$AU$2:$AU$6,MATCH($B44,Régions!$A$2:$A$6,0))</f>
        <v/>
      </c>
      <c r="BJ44" s="97">
        <f>INDEX({"CAQ","PLQ","QS","PQ","PCQ","Autre"},MATCH(MAX(BD44:BI44),BD44:BI44,0))</f>
        <v/>
      </c>
    </row>
    <row r="45" ht="15" customHeight="1" s="60">
      <c r="A45" s="94" t="inlineStr">
        <is>
          <t>Hull</t>
        </is>
      </c>
      <c r="B45" s="94" t="inlineStr">
        <is>
          <t>Reste du Québec</t>
        </is>
      </c>
      <c r="C45" s="95" t="inlineStr">
        <is>
          <t>CAQ</t>
        </is>
      </c>
      <c r="D45" s="96" t="n">
        <v>12169</v>
      </c>
      <c r="E45" s="96" t="n">
        <v>8740</v>
      </c>
      <c r="F45" s="96" t="n">
        <v>6910</v>
      </c>
      <c r="G45" s="96" t="n">
        <v>3352</v>
      </c>
      <c r="H45" s="96" t="n">
        <v>2466</v>
      </c>
      <c r="I45" s="96" t="n">
        <v>661</v>
      </c>
      <c r="J45" s="97">
        <f>SUM(D45:I45)</f>
        <v/>
      </c>
      <c r="K45" s="98">
        <f>IFERROR(D45/J45,0)</f>
        <v/>
      </c>
      <c r="L45" s="98">
        <f>IFERROR(E45/J45,0)</f>
        <v/>
      </c>
      <c r="M45" s="98">
        <f>IFERROR(F45/J45,0)</f>
        <v/>
      </c>
      <c r="N45" s="98">
        <f>IFERROR(G45/J45,0)</f>
        <v/>
      </c>
      <c r="O45" s="98">
        <f>IFERROR(H45/J45,0)</f>
        <v/>
      </c>
      <c r="P45" s="98">
        <f>IFERROR(I45/J45,0)</f>
        <v/>
      </c>
      <c r="Q45" s="97">
        <f>D45*INDEX(Régions!$T$2:$T$6,MATCH($B45,Régions!$A$2:$A$6,0))</f>
        <v/>
      </c>
      <c r="R45" s="97">
        <f>E45*INDEX(Régions!$U$2:$U$6,MATCH($B45,Régions!$A$2:$A$6,0))</f>
        <v/>
      </c>
      <c r="S45" s="97">
        <f>F45*INDEX(Régions!$V$2:$V$6,MATCH($B45,Régions!$A$2:$A$6,0))</f>
        <v/>
      </c>
      <c r="T45" s="97">
        <f>G45*INDEX(Régions!$W$2:$W$6,MATCH($B45,Régions!$A$2:$A$6,0))</f>
        <v/>
      </c>
      <c r="U45" s="97">
        <f>H45*INDEX(Régions!$X$2:$X$6,MATCH($B45,Régions!$A$2:$A$6,0))</f>
        <v/>
      </c>
      <c r="V45" s="97">
        <f>I45*INDEX(Régions!$Y$2:$Y$6,MATCH($B45,Régions!$A$2:$A$6,0))</f>
        <v/>
      </c>
      <c r="W45" s="97">
        <f>Q45+(AU45/100)*J45*Régions!$O$2</f>
        <v/>
      </c>
      <c r="X45" s="97">
        <f>R45+(AV45/100)*J45*Régions!$O$2</f>
        <v/>
      </c>
      <c r="Y45" s="97">
        <f>S45+(AW45/100)*J45*Régions!$O$2</f>
        <v/>
      </c>
      <c r="Z45" s="97">
        <f>T45+(AX45/100)*J45*Régions!$O$2</f>
        <v/>
      </c>
      <c r="AA45" s="97">
        <f>U45</f>
        <v/>
      </c>
      <c r="AB45" s="97">
        <f>V45</f>
        <v/>
      </c>
      <c r="AC45" s="97">
        <f>D45*INDEX(Régions!$Z$2:$Z$6,MATCH($B45,Régions!$A$2:$A$6,0))</f>
        <v/>
      </c>
      <c r="AD45" s="97">
        <f>E45*INDEX(Régions!$AA$2:$AA$6,MATCH($B45,Régions!$A$2:$A$6,0))</f>
        <v/>
      </c>
      <c r="AE45" s="97">
        <f>F45*INDEX(Régions!$AB$2:$AB$6,MATCH($B45,Régions!$A$2:$A$6,0))</f>
        <v/>
      </c>
      <c r="AF45" s="97">
        <f>G45*INDEX(Régions!$AC$2:$AC$6,MATCH($B45,Régions!$A$2:$A$6,0))</f>
        <v/>
      </c>
      <c r="AG45" s="97">
        <f>H45*INDEX(Régions!$AD$2:$AD$6,MATCH($B45,Régions!$A$2:$A$6,0))</f>
        <v/>
      </c>
      <c r="AH45" s="97">
        <f>I45*INDEX(Régions!$AE$2:$AE$6,MATCH($B45,Régions!$A$2:$A$6,0))</f>
        <v/>
      </c>
      <c r="AI45" s="97">
        <f>D45*INDEX(Régions!$AF$2:$AF$6,MATCH($B45,Régions!$A$2:$A$6,0))</f>
        <v/>
      </c>
      <c r="AJ45" s="97">
        <f>E45*INDEX(Régions!$AG$2:$AG$6,MATCH($B45,Régions!$A$2:$A$6,0))</f>
        <v/>
      </c>
      <c r="AK45" s="97">
        <f>F45*INDEX(Régions!$AH$2:$AH$6,MATCH($B45,Régions!$A$2:$A$6,0))</f>
        <v/>
      </c>
      <c r="AL45" s="97">
        <f>G45*INDEX(Régions!$AI$2:$AI$6,MATCH($B45,Régions!$A$2:$A$6,0))</f>
        <v/>
      </c>
      <c r="AM45" s="97">
        <f>H45*INDEX(Régions!$AJ$2:$AJ$6,MATCH($B45,Régions!$A$2:$A$6,0))</f>
        <v/>
      </c>
      <c r="AN45" s="97">
        <f>I45*INDEX(Régions!$AK$2:$AK$6,MATCH($B45,Régions!$A$2:$A$6,0))</f>
        <v/>
      </c>
      <c r="AO45" s="99">
        <f>INDEX({"CAQ","PLQ","QS","PQ","PCQ","Autre"},MATCH(MAX(Q45:V45),Q45:V45,0))</f>
        <v/>
      </c>
      <c r="AP45" s="99">
        <f>INDEX({"CAQ","PLQ","QS","PQ","PCQ","Autre"},MATCH(MAX(W45:AB45),W45:AB45,0))</f>
        <v/>
      </c>
      <c r="AQ45" s="99">
        <f>INDEX({"CAQ","PLQ","QS","PQ","PCQ","Autre"},MATCH(MAX(AC45:AH45),AC45:AH45,0))</f>
        <v/>
      </c>
      <c r="AR45" s="99">
        <f>INDEX({"CAQ","PLQ","QS","PQ","PCQ","Autre"},MATCH(MAX(AI45:AN45),AI45:AN45,0))</f>
        <v/>
      </c>
      <c r="AS45" s="100">
        <f>(MAX(K45:P45)-LARGE(K45:P45,2))*100</f>
        <v/>
      </c>
      <c r="AT45" s="101">
        <f>IF(AS45&lt;5,"Oui","Non")</f>
        <v/>
      </c>
      <c r="AU45" s="102" t="n">
        <v>2.051</v>
      </c>
      <c r="AV45" s="102" t="n">
        <v>4.695</v>
      </c>
      <c r="AW45" s="102" t="n">
        <v>3.014</v>
      </c>
      <c r="AX45" s="102" t="n">
        <v>0.469</v>
      </c>
      <c r="AY45" s="96" t="n">
        <v>9186</v>
      </c>
      <c r="AZ45" s="96" t="n">
        <v>11212</v>
      </c>
      <c r="BA45" s="96" t="n">
        <v>6058</v>
      </c>
      <c r="BB45" s="96" t="n">
        <v>4443</v>
      </c>
      <c r="BC45" s="96" t="n">
        <v>2532</v>
      </c>
      <c r="BD45" s="97">
        <f>AY45*INDEX(Régions!$AQ$2:$AQ$6,MATCH($B45,Régions!$A$2:$A$6,0))</f>
        <v/>
      </c>
      <c r="BE45" s="97">
        <f>AZ45*INDEX(Régions!$AR$2:$AR$6,MATCH($B45,Régions!$A$2:$A$6,0))</f>
        <v/>
      </c>
      <c r="BF45" s="97">
        <f>BA45*INDEX(Régions!$AS$2:$AS$6,MATCH($B45,Régions!$A$2:$A$6,0))</f>
        <v/>
      </c>
      <c r="BG45" s="97">
        <f>BB45*INDEX(Régions!$AT$2:$AT$6,MATCH($B45,Régions!$A$2:$A$6,0))</f>
        <v/>
      </c>
      <c r="BH45" s="97">
        <f>U45</f>
        <v/>
      </c>
      <c r="BI45" s="97">
        <f>BC45*INDEX(Régions!$AU$2:$AU$6,MATCH($B45,Régions!$A$2:$A$6,0))</f>
        <v/>
      </c>
      <c r="BJ45" s="97">
        <f>INDEX({"CAQ","PLQ","QS","PQ","PCQ","Autre"},MATCH(MAX(BD45:BI45),BD45:BI45,0))</f>
        <v/>
      </c>
    </row>
    <row r="46" ht="15" customHeight="1" s="60">
      <c r="A46" s="94" t="inlineStr">
        <is>
          <t>Huntingdon</t>
        </is>
      </c>
      <c r="B46" s="94" t="inlineStr">
        <is>
          <t>Banlieue de Montréal</t>
        </is>
      </c>
      <c r="C46" s="95" t="inlineStr">
        <is>
          <t>CAQ</t>
        </is>
      </c>
      <c r="D46" s="96" t="n">
        <v>14250</v>
      </c>
      <c r="E46" s="96" t="n">
        <v>4283</v>
      </c>
      <c r="F46" s="96" t="n">
        <v>3436</v>
      </c>
      <c r="G46" s="96" t="n">
        <v>3744</v>
      </c>
      <c r="H46" s="96" t="n">
        <v>4359</v>
      </c>
      <c r="I46" s="96" t="n">
        <v>378</v>
      </c>
      <c r="J46" s="97">
        <f>SUM(D46:I46)</f>
        <v/>
      </c>
      <c r="K46" s="98">
        <f>IFERROR(D46/J46,0)</f>
        <v/>
      </c>
      <c r="L46" s="98">
        <f>IFERROR(E46/J46,0)</f>
        <v/>
      </c>
      <c r="M46" s="98">
        <f>IFERROR(F46/J46,0)</f>
        <v/>
      </c>
      <c r="N46" s="98">
        <f>IFERROR(G46/J46,0)</f>
        <v/>
      </c>
      <c r="O46" s="98">
        <f>IFERROR(H46/J46,0)</f>
        <v/>
      </c>
      <c r="P46" s="98">
        <f>IFERROR(I46/J46,0)</f>
        <v/>
      </c>
      <c r="Q46" s="97">
        <f>D46*INDEX(Régions!$T$2:$T$6,MATCH($B46,Régions!$A$2:$A$6,0))</f>
        <v/>
      </c>
      <c r="R46" s="97">
        <f>E46*INDEX(Régions!$U$2:$U$6,MATCH($B46,Régions!$A$2:$A$6,0))</f>
        <v/>
      </c>
      <c r="S46" s="97">
        <f>F46*INDEX(Régions!$V$2:$V$6,MATCH($B46,Régions!$A$2:$A$6,0))</f>
        <v/>
      </c>
      <c r="T46" s="97">
        <f>G46*INDEX(Régions!$W$2:$W$6,MATCH($B46,Régions!$A$2:$A$6,0))</f>
        <v/>
      </c>
      <c r="U46" s="97">
        <f>H46*INDEX(Régions!$X$2:$X$6,MATCH($B46,Régions!$A$2:$A$6,0))</f>
        <v/>
      </c>
      <c r="V46" s="97">
        <f>I46*INDEX(Régions!$Y$2:$Y$6,MATCH($B46,Régions!$A$2:$A$6,0))</f>
        <v/>
      </c>
      <c r="W46" s="97">
        <f>Q46+(AU46/100)*J46*Régions!$O$2</f>
        <v/>
      </c>
      <c r="X46" s="97">
        <f>R46+(AV46/100)*J46*Régions!$O$2</f>
        <v/>
      </c>
      <c r="Y46" s="97">
        <f>S46+(AW46/100)*J46*Régions!$O$2</f>
        <v/>
      </c>
      <c r="Z46" s="97">
        <f>T46+(AX46/100)*J46*Régions!$O$2</f>
        <v/>
      </c>
      <c r="AA46" s="97">
        <f>U46</f>
        <v/>
      </c>
      <c r="AB46" s="97">
        <f>V46</f>
        <v/>
      </c>
      <c r="AC46" s="97">
        <f>D46*INDEX(Régions!$Z$2:$Z$6,MATCH($B46,Régions!$A$2:$A$6,0))</f>
        <v/>
      </c>
      <c r="AD46" s="97">
        <f>E46*INDEX(Régions!$AA$2:$AA$6,MATCH($B46,Régions!$A$2:$A$6,0))</f>
        <v/>
      </c>
      <c r="AE46" s="97">
        <f>F46*INDEX(Régions!$AB$2:$AB$6,MATCH($B46,Régions!$A$2:$A$6,0))</f>
        <v/>
      </c>
      <c r="AF46" s="97">
        <f>G46*INDEX(Régions!$AC$2:$AC$6,MATCH($B46,Régions!$A$2:$A$6,0))</f>
        <v/>
      </c>
      <c r="AG46" s="97">
        <f>H46*INDEX(Régions!$AD$2:$AD$6,MATCH($B46,Régions!$A$2:$A$6,0))</f>
        <v/>
      </c>
      <c r="AH46" s="97">
        <f>I46*INDEX(Régions!$AE$2:$AE$6,MATCH($B46,Régions!$A$2:$A$6,0))</f>
        <v/>
      </c>
      <c r="AI46" s="97">
        <f>D46*INDEX(Régions!$AF$2:$AF$6,MATCH($B46,Régions!$A$2:$A$6,0))</f>
        <v/>
      </c>
      <c r="AJ46" s="97">
        <f>E46*INDEX(Régions!$AG$2:$AG$6,MATCH($B46,Régions!$A$2:$A$6,0))</f>
        <v/>
      </c>
      <c r="AK46" s="97">
        <f>F46*INDEX(Régions!$AH$2:$AH$6,MATCH($B46,Régions!$A$2:$A$6,0))</f>
        <v/>
      </c>
      <c r="AL46" s="97">
        <f>G46*INDEX(Régions!$AI$2:$AI$6,MATCH($B46,Régions!$A$2:$A$6,0))</f>
        <v/>
      </c>
      <c r="AM46" s="97">
        <f>H46*INDEX(Régions!$AJ$2:$AJ$6,MATCH($B46,Régions!$A$2:$A$6,0))</f>
        <v/>
      </c>
      <c r="AN46" s="97">
        <f>I46*INDEX(Régions!$AK$2:$AK$6,MATCH($B46,Régions!$A$2:$A$6,0))</f>
        <v/>
      </c>
      <c r="AO46" s="99">
        <f>INDEX({"CAQ","PLQ","QS","PQ","PCQ","Autre"},MATCH(MAX(Q46:V46),Q46:V46,0))</f>
        <v/>
      </c>
      <c r="AP46" s="99">
        <f>INDEX({"CAQ","PLQ","QS","PQ","PCQ","Autre"},MATCH(MAX(W46:AB46),W46:AB46,0))</f>
        <v/>
      </c>
      <c r="AQ46" s="99">
        <f>INDEX({"CAQ","PLQ","QS","PQ","PCQ","Autre"},MATCH(MAX(AC46:AH46),AC46:AH46,0))</f>
        <v/>
      </c>
      <c r="AR46" s="99">
        <f>INDEX({"CAQ","PLQ","QS","PQ","PCQ","Autre"},MATCH(MAX(AI46:AN46),AI46:AN46,0))</f>
        <v/>
      </c>
      <c r="AS46" s="100">
        <f>(MAX(K46:P46)-LARGE(K46:P46,2))*100</f>
        <v/>
      </c>
      <c r="AT46" s="101">
        <f>IF(AS46&lt;5,"Oui","Non")</f>
        <v/>
      </c>
      <c r="AU46" s="102" t="n">
        <v>5.915</v>
      </c>
      <c r="AV46" s="102" t="n">
        <v>-13.357</v>
      </c>
      <c r="AW46" s="102" t="n">
        <v>-0.805</v>
      </c>
      <c r="AX46" s="102" t="n">
        <v>3.507</v>
      </c>
      <c r="AY46" s="96" t="n">
        <v>11346</v>
      </c>
      <c r="AZ46" s="96" t="n">
        <v>10315</v>
      </c>
      <c r="BA46" s="96" t="n">
        <v>3842</v>
      </c>
      <c r="BB46" s="96" t="n">
        <v>3543</v>
      </c>
      <c r="BC46" s="96" t="n">
        <v>1005</v>
      </c>
      <c r="BD46" s="97">
        <f>AY46*INDEX(Régions!$AQ$2:$AQ$6,MATCH($B46,Régions!$A$2:$A$6,0))</f>
        <v/>
      </c>
      <c r="BE46" s="97">
        <f>AZ46*INDEX(Régions!$AR$2:$AR$6,MATCH($B46,Régions!$A$2:$A$6,0))</f>
        <v/>
      </c>
      <c r="BF46" s="97">
        <f>BA46*INDEX(Régions!$AS$2:$AS$6,MATCH($B46,Régions!$A$2:$A$6,0))</f>
        <v/>
      </c>
      <c r="BG46" s="97">
        <f>BB46*INDEX(Régions!$AT$2:$AT$6,MATCH($B46,Régions!$A$2:$A$6,0))</f>
        <v/>
      </c>
      <c r="BH46" s="97">
        <f>U46</f>
        <v/>
      </c>
      <c r="BI46" s="97">
        <f>BC46*INDEX(Régions!$AU$2:$AU$6,MATCH($B46,Régions!$A$2:$A$6,0))</f>
        <v/>
      </c>
      <c r="BJ46" s="97">
        <f>INDEX({"CAQ","PLQ","QS","PQ","PCQ","Autre"},MATCH(MAX(BD46:BI46),BD46:BI46,0))</f>
        <v/>
      </c>
    </row>
    <row r="47" ht="15" customHeight="1" s="60">
      <c r="A47" s="94" t="inlineStr">
        <is>
          <t>Iberville</t>
        </is>
      </c>
      <c r="B47" s="94" t="inlineStr">
        <is>
          <t>Banlieue de Montréal</t>
        </is>
      </c>
      <c r="C47" s="95" t="inlineStr">
        <is>
          <t>CAQ</t>
        </is>
      </c>
      <c r="D47" s="96" t="n">
        <v>18222</v>
      </c>
      <c r="E47" s="96" t="n">
        <v>1934</v>
      </c>
      <c r="F47" s="96" t="n">
        <v>4703</v>
      </c>
      <c r="G47" s="96" t="n">
        <v>5227</v>
      </c>
      <c r="H47" s="96" t="n">
        <v>3863</v>
      </c>
      <c r="I47" s="96" t="n">
        <v>338</v>
      </c>
      <c r="J47" s="97">
        <f>SUM(D47:I47)</f>
        <v/>
      </c>
      <c r="K47" s="98">
        <f>IFERROR(D47/J47,0)</f>
        <v/>
      </c>
      <c r="L47" s="98">
        <f>IFERROR(E47/J47,0)</f>
        <v/>
      </c>
      <c r="M47" s="98">
        <f>IFERROR(F47/J47,0)</f>
        <v/>
      </c>
      <c r="N47" s="98">
        <f>IFERROR(G47/J47,0)</f>
        <v/>
      </c>
      <c r="O47" s="98">
        <f>IFERROR(H47/J47,0)</f>
        <v/>
      </c>
      <c r="P47" s="98">
        <f>IFERROR(I47/J47,0)</f>
        <v/>
      </c>
      <c r="Q47" s="97">
        <f>D47*INDEX(Régions!$T$2:$T$6,MATCH($B47,Régions!$A$2:$A$6,0))</f>
        <v/>
      </c>
      <c r="R47" s="97">
        <f>E47*INDEX(Régions!$U$2:$U$6,MATCH($B47,Régions!$A$2:$A$6,0))</f>
        <v/>
      </c>
      <c r="S47" s="97">
        <f>F47*INDEX(Régions!$V$2:$V$6,MATCH($B47,Régions!$A$2:$A$6,0))</f>
        <v/>
      </c>
      <c r="T47" s="97">
        <f>G47*INDEX(Régions!$W$2:$W$6,MATCH($B47,Régions!$A$2:$A$6,0))</f>
        <v/>
      </c>
      <c r="U47" s="97">
        <f>H47*INDEX(Régions!$X$2:$X$6,MATCH($B47,Régions!$A$2:$A$6,0))</f>
        <v/>
      </c>
      <c r="V47" s="97">
        <f>I47*INDEX(Régions!$Y$2:$Y$6,MATCH($B47,Régions!$A$2:$A$6,0))</f>
        <v/>
      </c>
      <c r="W47" s="97">
        <f>Q47+(AU47/100)*J47*Régions!$O$2</f>
        <v/>
      </c>
      <c r="X47" s="97">
        <f>R47+(AV47/100)*J47*Régions!$O$2</f>
        <v/>
      </c>
      <c r="Y47" s="97">
        <f>S47+(AW47/100)*J47*Régions!$O$2</f>
        <v/>
      </c>
      <c r="Z47" s="97">
        <f>T47+(AX47/100)*J47*Régions!$O$2</f>
        <v/>
      </c>
      <c r="AA47" s="97">
        <f>U47</f>
        <v/>
      </c>
      <c r="AB47" s="97">
        <f>V47</f>
        <v/>
      </c>
      <c r="AC47" s="97">
        <f>D47*INDEX(Régions!$Z$2:$Z$6,MATCH($B47,Régions!$A$2:$A$6,0))</f>
        <v/>
      </c>
      <c r="AD47" s="97">
        <f>E47*INDEX(Régions!$AA$2:$AA$6,MATCH($B47,Régions!$A$2:$A$6,0))</f>
        <v/>
      </c>
      <c r="AE47" s="97">
        <f>F47*INDEX(Régions!$AB$2:$AB$6,MATCH($B47,Régions!$A$2:$A$6,0))</f>
        <v/>
      </c>
      <c r="AF47" s="97">
        <f>G47*INDEX(Régions!$AC$2:$AC$6,MATCH($B47,Régions!$A$2:$A$6,0))</f>
        <v/>
      </c>
      <c r="AG47" s="97">
        <f>H47*INDEX(Régions!$AD$2:$AD$6,MATCH($B47,Régions!$A$2:$A$6,0))</f>
        <v/>
      </c>
      <c r="AH47" s="97">
        <f>I47*INDEX(Régions!$AE$2:$AE$6,MATCH($B47,Régions!$A$2:$A$6,0))</f>
        <v/>
      </c>
      <c r="AI47" s="97">
        <f>D47*INDEX(Régions!$AF$2:$AF$6,MATCH($B47,Régions!$A$2:$A$6,0))</f>
        <v/>
      </c>
      <c r="AJ47" s="97">
        <f>E47*INDEX(Régions!$AG$2:$AG$6,MATCH($B47,Régions!$A$2:$A$6,0))</f>
        <v/>
      </c>
      <c r="AK47" s="97">
        <f>F47*INDEX(Régions!$AH$2:$AH$6,MATCH($B47,Régions!$A$2:$A$6,0))</f>
        <v/>
      </c>
      <c r="AL47" s="97">
        <f>G47*INDEX(Régions!$AI$2:$AI$6,MATCH($B47,Régions!$A$2:$A$6,0))</f>
        <v/>
      </c>
      <c r="AM47" s="97">
        <f>H47*INDEX(Régions!$AJ$2:$AJ$6,MATCH($B47,Régions!$A$2:$A$6,0))</f>
        <v/>
      </c>
      <c r="AN47" s="97">
        <f>I47*INDEX(Régions!$AK$2:$AK$6,MATCH($B47,Régions!$A$2:$A$6,0))</f>
        <v/>
      </c>
      <c r="AO47" s="99">
        <f>INDEX({"CAQ","PLQ","QS","PQ","PCQ","Autre"},MATCH(MAX(Q47:V47),Q47:V47,0))</f>
        <v/>
      </c>
      <c r="AP47" s="99">
        <f>INDEX({"CAQ","PLQ","QS","PQ","PCQ","Autre"},MATCH(MAX(W47:AB47),W47:AB47,0))</f>
        <v/>
      </c>
      <c r="AQ47" s="99">
        <f>INDEX({"CAQ","PLQ","QS","PQ","PCQ","Autre"},MATCH(MAX(AC47:AH47),AC47:AH47,0))</f>
        <v/>
      </c>
      <c r="AR47" s="99">
        <f>INDEX({"CAQ","PLQ","QS","PQ","PCQ","Autre"},MATCH(MAX(AI47:AN47),AI47:AN47,0))</f>
        <v/>
      </c>
      <c r="AS47" s="100">
        <f>(MAX(K47:P47)-LARGE(K47:P47,2))*100</f>
        <v/>
      </c>
      <c r="AT47" s="101">
        <f>IF(AS47&lt;5,"Oui","Non")</f>
        <v/>
      </c>
      <c r="AU47" s="102" t="n">
        <v>2.4</v>
      </c>
      <c r="AV47" s="102" t="n">
        <v>0.24</v>
      </c>
      <c r="AW47" s="102" t="n">
        <v>-2.903</v>
      </c>
      <c r="AX47" s="102" t="n">
        <v>0.697</v>
      </c>
      <c r="AY47" s="96" t="n">
        <v>15912</v>
      </c>
      <c r="AZ47" s="96" t="n">
        <v>4111</v>
      </c>
      <c r="BA47" s="96" t="n">
        <v>5785</v>
      </c>
      <c r="BB47" s="96" t="n">
        <v>5864</v>
      </c>
      <c r="BC47" s="96" t="n">
        <v>1742</v>
      </c>
      <c r="BD47" s="97">
        <f>AY47*INDEX(Régions!$AQ$2:$AQ$6,MATCH($B47,Régions!$A$2:$A$6,0))</f>
        <v/>
      </c>
      <c r="BE47" s="97">
        <f>AZ47*INDEX(Régions!$AR$2:$AR$6,MATCH($B47,Régions!$A$2:$A$6,0))</f>
        <v/>
      </c>
      <c r="BF47" s="97">
        <f>BA47*INDEX(Régions!$AS$2:$AS$6,MATCH($B47,Régions!$A$2:$A$6,0))</f>
        <v/>
      </c>
      <c r="BG47" s="97">
        <f>BB47*INDEX(Régions!$AT$2:$AT$6,MATCH($B47,Régions!$A$2:$A$6,0))</f>
        <v/>
      </c>
      <c r="BH47" s="97">
        <f>U47</f>
        <v/>
      </c>
      <c r="BI47" s="97">
        <f>BC47*INDEX(Régions!$AU$2:$AU$6,MATCH($B47,Régions!$A$2:$A$6,0))</f>
        <v/>
      </c>
      <c r="BJ47" s="97">
        <f>INDEX({"CAQ","PLQ","QS","PQ","PCQ","Autre"},MATCH(MAX(BD47:BI47),BD47:BI47,0))</f>
        <v/>
      </c>
    </row>
    <row r="48" ht="15" customHeight="1" s="60">
      <c r="A48" s="94" t="inlineStr">
        <is>
          <t>Jacques-Cartier</t>
        </is>
      </c>
      <c r="B48" s="94" t="inlineStr">
        <is>
          <t>Île de Montréal</t>
        </is>
      </c>
      <c r="C48" s="95" t="inlineStr">
        <is>
          <t>PLQ</t>
        </is>
      </c>
      <c r="D48" s="96" t="n">
        <v>2735</v>
      </c>
      <c r="E48" s="96" t="n">
        <v>18158</v>
      </c>
      <c r="F48" s="96" t="n">
        <v>1456</v>
      </c>
      <c r="G48" s="96" t="n">
        <v>877</v>
      </c>
      <c r="H48" s="96" t="n">
        <v>4722</v>
      </c>
      <c r="I48" s="96" t="n">
        <v>1074</v>
      </c>
      <c r="J48" s="97">
        <f>SUM(D48:I48)</f>
        <v/>
      </c>
      <c r="K48" s="98">
        <f>IFERROR(D48/J48,0)</f>
        <v/>
      </c>
      <c r="L48" s="98">
        <f>IFERROR(E48/J48,0)</f>
        <v/>
      </c>
      <c r="M48" s="98">
        <f>IFERROR(F48/J48,0)</f>
        <v/>
      </c>
      <c r="N48" s="98">
        <f>IFERROR(G48/J48,0)</f>
        <v/>
      </c>
      <c r="O48" s="98">
        <f>IFERROR(H48/J48,0)</f>
        <v/>
      </c>
      <c r="P48" s="98">
        <f>IFERROR(I48/J48,0)</f>
        <v/>
      </c>
      <c r="Q48" s="97">
        <f>D48*INDEX(Régions!$T$2:$T$6,MATCH($B48,Régions!$A$2:$A$6,0))</f>
        <v/>
      </c>
      <c r="R48" s="97">
        <f>E48*INDEX(Régions!$U$2:$U$6,MATCH($B48,Régions!$A$2:$A$6,0))</f>
        <v/>
      </c>
      <c r="S48" s="97">
        <f>F48*INDEX(Régions!$V$2:$V$6,MATCH($B48,Régions!$A$2:$A$6,0))</f>
        <v/>
      </c>
      <c r="T48" s="97">
        <f>G48*INDEX(Régions!$W$2:$W$6,MATCH($B48,Régions!$A$2:$A$6,0))</f>
        <v/>
      </c>
      <c r="U48" s="97">
        <f>H48*INDEX(Régions!$X$2:$X$6,MATCH($B48,Régions!$A$2:$A$6,0))</f>
        <v/>
      </c>
      <c r="V48" s="97">
        <f>I48*INDEX(Régions!$Y$2:$Y$6,MATCH($B48,Régions!$A$2:$A$6,0))</f>
        <v/>
      </c>
      <c r="W48" s="97">
        <f>Q48+(AU48/100)*J48*Régions!$O$2</f>
        <v/>
      </c>
      <c r="X48" s="97">
        <f>R48+(AV48/100)*J48*Régions!$O$2</f>
        <v/>
      </c>
      <c r="Y48" s="97">
        <f>S48+(AW48/100)*J48*Régions!$O$2</f>
        <v/>
      </c>
      <c r="Z48" s="97">
        <f>T48+(AX48/100)*J48*Régions!$O$2</f>
        <v/>
      </c>
      <c r="AA48" s="97">
        <f>U48</f>
        <v/>
      </c>
      <c r="AB48" s="97">
        <f>V48</f>
        <v/>
      </c>
      <c r="AC48" s="97">
        <f>D48*INDEX(Régions!$Z$2:$Z$6,MATCH($B48,Régions!$A$2:$A$6,0))</f>
        <v/>
      </c>
      <c r="AD48" s="97">
        <f>E48*INDEX(Régions!$AA$2:$AA$6,MATCH($B48,Régions!$A$2:$A$6,0))</f>
        <v/>
      </c>
      <c r="AE48" s="97">
        <f>F48*INDEX(Régions!$AB$2:$AB$6,MATCH($B48,Régions!$A$2:$A$6,0))</f>
        <v/>
      </c>
      <c r="AF48" s="97">
        <f>G48*INDEX(Régions!$AC$2:$AC$6,MATCH($B48,Régions!$A$2:$A$6,0))</f>
        <v/>
      </c>
      <c r="AG48" s="97">
        <f>H48*INDEX(Régions!$AD$2:$AD$6,MATCH($B48,Régions!$A$2:$A$6,0))</f>
        <v/>
      </c>
      <c r="AH48" s="97">
        <f>I48*INDEX(Régions!$AE$2:$AE$6,MATCH($B48,Régions!$A$2:$A$6,0))</f>
        <v/>
      </c>
      <c r="AI48" s="97">
        <f>D48*INDEX(Régions!$AF$2:$AF$6,MATCH($B48,Régions!$A$2:$A$6,0))</f>
        <v/>
      </c>
      <c r="AJ48" s="97">
        <f>E48*INDEX(Régions!$AG$2:$AG$6,MATCH($B48,Régions!$A$2:$A$6,0))</f>
        <v/>
      </c>
      <c r="AK48" s="97">
        <f>F48*INDEX(Régions!$AH$2:$AH$6,MATCH($B48,Régions!$A$2:$A$6,0))</f>
        <v/>
      </c>
      <c r="AL48" s="97">
        <f>G48*INDEX(Régions!$AI$2:$AI$6,MATCH($B48,Régions!$A$2:$A$6,0))</f>
        <v/>
      </c>
      <c r="AM48" s="97">
        <f>H48*INDEX(Régions!$AJ$2:$AJ$6,MATCH($B48,Régions!$A$2:$A$6,0))</f>
        <v/>
      </c>
      <c r="AN48" s="97">
        <f>I48*INDEX(Régions!$AK$2:$AK$6,MATCH($B48,Régions!$A$2:$A$6,0))</f>
        <v/>
      </c>
      <c r="AO48" s="99">
        <f>INDEX({"CAQ","PLQ","QS","PQ","PCQ","Autre"},MATCH(MAX(Q48:V48),Q48:V48,0))</f>
        <v/>
      </c>
      <c r="AP48" s="99">
        <f>INDEX({"CAQ","PLQ","QS","PQ","PCQ","Autre"},MATCH(MAX(W48:AB48),W48:AB48,0))</f>
        <v/>
      </c>
      <c r="AQ48" s="99">
        <f>INDEX({"CAQ","PLQ","QS","PQ","PCQ","Autre"},MATCH(MAX(AC48:AH48),AC48:AH48,0))</f>
        <v/>
      </c>
      <c r="AR48" s="99">
        <f>INDEX({"CAQ","PLQ","QS","PQ","PCQ","Autre"},MATCH(MAX(AI48:AN48),AI48:AN48,0))</f>
        <v/>
      </c>
      <c r="AS48" s="100">
        <f>(MAX(K48:P48)-LARGE(K48:P48,2))*100</f>
        <v/>
      </c>
      <c r="AT48" s="101">
        <f>IF(AS48&lt;5,"Oui","Non")</f>
        <v/>
      </c>
      <c r="AU48" s="102" t="n">
        <v>-2.007</v>
      </c>
      <c r="AV48" s="102" t="n">
        <v>-0.404</v>
      </c>
      <c r="AW48" s="102" t="n">
        <v>-0.114</v>
      </c>
      <c r="AX48" s="102" t="n">
        <v>1.407</v>
      </c>
      <c r="AY48" s="96" t="n">
        <v>2744</v>
      </c>
      <c r="AZ48" s="96" t="n">
        <v>21133</v>
      </c>
      <c r="BA48" s="96" t="n">
        <v>1291</v>
      </c>
      <c r="BB48" s="96" t="n">
        <v>815</v>
      </c>
      <c r="BC48" s="96" t="n">
        <v>3448</v>
      </c>
      <c r="BD48" s="97">
        <f>AY48*INDEX(Régions!$AQ$2:$AQ$6,MATCH($B48,Régions!$A$2:$A$6,0))</f>
        <v/>
      </c>
      <c r="BE48" s="97">
        <f>AZ48*INDEX(Régions!$AR$2:$AR$6,MATCH($B48,Régions!$A$2:$A$6,0))</f>
        <v/>
      </c>
      <c r="BF48" s="97">
        <f>BA48*INDEX(Régions!$AS$2:$AS$6,MATCH($B48,Régions!$A$2:$A$6,0))</f>
        <v/>
      </c>
      <c r="BG48" s="97">
        <f>BB48*INDEX(Régions!$AT$2:$AT$6,MATCH($B48,Régions!$A$2:$A$6,0))</f>
        <v/>
      </c>
      <c r="BH48" s="97">
        <f>U48</f>
        <v/>
      </c>
      <c r="BI48" s="97">
        <f>BC48*INDEX(Régions!$AU$2:$AU$6,MATCH($B48,Régions!$A$2:$A$6,0))</f>
        <v/>
      </c>
      <c r="BJ48" s="97">
        <f>INDEX({"CAQ","PLQ","QS","PQ","PCQ","Autre"},MATCH(MAX(BD48:BI48),BD48:BI48,0))</f>
        <v/>
      </c>
    </row>
    <row r="49" ht="15" customHeight="1" s="60">
      <c r="A49" s="94" t="inlineStr">
        <is>
          <t>Jean-Lesage</t>
        </is>
      </c>
      <c r="B49" s="94" t="inlineStr">
        <is>
          <t>Québec RMR</t>
        </is>
      </c>
      <c r="C49" s="95" t="inlineStr">
        <is>
          <t>QS</t>
        </is>
      </c>
      <c r="D49" s="96" t="n">
        <v>9426</v>
      </c>
      <c r="E49" s="96" t="n">
        <v>1326</v>
      </c>
      <c r="F49" s="96" t="n">
        <v>11390</v>
      </c>
      <c r="G49" s="96" t="n">
        <v>3337</v>
      </c>
      <c r="H49" s="96" t="n">
        <v>4258</v>
      </c>
      <c r="I49" s="96" t="n">
        <v>417</v>
      </c>
      <c r="J49" s="97">
        <f>SUM(D49:I49)</f>
        <v/>
      </c>
      <c r="K49" s="98">
        <f>IFERROR(D49/J49,0)</f>
        <v/>
      </c>
      <c r="L49" s="98">
        <f>IFERROR(E49/J49,0)</f>
        <v/>
      </c>
      <c r="M49" s="98">
        <f>IFERROR(F49/J49,0)</f>
        <v/>
      </c>
      <c r="N49" s="98">
        <f>IFERROR(G49/J49,0)</f>
        <v/>
      </c>
      <c r="O49" s="98">
        <f>IFERROR(H49/J49,0)</f>
        <v/>
      </c>
      <c r="P49" s="98">
        <f>IFERROR(I49/J49,0)</f>
        <v/>
      </c>
      <c r="Q49" s="97">
        <f>D49*INDEX(Régions!$T$2:$T$6,MATCH($B49,Régions!$A$2:$A$6,0))</f>
        <v/>
      </c>
      <c r="R49" s="97">
        <f>E49*INDEX(Régions!$U$2:$U$6,MATCH($B49,Régions!$A$2:$A$6,0))</f>
        <v/>
      </c>
      <c r="S49" s="97">
        <f>F49*INDEX(Régions!$V$2:$V$6,MATCH($B49,Régions!$A$2:$A$6,0))</f>
        <v/>
      </c>
      <c r="T49" s="97">
        <f>G49*INDEX(Régions!$W$2:$W$6,MATCH($B49,Régions!$A$2:$A$6,0))</f>
        <v/>
      </c>
      <c r="U49" s="97">
        <f>H49*INDEX(Régions!$X$2:$X$6,MATCH($B49,Régions!$A$2:$A$6,0))</f>
        <v/>
      </c>
      <c r="V49" s="97">
        <f>I49*INDEX(Régions!$Y$2:$Y$6,MATCH($B49,Régions!$A$2:$A$6,0))</f>
        <v/>
      </c>
      <c r="W49" s="97">
        <f>Q49+(AU49/100)*J49*Régions!$O$2</f>
        <v/>
      </c>
      <c r="X49" s="97">
        <f>R49+(AV49/100)*J49*Régions!$O$2</f>
        <v/>
      </c>
      <c r="Y49" s="97">
        <f>S49+(AW49/100)*J49*Régions!$O$2</f>
        <v/>
      </c>
      <c r="Z49" s="97">
        <f>T49+(AX49/100)*J49*Régions!$O$2</f>
        <v/>
      </c>
      <c r="AA49" s="97">
        <f>U49</f>
        <v/>
      </c>
      <c r="AB49" s="97">
        <f>V49</f>
        <v/>
      </c>
      <c r="AC49" s="97">
        <f>D49*INDEX(Régions!$Z$2:$Z$6,MATCH($B49,Régions!$A$2:$A$6,0))</f>
        <v/>
      </c>
      <c r="AD49" s="97">
        <f>E49*INDEX(Régions!$AA$2:$AA$6,MATCH($B49,Régions!$A$2:$A$6,0))</f>
        <v/>
      </c>
      <c r="AE49" s="97">
        <f>F49*INDEX(Régions!$AB$2:$AB$6,MATCH($B49,Régions!$A$2:$A$6,0))</f>
        <v/>
      </c>
      <c r="AF49" s="97">
        <f>G49*INDEX(Régions!$AC$2:$AC$6,MATCH($B49,Régions!$A$2:$A$6,0))</f>
        <v/>
      </c>
      <c r="AG49" s="97">
        <f>H49*INDEX(Régions!$AD$2:$AD$6,MATCH($B49,Régions!$A$2:$A$6,0))</f>
        <v/>
      </c>
      <c r="AH49" s="97">
        <f>I49*INDEX(Régions!$AE$2:$AE$6,MATCH($B49,Régions!$A$2:$A$6,0))</f>
        <v/>
      </c>
      <c r="AI49" s="97">
        <f>D49*INDEX(Régions!$AF$2:$AF$6,MATCH($B49,Régions!$A$2:$A$6,0))</f>
        <v/>
      </c>
      <c r="AJ49" s="97">
        <f>E49*INDEX(Régions!$AG$2:$AG$6,MATCH($B49,Régions!$A$2:$A$6,0))</f>
        <v/>
      </c>
      <c r="AK49" s="97">
        <f>F49*INDEX(Régions!$AH$2:$AH$6,MATCH($B49,Régions!$A$2:$A$6,0))</f>
        <v/>
      </c>
      <c r="AL49" s="97">
        <f>G49*INDEX(Régions!$AI$2:$AI$6,MATCH($B49,Régions!$A$2:$A$6,0))</f>
        <v/>
      </c>
      <c r="AM49" s="97">
        <f>H49*INDEX(Régions!$AJ$2:$AJ$6,MATCH($B49,Régions!$A$2:$A$6,0))</f>
        <v/>
      </c>
      <c r="AN49" s="97">
        <f>I49*INDEX(Régions!$AK$2:$AK$6,MATCH($B49,Régions!$A$2:$A$6,0))</f>
        <v/>
      </c>
      <c r="AO49" s="99">
        <f>INDEX({"CAQ","PLQ","QS","PQ","PCQ","Autre"},MATCH(MAX(Q49:V49),Q49:V49,0))</f>
        <v/>
      </c>
      <c r="AP49" s="99">
        <f>INDEX({"CAQ","PLQ","QS","PQ","PCQ","Autre"},MATCH(MAX(W49:AB49),W49:AB49,0))</f>
        <v/>
      </c>
      <c r="AQ49" s="99">
        <f>INDEX({"CAQ","PLQ","QS","PQ","PCQ","Autre"},MATCH(MAX(AC49:AH49),AC49:AH49,0))</f>
        <v/>
      </c>
      <c r="AR49" s="99">
        <f>INDEX({"CAQ","PLQ","QS","PQ","PCQ","Autre"},MATCH(MAX(AI49:AN49),AI49:AN49,0))</f>
        <v/>
      </c>
      <c r="AS49" s="100">
        <f>(MAX(K49:P49)-LARGE(K49:P49,2))*100</f>
        <v/>
      </c>
      <c r="AT49" s="101">
        <f>IF(AS49&lt;5,"Oui","Non")</f>
        <v/>
      </c>
      <c r="AU49" s="102" t="n">
        <v>2.008</v>
      </c>
      <c r="AV49" s="102" t="n">
        <v>1.343</v>
      </c>
      <c r="AW49" s="102" t="n">
        <v>3.51</v>
      </c>
      <c r="AX49" s="102" t="n">
        <v>-0.2</v>
      </c>
      <c r="AY49" s="96" t="n">
        <v>9632</v>
      </c>
      <c r="AZ49" s="96" t="n">
        <v>5335</v>
      </c>
      <c r="BA49" s="96" t="n">
        <v>10331</v>
      </c>
      <c r="BB49" s="96" t="n">
        <v>2774</v>
      </c>
      <c r="BC49" s="96" t="n">
        <v>1699</v>
      </c>
      <c r="BD49" s="97">
        <f>AY49*INDEX(Régions!$AQ$2:$AQ$6,MATCH($B49,Régions!$A$2:$A$6,0))</f>
        <v/>
      </c>
      <c r="BE49" s="97">
        <f>AZ49*INDEX(Régions!$AR$2:$AR$6,MATCH($B49,Régions!$A$2:$A$6,0))</f>
        <v/>
      </c>
      <c r="BF49" s="97">
        <f>BA49*INDEX(Régions!$AS$2:$AS$6,MATCH($B49,Régions!$A$2:$A$6,0))</f>
        <v/>
      </c>
      <c r="BG49" s="97">
        <f>BB49*INDEX(Régions!$AT$2:$AT$6,MATCH($B49,Régions!$A$2:$A$6,0))</f>
        <v/>
      </c>
      <c r="BH49" s="97">
        <f>U49</f>
        <v/>
      </c>
      <c r="BI49" s="97">
        <f>BC49*INDEX(Régions!$AU$2:$AU$6,MATCH($B49,Régions!$A$2:$A$6,0))</f>
        <v/>
      </c>
      <c r="BJ49" s="97">
        <f>INDEX({"CAQ","PLQ","QS","PQ","PCQ","Autre"},MATCH(MAX(BD49:BI49),BD49:BI49,0))</f>
        <v/>
      </c>
    </row>
    <row r="50" ht="15" customHeight="1" s="60">
      <c r="A50" s="94" t="inlineStr">
        <is>
          <t>Jean-Talon</t>
        </is>
      </c>
      <c r="B50" s="94" t="inlineStr">
        <is>
          <t>Québec RMR</t>
        </is>
      </c>
      <c r="C50" s="95" t="inlineStr">
        <is>
          <t>CAQ</t>
        </is>
      </c>
      <c r="D50" s="96" t="n">
        <v>11105</v>
      </c>
      <c r="E50" s="96" t="n">
        <v>4616</v>
      </c>
      <c r="F50" s="96" t="n">
        <v>8117</v>
      </c>
      <c r="G50" s="96" t="n">
        <v>6386</v>
      </c>
      <c r="H50" s="96" t="n">
        <v>3541</v>
      </c>
      <c r="I50" s="96" t="n">
        <v>399</v>
      </c>
      <c r="J50" s="97">
        <f>SUM(D50:I50)</f>
        <v/>
      </c>
      <c r="K50" s="98">
        <f>IFERROR(D50/J50,0)</f>
        <v/>
      </c>
      <c r="L50" s="98">
        <f>IFERROR(E50/J50,0)</f>
        <v/>
      </c>
      <c r="M50" s="98">
        <f>IFERROR(F50/J50,0)</f>
        <v/>
      </c>
      <c r="N50" s="98">
        <f>IFERROR(G50/J50,0)</f>
        <v/>
      </c>
      <c r="O50" s="98">
        <f>IFERROR(H50/J50,0)</f>
        <v/>
      </c>
      <c r="P50" s="98">
        <f>IFERROR(I50/J50,0)</f>
        <v/>
      </c>
      <c r="Q50" s="97">
        <f>D50*INDEX(Régions!$T$2:$T$6,MATCH($B50,Régions!$A$2:$A$6,0))</f>
        <v/>
      </c>
      <c r="R50" s="97">
        <f>E50*INDEX(Régions!$U$2:$U$6,MATCH($B50,Régions!$A$2:$A$6,0))</f>
        <v/>
      </c>
      <c r="S50" s="97">
        <f>F50*INDEX(Régions!$V$2:$V$6,MATCH($B50,Régions!$A$2:$A$6,0))</f>
        <v/>
      </c>
      <c r="T50" s="97">
        <f>G50*INDEX(Régions!$W$2:$W$6,MATCH($B50,Régions!$A$2:$A$6,0))</f>
        <v/>
      </c>
      <c r="U50" s="97">
        <f>H50*INDEX(Régions!$X$2:$X$6,MATCH($B50,Régions!$A$2:$A$6,0))</f>
        <v/>
      </c>
      <c r="V50" s="97">
        <f>I50*INDEX(Régions!$Y$2:$Y$6,MATCH($B50,Régions!$A$2:$A$6,0))</f>
        <v/>
      </c>
      <c r="W50" s="97">
        <f>Q50+(AU50/100)*J50*Régions!$O$2</f>
        <v/>
      </c>
      <c r="X50" s="97">
        <f>R50+(AV50/100)*J50*Régions!$O$2</f>
        <v/>
      </c>
      <c r="Y50" s="97">
        <f>S50+(AW50/100)*J50*Régions!$O$2</f>
        <v/>
      </c>
      <c r="Z50" s="97">
        <f>T50+(AX50/100)*J50*Régions!$O$2</f>
        <v/>
      </c>
      <c r="AA50" s="97">
        <f>U50</f>
        <v/>
      </c>
      <c r="AB50" s="97">
        <f>V50</f>
        <v/>
      </c>
      <c r="AC50" s="97">
        <f>D50*INDEX(Régions!$Z$2:$Z$6,MATCH($B50,Régions!$A$2:$A$6,0))</f>
        <v/>
      </c>
      <c r="AD50" s="97">
        <f>E50*INDEX(Régions!$AA$2:$AA$6,MATCH($B50,Régions!$A$2:$A$6,0))</f>
        <v/>
      </c>
      <c r="AE50" s="97">
        <f>F50*INDEX(Régions!$AB$2:$AB$6,MATCH($B50,Régions!$A$2:$A$6,0))</f>
        <v/>
      </c>
      <c r="AF50" s="97">
        <f>G50*INDEX(Régions!$AC$2:$AC$6,MATCH($B50,Régions!$A$2:$A$6,0))</f>
        <v/>
      </c>
      <c r="AG50" s="97">
        <f>H50*INDEX(Régions!$AD$2:$AD$6,MATCH($B50,Régions!$A$2:$A$6,0))</f>
        <v/>
      </c>
      <c r="AH50" s="97">
        <f>I50*INDEX(Régions!$AE$2:$AE$6,MATCH($B50,Régions!$A$2:$A$6,0))</f>
        <v/>
      </c>
      <c r="AI50" s="97">
        <f>D50*INDEX(Régions!$AF$2:$AF$6,MATCH($B50,Régions!$A$2:$A$6,0))</f>
        <v/>
      </c>
      <c r="AJ50" s="97">
        <f>E50*INDEX(Régions!$AG$2:$AG$6,MATCH($B50,Régions!$A$2:$A$6,0))</f>
        <v/>
      </c>
      <c r="AK50" s="97">
        <f>F50*INDEX(Régions!$AH$2:$AH$6,MATCH($B50,Régions!$A$2:$A$6,0))</f>
        <v/>
      </c>
      <c r="AL50" s="97">
        <f>G50*INDEX(Régions!$AI$2:$AI$6,MATCH($B50,Régions!$A$2:$A$6,0))</f>
        <v/>
      </c>
      <c r="AM50" s="97">
        <f>H50*INDEX(Régions!$AJ$2:$AJ$6,MATCH($B50,Régions!$A$2:$A$6,0))</f>
        <v/>
      </c>
      <c r="AN50" s="97">
        <f>I50*INDEX(Régions!$AK$2:$AK$6,MATCH($B50,Régions!$A$2:$A$6,0))</f>
        <v/>
      </c>
      <c r="AO50" s="99">
        <f>INDEX({"CAQ","PLQ","QS","PQ","PCQ","Autre"},MATCH(MAX(Q50:V50),Q50:V50,0))</f>
        <v/>
      </c>
      <c r="AP50" s="99">
        <f>INDEX({"CAQ","PLQ","QS","PQ","PCQ","Autre"},MATCH(MAX(W50:AB50),W50:AB50,0))</f>
        <v/>
      </c>
      <c r="AQ50" s="99">
        <f>INDEX({"CAQ","PLQ","QS","PQ","PCQ","Autre"},MATCH(MAX(AC50:AH50),AC50:AH50,0))</f>
        <v/>
      </c>
      <c r="AR50" s="99">
        <f>INDEX({"CAQ","PLQ","QS","PQ","PCQ","Autre"},MATCH(MAX(AI50:AN50),AI50:AN50,0))</f>
        <v/>
      </c>
      <c r="AS50" s="100">
        <f>(MAX(K50:P50)-LARGE(K50:P50,2))*100</f>
        <v/>
      </c>
      <c r="AT50" s="101">
        <f>IF(AS50&lt;5,"Oui","Non")</f>
        <v/>
      </c>
      <c r="AU50" s="102" t="n">
        <v>7.039</v>
      </c>
      <c r="AV50" s="102" t="n">
        <v>-4.203</v>
      </c>
      <c r="AW50" s="102" t="n">
        <v>5.022</v>
      </c>
      <c r="AX50" s="102" t="n">
        <v>2.286</v>
      </c>
      <c r="AY50" s="96" t="n">
        <v>9706</v>
      </c>
      <c r="AZ50" s="96" t="n">
        <v>11069</v>
      </c>
      <c r="BA50" s="96" t="n">
        <v>6515</v>
      </c>
      <c r="BB50" s="96" t="n">
        <v>4912</v>
      </c>
      <c r="BC50" s="96" t="n">
        <v>1773</v>
      </c>
      <c r="BD50" s="97">
        <f>AY50*INDEX(Régions!$AQ$2:$AQ$6,MATCH($B50,Régions!$A$2:$A$6,0))</f>
        <v/>
      </c>
      <c r="BE50" s="97">
        <f>AZ50*INDEX(Régions!$AR$2:$AR$6,MATCH($B50,Régions!$A$2:$A$6,0))</f>
        <v/>
      </c>
      <c r="BF50" s="97">
        <f>BA50*INDEX(Régions!$AS$2:$AS$6,MATCH($B50,Régions!$A$2:$A$6,0))</f>
        <v/>
      </c>
      <c r="BG50" s="97">
        <f>BB50*INDEX(Régions!$AT$2:$AT$6,MATCH($B50,Régions!$A$2:$A$6,0))</f>
        <v/>
      </c>
      <c r="BH50" s="97">
        <f>U50</f>
        <v/>
      </c>
      <c r="BI50" s="97">
        <f>BC50*INDEX(Régions!$AU$2:$AU$6,MATCH($B50,Régions!$A$2:$A$6,0))</f>
        <v/>
      </c>
      <c r="BJ50" s="97">
        <f>INDEX({"CAQ","PLQ","QS","PQ","PCQ","Autre"},MATCH(MAX(BD50:BI50),BD50:BI50,0))</f>
        <v/>
      </c>
    </row>
    <row r="51" ht="15" customHeight="1" s="60">
      <c r="A51" s="94" t="inlineStr">
        <is>
          <t>Jeanne-Mance–Viger</t>
        </is>
      </c>
      <c r="B51" s="94" t="inlineStr">
        <is>
          <t>Île de Montréal</t>
        </is>
      </c>
      <c r="C51" s="95" t="inlineStr">
        <is>
          <t>PLQ</t>
        </is>
      </c>
      <c r="D51" s="96" t="n">
        <v>4455</v>
      </c>
      <c r="E51" s="96" t="n">
        <v>14471</v>
      </c>
      <c r="F51" s="96" t="n">
        <v>2858</v>
      </c>
      <c r="G51" s="96" t="n">
        <v>1122</v>
      </c>
      <c r="H51" s="96" t="n">
        <v>3609</v>
      </c>
      <c r="I51" s="96" t="n">
        <v>319</v>
      </c>
      <c r="J51" s="97">
        <f>SUM(D51:I51)</f>
        <v/>
      </c>
      <c r="K51" s="98">
        <f>IFERROR(D51/J51,0)</f>
        <v/>
      </c>
      <c r="L51" s="98">
        <f>IFERROR(E51/J51,0)</f>
        <v/>
      </c>
      <c r="M51" s="98">
        <f>IFERROR(F51/J51,0)</f>
        <v/>
      </c>
      <c r="N51" s="98">
        <f>IFERROR(G51/J51,0)</f>
        <v/>
      </c>
      <c r="O51" s="98">
        <f>IFERROR(H51/J51,0)</f>
        <v/>
      </c>
      <c r="P51" s="98">
        <f>IFERROR(I51/J51,0)</f>
        <v/>
      </c>
      <c r="Q51" s="97">
        <f>D51*INDEX(Régions!$T$2:$T$6,MATCH($B51,Régions!$A$2:$A$6,0))</f>
        <v/>
      </c>
      <c r="R51" s="97">
        <f>E51*INDEX(Régions!$U$2:$U$6,MATCH($B51,Régions!$A$2:$A$6,0))</f>
        <v/>
      </c>
      <c r="S51" s="97">
        <f>F51*INDEX(Régions!$V$2:$V$6,MATCH($B51,Régions!$A$2:$A$6,0))</f>
        <v/>
      </c>
      <c r="T51" s="97">
        <f>G51*INDEX(Régions!$W$2:$W$6,MATCH($B51,Régions!$A$2:$A$6,0))</f>
        <v/>
      </c>
      <c r="U51" s="97">
        <f>H51*INDEX(Régions!$X$2:$X$6,MATCH($B51,Régions!$A$2:$A$6,0))</f>
        <v/>
      </c>
      <c r="V51" s="97">
        <f>I51*INDEX(Régions!$Y$2:$Y$6,MATCH($B51,Régions!$A$2:$A$6,0))</f>
        <v/>
      </c>
      <c r="W51" s="97">
        <f>Q51+(AU51/100)*J51*Régions!$O$2</f>
        <v/>
      </c>
      <c r="X51" s="97">
        <f>R51+(AV51/100)*J51*Régions!$O$2</f>
        <v/>
      </c>
      <c r="Y51" s="97">
        <f>S51+(AW51/100)*J51*Régions!$O$2</f>
        <v/>
      </c>
      <c r="Z51" s="97">
        <f>T51+(AX51/100)*J51*Régions!$O$2</f>
        <v/>
      </c>
      <c r="AA51" s="97">
        <f>U51</f>
        <v/>
      </c>
      <c r="AB51" s="97">
        <f>V51</f>
        <v/>
      </c>
      <c r="AC51" s="97">
        <f>D51*INDEX(Régions!$Z$2:$Z$6,MATCH($B51,Régions!$A$2:$A$6,0))</f>
        <v/>
      </c>
      <c r="AD51" s="97">
        <f>E51*INDEX(Régions!$AA$2:$AA$6,MATCH($B51,Régions!$A$2:$A$6,0))</f>
        <v/>
      </c>
      <c r="AE51" s="97">
        <f>F51*INDEX(Régions!$AB$2:$AB$6,MATCH($B51,Régions!$A$2:$A$6,0))</f>
        <v/>
      </c>
      <c r="AF51" s="97">
        <f>G51*INDEX(Régions!$AC$2:$AC$6,MATCH($B51,Régions!$A$2:$A$6,0))</f>
        <v/>
      </c>
      <c r="AG51" s="97">
        <f>H51*INDEX(Régions!$AD$2:$AD$6,MATCH($B51,Régions!$A$2:$A$6,0))</f>
        <v/>
      </c>
      <c r="AH51" s="97">
        <f>I51*INDEX(Régions!$AE$2:$AE$6,MATCH($B51,Régions!$A$2:$A$6,0))</f>
        <v/>
      </c>
      <c r="AI51" s="97">
        <f>D51*INDEX(Régions!$AF$2:$AF$6,MATCH($B51,Régions!$A$2:$A$6,0))</f>
        <v/>
      </c>
      <c r="AJ51" s="97">
        <f>E51*INDEX(Régions!$AG$2:$AG$6,MATCH($B51,Régions!$A$2:$A$6,0))</f>
        <v/>
      </c>
      <c r="AK51" s="97">
        <f>F51*INDEX(Régions!$AH$2:$AH$6,MATCH($B51,Régions!$A$2:$A$6,0))</f>
        <v/>
      </c>
      <c r="AL51" s="97">
        <f>G51*INDEX(Régions!$AI$2:$AI$6,MATCH($B51,Régions!$A$2:$A$6,0))</f>
        <v/>
      </c>
      <c r="AM51" s="97">
        <f>H51*INDEX(Régions!$AJ$2:$AJ$6,MATCH($B51,Régions!$A$2:$A$6,0))</f>
        <v/>
      </c>
      <c r="AN51" s="97">
        <f>I51*INDEX(Régions!$AK$2:$AK$6,MATCH($B51,Régions!$A$2:$A$6,0))</f>
        <v/>
      </c>
      <c r="AO51" s="99">
        <f>INDEX({"CAQ","PLQ","QS","PQ","PCQ","Autre"},MATCH(MAX(Q51:V51),Q51:V51,0))</f>
        <v/>
      </c>
      <c r="AP51" s="99">
        <f>INDEX({"CAQ","PLQ","QS","PQ","PCQ","Autre"},MATCH(MAX(W51:AB51),W51:AB51,0))</f>
        <v/>
      </c>
      <c r="AQ51" s="99">
        <f>INDEX({"CAQ","PLQ","QS","PQ","PCQ","Autre"},MATCH(MAX(AC51:AH51),AC51:AH51,0))</f>
        <v/>
      </c>
      <c r="AR51" s="99">
        <f>INDEX({"CAQ","PLQ","QS","PQ","PCQ","Autre"},MATCH(MAX(AI51:AN51),AI51:AN51,0))</f>
        <v/>
      </c>
      <c r="AS51" s="100">
        <f>(MAX(K51:P51)-LARGE(K51:P51,2))*100</f>
        <v/>
      </c>
      <c r="AT51" s="101">
        <f>IF(AS51&lt;5,"Oui","Non")</f>
        <v/>
      </c>
      <c r="AU51" s="102" t="n">
        <v>-1.69</v>
      </c>
      <c r="AV51" s="102" t="n">
        <v>-3.56</v>
      </c>
      <c r="AW51" s="102" t="n">
        <v>1.761</v>
      </c>
      <c r="AX51" s="102" t="n">
        <v>-0.21</v>
      </c>
      <c r="AY51" s="96" t="n">
        <v>4445</v>
      </c>
      <c r="AZ51" s="96" t="n">
        <v>18215</v>
      </c>
      <c r="BA51" s="96" t="n">
        <v>2237</v>
      </c>
      <c r="BB51" s="96" t="n">
        <v>1523</v>
      </c>
      <c r="BC51" s="96" t="n">
        <v>1044</v>
      </c>
      <c r="BD51" s="97">
        <f>AY51*INDEX(Régions!$AQ$2:$AQ$6,MATCH($B51,Régions!$A$2:$A$6,0))</f>
        <v/>
      </c>
      <c r="BE51" s="97">
        <f>AZ51*INDEX(Régions!$AR$2:$AR$6,MATCH($B51,Régions!$A$2:$A$6,0))</f>
        <v/>
      </c>
      <c r="BF51" s="97">
        <f>BA51*INDEX(Régions!$AS$2:$AS$6,MATCH($B51,Régions!$A$2:$A$6,0))</f>
        <v/>
      </c>
      <c r="BG51" s="97">
        <f>BB51*INDEX(Régions!$AT$2:$AT$6,MATCH($B51,Régions!$A$2:$A$6,0))</f>
        <v/>
      </c>
      <c r="BH51" s="97">
        <f>U51</f>
        <v/>
      </c>
      <c r="BI51" s="97">
        <f>BC51*INDEX(Régions!$AU$2:$AU$6,MATCH($B51,Régions!$A$2:$A$6,0))</f>
        <v/>
      </c>
      <c r="BJ51" s="97">
        <f>INDEX({"CAQ","PLQ","QS","PQ","PCQ","Autre"},MATCH(MAX(BD51:BI51),BD51:BI51,0))</f>
        <v/>
      </c>
    </row>
    <row r="52" ht="15" customHeight="1" s="60">
      <c r="A52" s="94" t="inlineStr">
        <is>
          <t>Joliette</t>
        </is>
      </c>
      <c r="B52" s="94" t="inlineStr">
        <is>
          <t>Reste du Québec</t>
        </is>
      </c>
      <c r="C52" s="95" t="inlineStr">
        <is>
          <t>CAQ</t>
        </is>
      </c>
      <c r="D52" s="96" t="n">
        <v>17924</v>
      </c>
      <c r="E52" s="96" t="n">
        <v>1178</v>
      </c>
      <c r="F52" s="96" t="n">
        <v>4476</v>
      </c>
      <c r="G52" s="96" t="n">
        <v>12280</v>
      </c>
      <c r="H52" s="96" t="n">
        <v>3470</v>
      </c>
      <c r="I52" s="96" t="n">
        <v>0</v>
      </c>
      <c r="J52" s="97">
        <f>SUM(D52:I52)</f>
        <v/>
      </c>
      <c r="K52" s="98">
        <f>IFERROR(D52/J52,0)</f>
        <v/>
      </c>
      <c r="L52" s="98">
        <f>IFERROR(E52/J52,0)</f>
        <v/>
      </c>
      <c r="M52" s="98">
        <f>IFERROR(F52/J52,0)</f>
        <v/>
      </c>
      <c r="N52" s="98">
        <f>IFERROR(G52/J52,0)</f>
        <v/>
      </c>
      <c r="O52" s="98">
        <f>IFERROR(H52/J52,0)</f>
        <v/>
      </c>
      <c r="P52" s="98">
        <f>IFERROR(I52/J52,0)</f>
        <v/>
      </c>
      <c r="Q52" s="97">
        <f>D52*INDEX(Régions!$T$2:$T$6,MATCH($B52,Régions!$A$2:$A$6,0))</f>
        <v/>
      </c>
      <c r="R52" s="97">
        <f>E52*INDEX(Régions!$U$2:$U$6,MATCH($B52,Régions!$A$2:$A$6,0))</f>
        <v/>
      </c>
      <c r="S52" s="97">
        <f>F52*INDEX(Régions!$V$2:$V$6,MATCH($B52,Régions!$A$2:$A$6,0))</f>
        <v/>
      </c>
      <c r="T52" s="97">
        <f>G52*INDEX(Régions!$W$2:$W$6,MATCH($B52,Régions!$A$2:$A$6,0))</f>
        <v/>
      </c>
      <c r="U52" s="97">
        <f>H52*INDEX(Régions!$X$2:$X$6,MATCH($B52,Régions!$A$2:$A$6,0))</f>
        <v/>
      </c>
      <c r="V52" s="97">
        <f>I52*INDEX(Régions!$Y$2:$Y$6,MATCH($B52,Régions!$A$2:$A$6,0))</f>
        <v/>
      </c>
      <c r="W52" s="97">
        <f>Q52+(AU52/100)*J52*Régions!$O$2</f>
        <v/>
      </c>
      <c r="X52" s="97">
        <f>R52+(AV52/100)*J52*Régions!$O$2</f>
        <v/>
      </c>
      <c r="Y52" s="97">
        <f>S52+(AW52/100)*J52*Régions!$O$2</f>
        <v/>
      </c>
      <c r="Z52" s="97">
        <f>T52+(AX52/100)*J52*Régions!$O$2</f>
        <v/>
      </c>
      <c r="AA52" s="97">
        <f>U52</f>
        <v/>
      </c>
      <c r="AB52" s="97">
        <f>V52</f>
        <v/>
      </c>
      <c r="AC52" s="97">
        <f>D52*INDEX(Régions!$Z$2:$Z$6,MATCH($B52,Régions!$A$2:$A$6,0))</f>
        <v/>
      </c>
      <c r="AD52" s="97">
        <f>E52*INDEX(Régions!$AA$2:$AA$6,MATCH($B52,Régions!$A$2:$A$6,0))</f>
        <v/>
      </c>
      <c r="AE52" s="97">
        <f>F52*INDEX(Régions!$AB$2:$AB$6,MATCH($B52,Régions!$A$2:$A$6,0))</f>
        <v/>
      </c>
      <c r="AF52" s="97">
        <f>G52*INDEX(Régions!$AC$2:$AC$6,MATCH($B52,Régions!$A$2:$A$6,0))</f>
        <v/>
      </c>
      <c r="AG52" s="97">
        <f>H52*INDEX(Régions!$AD$2:$AD$6,MATCH($B52,Régions!$A$2:$A$6,0))</f>
        <v/>
      </c>
      <c r="AH52" s="97">
        <f>I52*INDEX(Régions!$AE$2:$AE$6,MATCH($B52,Régions!$A$2:$A$6,0))</f>
        <v/>
      </c>
      <c r="AI52" s="97">
        <f>D52*INDEX(Régions!$AF$2:$AF$6,MATCH($B52,Régions!$A$2:$A$6,0))</f>
        <v/>
      </c>
      <c r="AJ52" s="97">
        <f>E52*INDEX(Régions!$AG$2:$AG$6,MATCH($B52,Régions!$A$2:$A$6,0))</f>
        <v/>
      </c>
      <c r="AK52" s="97">
        <f>F52*INDEX(Régions!$AH$2:$AH$6,MATCH($B52,Régions!$A$2:$A$6,0))</f>
        <v/>
      </c>
      <c r="AL52" s="97">
        <f>G52*INDEX(Régions!$AI$2:$AI$6,MATCH($B52,Régions!$A$2:$A$6,0))</f>
        <v/>
      </c>
      <c r="AM52" s="97">
        <f>H52*INDEX(Régions!$AJ$2:$AJ$6,MATCH($B52,Régions!$A$2:$A$6,0))</f>
        <v/>
      </c>
      <c r="AN52" s="97">
        <f>I52*INDEX(Régions!$AK$2:$AK$6,MATCH($B52,Régions!$A$2:$A$6,0))</f>
        <v/>
      </c>
      <c r="AO52" s="99">
        <f>INDEX({"CAQ","PLQ","QS","PQ","PCQ","Autre"},MATCH(MAX(Q52:V52),Q52:V52,0))</f>
        <v/>
      </c>
      <c r="AP52" s="99">
        <f>INDEX({"CAQ","PLQ","QS","PQ","PCQ","Autre"},MATCH(MAX(W52:AB52),W52:AB52,0))</f>
        <v/>
      </c>
      <c r="AQ52" s="99">
        <f>INDEX({"CAQ","PLQ","QS","PQ","PCQ","Autre"},MATCH(MAX(AC52:AH52),AC52:AH52,0))</f>
        <v/>
      </c>
      <c r="AR52" s="99">
        <f>INDEX({"CAQ","PLQ","QS","PQ","PCQ","Autre"},MATCH(MAX(AI52:AN52),AI52:AN52,0))</f>
        <v/>
      </c>
      <c r="AS52" s="100">
        <f>(MAX(K52:P52)-LARGE(K52:P52,2))*100</f>
        <v/>
      </c>
      <c r="AT52" s="101">
        <f>IF(AS52&lt;5,"Oui","Non")</f>
        <v/>
      </c>
      <c r="AU52" s="102" t="n">
        <v>4.975</v>
      </c>
      <c r="AV52" s="102" t="n">
        <v>8.896000000000001</v>
      </c>
      <c r="AW52" s="102" t="n">
        <v>2.222</v>
      </c>
      <c r="AX52" s="102" t="n">
        <v>-11.024</v>
      </c>
      <c r="AY52" s="96" t="n">
        <v>13253</v>
      </c>
      <c r="AZ52" s="96" t="n">
        <v>2620</v>
      </c>
      <c r="BA52" s="96" t="n">
        <v>3881</v>
      </c>
      <c r="BB52" s="96" t="n">
        <v>17683</v>
      </c>
      <c r="BC52" s="96" t="n">
        <v>811</v>
      </c>
      <c r="BD52" s="97">
        <f>AY52*INDEX(Régions!$AQ$2:$AQ$6,MATCH($B52,Régions!$A$2:$A$6,0))</f>
        <v/>
      </c>
      <c r="BE52" s="97">
        <f>AZ52*INDEX(Régions!$AR$2:$AR$6,MATCH($B52,Régions!$A$2:$A$6,0))</f>
        <v/>
      </c>
      <c r="BF52" s="97">
        <f>BA52*INDEX(Régions!$AS$2:$AS$6,MATCH($B52,Régions!$A$2:$A$6,0))</f>
        <v/>
      </c>
      <c r="BG52" s="97">
        <f>BB52*INDEX(Régions!$AT$2:$AT$6,MATCH($B52,Régions!$A$2:$A$6,0))</f>
        <v/>
      </c>
      <c r="BH52" s="97">
        <f>U52</f>
        <v/>
      </c>
      <c r="BI52" s="97">
        <f>BC52*INDEX(Régions!$AU$2:$AU$6,MATCH($B52,Régions!$A$2:$A$6,0))</f>
        <v/>
      </c>
      <c r="BJ52" s="97">
        <f>INDEX({"CAQ","PLQ","QS","PQ","PCQ","Autre"},MATCH(MAX(BD52:BI52),BD52:BI52,0))</f>
        <v/>
      </c>
    </row>
    <row r="53" ht="15" customHeight="1" s="60">
      <c r="A53" s="94" t="inlineStr">
        <is>
          <t>Jonquière</t>
        </is>
      </c>
      <c r="B53" s="94" t="inlineStr">
        <is>
          <t>Reste du Québec</t>
        </is>
      </c>
      <c r="C53" s="95" t="inlineStr">
        <is>
          <t>CAQ</t>
        </is>
      </c>
      <c r="D53" s="96" t="n">
        <v>18196</v>
      </c>
      <c r="E53" s="96" t="n">
        <v>648</v>
      </c>
      <c r="F53" s="96" t="n">
        <v>2778</v>
      </c>
      <c r="G53" s="96" t="n">
        <v>5912</v>
      </c>
      <c r="H53" s="96" t="n">
        <v>2926</v>
      </c>
      <c r="I53" s="96" t="n">
        <v>177</v>
      </c>
      <c r="J53" s="97">
        <f>SUM(D53:I53)</f>
        <v/>
      </c>
      <c r="K53" s="98">
        <f>IFERROR(D53/J53,0)</f>
        <v/>
      </c>
      <c r="L53" s="98">
        <f>IFERROR(E53/J53,0)</f>
        <v/>
      </c>
      <c r="M53" s="98">
        <f>IFERROR(F53/J53,0)</f>
        <v/>
      </c>
      <c r="N53" s="98">
        <f>IFERROR(G53/J53,0)</f>
        <v/>
      </c>
      <c r="O53" s="98">
        <f>IFERROR(H53/J53,0)</f>
        <v/>
      </c>
      <c r="P53" s="98">
        <f>IFERROR(I53/J53,0)</f>
        <v/>
      </c>
      <c r="Q53" s="97">
        <f>D53*INDEX(Régions!$T$2:$T$6,MATCH($B53,Régions!$A$2:$A$6,0))</f>
        <v/>
      </c>
      <c r="R53" s="97">
        <f>E53*INDEX(Régions!$U$2:$U$6,MATCH($B53,Régions!$A$2:$A$6,0))</f>
        <v/>
      </c>
      <c r="S53" s="97">
        <f>F53*INDEX(Régions!$V$2:$V$6,MATCH($B53,Régions!$A$2:$A$6,0))</f>
        <v/>
      </c>
      <c r="T53" s="97">
        <f>G53*INDEX(Régions!$W$2:$W$6,MATCH($B53,Régions!$A$2:$A$6,0))</f>
        <v/>
      </c>
      <c r="U53" s="97">
        <f>H53*INDEX(Régions!$X$2:$X$6,MATCH($B53,Régions!$A$2:$A$6,0))</f>
        <v/>
      </c>
      <c r="V53" s="97">
        <f>I53*INDEX(Régions!$Y$2:$Y$6,MATCH($B53,Régions!$A$2:$A$6,0))</f>
        <v/>
      </c>
      <c r="W53" s="97">
        <f>Q53+(AU53/100)*J53*Régions!$O$2</f>
        <v/>
      </c>
      <c r="X53" s="97">
        <f>R53+(AV53/100)*J53*Régions!$O$2</f>
        <v/>
      </c>
      <c r="Y53" s="97">
        <f>S53+(AW53/100)*J53*Régions!$O$2</f>
        <v/>
      </c>
      <c r="Z53" s="97">
        <f>T53+(AX53/100)*J53*Régions!$O$2</f>
        <v/>
      </c>
      <c r="AA53" s="97">
        <f>U53</f>
        <v/>
      </c>
      <c r="AB53" s="97">
        <f>V53</f>
        <v/>
      </c>
      <c r="AC53" s="97">
        <f>D53*INDEX(Régions!$Z$2:$Z$6,MATCH($B53,Régions!$A$2:$A$6,0))</f>
        <v/>
      </c>
      <c r="AD53" s="97">
        <f>E53*INDEX(Régions!$AA$2:$AA$6,MATCH($B53,Régions!$A$2:$A$6,0))</f>
        <v/>
      </c>
      <c r="AE53" s="97">
        <f>F53*INDEX(Régions!$AB$2:$AB$6,MATCH($B53,Régions!$A$2:$A$6,0))</f>
        <v/>
      </c>
      <c r="AF53" s="97">
        <f>G53*INDEX(Régions!$AC$2:$AC$6,MATCH($B53,Régions!$A$2:$A$6,0))</f>
        <v/>
      </c>
      <c r="AG53" s="97">
        <f>H53*INDEX(Régions!$AD$2:$AD$6,MATCH($B53,Régions!$A$2:$A$6,0))</f>
        <v/>
      </c>
      <c r="AH53" s="97">
        <f>I53*INDEX(Régions!$AE$2:$AE$6,MATCH($B53,Régions!$A$2:$A$6,0))</f>
        <v/>
      </c>
      <c r="AI53" s="97">
        <f>D53*INDEX(Régions!$AF$2:$AF$6,MATCH($B53,Régions!$A$2:$A$6,0))</f>
        <v/>
      </c>
      <c r="AJ53" s="97">
        <f>E53*INDEX(Régions!$AG$2:$AG$6,MATCH($B53,Régions!$A$2:$A$6,0))</f>
        <v/>
      </c>
      <c r="AK53" s="97">
        <f>F53*INDEX(Régions!$AH$2:$AH$6,MATCH($B53,Régions!$A$2:$A$6,0))</f>
        <v/>
      </c>
      <c r="AL53" s="97">
        <f>G53*INDEX(Régions!$AI$2:$AI$6,MATCH($B53,Régions!$A$2:$A$6,0))</f>
        <v/>
      </c>
      <c r="AM53" s="97">
        <f>H53*INDEX(Régions!$AJ$2:$AJ$6,MATCH($B53,Régions!$A$2:$A$6,0))</f>
        <v/>
      </c>
      <c r="AN53" s="97">
        <f>I53*INDEX(Régions!$AK$2:$AK$6,MATCH($B53,Régions!$A$2:$A$6,0))</f>
        <v/>
      </c>
      <c r="AO53" s="99">
        <f>INDEX({"CAQ","PLQ","QS","PQ","PCQ","Autre"},MATCH(MAX(Q53:V53),Q53:V53,0))</f>
        <v/>
      </c>
      <c r="AP53" s="99">
        <f>INDEX({"CAQ","PLQ","QS","PQ","PCQ","Autre"},MATCH(MAX(W53:AB53),W53:AB53,0))</f>
        <v/>
      </c>
      <c r="AQ53" s="99">
        <f>INDEX({"CAQ","PLQ","QS","PQ","PCQ","Autre"},MATCH(MAX(AC53:AH53),AC53:AH53,0))</f>
        <v/>
      </c>
      <c r="AR53" s="99">
        <f>INDEX({"CAQ","PLQ","QS","PQ","PCQ","Autre"},MATCH(MAX(AI53:AN53),AI53:AN53,0))</f>
        <v/>
      </c>
      <c r="AS53" s="100">
        <f>(MAX(K53:P53)-LARGE(K53:P53,2))*100</f>
        <v/>
      </c>
      <c r="AT53" s="101">
        <f>IF(AS53&lt;5,"Oui","Non")</f>
        <v/>
      </c>
      <c r="AU53" s="102" t="n">
        <v>20.972</v>
      </c>
      <c r="AV53" s="102" t="n">
        <v>5.027</v>
      </c>
      <c r="AW53" s="102" t="n">
        <v>2.773</v>
      </c>
      <c r="AX53" s="102" t="n">
        <v>-25.072</v>
      </c>
      <c r="AY53" s="96" t="n">
        <v>9997</v>
      </c>
      <c r="AZ53" s="96" t="n">
        <v>3029</v>
      </c>
      <c r="BA53" s="96" t="n">
        <v>2242</v>
      </c>
      <c r="BB53" s="96" t="n">
        <v>14887</v>
      </c>
      <c r="BC53" s="96" t="n">
        <v>633</v>
      </c>
      <c r="BD53" s="97">
        <f>AY53*INDEX(Régions!$AQ$2:$AQ$6,MATCH($B53,Régions!$A$2:$A$6,0))</f>
        <v/>
      </c>
      <c r="BE53" s="97">
        <f>AZ53*INDEX(Régions!$AR$2:$AR$6,MATCH($B53,Régions!$A$2:$A$6,0))</f>
        <v/>
      </c>
      <c r="BF53" s="97">
        <f>BA53*INDEX(Régions!$AS$2:$AS$6,MATCH($B53,Régions!$A$2:$A$6,0))</f>
        <v/>
      </c>
      <c r="BG53" s="97">
        <f>BB53*INDEX(Régions!$AT$2:$AT$6,MATCH($B53,Régions!$A$2:$A$6,0))</f>
        <v/>
      </c>
      <c r="BH53" s="97">
        <f>U53</f>
        <v/>
      </c>
      <c r="BI53" s="97">
        <f>BC53*INDEX(Régions!$AU$2:$AU$6,MATCH($B53,Régions!$A$2:$A$6,0))</f>
        <v/>
      </c>
      <c r="BJ53" s="97">
        <f>INDEX({"CAQ","PLQ","QS","PQ","PCQ","Autre"},MATCH(MAX(BD53:BI53),BD53:BI53,0))</f>
        <v/>
      </c>
    </row>
    <row r="54" ht="15" customHeight="1" s="60">
      <c r="A54" s="94" t="inlineStr">
        <is>
          <t>L'Assomption</t>
        </is>
      </c>
      <c r="B54" s="94" t="inlineStr">
        <is>
          <t>Banlieue de Montréal</t>
        </is>
      </c>
      <c r="C54" s="95" t="inlineStr">
        <is>
          <t>CAQ</t>
        </is>
      </c>
      <c r="D54" s="96" t="n">
        <v>21596</v>
      </c>
      <c r="E54" s="96" t="n">
        <v>2009</v>
      </c>
      <c r="F54" s="96" t="n">
        <v>5401</v>
      </c>
      <c r="G54" s="96" t="n">
        <v>5863</v>
      </c>
      <c r="H54" s="96" t="n">
        <v>3139</v>
      </c>
      <c r="I54" s="96" t="n">
        <v>62</v>
      </c>
      <c r="J54" s="97">
        <f>SUM(D54:I54)</f>
        <v/>
      </c>
      <c r="K54" s="98">
        <f>IFERROR(D54/J54,0)</f>
        <v/>
      </c>
      <c r="L54" s="98">
        <f>IFERROR(E54/J54,0)</f>
        <v/>
      </c>
      <c r="M54" s="98">
        <f>IFERROR(F54/J54,0)</f>
        <v/>
      </c>
      <c r="N54" s="98">
        <f>IFERROR(G54/J54,0)</f>
        <v/>
      </c>
      <c r="O54" s="98">
        <f>IFERROR(H54/J54,0)</f>
        <v/>
      </c>
      <c r="P54" s="98">
        <f>IFERROR(I54/J54,0)</f>
        <v/>
      </c>
      <c r="Q54" s="97">
        <f>D54*INDEX(Régions!$T$2:$T$6,MATCH($B54,Régions!$A$2:$A$6,0))</f>
        <v/>
      </c>
      <c r="R54" s="97">
        <f>E54*INDEX(Régions!$U$2:$U$6,MATCH($B54,Régions!$A$2:$A$6,0))</f>
        <v/>
      </c>
      <c r="S54" s="97">
        <f>F54*INDEX(Régions!$V$2:$V$6,MATCH($B54,Régions!$A$2:$A$6,0))</f>
        <v/>
      </c>
      <c r="T54" s="97">
        <f>G54*INDEX(Régions!$W$2:$W$6,MATCH($B54,Régions!$A$2:$A$6,0))</f>
        <v/>
      </c>
      <c r="U54" s="97">
        <f>H54*INDEX(Régions!$X$2:$X$6,MATCH($B54,Régions!$A$2:$A$6,0))</f>
        <v/>
      </c>
      <c r="V54" s="97">
        <f>I54*INDEX(Régions!$Y$2:$Y$6,MATCH($B54,Régions!$A$2:$A$6,0))</f>
        <v/>
      </c>
      <c r="W54" s="97">
        <f>Q54+(AU54/100)*J54*Régions!$O$2</f>
        <v/>
      </c>
      <c r="X54" s="97">
        <f>R54+(AV54/100)*J54*Régions!$O$2</f>
        <v/>
      </c>
      <c r="Y54" s="97">
        <f>S54+(AW54/100)*J54*Régions!$O$2</f>
        <v/>
      </c>
      <c r="Z54" s="97">
        <f>T54+(AX54/100)*J54*Régions!$O$2</f>
        <v/>
      </c>
      <c r="AA54" s="97">
        <f>U54</f>
        <v/>
      </c>
      <c r="AB54" s="97">
        <f>V54</f>
        <v/>
      </c>
      <c r="AC54" s="97">
        <f>D54*INDEX(Régions!$Z$2:$Z$6,MATCH($B54,Régions!$A$2:$A$6,0))</f>
        <v/>
      </c>
      <c r="AD54" s="97">
        <f>E54*INDEX(Régions!$AA$2:$AA$6,MATCH($B54,Régions!$A$2:$A$6,0))</f>
        <v/>
      </c>
      <c r="AE54" s="97">
        <f>F54*INDEX(Régions!$AB$2:$AB$6,MATCH($B54,Régions!$A$2:$A$6,0))</f>
        <v/>
      </c>
      <c r="AF54" s="97">
        <f>G54*INDEX(Régions!$AC$2:$AC$6,MATCH($B54,Régions!$A$2:$A$6,0))</f>
        <v/>
      </c>
      <c r="AG54" s="97">
        <f>H54*INDEX(Régions!$AD$2:$AD$6,MATCH($B54,Régions!$A$2:$A$6,0))</f>
        <v/>
      </c>
      <c r="AH54" s="97">
        <f>I54*INDEX(Régions!$AE$2:$AE$6,MATCH($B54,Régions!$A$2:$A$6,0))</f>
        <v/>
      </c>
      <c r="AI54" s="97">
        <f>D54*INDEX(Régions!$AF$2:$AF$6,MATCH($B54,Régions!$A$2:$A$6,0))</f>
        <v/>
      </c>
      <c r="AJ54" s="97">
        <f>E54*INDEX(Régions!$AG$2:$AG$6,MATCH($B54,Régions!$A$2:$A$6,0))</f>
        <v/>
      </c>
      <c r="AK54" s="97">
        <f>F54*INDEX(Régions!$AH$2:$AH$6,MATCH($B54,Régions!$A$2:$A$6,0))</f>
        <v/>
      </c>
      <c r="AL54" s="97">
        <f>G54*INDEX(Régions!$AI$2:$AI$6,MATCH($B54,Régions!$A$2:$A$6,0))</f>
        <v/>
      </c>
      <c r="AM54" s="97">
        <f>H54*INDEX(Régions!$AJ$2:$AJ$6,MATCH($B54,Régions!$A$2:$A$6,0))</f>
        <v/>
      </c>
      <c r="AN54" s="97">
        <f>I54*INDEX(Régions!$AK$2:$AK$6,MATCH($B54,Régions!$A$2:$A$6,0))</f>
        <v/>
      </c>
      <c r="AO54" s="99">
        <f>INDEX({"CAQ","PLQ","QS","PQ","PCQ","Autre"},MATCH(MAX(Q54:V54),Q54:V54,0))</f>
        <v/>
      </c>
      <c r="AP54" s="99">
        <f>INDEX({"CAQ","PLQ","QS","PQ","PCQ","Autre"},MATCH(MAX(W54:AB54),W54:AB54,0))</f>
        <v/>
      </c>
      <c r="AQ54" s="99">
        <f>INDEX({"CAQ","PLQ","QS","PQ","PCQ","Autre"},MATCH(MAX(AC54:AH54),AC54:AH54,0))</f>
        <v/>
      </c>
      <c r="AR54" s="99">
        <f>INDEX({"CAQ","PLQ","QS","PQ","PCQ","Autre"},MATCH(MAX(AI54:AN54),AI54:AN54,0))</f>
        <v/>
      </c>
      <c r="AS54" s="100">
        <f>(MAX(K54:P54)-LARGE(K54:P54,2))*100</f>
        <v/>
      </c>
      <c r="AT54" s="101">
        <f>IF(AS54&lt;5,"Oui","Non")</f>
        <v/>
      </c>
      <c r="AU54" s="102" t="n">
        <v>-0.697</v>
      </c>
      <c r="AV54" s="102" t="n">
        <v>3.94</v>
      </c>
      <c r="AW54" s="102" t="n">
        <v>-1.667</v>
      </c>
      <c r="AX54" s="102" t="n">
        <v>0.87</v>
      </c>
      <c r="AY54" s="96" t="n">
        <v>20591</v>
      </c>
      <c r="AZ54" s="96" t="n">
        <v>3124</v>
      </c>
      <c r="BA54" s="96" t="n">
        <v>6275</v>
      </c>
      <c r="BB54" s="96" t="n">
        <v>6648</v>
      </c>
      <c r="BC54" s="96" t="n">
        <v>1283</v>
      </c>
      <c r="BD54" s="97">
        <f>AY54*INDEX(Régions!$AQ$2:$AQ$6,MATCH($B54,Régions!$A$2:$A$6,0))</f>
        <v/>
      </c>
      <c r="BE54" s="97">
        <f>AZ54*INDEX(Régions!$AR$2:$AR$6,MATCH($B54,Régions!$A$2:$A$6,0))</f>
        <v/>
      </c>
      <c r="BF54" s="97">
        <f>BA54*INDEX(Régions!$AS$2:$AS$6,MATCH($B54,Régions!$A$2:$A$6,0))</f>
        <v/>
      </c>
      <c r="BG54" s="97">
        <f>BB54*INDEX(Régions!$AT$2:$AT$6,MATCH($B54,Régions!$A$2:$A$6,0))</f>
        <v/>
      </c>
      <c r="BH54" s="97">
        <f>U54</f>
        <v/>
      </c>
      <c r="BI54" s="97">
        <f>BC54*INDEX(Régions!$AU$2:$AU$6,MATCH($B54,Régions!$A$2:$A$6,0))</f>
        <v/>
      </c>
      <c r="BJ54" s="97">
        <f>INDEX({"CAQ","PLQ","QS","PQ","PCQ","Autre"},MATCH(MAX(BD54:BI54),BD54:BI54,0))</f>
        <v/>
      </c>
    </row>
    <row r="55" ht="15" customHeight="1" s="60">
      <c r="A55" s="94" t="inlineStr">
        <is>
          <t>La Peltrie</t>
        </is>
      </c>
      <c r="B55" s="94" t="inlineStr">
        <is>
          <t>Québec RMR</t>
        </is>
      </c>
      <c r="C55" s="95" t="inlineStr">
        <is>
          <t>CAQ</t>
        </is>
      </c>
      <c r="D55" s="96" t="n">
        <v>18407</v>
      </c>
      <c r="E55" s="96" t="n">
        <v>2358</v>
      </c>
      <c r="F55" s="96" t="n">
        <v>3778</v>
      </c>
      <c r="G55" s="96" t="n">
        <v>4202</v>
      </c>
      <c r="H55" s="96" t="n">
        <v>12007</v>
      </c>
      <c r="I55" s="96" t="n">
        <v>528</v>
      </c>
      <c r="J55" s="97">
        <f>SUM(D55:I55)</f>
        <v/>
      </c>
      <c r="K55" s="98">
        <f>IFERROR(D55/J55,0)</f>
        <v/>
      </c>
      <c r="L55" s="98">
        <f>IFERROR(E55/J55,0)</f>
        <v/>
      </c>
      <c r="M55" s="98">
        <f>IFERROR(F55/J55,0)</f>
        <v/>
      </c>
      <c r="N55" s="98">
        <f>IFERROR(G55/J55,0)</f>
        <v/>
      </c>
      <c r="O55" s="98">
        <f>IFERROR(H55/J55,0)</f>
        <v/>
      </c>
      <c r="P55" s="98">
        <f>IFERROR(I55/J55,0)</f>
        <v/>
      </c>
      <c r="Q55" s="97">
        <f>D55*INDEX(Régions!$T$2:$T$6,MATCH($B55,Régions!$A$2:$A$6,0))</f>
        <v/>
      </c>
      <c r="R55" s="97">
        <f>E55*INDEX(Régions!$U$2:$U$6,MATCH($B55,Régions!$A$2:$A$6,0))</f>
        <v/>
      </c>
      <c r="S55" s="97">
        <f>F55*INDEX(Régions!$V$2:$V$6,MATCH($B55,Régions!$A$2:$A$6,0))</f>
        <v/>
      </c>
      <c r="T55" s="97">
        <f>G55*INDEX(Régions!$W$2:$W$6,MATCH($B55,Régions!$A$2:$A$6,0))</f>
        <v/>
      </c>
      <c r="U55" s="97">
        <f>H55*INDEX(Régions!$X$2:$X$6,MATCH($B55,Régions!$A$2:$A$6,0))</f>
        <v/>
      </c>
      <c r="V55" s="97">
        <f>I55*INDEX(Régions!$Y$2:$Y$6,MATCH($B55,Régions!$A$2:$A$6,0))</f>
        <v/>
      </c>
      <c r="W55" s="97">
        <f>Q55+(AU55/100)*J55*Régions!$O$2</f>
        <v/>
      </c>
      <c r="X55" s="97">
        <f>R55+(AV55/100)*J55*Régions!$O$2</f>
        <v/>
      </c>
      <c r="Y55" s="97">
        <f>S55+(AW55/100)*J55*Régions!$O$2</f>
        <v/>
      </c>
      <c r="Z55" s="97">
        <f>T55+(AX55/100)*J55*Régions!$O$2</f>
        <v/>
      </c>
      <c r="AA55" s="97">
        <f>U55</f>
        <v/>
      </c>
      <c r="AB55" s="97">
        <f>V55</f>
        <v/>
      </c>
      <c r="AC55" s="97">
        <f>D55*INDEX(Régions!$Z$2:$Z$6,MATCH($B55,Régions!$A$2:$A$6,0))</f>
        <v/>
      </c>
      <c r="AD55" s="97">
        <f>E55*INDEX(Régions!$AA$2:$AA$6,MATCH($B55,Régions!$A$2:$A$6,0))</f>
        <v/>
      </c>
      <c r="AE55" s="97">
        <f>F55*INDEX(Régions!$AB$2:$AB$6,MATCH($B55,Régions!$A$2:$A$6,0))</f>
        <v/>
      </c>
      <c r="AF55" s="97">
        <f>G55*INDEX(Régions!$AC$2:$AC$6,MATCH($B55,Régions!$A$2:$A$6,0))</f>
        <v/>
      </c>
      <c r="AG55" s="97">
        <f>H55*INDEX(Régions!$AD$2:$AD$6,MATCH($B55,Régions!$A$2:$A$6,0))</f>
        <v/>
      </c>
      <c r="AH55" s="97">
        <f>I55*INDEX(Régions!$AE$2:$AE$6,MATCH($B55,Régions!$A$2:$A$6,0))</f>
        <v/>
      </c>
      <c r="AI55" s="97">
        <f>D55*INDEX(Régions!$AF$2:$AF$6,MATCH($B55,Régions!$A$2:$A$6,0))</f>
        <v/>
      </c>
      <c r="AJ55" s="97">
        <f>E55*INDEX(Régions!$AG$2:$AG$6,MATCH($B55,Régions!$A$2:$A$6,0))</f>
        <v/>
      </c>
      <c r="AK55" s="97">
        <f>F55*INDEX(Régions!$AH$2:$AH$6,MATCH($B55,Régions!$A$2:$A$6,0))</f>
        <v/>
      </c>
      <c r="AL55" s="97">
        <f>G55*INDEX(Régions!$AI$2:$AI$6,MATCH($B55,Régions!$A$2:$A$6,0))</f>
        <v/>
      </c>
      <c r="AM55" s="97">
        <f>H55*INDEX(Régions!$AJ$2:$AJ$6,MATCH($B55,Régions!$A$2:$A$6,0))</f>
        <v/>
      </c>
      <c r="AN55" s="97">
        <f>I55*INDEX(Régions!$AK$2:$AK$6,MATCH($B55,Régions!$A$2:$A$6,0))</f>
        <v/>
      </c>
      <c r="AO55" s="99">
        <f>INDEX({"CAQ","PLQ","QS","PQ","PCQ","Autre"},MATCH(MAX(Q55:V55),Q55:V55,0))</f>
        <v/>
      </c>
      <c r="AP55" s="99">
        <f>INDEX({"CAQ","PLQ","QS","PQ","PCQ","Autre"},MATCH(MAX(W55:AB55),W55:AB55,0))</f>
        <v/>
      </c>
      <c r="AQ55" s="99">
        <f>INDEX({"CAQ","PLQ","QS","PQ","PCQ","Autre"},MATCH(MAX(AC55:AH55),AC55:AH55,0))</f>
        <v/>
      </c>
      <c r="AR55" s="99">
        <f>INDEX({"CAQ","PLQ","QS","PQ","PCQ","Autre"},MATCH(MAX(AI55:AN55),AI55:AN55,0))</f>
        <v/>
      </c>
      <c r="AS55" s="100">
        <f>(MAX(K55:P55)-LARGE(K55:P55,2))*100</f>
        <v/>
      </c>
      <c r="AT55" s="101">
        <f>IF(AS55&lt;5,"Oui","Non")</f>
        <v/>
      </c>
      <c r="AU55" s="102" t="n">
        <v>-9.032</v>
      </c>
      <c r="AV55" s="102" t="n">
        <v>3.259</v>
      </c>
      <c r="AW55" s="102" t="n">
        <v>-0.468</v>
      </c>
      <c r="AX55" s="102" t="n">
        <v>0.511</v>
      </c>
      <c r="AY55" s="96" t="n">
        <v>21365</v>
      </c>
      <c r="AZ55" s="96" t="n">
        <v>6523</v>
      </c>
      <c r="BA55" s="96" t="n">
        <v>3788</v>
      </c>
      <c r="BB55" s="96" t="n">
        <v>2907</v>
      </c>
      <c r="BC55" s="96" t="n">
        <v>3081</v>
      </c>
      <c r="BD55" s="97">
        <f>AY55*INDEX(Régions!$AQ$2:$AQ$6,MATCH($B55,Régions!$A$2:$A$6,0))</f>
        <v/>
      </c>
      <c r="BE55" s="97">
        <f>AZ55*INDEX(Régions!$AR$2:$AR$6,MATCH($B55,Régions!$A$2:$A$6,0))</f>
        <v/>
      </c>
      <c r="BF55" s="97">
        <f>BA55*INDEX(Régions!$AS$2:$AS$6,MATCH($B55,Régions!$A$2:$A$6,0))</f>
        <v/>
      </c>
      <c r="BG55" s="97">
        <f>BB55*INDEX(Régions!$AT$2:$AT$6,MATCH($B55,Régions!$A$2:$A$6,0))</f>
        <v/>
      </c>
      <c r="BH55" s="97">
        <f>U55</f>
        <v/>
      </c>
      <c r="BI55" s="97">
        <f>BC55*INDEX(Régions!$AU$2:$AU$6,MATCH($B55,Régions!$A$2:$A$6,0))</f>
        <v/>
      </c>
      <c r="BJ55" s="97">
        <f>INDEX({"CAQ","PLQ","QS","PQ","PCQ","Autre"},MATCH(MAX(BD55:BI55),BD55:BI55,0))</f>
        <v/>
      </c>
    </row>
    <row r="56" ht="15" customHeight="1" s="60">
      <c r="A56" s="94" t="inlineStr">
        <is>
          <t>La Pinière</t>
        </is>
      </c>
      <c r="B56" s="94" t="inlineStr">
        <is>
          <t>Banlieue de Montréal</t>
        </is>
      </c>
      <c r="C56" s="95" t="inlineStr">
        <is>
          <t>PLQ</t>
        </is>
      </c>
      <c r="D56" s="96" t="n">
        <v>10272</v>
      </c>
      <c r="E56" s="96" t="n">
        <v>12688</v>
      </c>
      <c r="F56" s="96" t="n">
        <v>3301</v>
      </c>
      <c r="G56" s="96" t="n">
        <v>2577</v>
      </c>
      <c r="H56" s="96" t="n">
        <v>3716</v>
      </c>
      <c r="I56" s="96" t="n">
        <v>396</v>
      </c>
      <c r="J56" s="97">
        <f>SUM(D56:I56)</f>
        <v/>
      </c>
      <c r="K56" s="98">
        <f>IFERROR(D56/J56,0)</f>
        <v/>
      </c>
      <c r="L56" s="98">
        <f>IFERROR(E56/J56,0)</f>
        <v/>
      </c>
      <c r="M56" s="98">
        <f>IFERROR(F56/J56,0)</f>
        <v/>
      </c>
      <c r="N56" s="98">
        <f>IFERROR(G56/J56,0)</f>
        <v/>
      </c>
      <c r="O56" s="98">
        <f>IFERROR(H56/J56,0)</f>
        <v/>
      </c>
      <c r="P56" s="98">
        <f>IFERROR(I56/J56,0)</f>
        <v/>
      </c>
      <c r="Q56" s="97">
        <f>D56*INDEX(Régions!$T$2:$T$6,MATCH($B56,Régions!$A$2:$A$6,0))</f>
        <v/>
      </c>
      <c r="R56" s="97">
        <f>E56*INDEX(Régions!$U$2:$U$6,MATCH($B56,Régions!$A$2:$A$6,0))</f>
        <v/>
      </c>
      <c r="S56" s="97">
        <f>F56*INDEX(Régions!$V$2:$V$6,MATCH($B56,Régions!$A$2:$A$6,0))</f>
        <v/>
      </c>
      <c r="T56" s="97">
        <f>G56*INDEX(Régions!$W$2:$W$6,MATCH($B56,Régions!$A$2:$A$6,0))</f>
        <v/>
      </c>
      <c r="U56" s="97">
        <f>H56*INDEX(Régions!$X$2:$X$6,MATCH($B56,Régions!$A$2:$A$6,0))</f>
        <v/>
      </c>
      <c r="V56" s="97">
        <f>I56*INDEX(Régions!$Y$2:$Y$6,MATCH($B56,Régions!$A$2:$A$6,0))</f>
        <v/>
      </c>
      <c r="W56" s="97">
        <f>Q56+(AU56/100)*J56*Régions!$O$2</f>
        <v/>
      </c>
      <c r="X56" s="97">
        <f>R56+(AV56/100)*J56*Régions!$O$2</f>
        <v/>
      </c>
      <c r="Y56" s="97">
        <f>S56+(AW56/100)*J56*Régions!$O$2</f>
        <v/>
      </c>
      <c r="Z56" s="97">
        <f>T56+(AX56/100)*J56*Régions!$O$2</f>
        <v/>
      </c>
      <c r="AA56" s="97">
        <f>U56</f>
        <v/>
      </c>
      <c r="AB56" s="97">
        <f>V56</f>
        <v/>
      </c>
      <c r="AC56" s="97">
        <f>D56*INDEX(Régions!$Z$2:$Z$6,MATCH($B56,Régions!$A$2:$A$6,0))</f>
        <v/>
      </c>
      <c r="AD56" s="97">
        <f>E56*INDEX(Régions!$AA$2:$AA$6,MATCH($B56,Régions!$A$2:$A$6,0))</f>
        <v/>
      </c>
      <c r="AE56" s="97">
        <f>F56*INDEX(Régions!$AB$2:$AB$6,MATCH($B56,Régions!$A$2:$A$6,0))</f>
        <v/>
      </c>
      <c r="AF56" s="97">
        <f>G56*INDEX(Régions!$AC$2:$AC$6,MATCH($B56,Régions!$A$2:$A$6,0))</f>
        <v/>
      </c>
      <c r="AG56" s="97">
        <f>H56*INDEX(Régions!$AD$2:$AD$6,MATCH($B56,Régions!$A$2:$A$6,0))</f>
        <v/>
      </c>
      <c r="AH56" s="97">
        <f>I56*INDEX(Régions!$AE$2:$AE$6,MATCH($B56,Régions!$A$2:$A$6,0))</f>
        <v/>
      </c>
      <c r="AI56" s="97">
        <f>D56*INDEX(Régions!$AF$2:$AF$6,MATCH($B56,Régions!$A$2:$A$6,0))</f>
        <v/>
      </c>
      <c r="AJ56" s="97">
        <f>E56*INDEX(Régions!$AG$2:$AG$6,MATCH($B56,Régions!$A$2:$A$6,0))</f>
        <v/>
      </c>
      <c r="AK56" s="97">
        <f>F56*INDEX(Régions!$AH$2:$AH$6,MATCH($B56,Régions!$A$2:$A$6,0))</f>
        <v/>
      </c>
      <c r="AL56" s="97">
        <f>G56*INDEX(Régions!$AI$2:$AI$6,MATCH($B56,Régions!$A$2:$A$6,0))</f>
        <v/>
      </c>
      <c r="AM56" s="97">
        <f>H56*INDEX(Régions!$AJ$2:$AJ$6,MATCH($B56,Régions!$A$2:$A$6,0))</f>
        <v/>
      </c>
      <c r="AN56" s="97">
        <f>I56*INDEX(Régions!$AK$2:$AK$6,MATCH($B56,Régions!$A$2:$A$6,0))</f>
        <v/>
      </c>
      <c r="AO56" s="99">
        <f>INDEX({"CAQ","PLQ","QS","PQ","PCQ","Autre"},MATCH(MAX(Q56:V56),Q56:V56,0))</f>
        <v/>
      </c>
      <c r="AP56" s="99">
        <f>INDEX({"CAQ","PLQ","QS","PQ","PCQ","Autre"},MATCH(MAX(W56:AB56),W56:AB56,0))</f>
        <v/>
      </c>
      <c r="AQ56" s="99">
        <f>INDEX({"CAQ","PLQ","QS","PQ","PCQ","Autre"},MATCH(MAX(AC56:AH56),AC56:AH56,0))</f>
        <v/>
      </c>
      <c r="AR56" s="99">
        <f>INDEX({"CAQ","PLQ","QS","PQ","PCQ","Autre"},MATCH(MAX(AI56:AN56),AI56:AN56,0))</f>
        <v/>
      </c>
      <c r="AS56" s="100">
        <f>(MAX(K56:P56)-LARGE(K56:P56,2))*100</f>
        <v/>
      </c>
      <c r="AT56" s="101">
        <f>IF(AS56&lt;5,"Oui","Non")</f>
        <v/>
      </c>
      <c r="AU56" s="102" t="n">
        <v>-0.785</v>
      </c>
      <c r="AV56" s="102" t="n">
        <v>-1.658</v>
      </c>
      <c r="AW56" s="102" t="n">
        <v>0.677</v>
      </c>
      <c r="AX56" s="102" t="n">
        <v>1.939</v>
      </c>
      <c r="AY56" s="96" t="n">
        <v>9480</v>
      </c>
      <c r="AZ56" s="96" t="n">
        <v>15476</v>
      </c>
      <c r="BA56" s="96" t="n">
        <v>3300</v>
      </c>
      <c r="BB56" s="96" t="n">
        <v>2921</v>
      </c>
      <c r="BC56" s="96" t="n">
        <v>1703</v>
      </c>
      <c r="BD56" s="97">
        <f>AY56*INDEX(Régions!$AQ$2:$AQ$6,MATCH($B56,Régions!$A$2:$A$6,0))</f>
        <v/>
      </c>
      <c r="BE56" s="97">
        <f>AZ56*INDEX(Régions!$AR$2:$AR$6,MATCH($B56,Régions!$A$2:$A$6,0))</f>
        <v/>
      </c>
      <c r="BF56" s="97">
        <f>BA56*INDEX(Régions!$AS$2:$AS$6,MATCH($B56,Régions!$A$2:$A$6,0))</f>
        <v/>
      </c>
      <c r="BG56" s="97">
        <f>BB56*INDEX(Régions!$AT$2:$AT$6,MATCH($B56,Régions!$A$2:$A$6,0))</f>
        <v/>
      </c>
      <c r="BH56" s="97">
        <f>U56</f>
        <v/>
      </c>
      <c r="BI56" s="97">
        <f>BC56*INDEX(Régions!$AU$2:$AU$6,MATCH($B56,Régions!$A$2:$A$6,0))</f>
        <v/>
      </c>
      <c r="BJ56" s="97">
        <f>INDEX({"CAQ","PLQ","QS","PQ","PCQ","Autre"},MATCH(MAX(BD56:BI56),BD56:BI56,0))</f>
        <v/>
      </c>
    </row>
    <row r="57" ht="15" customHeight="1" s="60">
      <c r="A57" s="94" t="inlineStr">
        <is>
          <t>La Prairie</t>
        </is>
      </c>
      <c r="B57" s="94" t="inlineStr">
        <is>
          <t>Banlieue de Montréal</t>
        </is>
      </c>
      <c r="C57" s="95" t="inlineStr">
        <is>
          <t>CAQ</t>
        </is>
      </c>
      <c r="D57" s="96" t="n">
        <v>18220</v>
      </c>
      <c r="E57" s="96" t="n">
        <v>4788</v>
      </c>
      <c r="F57" s="96" t="n">
        <v>4529</v>
      </c>
      <c r="G57" s="96" t="n">
        <v>3949</v>
      </c>
      <c r="H57" s="96" t="n">
        <v>2750</v>
      </c>
      <c r="I57" s="96" t="n">
        <v>331</v>
      </c>
      <c r="J57" s="97">
        <f>SUM(D57:I57)</f>
        <v/>
      </c>
      <c r="K57" s="98">
        <f>IFERROR(D57/J57,0)</f>
        <v/>
      </c>
      <c r="L57" s="98">
        <f>IFERROR(E57/J57,0)</f>
        <v/>
      </c>
      <c r="M57" s="98">
        <f>IFERROR(F57/J57,0)</f>
        <v/>
      </c>
      <c r="N57" s="98">
        <f>IFERROR(G57/J57,0)</f>
        <v/>
      </c>
      <c r="O57" s="98">
        <f>IFERROR(H57/J57,0)</f>
        <v/>
      </c>
      <c r="P57" s="98">
        <f>IFERROR(I57/J57,0)</f>
        <v/>
      </c>
      <c r="Q57" s="97">
        <f>D57*INDEX(Régions!$T$2:$T$6,MATCH($B57,Régions!$A$2:$A$6,0))</f>
        <v/>
      </c>
      <c r="R57" s="97">
        <f>E57*INDEX(Régions!$U$2:$U$6,MATCH($B57,Régions!$A$2:$A$6,0))</f>
        <v/>
      </c>
      <c r="S57" s="97">
        <f>F57*INDEX(Régions!$V$2:$V$6,MATCH($B57,Régions!$A$2:$A$6,0))</f>
        <v/>
      </c>
      <c r="T57" s="97">
        <f>G57*INDEX(Régions!$W$2:$W$6,MATCH($B57,Régions!$A$2:$A$6,0))</f>
        <v/>
      </c>
      <c r="U57" s="97">
        <f>H57*INDEX(Régions!$X$2:$X$6,MATCH($B57,Régions!$A$2:$A$6,0))</f>
        <v/>
      </c>
      <c r="V57" s="97">
        <f>I57*INDEX(Régions!$Y$2:$Y$6,MATCH($B57,Régions!$A$2:$A$6,0))</f>
        <v/>
      </c>
      <c r="W57" s="97">
        <f>Q57+(AU57/100)*J57*Régions!$O$2</f>
        <v/>
      </c>
      <c r="X57" s="97">
        <f>R57+(AV57/100)*J57*Régions!$O$2</f>
        <v/>
      </c>
      <c r="Y57" s="97">
        <f>S57+(AW57/100)*J57*Régions!$O$2</f>
        <v/>
      </c>
      <c r="Z57" s="97">
        <f>T57+(AX57/100)*J57*Régions!$O$2</f>
        <v/>
      </c>
      <c r="AA57" s="97">
        <f>U57</f>
        <v/>
      </c>
      <c r="AB57" s="97">
        <f>V57</f>
        <v/>
      </c>
      <c r="AC57" s="97">
        <f>D57*INDEX(Régions!$Z$2:$Z$6,MATCH($B57,Régions!$A$2:$A$6,0))</f>
        <v/>
      </c>
      <c r="AD57" s="97">
        <f>E57*INDEX(Régions!$AA$2:$AA$6,MATCH($B57,Régions!$A$2:$A$6,0))</f>
        <v/>
      </c>
      <c r="AE57" s="97">
        <f>F57*INDEX(Régions!$AB$2:$AB$6,MATCH($B57,Régions!$A$2:$A$6,0))</f>
        <v/>
      </c>
      <c r="AF57" s="97">
        <f>G57*INDEX(Régions!$AC$2:$AC$6,MATCH($B57,Régions!$A$2:$A$6,0))</f>
        <v/>
      </c>
      <c r="AG57" s="97">
        <f>H57*INDEX(Régions!$AD$2:$AD$6,MATCH($B57,Régions!$A$2:$A$6,0))</f>
        <v/>
      </c>
      <c r="AH57" s="97">
        <f>I57*INDEX(Régions!$AE$2:$AE$6,MATCH($B57,Régions!$A$2:$A$6,0))</f>
        <v/>
      </c>
      <c r="AI57" s="97">
        <f>D57*INDEX(Régions!$AF$2:$AF$6,MATCH($B57,Régions!$A$2:$A$6,0))</f>
        <v/>
      </c>
      <c r="AJ57" s="97">
        <f>E57*INDEX(Régions!$AG$2:$AG$6,MATCH($B57,Régions!$A$2:$A$6,0))</f>
        <v/>
      </c>
      <c r="AK57" s="97">
        <f>F57*INDEX(Régions!$AH$2:$AH$6,MATCH($B57,Régions!$A$2:$A$6,0))</f>
        <v/>
      </c>
      <c r="AL57" s="97">
        <f>G57*INDEX(Régions!$AI$2:$AI$6,MATCH($B57,Régions!$A$2:$A$6,0))</f>
        <v/>
      </c>
      <c r="AM57" s="97">
        <f>H57*INDEX(Régions!$AJ$2:$AJ$6,MATCH($B57,Régions!$A$2:$A$6,0))</f>
        <v/>
      </c>
      <c r="AN57" s="97">
        <f>I57*INDEX(Régions!$AK$2:$AK$6,MATCH($B57,Régions!$A$2:$A$6,0))</f>
        <v/>
      </c>
      <c r="AO57" s="99">
        <f>INDEX({"CAQ","PLQ","QS","PQ","PCQ","Autre"},MATCH(MAX(Q57:V57),Q57:V57,0))</f>
        <v/>
      </c>
      <c r="AP57" s="99">
        <f>INDEX({"CAQ","PLQ","QS","PQ","PCQ","Autre"},MATCH(MAX(W57:AB57),W57:AB57,0))</f>
        <v/>
      </c>
      <c r="AQ57" s="99">
        <f>INDEX({"CAQ","PLQ","QS","PQ","PCQ","Autre"},MATCH(MAX(AC57:AH57),AC57:AH57,0))</f>
        <v/>
      </c>
      <c r="AR57" s="99">
        <f>INDEX({"CAQ","PLQ","QS","PQ","PCQ","Autre"},MATCH(MAX(AI57:AN57),AI57:AN57,0))</f>
        <v/>
      </c>
      <c r="AS57" s="100">
        <f>(MAX(K57:P57)-LARGE(K57:P57,2))*100</f>
        <v/>
      </c>
      <c r="AT57" s="101">
        <f>IF(AS57&lt;5,"Oui","Non")</f>
        <v/>
      </c>
      <c r="AU57" s="102" t="n">
        <v>6.437</v>
      </c>
      <c r="AV57" s="102" t="n">
        <v>-3.23</v>
      </c>
      <c r="AW57" s="102" t="n">
        <v>0.826</v>
      </c>
      <c r="AX57" s="102" t="n">
        <v>-1.308</v>
      </c>
      <c r="AY57" s="96" t="n">
        <v>14505</v>
      </c>
      <c r="AZ57" s="96" t="n">
        <v>8063</v>
      </c>
      <c r="BA57" s="96" t="n">
        <v>4361</v>
      </c>
      <c r="BB57" s="96" t="n">
        <v>5290</v>
      </c>
      <c r="BC57" s="96" t="n">
        <v>1401</v>
      </c>
      <c r="BD57" s="97">
        <f>AY57*INDEX(Régions!$AQ$2:$AQ$6,MATCH($B57,Régions!$A$2:$A$6,0))</f>
        <v/>
      </c>
      <c r="BE57" s="97">
        <f>AZ57*INDEX(Régions!$AR$2:$AR$6,MATCH($B57,Régions!$A$2:$A$6,0))</f>
        <v/>
      </c>
      <c r="BF57" s="97">
        <f>BA57*INDEX(Régions!$AS$2:$AS$6,MATCH($B57,Régions!$A$2:$A$6,0))</f>
        <v/>
      </c>
      <c r="BG57" s="97">
        <f>BB57*INDEX(Régions!$AT$2:$AT$6,MATCH($B57,Régions!$A$2:$A$6,0))</f>
        <v/>
      </c>
      <c r="BH57" s="97">
        <f>U57</f>
        <v/>
      </c>
      <c r="BI57" s="97">
        <f>BC57*INDEX(Régions!$AU$2:$AU$6,MATCH($B57,Régions!$A$2:$A$6,0))</f>
        <v/>
      </c>
      <c r="BJ57" s="97">
        <f>INDEX({"CAQ","PLQ","QS","PQ","PCQ","Autre"},MATCH(MAX(BD57:BI57),BD57:BI57,0))</f>
        <v/>
      </c>
    </row>
    <row r="58" ht="15" customHeight="1" s="60">
      <c r="A58" s="94" t="inlineStr">
        <is>
          <t>LaFontaine</t>
        </is>
      </c>
      <c r="B58" s="94" t="inlineStr">
        <is>
          <t>Île de Montréal</t>
        </is>
      </c>
      <c r="C58" s="95" t="inlineStr">
        <is>
          <t>PLQ</t>
        </is>
      </c>
      <c r="D58" s="96" t="n">
        <v>5189</v>
      </c>
      <c r="E58" s="96" t="n">
        <v>13398</v>
      </c>
      <c r="F58" s="96" t="n">
        <v>2301</v>
      </c>
      <c r="G58" s="96" t="n">
        <v>1322</v>
      </c>
      <c r="H58" s="96" t="n">
        <v>3406</v>
      </c>
      <c r="I58" s="96" t="n">
        <v>313</v>
      </c>
      <c r="J58" s="97">
        <f>SUM(D58:I58)</f>
        <v/>
      </c>
      <c r="K58" s="98">
        <f>IFERROR(D58/J58,0)</f>
        <v/>
      </c>
      <c r="L58" s="98">
        <f>IFERROR(E58/J58,0)</f>
        <v/>
      </c>
      <c r="M58" s="98">
        <f>IFERROR(F58/J58,0)</f>
        <v/>
      </c>
      <c r="N58" s="98">
        <f>IFERROR(G58/J58,0)</f>
        <v/>
      </c>
      <c r="O58" s="98">
        <f>IFERROR(H58/J58,0)</f>
        <v/>
      </c>
      <c r="P58" s="98">
        <f>IFERROR(I58/J58,0)</f>
        <v/>
      </c>
      <c r="Q58" s="97">
        <f>D58*INDEX(Régions!$T$2:$T$6,MATCH($B58,Régions!$A$2:$A$6,0))</f>
        <v/>
      </c>
      <c r="R58" s="97">
        <f>E58*INDEX(Régions!$U$2:$U$6,MATCH($B58,Régions!$A$2:$A$6,0))</f>
        <v/>
      </c>
      <c r="S58" s="97">
        <f>F58*INDEX(Régions!$V$2:$V$6,MATCH($B58,Régions!$A$2:$A$6,0))</f>
        <v/>
      </c>
      <c r="T58" s="97">
        <f>G58*INDEX(Régions!$W$2:$W$6,MATCH($B58,Régions!$A$2:$A$6,0))</f>
        <v/>
      </c>
      <c r="U58" s="97">
        <f>H58*INDEX(Régions!$X$2:$X$6,MATCH($B58,Régions!$A$2:$A$6,0))</f>
        <v/>
      </c>
      <c r="V58" s="97">
        <f>I58*INDEX(Régions!$Y$2:$Y$6,MATCH($B58,Régions!$A$2:$A$6,0))</f>
        <v/>
      </c>
      <c r="W58" s="97">
        <f>Q58+(AU58/100)*J58*Régions!$O$2</f>
        <v/>
      </c>
      <c r="X58" s="97">
        <f>R58+(AV58/100)*J58*Régions!$O$2</f>
        <v/>
      </c>
      <c r="Y58" s="97">
        <f>S58+(AW58/100)*J58*Régions!$O$2</f>
        <v/>
      </c>
      <c r="Z58" s="97">
        <f>T58+(AX58/100)*J58*Régions!$O$2</f>
        <v/>
      </c>
      <c r="AA58" s="97">
        <f>U58</f>
        <v/>
      </c>
      <c r="AB58" s="97">
        <f>V58</f>
        <v/>
      </c>
      <c r="AC58" s="97">
        <f>D58*INDEX(Régions!$Z$2:$Z$6,MATCH($B58,Régions!$A$2:$A$6,0))</f>
        <v/>
      </c>
      <c r="AD58" s="97">
        <f>E58*INDEX(Régions!$AA$2:$AA$6,MATCH($B58,Régions!$A$2:$A$6,0))</f>
        <v/>
      </c>
      <c r="AE58" s="97">
        <f>F58*INDEX(Régions!$AB$2:$AB$6,MATCH($B58,Régions!$A$2:$A$6,0))</f>
        <v/>
      </c>
      <c r="AF58" s="97">
        <f>G58*INDEX(Régions!$AC$2:$AC$6,MATCH($B58,Régions!$A$2:$A$6,0))</f>
        <v/>
      </c>
      <c r="AG58" s="97">
        <f>H58*INDEX(Régions!$AD$2:$AD$6,MATCH($B58,Régions!$A$2:$A$6,0))</f>
        <v/>
      </c>
      <c r="AH58" s="97">
        <f>I58*INDEX(Régions!$AE$2:$AE$6,MATCH($B58,Régions!$A$2:$A$6,0))</f>
        <v/>
      </c>
      <c r="AI58" s="97">
        <f>D58*INDEX(Régions!$AF$2:$AF$6,MATCH($B58,Régions!$A$2:$A$6,0))</f>
        <v/>
      </c>
      <c r="AJ58" s="97">
        <f>E58*INDEX(Régions!$AG$2:$AG$6,MATCH($B58,Régions!$A$2:$A$6,0))</f>
        <v/>
      </c>
      <c r="AK58" s="97">
        <f>F58*INDEX(Régions!$AH$2:$AH$6,MATCH($B58,Régions!$A$2:$A$6,0))</f>
        <v/>
      </c>
      <c r="AL58" s="97">
        <f>G58*INDEX(Régions!$AI$2:$AI$6,MATCH($B58,Régions!$A$2:$A$6,0))</f>
        <v/>
      </c>
      <c r="AM58" s="97">
        <f>H58*INDEX(Régions!$AJ$2:$AJ$6,MATCH($B58,Régions!$A$2:$A$6,0))</f>
        <v/>
      </c>
      <c r="AN58" s="97">
        <f>I58*INDEX(Régions!$AK$2:$AK$6,MATCH($B58,Régions!$A$2:$A$6,0))</f>
        <v/>
      </c>
      <c r="AO58" s="99">
        <f>INDEX({"CAQ","PLQ","QS","PQ","PCQ","Autre"},MATCH(MAX(Q58:V58),Q58:V58,0))</f>
        <v/>
      </c>
      <c r="AP58" s="99">
        <f>INDEX({"CAQ","PLQ","QS","PQ","PCQ","Autre"},MATCH(MAX(W58:AB58),W58:AB58,0))</f>
        <v/>
      </c>
      <c r="AQ58" s="99">
        <f>INDEX({"CAQ","PLQ","QS","PQ","PCQ","Autre"},MATCH(MAX(AC58:AH58),AC58:AH58,0))</f>
        <v/>
      </c>
      <c r="AR58" s="99">
        <f>INDEX({"CAQ","PLQ","QS","PQ","PCQ","Autre"},MATCH(MAX(AI58:AN58),AI58:AN58,0))</f>
        <v/>
      </c>
      <c r="AS58" s="100">
        <f>(MAX(K58:P58)-LARGE(K58:P58,2))*100</f>
        <v/>
      </c>
      <c r="AT58" s="101">
        <f>IF(AS58&lt;5,"Oui","Non")</f>
        <v/>
      </c>
      <c r="AU58" s="102" t="n">
        <v>-4.008</v>
      </c>
      <c r="AV58" s="102" t="n">
        <v>1.703</v>
      </c>
      <c r="AW58" s="102" t="n">
        <v>-0.72</v>
      </c>
      <c r="AX58" s="102" t="n">
        <v>-2.094</v>
      </c>
      <c r="AY58" s="96" t="n">
        <v>5400</v>
      </c>
      <c r="AZ58" s="96" t="n">
        <v>14491</v>
      </c>
      <c r="BA58" s="96" t="n">
        <v>2181</v>
      </c>
      <c r="BB58" s="96" t="n">
        <v>2057</v>
      </c>
      <c r="BC58" s="96" t="n">
        <v>514</v>
      </c>
      <c r="BD58" s="97">
        <f>AY58*INDEX(Régions!$AQ$2:$AQ$6,MATCH($B58,Régions!$A$2:$A$6,0))</f>
        <v/>
      </c>
      <c r="BE58" s="97">
        <f>AZ58*INDEX(Régions!$AR$2:$AR$6,MATCH($B58,Régions!$A$2:$A$6,0))</f>
        <v/>
      </c>
      <c r="BF58" s="97">
        <f>BA58*INDEX(Régions!$AS$2:$AS$6,MATCH($B58,Régions!$A$2:$A$6,0))</f>
        <v/>
      </c>
      <c r="BG58" s="97">
        <f>BB58*INDEX(Régions!$AT$2:$AT$6,MATCH($B58,Régions!$A$2:$A$6,0))</f>
        <v/>
      </c>
      <c r="BH58" s="97">
        <f>U58</f>
        <v/>
      </c>
      <c r="BI58" s="97">
        <f>BC58*INDEX(Régions!$AU$2:$AU$6,MATCH($B58,Régions!$A$2:$A$6,0))</f>
        <v/>
      </c>
      <c r="BJ58" s="97">
        <f>INDEX({"CAQ","PLQ","QS","PQ","PCQ","Autre"},MATCH(MAX(BD58:BI58),BD58:BI58,0))</f>
        <v/>
      </c>
    </row>
    <row r="59" ht="15" customHeight="1" s="60">
      <c r="A59" s="94" t="inlineStr">
        <is>
          <t>Labelle</t>
        </is>
      </c>
      <c r="B59" s="94" t="inlineStr">
        <is>
          <t>Reste du Québec</t>
        </is>
      </c>
      <c r="C59" s="95" t="inlineStr">
        <is>
          <t>CAQ</t>
        </is>
      </c>
      <c r="D59" s="96" t="n">
        <v>17663</v>
      </c>
      <c r="E59" s="96" t="n">
        <v>1679</v>
      </c>
      <c r="F59" s="96" t="n">
        <v>4079</v>
      </c>
      <c r="G59" s="96" t="n">
        <v>6366</v>
      </c>
      <c r="H59" s="96" t="n">
        <v>3173</v>
      </c>
      <c r="I59" s="96" t="n">
        <v>313</v>
      </c>
      <c r="J59" s="97">
        <f>SUM(D59:I59)</f>
        <v/>
      </c>
      <c r="K59" s="98">
        <f>IFERROR(D59/J59,0)</f>
        <v/>
      </c>
      <c r="L59" s="98">
        <f>IFERROR(E59/J59,0)</f>
        <v/>
      </c>
      <c r="M59" s="98">
        <f>IFERROR(F59/J59,0)</f>
        <v/>
      </c>
      <c r="N59" s="98">
        <f>IFERROR(G59/J59,0)</f>
        <v/>
      </c>
      <c r="O59" s="98">
        <f>IFERROR(H59/J59,0)</f>
        <v/>
      </c>
      <c r="P59" s="98">
        <f>IFERROR(I59/J59,0)</f>
        <v/>
      </c>
      <c r="Q59" s="97">
        <f>D59*INDEX(Régions!$T$2:$T$6,MATCH($B59,Régions!$A$2:$A$6,0))</f>
        <v/>
      </c>
      <c r="R59" s="97">
        <f>E59*INDEX(Régions!$U$2:$U$6,MATCH($B59,Régions!$A$2:$A$6,0))</f>
        <v/>
      </c>
      <c r="S59" s="97">
        <f>F59*INDEX(Régions!$V$2:$V$6,MATCH($B59,Régions!$A$2:$A$6,0))</f>
        <v/>
      </c>
      <c r="T59" s="97">
        <f>G59*INDEX(Régions!$W$2:$W$6,MATCH($B59,Régions!$A$2:$A$6,0))</f>
        <v/>
      </c>
      <c r="U59" s="97">
        <f>H59*INDEX(Régions!$X$2:$X$6,MATCH($B59,Régions!$A$2:$A$6,0))</f>
        <v/>
      </c>
      <c r="V59" s="97">
        <f>I59*INDEX(Régions!$Y$2:$Y$6,MATCH($B59,Régions!$A$2:$A$6,0))</f>
        <v/>
      </c>
      <c r="W59" s="97">
        <f>Q59+(AU59/100)*J59*Régions!$O$2</f>
        <v/>
      </c>
      <c r="X59" s="97">
        <f>R59+(AV59/100)*J59*Régions!$O$2</f>
        <v/>
      </c>
      <c r="Y59" s="97">
        <f>S59+(AW59/100)*J59*Régions!$O$2</f>
        <v/>
      </c>
      <c r="Z59" s="97">
        <f>T59+(AX59/100)*J59*Régions!$O$2</f>
        <v/>
      </c>
      <c r="AA59" s="97">
        <f>U59</f>
        <v/>
      </c>
      <c r="AB59" s="97">
        <f>V59</f>
        <v/>
      </c>
      <c r="AC59" s="97">
        <f>D59*INDEX(Régions!$Z$2:$Z$6,MATCH($B59,Régions!$A$2:$A$6,0))</f>
        <v/>
      </c>
      <c r="AD59" s="97">
        <f>E59*INDEX(Régions!$AA$2:$AA$6,MATCH($B59,Régions!$A$2:$A$6,0))</f>
        <v/>
      </c>
      <c r="AE59" s="97">
        <f>F59*INDEX(Régions!$AB$2:$AB$6,MATCH($B59,Régions!$A$2:$A$6,0))</f>
        <v/>
      </c>
      <c r="AF59" s="97">
        <f>G59*INDEX(Régions!$AC$2:$AC$6,MATCH($B59,Régions!$A$2:$A$6,0))</f>
        <v/>
      </c>
      <c r="AG59" s="97">
        <f>H59*INDEX(Régions!$AD$2:$AD$6,MATCH($B59,Régions!$A$2:$A$6,0))</f>
        <v/>
      </c>
      <c r="AH59" s="97">
        <f>I59*INDEX(Régions!$AE$2:$AE$6,MATCH($B59,Régions!$A$2:$A$6,0))</f>
        <v/>
      </c>
      <c r="AI59" s="97">
        <f>D59*INDEX(Régions!$AF$2:$AF$6,MATCH($B59,Régions!$A$2:$A$6,0))</f>
        <v/>
      </c>
      <c r="AJ59" s="97">
        <f>E59*INDEX(Régions!$AG$2:$AG$6,MATCH($B59,Régions!$A$2:$A$6,0))</f>
        <v/>
      </c>
      <c r="AK59" s="97">
        <f>F59*INDEX(Régions!$AH$2:$AH$6,MATCH($B59,Régions!$A$2:$A$6,0))</f>
        <v/>
      </c>
      <c r="AL59" s="97">
        <f>G59*INDEX(Régions!$AI$2:$AI$6,MATCH($B59,Régions!$A$2:$A$6,0))</f>
        <v/>
      </c>
      <c r="AM59" s="97">
        <f>H59*INDEX(Régions!$AJ$2:$AJ$6,MATCH($B59,Régions!$A$2:$A$6,0))</f>
        <v/>
      </c>
      <c r="AN59" s="97">
        <f>I59*INDEX(Régions!$AK$2:$AK$6,MATCH($B59,Régions!$A$2:$A$6,0))</f>
        <v/>
      </c>
      <c r="AO59" s="99">
        <f>INDEX({"CAQ","PLQ","QS","PQ","PCQ","Autre"},MATCH(MAX(Q59:V59),Q59:V59,0))</f>
        <v/>
      </c>
      <c r="AP59" s="99">
        <f>INDEX({"CAQ","PLQ","QS","PQ","PCQ","Autre"},MATCH(MAX(W59:AB59),W59:AB59,0))</f>
        <v/>
      </c>
      <c r="AQ59" s="99">
        <f>INDEX({"CAQ","PLQ","QS","PQ","PCQ","Autre"},MATCH(MAX(AC59:AH59),AC59:AH59,0))</f>
        <v/>
      </c>
      <c r="AR59" s="99">
        <f>INDEX({"CAQ","PLQ","QS","PQ","PCQ","Autre"},MATCH(MAX(AI59:AN59),AI59:AN59,0))</f>
        <v/>
      </c>
      <c r="AS59" s="100">
        <f>(MAX(K59:P59)-LARGE(K59:P59,2))*100</f>
        <v/>
      </c>
      <c r="AT59" s="101">
        <f>IF(AS59&lt;5,"Oui","Non")</f>
        <v/>
      </c>
      <c r="AU59" s="102" t="n">
        <v>10.636</v>
      </c>
      <c r="AV59" s="102" t="n">
        <v>6.881</v>
      </c>
      <c r="AW59" s="102" t="n">
        <v>-2.096</v>
      </c>
      <c r="AX59" s="102" t="n">
        <v>-11.523</v>
      </c>
      <c r="AY59" s="96" t="n">
        <v>11785</v>
      </c>
      <c r="AZ59" s="96" t="n">
        <v>3524</v>
      </c>
      <c r="BA59" s="96" t="n">
        <v>4954</v>
      </c>
      <c r="BB59" s="96" t="n">
        <v>11185</v>
      </c>
      <c r="BC59" s="96" t="n">
        <v>841</v>
      </c>
      <c r="BD59" s="97">
        <f>AY59*INDEX(Régions!$AQ$2:$AQ$6,MATCH($B59,Régions!$A$2:$A$6,0))</f>
        <v/>
      </c>
      <c r="BE59" s="97">
        <f>AZ59*INDEX(Régions!$AR$2:$AR$6,MATCH($B59,Régions!$A$2:$A$6,0))</f>
        <v/>
      </c>
      <c r="BF59" s="97">
        <f>BA59*INDEX(Régions!$AS$2:$AS$6,MATCH($B59,Régions!$A$2:$A$6,0))</f>
        <v/>
      </c>
      <c r="BG59" s="97">
        <f>BB59*INDEX(Régions!$AT$2:$AT$6,MATCH($B59,Régions!$A$2:$A$6,0))</f>
        <v/>
      </c>
      <c r="BH59" s="97">
        <f>U59</f>
        <v/>
      </c>
      <c r="BI59" s="97">
        <f>BC59*INDEX(Régions!$AU$2:$AU$6,MATCH($B59,Régions!$A$2:$A$6,0))</f>
        <v/>
      </c>
      <c r="BJ59" s="97">
        <f>INDEX({"CAQ","PLQ","QS","PQ","PCQ","Autre"},MATCH(MAX(BD59:BI59),BD59:BI59,0))</f>
        <v/>
      </c>
    </row>
    <row r="60" ht="15" customHeight="1" s="60">
      <c r="A60" s="94" t="inlineStr">
        <is>
          <t>Lac-Saint-Jean</t>
        </is>
      </c>
      <c r="B60" s="94" t="inlineStr">
        <is>
          <t>Reste du Québec</t>
        </is>
      </c>
      <c r="C60" s="95" t="inlineStr">
        <is>
          <t>CAQ</t>
        </is>
      </c>
      <c r="D60" s="96" t="n">
        <v>14798</v>
      </c>
      <c r="E60" s="96" t="n">
        <v>867</v>
      </c>
      <c r="F60" s="96" t="n">
        <v>2178</v>
      </c>
      <c r="G60" s="96" t="n">
        <v>7367</v>
      </c>
      <c r="H60" s="96" t="n">
        <v>3270</v>
      </c>
      <c r="I60" s="96" t="n">
        <v>272</v>
      </c>
      <c r="J60" s="97">
        <f>SUM(D60:I60)</f>
        <v/>
      </c>
      <c r="K60" s="98">
        <f>IFERROR(D60/J60,0)</f>
        <v/>
      </c>
      <c r="L60" s="98">
        <f>IFERROR(E60/J60,0)</f>
        <v/>
      </c>
      <c r="M60" s="98">
        <f>IFERROR(F60/J60,0)</f>
        <v/>
      </c>
      <c r="N60" s="98">
        <f>IFERROR(G60/J60,0)</f>
        <v/>
      </c>
      <c r="O60" s="98">
        <f>IFERROR(H60/J60,0)</f>
        <v/>
      </c>
      <c r="P60" s="98">
        <f>IFERROR(I60/J60,0)</f>
        <v/>
      </c>
      <c r="Q60" s="97">
        <f>D60*INDEX(Régions!$T$2:$T$6,MATCH($B60,Régions!$A$2:$A$6,0))</f>
        <v/>
      </c>
      <c r="R60" s="97">
        <f>E60*INDEX(Régions!$U$2:$U$6,MATCH($B60,Régions!$A$2:$A$6,0))</f>
        <v/>
      </c>
      <c r="S60" s="97">
        <f>F60*INDEX(Régions!$V$2:$V$6,MATCH($B60,Régions!$A$2:$A$6,0))</f>
        <v/>
      </c>
      <c r="T60" s="97">
        <f>G60*INDEX(Régions!$W$2:$W$6,MATCH($B60,Régions!$A$2:$A$6,0))</f>
        <v/>
      </c>
      <c r="U60" s="97">
        <f>H60*INDEX(Régions!$X$2:$X$6,MATCH($B60,Régions!$A$2:$A$6,0))</f>
        <v/>
      </c>
      <c r="V60" s="97">
        <f>I60*INDEX(Régions!$Y$2:$Y$6,MATCH($B60,Régions!$A$2:$A$6,0))</f>
        <v/>
      </c>
      <c r="W60" s="97">
        <f>Q60+(AU60/100)*J60*Régions!$O$2</f>
        <v/>
      </c>
      <c r="X60" s="97">
        <f>R60+(AV60/100)*J60*Régions!$O$2</f>
        <v/>
      </c>
      <c r="Y60" s="97">
        <f>S60+(AW60/100)*J60*Régions!$O$2</f>
        <v/>
      </c>
      <c r="Z60" s="97">
        <f>T60+(AX60/100)*J60*Régions!$O$2</f>
        <v/>
      </c>
      <c r="AA60" s="97">
        <f>U60</f>
        <v/>
      </c>
      <c r="AB60" s="97">
        <f>V60</f>
        <v/>
      </c>
      <c r="AC60" s="97">
        <f>D60*INDEX(Régions!$Z$2:$Z$6,MATCH($B60,Régions!$A$2:$A$6,0))</f>
        <v/>
      </c>
      <c r="AD60" s="97">
        <f>E60*INDEX(Régions!$AA$2:$AA$6,MATCH($B60,Régions!$A$2:$A$6,0))</f>
        <v/>
      </c>
      <c r="AE60" s="97">
        <f>F60*INDEX(Régions!$AB$2:$AB$6,MATCH($B60,Régions!$A$2:$A$6,0))</f>
        <v/>
      </c>
      <c r="AF60" s="97">
        <f>G60*INDEX(Régions!$AC$2:$AC$6,MATCH($B60,Régions!$A$2:$A$6,0))</f>
        <v/>
      </c>
      <c r="AG60" s="97">
        <f>H60*INDEX(Régions!$AD$2:$AD$6,MATCH($B60,Régions!$A$2:$A$6,0))</f>
        <v/>
      </c>
      <c r="AH60" s="97">
        <f>I60*INDEX(Régions!$AE$2:$AE$6,MATCH($B60,Régions!$A$2:$A$6,0))</f>
        <v/>
      </c>
      <c r="AI60" s="97">
        <f>D60*INDEX(Régions!$AF$2:$AF$6,MATCH($B60,Régions!$A$2:$A$6,0))</f>
        <v/>
      </c>
      <c r="AJ60" s="97">
        <f>E60*INDEX(Régions!$AG$2:$AG$6,MATCH($B60,Régions!$A$2:$A$6,0))</f>
        <v/>
      </c>
      <c r="AK60" s="97">
        <f>F60*INDEX(Régions!$AH$2:$AH$6,MATCH($B60,Régions!$A$2:$A$6,0))</f>
        <v/>
      </c>
      <c r="AL60" s="97">
        <f>G60*INDEX(Régions!$AI$2:$AI$6,MATCH($B60,Régions!$A$2:$A$6,0))</f>
        <v/>
      </c>
      <c r="AM60" s="97">
        <f>H60*INDEX(Régions!$AJ$2:$AJ$6,MATCH($B60,Régions!$A$2:$A$6,0))</f>
        <v/>
      </c>
      <c r="AN60" s="97">
        <f>I60*INDEX(Régions!$AK$2:$AK$6,MATCH($B60,Régions!$A$2:$A$6,0))</f>
        <v/>
      </c>
      <c r="AO60" s="99">
        <f>INDEX({"CAQ","PLQ","QS","PQ","PCQ","Autre"},MATCH(MAX(Q60:V60),Q60:V60,0))</f>
        <v/>
      </c>
      <c r="AP60" s="99">
        <f>INDEX({"CAQ","PLQ","QS","PQ","PCQ","Autre"},MATCH(MAX(W60:AB60),W60:AB60,0))</f>
        <v/>
      </c>
      <c r="AQ60" s="99">
        <f>INDEX({"CAQ","PLQ","QS","PQ","PCQ","Autre"},MATCH(MAX(AC60:AH60),AC60:AH60,0))</f>
        <v/>
      </c>
      <c r="AR60" s="99">
        <f>INDEX({"CAQ","PLQ","QS","PQ","PCQ","Autre"},MATCH(MAX(AI60:AN60),AI60:AN60,0))</f>
        <v/>
      </c>
      <c r="AS60" s="100">
        <f>(MAX(K60:P60)-LARGE(K60:P60,2))*100</f>
        <v/>
      </c>
      <c r="AT60" s="101">
        <f>IF(AS60&lt;5,"Oui","Non")</f>
        <v/>
      </c>
      <c r="AU60" s="102" t="n">
        <v>6.054</v>
      </c>
      <c r="AV60" s="102" t="n">
        <v>3.24</v>
      </c>
      <c r="AW60" s="102" t="n">
        <v>-6.292</v>
      </c>
      <c r="AX60" s="102" t="n">
        <v>-1.924</v>
      </c>
      <c r="AY60" s="96" t="n">
        <v>11436</v>
      </c>
      <c r="AZ60" s="96" t="n">
        <v>3630</v>
      </c>
      <c r="BA60" s="96" t="n">
        <v>4305</v>
      </c>
      <c r="BB60" s="96" t="n">
        <v>9137</v>
      </c>
      <c r="BC60" s="96" t="n">
        <v>471</v>
      </c>
      <c r="BD60" s="97">
        <f>AY60*INDEX(Régions!$AQ$2:$AQ$6,MATCH($B60,Régions!$A$2:$A$6,0))</f>
        <v/>
      </c>
      <c r="BE60" s="97">
        <f>AZ60*INDEX(Régions!$AR$2:$AR$6,MATCH($B60,Régions!$A$2:$A$6,0))</f>
        <v/>
      </c>
      <c r="BF60" s="97">
        <f>BA60*INDEX(Régions!$AS$2:$AS$6,MATCH($B60,Régions!$A$2:$A$6,0))</f>
        <v/>
      </c>
      <c r="BG60" s="97">
        <f>BB60*INDEX(Régions!$AT$2:$AT$6,MATCH($B60,Régions!$A$2:$A$6,0))</f>
        <v/>
      </c>
      <c r="BH60" s="97">
        <f>U60</f>
        <v/>
      </c>
      <c r="BI60" s="97">
        <f>BC60*INDEX(Régions!$AU$2:$AU$6,MATCH($B60,Régions!$A$2:$A$6,0))</f>
        <v/>
      </c>
      <c r="BJ60" s="97">
        <f>INDEX({"CAQ","PLQ","QS","PQ","PCQ","Autre"},MATCH(MAX(BD60:BI60),BD60:BI60,0))</f>
        <v/>
      </c>
    </row>
    <row r="61" ht="15" customHeight="1" s="60">
      <c r="A61" s="94" t="inlineStr">
        <is>
          <t>Laurier-Dorion</t>
        </is>
      </c>
      <c r="B61" s="94" t="inlineStr">
        <is>
          <t>Île de Montréal</t>
        </is>
      </c>
      <c r="C61" s="95" t="inlineStr">
        <is>
          <t>QS</t>
        </is>
      </c>
      <c r="D61" s="96" t="n">
        <v>3202</v>
      </c>
      <c r="E61" s="96" t="n">
        <v>5343</v>
      </c>
      <c r="F61" s="96" t="n">
        <v>13320</v>
      </c>
      <c r="G61" s="96" t="n">
        <v>2799</v>
      </c>
      <c r="H61" s="96" t="n">
        <v>1512</v>
      </c>
      <c r="I61" s="96" t="n">
        <v>1121</v>
      </c>
      <c r="J61" s="97">
        <f>SUM(D61:I61)</f>
        <v/>
      </c>
      <c r="K61" s="98">
        <f>IFERROR(D61/J61,0)</f>
        <v/>
      </c>
      <c r="L61" s="98">
        <f>IFERROR(E61/J61,0)</f>
        <v/>
      </c>
      <c r="M61" s="98">
        <f>IFERROR(F61/J61,0)</f>
        <v/>
      </c>
      <c r="N61" s="98">
        <f>IFERROR(G61/J61,0)</f>
        <v/>
      </c>
      <c r="O61" s="98">
        <f>IFERROR(H61/J61,0)</f>
        <v/>
      </c>
      <c r="P61" s="98">
        <f>IFERROR(I61/J61,0)</f>
        <v/>
      </c>
      <c r="Q61" s="97">
        <f>D61*INDEX(Régions!$T$2:$T$6,MATCH($B61,Régions!$A$2:$A$6,0))</f>
        <v/>
      </c>
      <c r="R61" s="97">
        <f>E61*INDEX(Régions!$U$2:$U$6,MATCH($B61,Régions!$A$2:$A$6,0))</f>
        <v/>
      </c>
      <c r="S61" s="97">
        <f>F61*INDEX(Régions!$V$2:$V$6,MATCH($B61,Régions!$A$2:$A$6,0))</f>
        <v/>
      </c>
      <c r="T61" s="97">
        <f>G61*INDEX(Régions!$W$2:$W$6,MATCH($B61,Régions!$A$2:$A$6,0))</f>
        <v/>
      </c>
      <c r="U61" s="97">
        <f>H61*INDEX(Régions!$X$2:$X$6,MATCH($B61,Régions!$A$2:$A$6,0))</f>
        <v/>
      </c>
      <c r="V61" s="97">
        <f>I61*INDEX(Régions!$Y$2:$Y$6,MATCH($B61,Régions!$A$2:$A$6,0))</f>
        <v/>
      </c>
      <c r="W61" s="97">
        <f>Q61+(AU61/100)*J61*Régions!$O$2</f>
        <v/>
      </c>
      <c r="X61" s="97">
        <f>R61+(AV61/100)*J61*Régions!$O$2</f>
        <v/>
      </c>
      <c r="Y61" s="97">
        <f>S61+(AW61/100)*J61*Régions!$O$2</f>
        <v/>
      </c>
      <c r="Z61" s="97">
        <f>T61+(AX61/100)*J61*Régions!$O$2</f>
        <v/>
      </c>
      <c r="AA61" s="97">
        <f>U61</f>
        <v/>
      </c>
      <c r="AB61" s="97">
        <f>V61</f>
        <v/>
      </c>
      <c r="AC61" s="97">
        <f>D61*INDEX(Régions!$Z$2:$Z$6,MATCH($B61,Régions!$A$2:$A$6,0))</f>
        <v/>
      </c>
      <c r="AD61" s="97">
        <f>E61*INDEX(Régions!$AA$2:$AA$6,MATCH($B61,Régions!$A$2:$A$6,0))</f>
        <v/>
      </c>
      <c r="AE61" s="97">
        <f>F61*INDEX(Régions!$AB$2:$AB$6,MATCH($B61,Régions!$A$2:$A$6,0))</f>
        <v/>
      </c>
      <c r="AF61" s="97">
        <f>G61*INDEX(Régions!$AC$2:$AC$6,MATCH($B61,Régions!$A$2:$A$6,0))</f>
        <v/>
      </c>
      <c r="AG61" s="97">
        <f>H61*INDEX(Régions!$AD$2:$AD$6,MATCH($B61,Régions!$A$2:$A$6,0))</f>
        <v/>
      </c>
      <c r="AH61" s="97">
        <f>I61*INDEX(Régions!$AE$2:$AE$6,MATCH($B61,Régions!$A$2:$A$6,0))</f>
        <v/>
      </c>
      <c r="AI61" s="97">
        <f>D61*INDEX(Régions!$AF$2:$AF$6,MATCH($B61,Régions!$A$2:$A$6,0))</f>
        <v/>
      </c>
      <c r="AJ61" s="97">
        <f>E61*INDEX(Régions!$AG$2:$AG$6,MATCH($B61,Régions!$A$2:$A$6,0))</f>
        <v/>
      </c>
      <c r="AK61" s="97">
        <f>F61*INDEX(Régions!$AH$2:$AH$6,MATCH($B61,Régions!$A$2:$A$6,0))</f>
        <v/>
      </c>
      <c r="AL61" s="97">
        <f>G61*INDEX(Régions!$AI$2:$AI$6,MATCH($B61,Régions!$A$2:$A$6,0))</f>
        <v/>
      </c>
      <c r="AM61" s="97">
        <f>H61*INDEX(Régions!$AJ$2:$AJ$6,MATCH($B61,Régions!$A$2:$A$6,0))</f>
        <v/>
      </c>
      <c r="AN61" s="97">
        <f>I61*INDEX(Régions!$AK$2:$AK$6,MATCH($B61,Régions!$A$2:$A$6,0))</f>
        <v/>
      </c>
      <c r="AO61" s="99">
        <f>INDEX({"CAQ","PLQ","QS","PQ","PCQ","Autre"},MATCH(MAX(Q61:V61),Q61:V61,0))</f>
        <v/>
      </c>
      <c r="AP61" s="99">
        <f>INDEX({"CAQ","PLQ","QS","PQ","PCQ","Autre"},MATCH(MAX(W61:AB61),W61:AB61,0))</f>
        <v/>
      </c>
      <c r="AQ61" s="99">
        <f>INDEX({"CAQ","PLQ","QS","PQ","PCQ","Autre"},MATCH(MAX(AC61:AH61),AC61:AH61,0))</f>
        <v/>
      </c>
      <c r="AR61" s="99">
        <f>INDEX({"CAQ","PLQ","QS","PQ","PCQ","Autre"},MATCH(MAX(AI61:AN61),AI61:AN61,0))</f>
        <v/>
      </c>
      <c r="AS61" s="100">
        <f>(MAX(K61:P61)-LARGE(K61:P61,2))*100</f>
        <v/>
      </c>
      <c r="AT61" s="101">
        <f>IF(AS61&lt;5,"Oui","Non")</f>
        <v/>
      </c>
      <c r="AU61" s="102" t="n">
        <v>0.77</v>
      </c>
      <c r="AV61" s="102" t="n">
        <v>-1.252</v>
      </c>
      <c r="AW61" s="102" t="n">
        <v>0.776</v>
      </c>
      <c r="AX61" s="102" t="n">
        <v>3.62</v>
      </c>
      <c r="AY61" s="96" t="n">
        <v>2663</v>
      </c>
      <c r="AZ61" s="96" t="n">
        <v>8923</v>
      </c>
      <c r="BA61" s="96" t="n">
        <v>14222</v>
      </c>
      <c r="BB61" s="96" t="n">
        <v>2343</v>
      </c>
      <c r="BC61" s="96" t="n">
        <v>1931</v>
      </c>
      <c r="BD61" s="97">
        <f>AY61*INDEX(Régions!$AQ$2:$AQ$6,MATCH($B61,Régions!$A$2:$A$6,0))</f>
        <v/>
      </c>
      <c r="BE61" s="97">
        <f>AZ61*INDEX(Régions!$AR$2:$AR$6,MATCH($B61,Régions!$A$2:$A$6,0))</f>
        <v/>
      </c>
      <c r="BF61" s="97">
        <f>BA61*INDEX(Régions!$AS$2:$AS$6,MATCH($B61,Régions!$A$2:$A$6,0))</f>
        <v/>
      </c>
      <c r="BG61" s="97">
        <f>BB61*INDEX(Régions!$AT$2:$AT$6,MATCH($B61,Régions!$A$2:$A$6,0))</f>
        <v/>
      </c>
      <c r="BH61" s="97">
        <f>U61</f>
        <v/>
      </c>
      <c r="BI61" s="97">
        <f>BC61*INDEX(Régions!$AU$2:$AU$6,MATCH($B61,Régions!$A$2:$A$6,0))</f>
        <v/>
      </c>
      <c r="BJ61" s="97">
        <f>INDEX({"CAQ","PLQ","QS","PQ","PCQ","Autre"},MATCH(MAX(BD61:BI61),BD61:BI61,0))</f>
        <v/>
      </c>
    </row>
    <row r="62" ht="15" customHeight="1" s="60">
      <c r="A62" s="94" t="inlineStr">
        <is>
          <t>Laval-des-Rapides</t>
        </is>
      </c>
      <c r="B62" s="94" t="inlineStr">
        <is>
          <t>Banlieue de Montréal</t>
        </is>
      </c>
      <c r="C62" s="95" t="inlineStr">
        <is>
          <t>CAQ</t>
        </is>
      </c>
      <c r="D62" s="96" t="n">
        <v>10630</v>
      </c>
      <c r="E62" s="96" t="n">
        <v>9994</v>
      </c>
      <c r="F62" s="96" t="n">
        <v>5353</v>
      </c>
      <c r="G62" s="96" t="n">
        <v>4183</v>
      </c>
      <c r="H62" s="96" t="n">
        <v>3287</v>
      </c>
      <c r="I62" s="96" t="n">
        <v>428</v>
      </c>
      <c r="J62" s="97">
        <f>SUM(D62:I62)</f>
        <v/>
      </c>
      <c r="K62" s="98">
        <f>IFERROR(D62/J62,0)</f>
        <v/>
      </c>
      <c r="L62" s="98">
        <f>IFERROR(E62/J62,0)</f>
        <v/>
      </c>
      <c r="M62" s="98">
        <f>IFERROR(F62/J62,0)</f>
        <v/>
      </c>
      <c r="N62" s="98">
        <f>IFERROR(G62/J62,0)</f>
        <v/>
      </c>
      <c r="O62" s="98">
        <f>IFERROR(H62/J62,0)</f>
        <v/>
      </c>
      <c r="P62" s="98">
        <f>IFERROR(I62/J62,0)</f>
        <v/>
      </c>
      <c r="Q62" s="97">
        <f>D62*INDEX(Régions!$T$2:$T$6,MATCH($B62,Régions!$A$2:$A$6,0))</f>
        <v/>
      </c>
      <c r="R62" s="97">
        <f>E62*INDEX(Régions!$U$2:$U$6,MATCH($B62,Régions!$A$2:$A$6,0))</f>
        <v/>
      </c>
      <c r="S62" s="97">
        <f>F62*INDEX(Régions!$V$2:$V$6,MATCH($B62,Régions!$A$2:$A$6,0))</f>
        <v/>
      </c>
      <c r="T62" s="97">
        <f>G62*INDEX(Régions!$W$2:$W$6,MATCH($B62,Régions!$A$2:$A$6,0))</f>
        <v/>
      </c>
      <c r="U62" s="97">
        <f>H62*INDEX(Régions!$X$2:$X$6,MATCH($B62,Régions!$A$2:$A$6,0))</f>
        <v/>
      </c>
      <c r="V62" s="97">
        <f>I62*INDEX(Régions!$Y$2:$Y$6,MATCH($B62,Régions!$A$2:$A$6,0))</f>
        <v/>
      </c>
      <c r="W62" s="97">
        <f>Q62+(AU62/100)*J62*Régions!$O$2</f>
        <v/>
      </c>
      <c r="X62" s="97">
        <f>R62+(AV62/100)*J62*Régions!$O$2</f>
        <v/>
      </c>
      <c r="Y62" s="97">
        <f>S62+(AW62/100)*J62*Régions!$O$2</f>
        <v/>
      </c>
      <c r="Z62" s="97">
        <f>T62+(AX62/100)*J62*Régions!$O$2</f>
        <v/>
      </c>
      <c r="AA62" s="97">
        <f>U62</f>
        <v/>
      </c>
      <c r="AB62" s="97">
        <f>V62</f>
        <v/>
      </c>
      <c r="AC62" s="97">
        <f>D62*INDEX(Régions!$Z$2:$Z$6,MATCH($B62,Régions!$A$2:$A$6,0))</f>
        <v/>
      </c>
      <c r="AD62" s="97">
        <f>E62*INDEX(Régions!$AA$2:$AA$6,MATCH($B62,Régions!$A$2:$A$6,0))</f>
        <v/>
      </c>
      <c r="AE62" s="97">
        <f>F62*INDEX(Régions!$AB$2:$AB$6,MATCH($B62,Régions!$A$2:$A$6,0))</f>
        <v/>
      </c>
      <c r="AF62" s="97">
        <f>G62*INDEX(Régions!$AC$2:$AC$6,MATCH($B62,Régions!$A$2:$A$6,0))</f>
        <v/>
      </c>
      <c r="AG62" s="97">
        <f>H62*INDEX(Régions!$AD$2:$AD$6,MATCH($B62,Régions!$A$2:$A$6,0))</f>
        <v/>
      </c>
      <c r="AH62" s="97">
        <f>I62*INDEX(Régions!$AE$2:$AE$6,MATCH($B62,Régions!$A$2:$A$6,0))</f>
        <v/>
      </c>
      <c r="AI62" s="97">
        <f>D62*INDEX(Régions!$AF$2:$AF$6,MATCH($B62,Régions!$A$2:$A$6,0))</f>
        <v/>
      </c>
      <c r="AJ62" s="97">
        <f>E62*INDEX(Régions!$AG$2:$AG$6,MATCH($B62,Régions!$A$2:$A$6,0))</f>
        <v/>
      </c>
      <c r="AK62" s="97">
        <f>F62*INDEX(Régions!$AH$2:$AH$6,MATCH($B62,Régions!$A$2:$A$6,0))</f>
        <v/>
      </c>
      <c r="AL62" s="97">
        <f>G62*INDEX(Régions!$AI$2:$AI$6,MATCH($B62,Régions!$A$2:$A$6,0))</f>
        <v/>
      </c>
      <c r="AM62" s="97">
        <f>H62*INDEX(Régions!$AJ$2:$AJ$6,MATCH($B62,Régions!$A$2:$A$6,0))</f>
        <v/>
      </c>
      <c r="AN62" s="97">
        <f>I62*INDEX(Régions!$AK$2:$AK$6,MATCH($B62,Régions!$A$2:$A$6,0))</f>
        <v/>
      </c>
      <c r="AO62" s="99">
        <f>INDEX({"CAQ","PLQ","QS","PQ","PCQ","Autre"},MATCH(MAX(Q62:V62),Q62:V62,0))</f>
        <v/>
      </c>
      <c r="AP62" s="99">
        <f>INDEX({"CAQ","PLQ","QS","PQ","PCQ","Autre"},MATCH(MAX(W62:AB62),W62:AB62,0))</f>
        <v/>
      </c>
      <c r="AQ62" s="99">
        <f>INDEX({"CAQ","PLQ","QS","PQ","PCQ","Autre"},MATCH(MAX(AC62:AH62),AC62:AH62,0))</f>
        <v/>
      </c>
      <c r="AR62" s="99">
        <f>INDEX({"CAQ","PLQ","QS","PQ","PCQ","Autre"},MATCH(MAX(AI62:AN62),AI62:AN62,0))</f>
        <v/>
      </c>
      <c r="AS62" s="100">
        <f>(MAX(K62:P62)-LARGE(K62:P62,2))*100</f>
        <v/>
      </c>
      <c r="AT62" s="101">
        <f>IF(AS62&lt;5,"Oui","Non")</f>
        <v/>
      </c>
      <c r="AU62" s="102" t="n">
        <v>-2.083</v>
      </c>
      <c r="AV62" s="102" t="n">
        <v>2.923</v>
      </c>
      <c r="AW62" s="102" t="n">
        <v>0.448</v>
      </c>
      <c r="AX62" s="102" t="n">
        <v>0.669</v>
      </c>
      <c r="AY62" s="96" t="n">
        <v>10345</v>
      </c>
      <c r="AZ62" s="96" t="n">
        <v>11419</v>
      </c>
      <c r="BA62" s="96" t="n">
        <v>5474</v>
      </c>
      <c r="BB62" s="96" t="n">
        <v>5007</v>
      </c>
      <c r="BC62" s="96" t="n">
        <v>1859</v>
      </c>
      <c r="BD62" s="97">
        <f>AY62*INDEX(Régions!$AQ$2:$AQ$6,MATCH($B62,Régions!$A$2:$A$6,0))</f>
        <v/>
      </c>
      <c r="BE62" s="97">
        <f>AZ62*INDEX(Régions!$AR$2:$AR$6,MATCH($B62,Régions!$A$2:$A$6,0))</f>
        <v/>
      </c>
      <c r="BF62" s="97">
        <f>BA62*INDEX(Régions!$AS$2:$AS$6,MATCH($B62,Régions!$A$2:$A$6,0))</f>
        <v/>
      </c>
      <c r="BG62" s="97">
        <f>BB62*INDEX(Régions!$AT$2:$AT$6,MATCH($B62,Régions!$A$2:$A$6,0))</f>
        <v/>
      </c>
      <c r="BH62" s="97">
        <f>U62</f>
        <v/>
      </c>
      <c r="BI62" s="97">
        <f>BC62*INDEX(Régions!$AU$2:$AU$6,MATCH($B62,Régions!$A$2:$A$6,0))</f>
        <v/>
      </c>
      <c r="BJ62" s="97">
        <f>INDEX({"CAQ","PLQ","QS","PQ","PCQ","Autre"},MATCH(MAX(BD62:BI62),BD62:BI62,0))</f>
        <v/>
      </c>
    </row>
    <row r="63" ht="15" customHeight="1" s="60">
      <c r="A63" s="94" t="inlineStr">
        <is>
          <t>Laviolette–Saint-Maurice</t>
        </is>
      </c>
      <c r="B63" s="94" t="inlineStr">
        <is>
          <t>Reste du Québec</t>
        </is>
      </c>
      <c r="C63" s="95" t="inlineStr">
        <is>
          <t>CAQ</t>
        </is>
      </c>
      <c r="D63" s="96" t="n">
        <v>19418</v>
      </c>
      <c r="E63" s="96" t="n">
        <v>1875</v>
      </c>
      <c r="F63" s="96" t="n">
        <v>3568</v>
      </c>
      <c r="G63" s="96" t="n">
        <v>6010</v>
      </c>
      <c r="H63" s="96" t="n">
        <v>6287</v>
      </c>
      <c r="I63" s="96" t="n">
        <v>385</v>
      </c>
      <c r="J63" s="97">
        <f>SUM(D63:I63)</f>
        <v/>
      </c>
      <c r="K63" s="98">
        <f>IFERROR(D63/J63,0)</f>
        <v/>
      </c>
      <c r="L63" s="98">
        <f>IFERROR(E63/J63,0)</f>
        <v/>
      </c>
      <c r="M63" s="98">
        <f>IFERROR(F63/J63,0)</f>
        <v/>
      </c>
      <c r="N63" s="98">
        <f>IFERROR(G63/J63,0)</f>
        <v/>
      </c>
      <c r="O63" s="98">
        <f>IFERROR(H63/J63,0)</f>
        <v/>
      </c>
      <c r="P63" s="98">
        <f>IFERROR(I63/J63,0)</f>
        <v/>
      </c>
      <c r="Q63" s="97">
        <f>D63*INDEX(Régions!$T$2:$T$6,MATCH($B63,Régions!$A$2:$A$6,0))</f>
        <v/>
      </c>
      <c r="R63" s="97">
        <f>E63*INDEX(Régions!$U$2:$U$6,MATCH($B63,Régions!$A$2:$A$6,0))</f>
        <v/>
      </c>
      <c r="S63" s="97">
        <f>F63*INDEX(Régions!$V$2:$V$6,MATCH($B63,Régions!$A$2:$A$6,0))</f>
        <v/>
      </c>
      <c r="T63" s="97">
        <f>G63*INDEX(Régions!$W$2:$W$6,MATCH($B63,Régions!$A$2:$A$6,0))</f>
        <v/>
      </c>
      <c r="U63" s="97">
        <f>H63*INDEX(Régions!$X$2:$X$6,MATCH($B63,Régions!$A$2:$A$6,0))</f>
        <v/>
      </c>
      <c r="V63" s="97">
        <f>I63*INDEX(Régions!$Y$2:$Y$6,MATCH($B63,Régions!$A$2:$A$6,0))</f>
        <v/>
      </c>
      <c r="W63" s="97">
        <f>Q63+(AU63/100)*J63*Régions!$O$2</f>
        <v/>
      </c>
      <c r="X63" s="97">
        <f>R63+(AV63/100)*J63*Régions!$O$2</f>
        <v/>
      </c>
      <c r="Y63" s="97">
        <f>S63+(AW63/100)*J63*Régions!$O$2</f>
        <v/>
      </c>
      <c r="Z63" s="97">
        <f>T63+(AX63/100)*J63*Régions!$O$2</f>
        <v/>
      </c>
      <c r="AA63" s="97">
        <f>U63</f>
        <v/>
      </c>
      <c r="AB63" s="97">
        <f>V63</f>
        <v/>
      </c>
      <c r="AC63" s="97">
        <f>D63*INDEX(Régions!$Z$2:$Z$6,MATCH($B63,Régions!$A$2:$A$6,0))</f>
        <v/>
      </c>
      <c r="AD63" s="97">
        <f>E63*INDEX(Régions!$AA$2:$AA$6,MATCH($B63,Régions!$A$2:$A$6,0))</f>
        <v/>
      </c>
      <c r="AE63" s="97">
        <f>F63*INDEX(Régions!$AB$2:$AB$6,MATCH($B63,Régions!$A$2:$A$6,0))</f>
        <v/>
      </c>
      <c r="AF63" s="97">
        <f>G63*INDEX(Régions!$AC$2:$AC$6,MATCH($B63,Régions!$A$2:$A$6,0))</f>
        <v/>
      </c>
      <c r="AG63" s="97">
        <f>H63*INDEX(Régions!$AD$2:$AD$6,MATCH($B63,Régions!$A$2:$A$6,0))</f>
        <v/>
      </c>
      <c r="AH63" s="97">
        <f>I63*INDEX(Régions!$AE$2:$AE$6,MATCH($B63,Régions!$A$2:$A$6,0))</f>
        <v/>
      </c>
      <c r="AI63" s="97">
        <f>D63*INDEX(Régions!$AF$2:$AF$6,MATCH($B63,Régions!$A$2:$A$6,0))</f>
        <v/>
      </c>
      <c r="AJ63" s="97">
        <f>E63*INDEX(Régions!$AG$2:$AG$6,MATCH($B63,Régions!$A$2:$A$6,0))</f>
        <v/>
      </c>
      <c r="AK63" s="97">
        <f>F63*INDEX(Régions!$AH$2:$AH$6,MATCH($B63,Régions!$A$2:$A$6,0))</f>
        <v/>
      </c>
      <c r="AL63" s="97">
        <f>G63*INDEX(Régions!$AI$2:$AI$6,MATCH($B63,Régions!$A$2:$A$6,0))</f>
        <v/>
      </c>
      <c r="AM63" s="97">
        <f>H63*INDEX(Régions!$AJ$2:$AJ$6,MATCH($B63,Régions!$A$2:$A$6,0))</f>
        <v/>
      </c>
      <c r="AN63" s="97">
        <f>I63*INDEX(Régions!$AK$2:$AK$6,MATCH($B63,Régions!$A$2:$A$6,0))</f>
        <v/>
      </c>
      <c r="AO63" s="99">
        <f>INDEX({"CAQ","PLQ","QS","PQ","PCQ","Autre"},MATCH(MAX(Q63:V63),Q63:V63,0))</f>
        <v/>
      </c>
      <c r="AP63" s="99">
        <f>INDEX({"CAQ","PLQ","QS","PQ","PCQ","Autre"},MATCH(MAX(W63:AB63),W63:AB63,0))</f>
        <v/>
      </c>
      <c r="AQ63" s="99">
        <f>INDEX({"CAQ","PLQ","QS","PQ","PCQ","Autre"},MATCH(MAX(AC63:AH63),AC63:AH63,0))</f>
        <v/>
      </c>
      <c r="AR63" s="99">
        <f>INDEX({"CAQ","PLQ","QS","PQ","PCQ","Autre"},MATCH(MAX(AI63:AN63),AI63:AN63,0))</f>
        <v/>
      </c>
      <c r="AS63" s="100">
        <f>(MAX(K63:P63)-LARGE(K63:P63,2))*100</f>
        <v/>
      </c>
      <c r="AT63" s="101">
        <f>IF(AS63&lt;5,"Oui","Non")</f>
        <v/>
      </c>
      <c r="AU63" s="102" t="n">
        <v>0.363</v>
      </c>
      <c r="AV63" s="102" t="n">
        <v>-3.033</v>
      </c>
      <c r="AW63" s="102" t="n">
        <v>-4.628</v>
      </c>
      <c r="AX63" s="102" t="n">
        <v>4.323</v>
      </c>
      <c r="AY63" s="96" t="n">
        <v>16260</v>
      </c>
      <c r="AZ63" s="96" t="n">
        <v>7440</v>
      </c>
      <c r="BA63" s="96" t="n">
        <v>5414</v>
      </c>
      <c r="BB63" s="96" t="n">
        <v>5611</v>
      </c>
      <c r="BC63" s="96" t="n">
        <v>1083</v>
      </c>
      <c r="BD63" s="97">
        <f>AY63*INDEX(Régions!$AQ$2:$AQ$6,MATCH($B63,Régions!$A$2:$A$6,0))</f>
        <v/>
      </c>
      <c r="BE63" s="97">
        <f>AZ63*INDEX(Régions!$AR$2:$AR$6,MATCH($B63,Régions!$A$2:$A$6,0))</f>
        <v/>
      </c>
      <c r="BF63" s="97">
        <f>BA63*INDEX(Régions!$AS$2:$AS$6,MATCH($B63,Régions!$A$2:$A$6,0))</f>
        <v/>
      </c>
      <c r="BG63" s="97">
        <f>BB63*INDEX(Régions!$AT$2:$AT$6,MATCH($B63,Régions!$A$2:$A$6,0))</f>
        <v/>
      </c>
      <c r="BH63" s="97">
        <f>U63</f>
        <v/>
      </c>
      <c r="BI63" s="97">
        <f>BC63*INDEX(Régions!$AU$2:$AU$6,MATCH($B63,Régions!$A$2:$A$6,0))</f>
        <v/>
      </c>
      <c r="BJ63" s="97">
        <f>INDEX({"CAQ","PLQ","QS","PQ","PCQ","Autre"},MATCH(MAX(BD63:BI63),BD63:BI63,0))</f>
        <v/>
      </c>
    </row>
    <row r="64" ht="15" customHeight="1" s="60">
      <c r="A64" s="94" t="inlineStr">
        <is>
          <t>Les Plaines</t>
        </is>
      </c>
      <c r="B64" s="94" t="inlineStr">
        <is>
          <t>Banlieue de Montréal</t>
        </is>
      </c>
      <c r="C64" s="95" t="inlineStr">
        <is>
          <t>CAQ</t>
        </is>
      </c>
      <c r="D64" s="96" t="n">
        <v>16289</v>
      </c>
      <c r="E64" s="96" t="n">
        <v>2382</v>
      </c>
      <c r="F64" s="96" t="n">
        <v>4274</v>
      </c>
      <c r="G64" s="96" t="n">
        <v>5348</v>
      </c>
      <c r="H64" s="96" t="n">
        <v>3713</v>
      </c>
      <c r="I64" s="96" t="n">
        <v>326</v>
      </c>
      <c r="J64" s="97">
        <f>SUM(D64:I64)</f>
        <v/>
      </c>
      <c r="K64" s="98">
        <f>IFERROR(D64/J64,0)</f>
        <v/>
      </c>
      <c r="L64" s="98">
        <f>IFERROR(E64/J64,0)</f>
        <v/>
      </c>
      <c r="M64" s="98">
        <f>IFERROR(F64/J64,0)</f>
        <v/>
      </c>
      <c r="N64" s="98">
        <f>IFERROR(G64/J64,0)</f>
        <v/>
      </c>
      <c r="O64" s="98">
        <f>IFERROR(H64/J64,0)</f>
        <v/>
      </c>
      <c r="P64" s="98">
        <f>IFERROR(I64/J64,0)</f>
        <v/>
      </c>
      <c r="Q64" s="97">
        <f>D64*INDEX(Régions!$T$2:$T$6,MATCH($B64,Régions!$A$2:$A$6,0))</f>
        <v/>
      </c>
      <c r="R64" s="97">
        <f>E64*INDEX(Régions!$U$2:$U$6,MATCH($B64,Régions!$A$2:$A$6,0))</f>
        <v/>
      </c>
      <c r="S64" s="97">
        <f>F64*INDEX(Régions!$V$2:$V$6,MATCH($B64,Régions!$A$2:$A$6,0))</f>
        <v/>
      </c>
      <c r="T64" s="97">
        <f>G64*INDEX(Régions!$W$2:$W$6,MATCH($B64,Régions!$A$2:$A$6,0))</f>
        <v/>
      </c>
      <c r="U64" s="97">
        <f>H64*INDEX(Régions!$X$2:$X$6,MATCH($B64,Régions!$A$2:$A$6,0))</f>
        <v/>
      </c>
      <c r="V64" s="97">
        <f>I64*INDEX(Régions!$Y$2:$Y$6,MATCH($B64,Régions!$A$2:$A$6,0))</f>
        <v/>
      </c>
      <c r="W64" s="97">
        <f>Q64+(AU64/100)*J64*Régions!$O$2</f>
        <v/>
      </c>
      <c r="X64" s="97">
        <f>R64+(AV64/100)*J64*Régions!$O$2</f>
        <v/>
      </c>
      <c r="Y64" s="97">
        <f>S64+(AW64/100)*J64*Régions!$O$2</f>
        <v/>
      </c>
      <c r="Z64" s="97">
        <f>T64+(AX64/100)*J64*Régions!$O$2</f>
        <v/>
      </c>
      <c r="AA64" s="97">
        <f>U64</f>
        <v/>
      </c>
      <c r="AB64" s="97">
        <f>V64</f>
        <v/>
      </c>
      <c r="AC64" s="97">
        <f>D64*INDEX(Régions!$Z$2:$Z$6,MATCH($B64,Régions!$A$2:$A$6,0))</f>
        <v/>
      </c>
      <c r="AD64" s="97">
        <f>E64*INDEX(Régions!$AA$2:$AA$6,MATCH($B64,Régions!$A$2:$A$6,0))</f>
        <v/>
      </c>
      <c r="AE64" s="97">
        <f>F64*INDEX(Régions!$AB$2:$AB$6,MATCH($B64,Régions!$A$2:$A$6,0))</f>
        <v/>
      </c>
      <c r="AF64" s="97">
        <f>G64*INDEX(Régions!$AC$2:$AC$6,MATCH($B64,Régions!$A$2:$A$6,0))</f>
        <v/>
      </c>
      <c r="AG64" s="97">
        <f>H64*INDEX(Régions!$AD$2:$AD$6,MATCH($B64,Régions!$A$2:$A$6,0))</f>
        <v/>
      </c>
      <c r="AH64" s="97">
        <f>I64*INDEX(Régions!$AE$2:$AE$6,MATCH($B64,Régions!$A$2:$A$6,0))</f>
        <v/>
      </c>
      <c r="AI64" s="97">
        <f>D64*INDEX(Régions!$AF$2:$AF$6,MATCH($B64,Régions!$A$2:$A$6,0))</f>
        <v/>
      </c>
      <c r="AJ64" s="97">
        <f>E64*INDEX(Régions!$AG$2:$AG$6,MATCH($B64,Régions!$A$2:$A$6,0))</f>
        <v/>
      </c>
      <c r="AK64" s="97">
        <f>F64*INDEX(Régions!$AH$2:$AH$6,MATCH($B64,Régions!$A$2:$A$6,0))</f>
        <v/>
      </c>
      <c r="AL64" s="97">
        <f>G64*INDEX(Régions!$AI$2:$AI$6,MATCH($B64,Régions!$A$2:$A$6,0))</f>
        <v/>
      </c>
      <c r="AM64" s="97">
        <f>H64*INDEX(Régions!$AJ$2:$AJ$6,MATCH($B64,Régions!$A$2:$A$6,0))</f>
        <v/>
      </c>
      <c r="AN64" s="97">
        <f>I64*INDEX(Régions!$AK$2:$AK$6,MATCH($B64,Régions!$A$2:$A$6,0))</f>
        <v/>
      </c>
      <c r="AO64" s="99">
        <f>INDEX({"CAQ","PLQ","QS","PQ","PCQ","Autre"},MATCH(MAX(Q64:V64),Q64:V64,0))</f>
        <v/>
      </c>
      <c r="AP64" s="99">
        <f>INDEX({"CAQ","PLQ","QS","PQ","PCQ","Autre"},MATCH(MAX(W64:AB64),W64:AB64,0))</f>
        <v/>
      </c>
      <c r="AQ64" s="99">
        <f>INDEX({"CAQ","PLQ","QS","PQ","PCQ","Autre"},MATCH(MAX(AC64:AH64),AC64:AH64,0))</f>
        <v/>
      </c>
      <c r="AR64" s="99">
        <f>INDEX({"CAQ","PLQ","QS","PQ","PCQ","Autre"},MATCH(MAX(AI64:AN64),AI64:AN64,0))</f>
        <v/>
      </c>
      <c r="AS64" s="100">
        <f>(MAX(K64:P64)-LARGE(K64:P64,2))*100</f>
        <v/>
      </c>
      <c r="AT64" s="101">
        <f>IF(AS64&lt;5,"Oui","Non")</f>
        <v/>
      </c>
      <c r="AU64" s="102" t="n">
        <v>-2.749</v>
      </c>
      <c r="AV64" s="102" t="n">
        <v>5.659</v>
      </c>
      <c r="AW64" s="102" t="n">
        <v>0.205</v>
      </c>
      <c r="AX64" s="102" t="n">
        <v>-5.017</v>
      </c>
      <c r="AY64" s="96" t="n">
        <v>15814</v>
      </c>
      <c r="AZ64" s="96" t="n">
        <v>2723</v>
      </c>
      <c r="BA64" s="96" t="n">
        <v>4336</v>
      </c>
      <c r="BB64" s="96" t="n">
        <v>7767</v>
      </c>
      <c r="BC64" s="96" t="n">
        <v>986</v>
      </c>
      <c r="BD64" s="97">
        <f>AY64*INDEX(Régions!$AQ$2:$AQ$6,MATCH($B64,Régions!$A$2:$A$6,0))</f>
        <v/>
      </c>
      <c r="BE64" s="97">
        <f>AZ64*INDEX(Régions!$AR$2:$AR$6,MATCH($B64,Régions!$A$2:$A$6,0))</f>
        <v/>
      </c>
      <c r="BF64" s="97">
        <f>BA64*INDEX(Régions!$AS$2:$AS$6,MATCH($B64,Régions!$A$2:$A$6,0))</f>
        <v/>
      </c>
      <c r="BG64" s="97">
        <f>BB64*INDEX(Régions!$AT$2:$AT$6,MATCH($B64,Régions!$A$2:$A$6,0))</f>
        <v/>
      </c>
      <c r="BH64" s="97">
        <f>U64</f>
        <v/>
      </c>
      <c r="BI64" s="97">
        <f>BC64*INDEX(Régions!$AU$2:$AU$6,MATCH($B64,Régions!$A$2:$A$6,0))</f>
        <v/>
      </c>
      <c r="BJ64" s="97">
        <f>INDEX({"CAQ","PLQ","QS","PQ","PCQ","Autre"},MATCH(MAX(BD64:BI64),BD64:BI64,0))</f>
        <v/>
      </c>
    </row>
    <row r="65" ht="15" customHeight="1" s="60">
      <c r="A65" s="94" t="inlineStr">
        <is>
          <t>Lotbinière-Frontenac</t>
        </is>
      </c>
      <c r="B65" s="94" t="inlineStr">
        <is>
          <t>Reste du Québec</t>
        </is>
      </c>
      <c r="C65" s="95" t="inlineStr">
        <is>
          <t>CAQ</t>
        </is>
      </c>
      <c r="D65" s="96" t="n">
        <v>18331</v>
      </c>
      <c r="E65" s="96" t="n">
        <v>2483</v>
      </c>
      <c r="F65" s="96" t="n">
        <v>3925</v>
      </c>
      <c r="G65" s="96" t="n">
        <v>3688</v>
      </c>
      <c r="H65" s="96" t="n">
        <v>13503</v>
      </c>
      <c r="I65" s="96" t="n">
        <v>0</v>
      </c>
      <c r="J65" s="97">
        <f>SUM(D65:I65)</f>
        <v/>
      </c>
      <c r="K65" s="98">
        <f>IFERROR(D65/J65,0)</f>
        <v/>
      </c>
      <c r="L65" s="98">
        <f>IFERROR(E65/J65,0)</f>
        <v/>
      </c>
      <c r="M65" s="98">
        <f>IFERROR(F65/J65,0)</f>
        <v/>
      </c>
      <c r="N65" s="98">
        <f>IFERROR(G65/J65,0)</f>
        <v/>
      </c>
      <c r="O65" s="98">
        <f>IFERROR(H65/J65,0)</f>
        <v/>
      </c>
      <c r="P65" s="98">
        <f>IFERROR(I65/J65,0)</f>
        <v/>
      </c>
      <c r="Q65" s="97">
        <f>D65*INDEX(Régions!$T$2:$T$6,MATCH($B65,Régions!$A$2:$A$6,0))</f>
        <v/>
      </c>
      <c r="R65" s="97">
        <f>E65*INDEX(Régions!$U$2:$U$6,MATCH($B65,Régions!$A$2:$A$6,0))</f>
        <v/>
      </c>
      <c r="S65" s="97">
        <f>F65*INDEX(Régions!$V$2:$V$6,MATCH($B65,Régions!$A$2:$A$6,0))</f>
        <v/>
      </c>
      <c r="T65" s="97">
        <f>G65*INDEX(Régions!$W$2:$W$6,MATCH($B65,Régions!$A$2:$A$6,0))</f>
        <v/>
      </c>
      <c r="U65" s="97">
        <f>H65*INDEX(Régions!$X$2:$X$6,MATCH($B65,Régions!$A$2:$A$6,0))</f>
        <v/>
      </c>
      <c r="V65" s="97">
        <f>I65*INDEX(Régions!$Y$2:$Y$6,MATCH($B65,Régions!$A$2:$A$6,0))</f>
        <v/>
      </c>
      <c r="W65" s="97">
        <f>Q65+(AU65/100)*J65*Régions!$O$2</f>
        <v/>
      </c>
      <c r="X65" s="97">
        <f>R65+(AV65/100)*J65*Régions!$O$2</f>
        <v/>
      </c>
      <c r="Y65" s="97">
        <f>S65+(AW65/100)*J65*Régions!$O$2</f>
        <v/>
      </c>
      <c r="Z65" s="97">
        <f>T65+(AX65/100)*J65*Régions!$O$2</f>
        <v/>
      </c>
      <c r="AA65" s="97">
        <f>U65</f>
        <v/>
      </c>
      <c r="AB65" s="97">
        <f>V65</f>
        <v/>
      </c>
      <c r="AC65" s="97">
        <f>D65*INDEX(Régions!$Z$2:$Z$6,MATCH($B65,Régions!$A$2:$A$6,0))</f>
        <v/>
      </c>
      <c r="AD65" s="97">
        <f>E65*INDEX(Régions!$AA$2:$AA$6,MATCH($B65,Régions!$A$2:$A$6,0))</f>
        <v/>
      </c>
      <c r="AE65" s="97">
        <f>F65*INDEX(Régions!$AB$2:$AB$6,MATCH($B65,Régions!$A$2:$A$6,0))</f>
        <v/>
      </c>
      <c r="AF65" s="97">
        <f>G65*INDEX(Régions!$AC$2:$AC$6,MATCH($B65,Régions!$A$2:$A$6,0))</f>
        <v/>
      </c>
      <c r="AG65" s="97">
        <f>H65*INDEX(Régions!$AD$2:$AD$6,MATCH($B65,Régions!$A$2:$A$6,0))</f>
        <v/>
      </c>
      <c r="AH65" s="97">
        <f>I65*INDEX(Régions!$AE$2:$AE$6,MATCH($B65,Régions!$A$2:$A$6,0))</f>
        <v/>
      </c>
      <c r="AI65" s="97">
        <f>D65*INDEX(Régions!$AF$2:$AF$6,MATCH($B65,Régions!$A$2:$A$6,0))</f>
        <v/>
      </c>
      <c r="AJ65" s="97">
        <f>E65*INDEX(Régions!$AG$2:$AG$6,MATCH($B65,Régions!$A$2:$A$6,0))</f>
        <v/>
      </c>
      <c r="AK65" s="97">
        <f>F65*INDEX(Régions!$AH$2:$AH$6,MATCH($B65,Régions!$A$2:$A$6,0))</f>
        <v/>
      </c>
      <c r="AL65" s="97">
        <f>G65*INDEX(Régions!$AI$2:$AI$6,MATCH($B65,Régions!$A$2:$A$6,0))</f>
        <v/>
      </c>
      <c r="AM65" s="97">
        <f>H65*INDEX(Régions!$AJ$2:$AJ$6,MATCH($B65,Régions!$A$2:$A$6,0))</f>
        <v/>
      </c>
      <c r="AN65" s="97">
        <f>I65*INDEX(Régions!$AK$2:$AK$6,MATCH($B65,Régions!$A$2:$A$6,0))</f>
        <v/>
      </c>
      <c r="AO65" s="99">
        <f>INDEX({"CAQ","PLQ","QS","PQ","PCQ","Autre"},MATCH(MAX(Q65:V65),Q65:V65,0))</f>
        <v/>
      </c>
      <c r="AP65" s="99">
        <f>INDEX({"CAQ","PLQ","QS","PQ","PCQ","Autre"},MATCH(MAX(W65:AB65),W65:AB65,0))</f>
        <v/>
      </c>
      <c r="AQ65" s="99">
        <f>INDEX({"CAQ","PLQ","QS","PQ","PCQ","Autre"},MATCH(MAX(AC65:AH65),AC65:AH65,0))</f>
        <v/>
      </c>
      <c r="AR65" s="99">
        <f>INDEX({"CAQ","PLQ","QS","PQ","PCQ","Autre"},MATCH(MAX(AI65:AN65),AI65:AN65,0))</f>
        <v/>
      </c>
      <c r="AS65" s="100">
        <f>(MAX(K65:P65)-LARGE(K65:P65,2))*100</f>
        <v/>
      </c>
      <c r="AT65" s="101">
        <f>IF(AS65&lt;5,"Oui","Non")</f>
        <v/>
      </c>
      <c r="AU65" s="102" t="n">
        <v>-16.017</v>
      </c>
      <c r="AV65" s="102" t="n">
        <v>-1.779</v>
      </c>
      <c r="AW65" s="102" t="n">
        <v>0.857</v>
      </c>
      <c r="AX65" s="102" t="n">
        <v>3.294</v>
      </c>
      <c r="AY65" s="96" t="n">
        <v>20360</v>
      </c>
      <c r="AZ65" s="96" t="n">
        <v>7742</v>
      </c>
      <c r="BA65" s="96" t="n">
        <v>3593</v>
      </c>
      <c r="BB65" s="96" t="n">
        <v>3591</v>
      </c>
      <c r="BC65" s="96" t="n">
        <v>2569</v>
      </c>
      <c r="BD65" s="97">
        <f>AY65*INDEX(Régions!$AQ$2:$AQ$6,MATCH($B65,Régions!$A$2:$A$6,0))</f>
        <v/>
      </c>
      <c r="BE65" s="97">
        <f>AZ65*INDEX(Régions!$AR$2:$AR$6,MATCH($B65,Régions!$A$2:$A$6,0))</f>
        <v/>
      </c>
      <c r="BF65" s="97">
        <f>BA65*INDEX(Régions!$AS$2:$AS$6,MATCH($B65,Régions!$A$2:$A$6,0))</f>
        <v/>
      </c>
      <c r="BG65" s="97">
        <f>BB65*INDEX(Régions!$AT$2:$AT$6,MATCH($B65,Régions!$A$2:$A$6,0))</f>
        <v/>
      </c>
      <c r="BH65" s="97">
        <f>U65</f>
        <v/>
      </c>
      <c r="BI65" s="97">
        <f>BC65*INDEX(Régions!$AU$2:$AU$6,MATCH($B65,Régions!$A$2:$A$6,0))</f>
        <v/>
      </c>
      <c r="BJ65" s="97">
        <f>INDEX({"CAQ","PLQ","QS","PQ","PCQ","Autre"},MATCH(MAX(BD65:BI65),BD65:BI65,0))</f>
        <v/>
      </c>
    </row>
    <row r="66" ht="15" customHeight="1" s="60">
      <c r="A66" s="94" t="inlineStr">
        <is>
          <t>Louis-Hébert</t>
        </is>
      </c>
      <c r="B66" s="94" t="inlineStr">
        <is>
          <t>Québec RMR</t>
        </is>
      </c>
      <c r="C66" s="95" t="inlineStr">
        <is>
          <t>CAQ</t>
        </is>
      </c>
      <c r="D66" s="96" t="n">
        <v>17803</v>
      </c>
      <c r="E66" s="96" t="n">
        <v>3283</v>
      </c>
      <c r="F66" s="96" t="n">
        <v>4537</v>
      </c>
      <c r="G66" s="96" t="n">
        <v>6228</v>
      </c>
      <c r="H66" s="96" t="n">
        <v>5509</v>
      </c>
      <c r="I66" s="96" t="n">
        <v>350</v>
      </c>
      <c r="J66" s="97">
        <f>SUM(D66:I66)</f>
        <v/>
      </c>
      <c r="K66" s="98">
        <f>IFERROR(D66/J66,0)</f>
        <v/>
      </c>
      <c r="L66" s="98">
        <f>IFERROR(E66/J66,0)</f>
        <v/>
      </c>
      <c r="M66" s="98">
        <f>IFERROR(F66/J66,0)</f>
        <v/>
      </c>
      <c r="N66" s="98">
        <f>IFERROR(G66/J66,0)</f>
        <v/>
      </c>
      <c r="O66" s="98">
        <f>IFERROR(H66/J66,0)</f>
        <v/>
      </c>
      <c r="P66" s="98">
        <f>IFERROR(I66/J66,0)</f>
        <v/>
      </c>
      <c r="Q66" s="97">
        <f>D66*INDEX(Régions!$T$2:$T$6,MATCH($B66,Régions!$A$2:$A$6,0))</f>
        <v/>
      </c>
      <c r="R66" s="97">
        <f>E66*INDEX(Régions!$U$2:$U$6,MATCH($B66,Régions!$A$2:$A$6,0))</f>
        <v/>
      </c>
      <c r="S66" s="97">
        <f>F66*INDEX(Régions!$V$2:$V$6,MATCH($B66,Régions!$A$2:$A$6,0))</f>
        <v/>
      </c>
      <c r="T66" s="97">
        <f>G66*INDEX(Régions!$W$2:$W$6,MATCH($B66,Régions!$A$2:$A$6,0))</f>
        <v/>
      </c>
      <c r="U66" s="97">
        <f>H66*INDEX(Régions!$X$2:$X$6,MATCH($B66,Régions!$A$2:$A$6,0))</f>
        <v/>
      </c>
      <c r="V66" s="97">
        <f>I66*INDEX(Régions!$Y$2:$Y$6,MATCH($B66,Régions!$A$2:$A$6,0))</f>
        <v/>
      </c>
      <c r="W66" s="97">
        <f>Q66+(AU66/100)*J66*Régions!$O$2</f>
        <v/>
      </c>
      <c r="X66" s="97">
        <f>R66+(AV66/100)*J66*Régions!$O$2</f>
        <v/>
      </c>
      <c r="Y66" s="97">
        <f>S66+(AW66/100)*J66*Régions!$O$2</f>
        <v/>
      </c>
      <c r="Z66" s="97">
        <f>T66+(AX66/100)*J66*Régions!$O$2</f>
        <v/>
      </c>
      <c r="AA66" s="97">
        <f>U66</f>
        <v/>
      </c>
      <c r="AB66" s="97">
        <f>V66</f>
        <v/>
      </c>
      <c r="AC66" s="97">
        <f>D66*INDEX(Régions!$Z$2:$Z$6,MATCH($B66,Régions!$A$2:$A$6,0))</f>
        <v/>
      </c>
      <c r="AD66" s="97">
        <f>E66*INDEX(Régions!$AA$2:$AA$6,MATCH($B66,Régions!$A$2:$A$6,0))</f>
        <v/>
      </c>
      <c r="AE66" s="97">
        <f>F66*INDEX(Régions!$AB$2:$AB$6,MATCH($B66,Régions!$A$2:$A$6,0))</f>
        <v/>
      </c>
      <c r="AF66" s="97">
        <f>G66*INDEX(Régions!$AC$2:$AC$6,MATCH($B66,Régions!$A$2:$A$6,0))</f>
        <v/>
      </c>
      <c r="AG66" s="97">
        <f>H66*INDEX(Régions!$AD$2:$AD$6,MATCH($B66,Régions!$A$2:$A$6,0))</f>
        <v/>
      </c>
      <c r="AH66" s="97">
        <f>I66*INDEX(Régions!$AE$2:$AE$6,MATCH($B66,Régions!$A$2:$A$6,0))</f>
        <v/>
      </c>
      <c r="AI66" s="97">
        <f>D66*INDEX(Régions!$AF$2:$AF$6,MATCH($B66,Régions!$A$2:$A$6,0))</f>
        <v/>
      </c>
      <c r="AJ66" s="97">
        <f>E66*INDEX(Régions!$AG$2:$AG$6,MATCH($B66,Régions!$A$2:$A$6,0))</f>
        <v/>
      </c>
      <c r="AK66" s="97">
        <f>F66*INDEX(Régions!$AH$2:$AH$6,MATCH($B66,Régions!$A$2:$A$6,0))</f>
        <v/>
      </c>
      <c r="AL66" s="97">
        <f>G66*INDEX(Régions!$AI$2:$AI$6,MATCH($B66,Régions!$A$2:$A$6,0))</f>
        <v/>
      </c>
      <c r="AM66" s="97">
        <f>H66*INDEX(Régions!$AJ$2:$AJ$6,MATCH($B66,Régions!$A$2:$A$6,0))</f>
        <v/>
      </c>
      <c r="AN66" s="97">
        <f>I66*INDEX(Régions!$AK$2:$AK$6,MATCH($B66,Régions!$A$2:$A$6,0))</f>
        <v/>
      </c>
      <c r="AO66" s="99">
        <f>INDEX({"CAQ","PLQ","QS","PQ","PCQ","Autre"},MATCH(MAX(Q66:V66),Q66:V66,0))</f>
        <v/>
      </c>
      <c r="AP66" s="99">
        <f>INDEX({"CAQ","PLQ","QS","PQ","PCQ","Autre"},MATCH(MAX(W66:AB66),W66:AB66,0))</f>
        <v/>
      </c>
      <c r="AQ66" s="99">
        <f>INDEX({"CAQ","PLQ","QS","PQ","PCQ","Autre"},MATCH(MAX(AC66:AH66),AC66:AH66,0))</f>
        <v/>
      </c>
      <c r="AR66" s="99">
        <f>INDEX({"CAQ","PLQ","QS","PQ","PCQ","Autre"},MATCH(MAX(AI66:AN66),AI66:AN66,0))</f>
        <v/>
      </c>
      <c r="AS66" s="100">
        <f>(MAX(K66:P66)-LARGE(K66:P66,2))*100</f>
        <v/>
      </c>
      <c r="AT66" s="101">
        <f>IF(AS66&lt;5,"Oui","Non")</f>
        <v/>
      </c>
      <c r="AU66" s="102" t="n">
        <v>5.724</v>
      </c>
      <c r="AV66" s="102" t="n">
        <v>-3.048</v>
      </c>
      <c r="AW66" s="102" t="n">
        <v>1.411</v>
      </c>
      <c r="AX66" s="102" t="n">
        <v>2.138</v>
      </c>
      <c r="AY66" s="96" t="n">
        <v>16248</v>
      </c>
      <c r="AZ66" s="96" t="n">
        <v>9700</v>
      </c>
      <c r="BA66" s="96" t="n">
        <v>4030</v>
      </c>
      <c r="BB66" s="96" t="n">
        <v>4529</v>
      </c>
      <c r="BC66" s="96" t="n">
        <v>1933</v>
      </c>
      <c r="BD66" s="97">
        <f>AY66*INDEX(Régions!$AQ$2:$AQ$6,MATCH($B66,Régions!$A$2:$A$6,0))</f>
        <v/>
      </c>
      <c r="BE66" s="97">
        <f>AZ66*INDEX(Régions!$AR$2:$AR$6,MATCH($B66,Régions!$A$2:$A$6,0))</f>
        <v/>
      </c>
      <c r="BF66" s="97">
        <f>BA66*INDEX(Régions!$AS$2:$AS$6,MATCH($B66,Régions!$A$2:$A$6,0))</f>
        <v/>
      </c>
      <c r="BG66" s="97">
        <f>BB66*INDEX(Régions!$AT$2:$AT$6,MATCH($B66,Régions!$A$2:$A$6,0))</f>
        <v/>
      </c>
      <c r="BH66" s="97">
        <f>U66</f>
        <v/>
      </c>
      <c r="BI66" s="97">
        <f>BC66*INDEX(Régions!$AU$2:$AU$6,MATCH($B66,Régions!$A$2:$A$6,0))</f>
        <v/>
      </c>
      <c r="BJ66" s="97">
        <f>INDEX({"CAQ","PLQ","QS","PQ","PCQ","Autre"},MATCH(MAX(BD66:BI66),BD66:BI66,0))</f>
        <v/>
      </c>
    </row>
    <row r="67" ht="15" customHeight="1" s="60">
      <c r="A67" s="94" t="inlineStr">
        <is>
          <t>Lévis</t>
        </is>
      </c>
      <c r="B67" s="94" t="inlineStr">
        <is>
          <t>Québec RMR</t>
        </is>
      </c>
      <c r="C67" s="95" t="inlineStr">
        <is>
          <t>CAQ</t>
        </is>
      </c>
      <c r="D67" s="96" t="n">
        <v>18051</v>
      </c>
      <c r="E67" s="96" t="n">
        <v>1899</v>
      </c>
      <c r="F67" s="96" t="n">
        <v>4244</v>
      </c>
      <c r="G67" s="96" t="n">
        <v>4775</v>
      </c>
      <c r="H67" s="96" t="n">
        <v>7677</v>
      </c>
      <c r="I67" s="96" t="n">
        <v>351</v>
      </c>
      <c r="J67" s="97">
        <f>SUM(D67:I67)</f>
        <v/>
      </c>
      <c r="K67" s="98">
        <f>IFERROR(D67/J67,0)</f>
        <v/>
      </c>
      <c r="L67" s="98">
        <f>IFERROR(E67/J67,0)</f>
        <v/>
      </c>
      <c r="M67" s="98">
        <f>IFERROR(F67/J67,0)</f>
        <v/>
      </c>
      <c r="N67" s="98">
        <f>IFERROR(G67/J67,0)</f>
        <v/>
      </c>
      <c r="O67" s="98">
        <f>IFERROR(H67/J67,0)</f>
        <v/>
      </c>
      <c r="P67" s="98">
        <f>IFERROR(I67/J67,0)</f>
        <v/>
      </c>
      <c r="Q67" s="97">
        <f>D67*INDEX(Régions!$T$2:$T$6,MATCH($B67,Régions!$A$2:$A$6,0))</f>
        <v/>
      </c>
      <c r="R67" s="97">
        <f>E67*INDEX(Régions!$U$2:$U$6,MATCH($B67,Régions!$A$2:$A$6,0))</f>
        <v/>
      </c>
      <c r="S67" s="97">
        <f>F67*INDEX(Régions!$V$2:$V$6,MATCH($B67,Régions!$A$2:$A$6,0))</f>
        <v/>
      </c>
      <c r="T67" s="97">
        <f>G67*INDEX(Régions!$W$2:$W$6,MATCH($B67,Régions!$A$2:$A$6,0))</f>
        <v/>
      </c>
      <c r="U67" s="97">
        <f>H67*INDEX(Régions!$X$2:$X$6,MATCH($B67,Régions!$A$2:$A$6,0))</f>
        <v/>
      </c>
      <c r="V67" s="97">
        <f>I67*INDEX(Régions!$Y$2:$Y$6,MATCH($B67,Régions!$A$2:$A$6,0))</f>
        <v/>
      </c>
      <c r="W67" s="97">
        <f>Q67+(AU67/100)*J67*Régions!$O$2</f>
        <v/>
      </c>
      <c r="X67" s="97">
        <f>R67+(AV67/100)*J67*Régions!$O$2</f>
        <v/>
      </c>
      <c r="Y67" s="97">
        <f>S67+(AW67/100)*J67*Régions!$O$2</f>
        <v/>
      </c>
      <c r="Z67" s="97">
        <f>T67+(AX67/100)*J67*Régions!$O$2</f>
        <v/>
      </c>
      <c r="AA67" s="97">
        <f>U67</f>
        <v/>
      </c>
      <c r="AB67" s="97">
        <f>V67</f>
        <v/>
      </c>
      <c r="AC67" s="97">
        <f>D67*INDEX(Régions!$Z$2:$Z$6,MATCH($B67,Régions!$A$2:$A$6,0))</f>
        <v/>
      </c>
      <c r="AD67" s="97">
        <f>E67*INDEX(Régions!$AA$2:$AA$6,MATCH($B67,Régions!$A$2:$A$6,0))</f>
        <v/>
      </c>
      <c r="AE67" s="97">
        <f>F67*INDEX(Régions!$AB$2:$AB$6,MATCH($B67,Régions!$A$2:$A$6,0))</f>
        <v/>
      </c>
      <c r="AF67" s="97">
        <f>G67*INDEX(Régions!$AC$2:$AC$6,MATCH($B67,Régions!$A$2:$A$6,0))</f>
        <v/>
      </c>
      <c r="AG67" s="97">
        <f>H67*INDEX(Régions!$AD$2:$AD$6,MATCH($B67,Régions!$A$2:$A$6,0))</f>
        <v/>
      </c>
      <c r="AH67" s="97">
        <f>I67*INDEX(Régions!$AE$2:$AE$6,MATCH($B67,Régions!$A$2:$A$6,0))</f>
        <v/>
      </c>
      <c r="AI67" s="97">
        <f>D67*INDEX(Régions!$AF$2:$AF$6,MATCH($B67,Régions!$A$2:$A$6,0))</f>
        <v/>
      </c>
      <c r="AJ67" s="97">
        <f>E67*INDEX(Régions!$AG$2:$AG$6,MATCH($B67,Régions!$A$2:$A$6,0))</f>
        <v/>
      </c>
      <c r="AK67" s="97">
        <f>F67*INDEX(Régions!$AH$2:$AH$6,MATCH($B67,Régions!$A$2:$A$6,0))</f>
        <v/>
      </c>
      <c r="AL67" s="97">
        <f>G67*INDEX(Régions!$AI$2:$AI$6,MATCH($B67,Régions!$A$2:$A$6,0))</f>
        <v/>
      </c>
      <c r="AM67" s="97">
        <f>H67*INDEX(Régions!$AJ$2:$AJ$6,MATCH($B67,Régions!$A$2:$A$6,0))</f>
        <v/>
      </c>
      <c r="AN67" s="97">
        <f>I67*INDEX(Régions!$AK$2:$AK$6,MATCH($B67,Régions!$A$2:$A$6,0))</f>
        <v/>
      </c>
      <c r="AO67" s="99">
        <f>INDEX({"CAQ","PLQ","QS","PQ","PCQ","Autre"},MATCH(MAX(Q67:V67),Q67:V67,0))</f>
        <v/>
      </c>
      <c r="AP67" s="99">
        <f>INDEX({"CAQ","PLQ","QS","PQ","PCQ","Autre"},MATCH(MAX(W67:AB67),W67:AB67,0))</f>
        <v/>
      </c>
      <c r="AQ67" s="99">
        <f>INDEX({"CAQ","PLQ","QS","PQ","PCQ","Autre"},MATCH(MAX(AC67:AH67),AC67:AH67,0))</f>
        <v/>
      </c>
      <c r="AR67" s="99">
        <f>INDEX({"CAQ","PLQ","QS","PQ","PCQ","Autre"},MATCH(MAX(AI67:AN67),AI67:AN67,0))</f>
        <v/>
      </c>
      <c r="AS67" s="100">
        <f>(MAX(K67:P67)-LARGE(K67:P67,2))*100</f>
        <v/>
      </c>
      <c r="AT67" s="101">
        <f>IF(AS67&lt;5,"Oui","Non")</f>
        <v/>
      </c>
      <c r="AU67" s="102" t="n">
        <v>-5.4</v>
      </c>
      <c r="AV67" s="102" t="n">
        <v>5.537</v>
      </c>
      <c r="AW67" s="102" t="n">
        <v>0.17</v>
      </c>
      <c r="AX67" s="102" t="n">
        <v>0.704</v>
      </c>
      <c r="AY67" s="96" t="n">
        <v>19417</v>
      </c>
      <c r="AZ67" s="96" t="n">
        <v>4901</v>
      </c>
      <c r="BA67" s="96" t="n">
        <v>3979</v>
      </c>
      <c r="BB67" s="96" t="n">
        <v>3475</v>
      </c>
      <c r="BC67" s="96" t="n">
        <v>2119</v>
      </c>
      <c r="BD67" s="97">
        <f>AY67*INDEX(Régions!$AQ$2:$AQ$6,MATCH($B67,Régions!$A$2:$A$6,0))</f>
        <v/>
      </c>
      <c r="BE67" s="97">
        <f>AZ67*INDEX(Régions!$AR$2:$AR$6,MATCH($B67,Régions!$A$2:$A$6,0))</f>
        <v/>
      </c>
      <c r="BF67" s="97">
        <f>BA67*INDEX(Régions!$AS$2:$AS$6,MATCH($B67,Régions!$A$2:$A$6,0))</f>
        <v/>
      </c>
      <c r="BG67" s="97">
        <f>BB67*INDEX(Régions!$AT$2:$AT$6,MATCH($B67,Régions!$A$2:$A$6,0))</f>
        <v/>
      </c>
      <c r="BH67" s="97">
        <f>U67</f>
        <v/>
      </c>
      <c r="BI67" s="97">
        <f>BC67*INDEX(Régions!$AU$2:$AU$6,MATCH($B67,Régions!$A$2:$A$6,0))</f>
        <v/>
      </c>
      <c r="BJ67" s="97">
        <f>INDEX({"CAQ","PLQ","QS","PQ","PCQ","Autre"},MATCH(MAX(BD67:BI67),BD67:BI67,0))</f>
        <v/>
      </c>
    </row>
    <row r="68" ht="15" customHeight="1" s="60">
      <c r="A68" s="94" t="inlineStr">
        <is>
          <t>Marguerite-Bourgeoys</t>
        </is>
      </c>
      <c r="B68" s="94" t="inlineStr">
        <is>
          <t>Île de Montréal</t>
        </is>
      </c>
      <c r="C68" s="95" t="inlineStr">
        <is>
          <t>PLQ</t>
        </is>
      </c>
      <c r="D68" s="96" t="n">
        <v>6533</v>
      </c>
      <c r="E68" s="96" t="n">
        <v>12635</v>
      </c>
      <c r="F68" s="96" t="n">
        <v>2898</v>
      </c>
      <c r="G68" s="96" t="n">
        <v>1966</v>
      </c>
      <c r="H68" s="96" t="n">
        <v>3103</v>
      </c>
      <c r="I68" s="96" t="n">
        <v>1081</v>
      </c>
      <c r="J68" s="97">
        <f>SUM(D68:I68)</f>
        <v/>
      </c>
      <c r="K68" s="98">
        <f>IFERROR(D68/J68,0)</f>
        <v/>
      </c>
      <c r="L68" s="98">
        <f>IFERROR(E68/J68,0)</f>
        <v/>
      </c>
      <c r="M68" s="98">
        <f>IFERROR(F68/J68,0)</f>
        <v/>
      </c>
      <c r="N68" s="98">
        <f>IFERROR(G68/J68,0)</f>
        <v/>
      </c>
      <c r="O68" s="98">
        <f>IFERROR(H68/J68,0)</f>
        <v/>
      </c>
      <c r="P68" s="98">
        <f>IFERROR(I68/J68,0)</f>
        <v/>
      </c>
      <c r="Q68" s="97">
        <f>D68*INDEX(Régions!$T$2:$T$6,MATCH($B68,Régions!$A$2:$A$6,0))</f>
        <v/>
      </c>
      <c r="R68" s="97">
        <f>E68*INDEX(Régions!$U$2:$U$6,MATCH($B68,Régions!$A$2:$A$6,0))</f>
        <v/>
      </c>
      <c r="S68" s="97">
        <f>F68*INDEX(Régions!$V$2:$V$6,MATCH($B68,Régions!$A$2:$A$6,0))</f>
        <v/>
      </c>
      <c r="T68" s="97">
        <f>G68*INDEX(Régions!$W$2:$W$6,MATCH($B68,Régions!$A$2:$A$6,0))</f>
        <v/>
      </c>
      <c r="U68" s="97">
        <f>H68*INDEX(Régions!$X$2:$X$6,MATCH($B68,Régions!$A$2:$A$6,0))</f>
        <v/>
      </c>
      <c r="V68" s="97">
        <f>I68*INDEX(Régions!$Y$2:$Y$6,MATCH($B68,Régions!$A$2:$A$6,0))</f>
        <v/>
      </c>
      <c r="W68" s="97">
        <f>Q68+(AU68/100)*J68*Régions!$O$2</f>
        <v/>
      </c>
      <c r="X68" s="97">
        <f>R68+(AV68/100)*J68*Régions!$O$2</f>
        <v/>
      </c>
      <c r="Y68" s="97">
        <f>S68+(AW68/100)*J68*Régions!$O$2</f>
        <v/>
      </c>
      <c r="Z68" s="97">
        <f>T68+(AX68/100)*J68*Régions!$O$2</f>
        <v/>
      </c>
      <c r="AA68" s="97">
        <f>U68</f>
        <v/>
      </c>
      <c r="AB68" s="97">
        <f>V68</f>
        <v/>
      </c>
      <c r="AC68" s="97">
        <f>D68*INDEX(Régions!$Z$2:$Z$6,MATCH($B68,Régions!$A$2:$A$6,0))</f>
        <v/>
      </c>
      <c r="AD68" s="97">
        <f>E68*INDEX(Régions!$AA$2:$AA$6,MATCH($B68,Régions!$A$2:$A$6,0))</f>
        <v/>
      </c>
      <c r="AE68" s="97">
        <f>F68*INDEX(Régions!$AB$2:$AB$6,MATCH($B68,Régions!$A$2:$A$6,0))</f>
        <v/>
      </c>
      <c r="AF68" s="97">
        <f>G68*INDEX(Régions!$AC$2:$AC$6,MATCH($B68,Régions!$A$2:$A$6,0))</f>
        <v/>
      </c>
      <c r="AG68" s="97">
        <f>H68*INDEX(Régions!$AD$2:$AD$6,MATCH($B68,Régions!$A$2:$A$6,0))</f>
        <v/>
      </c>
      <c r="AH68" s="97">
        <f>I68*INDEX(Régions!$AE$2:$AE$6,MATCH($B68,Régions!$A$2:$A$6,0))</f>
        <v/>
      </c>
      <c r="AI68" s="97">
        <f>D68*INDEX(Régions!$AF$2:$AF$6,MATCH($B68,Régions!$A$2:$A$6,0))</f>
        <v/>
      </c>
      <c r="AJ68" s="97">
        <f>E68*INDEX(Régions!$AG$2:$AG$6,MATCH($B68,Régions!$A$2:$A$6,0))</f>
        <v/>
      </c>
      <c r="AK68" s="97">
        <f>F68*INDEX(Régions!$AH$2:$AH$6,MATCH($B68,Régions!$A$2:$A$6,0))</f>
        <v/>
      </c>
      <c r="AL68" s="97">
        <f>G68*INDEX(Régions!$AI$2:$AI$6,MATCH($B68,Régions!$A$2:$A$6,0))</f>
        <v/>
      </c>
      <c r="AM68" s="97">
        <f>H68*INDEX(Régions!$AJ$2:$AJ$6,MATCH($B68,Régions!$A$2:$A$6,0))</f>
        <v/>
      </c>
      <c r="AN68" s="97">
        <f>I68*INDEX(Régions!$AK$2:$AK$6,MATCH($B68,Régions!$A$2:$A$6,0))</f>
        <v/>
      </c>
      <c r="AO68" s="99">
        <f>INDEX({"CAQ","PLQ","QS","PQ","PCQ","Autre"},MATCH(MAX(Q68:V68),Q68:V68,0))</f>
        <v/>
      </c>
      <c r="AP68" s="99">
        <f>INDEX({"CAQ","PLQ","QS","PQ","PCQ","Autre"},MATCH(MAX(W68:AB68),W68:AB68,0))</f>
        <v/>
      </c>
      <c r="AQ68" s="99">
        <f>INDEX({"CAQ","PLQ","QS","PQ","PCQ","Autre"},MATCH(MAX(AC68:AH68),AC68:AH68,0))</f>
        <v/>
      </c>
      <c r="AR68" s="99">
        <f>INDEX({"CAQ","PLQ","QS","PQ","PCQ","Autre"},MATCH(MAX(AI68:AN68),AI68:AN68,0))</f>
        <v/>
      </c>
      <c r="AS68" s="100">
        <f>(MAX(K68:P68)-LARGE(K68:P68,2))*100</f>
        <v/>
      </c>
      <c r="AT68" s="101">
        <f>IF(AS68&lt;5,"Oui","Non")</f>
        <v/>
      </c>
      <c r="AU68" s="102" t="n">
        <v>-2.435</v>
      </c>
      <c r="AV68" s="102" t="n">
        <v>0.228</v>
      </c>
      <c r="AW68" s="102" t="n">
        <v>-1.23</v>
      </c>
      <c r="AX68" s="102" t="n">
        <v>-0.323</v>
      </c>
      <c r="AY68" s="96" t="n">
        <v>6756</v>
      </c>
      <c r="AZ68" s="96" t="n">
        <v>15361</v>
      </c>
      <c r="BA68" s="96" t="n">
        <v>3095</v>
      </c>
      <c r="BB68" s="96" t="n">
        <v>2430</v>
      </c>
      <c r="BC68" s="96" t="n">
        <v>1131</v>
      </c>
      <c r="BD68" s="97">
        <f>AY68*INDEX(Régions!$AQ$2:$AQ$6,MATCH($B68,Régions!$A$2:$A$6,0))</f>
        <v/>
      </c>
      <c r="BE68" s="97">
        <f>AZ68*INDEX(Régions!$AR$2:$AR$6,MATCH($B68,Régions!$A$2:$A$6,0))</f>
        <v/>
      </c>
      <c r="BF68" s="97">
        <f>BA68*INDEX(Régions!$AS$2:$AS$6,MATCH($B68,Régions!$A$2:$A$6,0))</f>
        <v/>
      </c>
      <c r="BG68" s="97">
        <f>BB68*INDEX(Régions!$AT$2:$AT$6,MATCH($B68,Régions!$A$2:$A$6,0))</f>
        <v/>
      </c>
      <c r="BH68" s="97">
        <f>U68</f>
        <v/>
      </c>
      <c r="BI68" s="97">
        <f>BC68*INDEX(Régions!$AU$2:$AU$6,MATCH($B68,Régions!$A$2:$A$6,0))</f>
        <v/>
      </c>
      <c r="BJ68" s="97">
        <f>INDEX({"CAQ","PLQ","QS","PQ","PCQ","Autre"},MATCH(MAX(BD68:BI68),BD68:BI68,0))</f>
        <v/>
      </c>
    </row>
    <row r="69" ht="15" customHeight="1" s="60">
      <c r="A69" s="94" t="inlineStr">
        <is>
          <t>Marie-Lacoste-Gérin-Lajoie</t>
        </is>
      </c>
      <c r="B69" s="94" t="inlineStr">
        <is>
          <t>Banlieue de Montréal</t>
        </is>
      </c>
      <c r="C69" s="95" t="inlineStr">
        <is>
          <t>CAQ</t>
        </is>
      </c>
      <c r="D69" s="96" t="n">
        <v>15608</v>
      </c>
      <c r="E69" s="96" t="n">
        <v>1077</v>
      </c>
      <c r="F69" s="96" t="n">
        <v>4013</v>
      </c>
      <c r="G69" s="96" t="n">
        <v>4364</v>
      </c>
      <c r="H69" s="96" t="n">
        <v>4666</v>
      </c>
      <c r="I69" s="96" t="n">
        <v>190</v>
      </c>
      <c r="J69" s="97">
        <f>SUM(D69:I69)</f>
        <v/>
      </c>
      <c r="K69" s="98">
        <f>IFERROR(D69/J69,0)</f>
        <v/>
      </c>
      <c r="L69" s="98">
        <f>IFERROR(E69/J69,0)</f>
        <v/>
      </c>
      <c r="M69" s="98">
        <f>IFERROR(F69/J69,0)</f>
        <v/>
      </c>
      <c r="N69" s="98">
        <f>IFERROR(G69/J69,0)</f>
        <v/>
      </c>
      <c r="O69" s="98">
        <f>IFERROR(H69/J69,0)</f>
        <v/>
      </c>
      <c r="P69" s="98">
        <f>IFERROR(I69/J69,0)</f>
        <v/>
      </c>
      <c r="Q69" s="97">
        <f>D69*INDEX(Régions!$T$2:$T$6,MATCH($B69,Régions!$A$2:$A$6,0))</f>
        <v/>
      </c>
      <c r="R69" s="97">
        <f>E69*INDEX(Régions!$U$2:$U$6,MATCH($B69,Régions!$A$2:$A$6,0))</f>
        <v/>
      </c>
      <c r="S69" s="97">
        <f>F69*INDEX(Régions!$V$2:$V$6,MATCH($B69,Régions!$A$2:$A$6,0))</f>
        <v/>
      </c>
      <c r="T69" s="97">
        <f>G69*INDEX(Régions!$W$2:$W$6,MATCH($B69,Régions!$A$2:$A$6,0))</f>
        <v/>
      </c>
      <c r="U69" s="97">
        <f>H69*INDEX(Régions!$X$2:$X$6,MATCH($B69,Régions!$A$2:$A$6,0))</f>
        <v/>
      </c>
      <c r="V69" s="97">
        <f>I69*INDEX(Régions!$Y$2:$Y$6,MATCH($B69,Régions!$A$2:$A$6,0))</f>
        <v/>
      </c>
      <c r="W69" s="97">
        <f>Q69+(AU69/100)*J69*Régions!$O$2</f>
        <v/>
      </c>
      <c r="X69" s="97">
        <f>R69+(AV69/100)*J69*Régions!$O$2</f>
        <v/>
      </c>
      <c r="Y69" s="97">
        <f>S69+(AW69/100)*J69*Régions!$O$2</f>
        <v/>
      </c>
      <c r="Z69" s="97">
        <f>T69+(AX69/100)*J69*Régions!$O$2</f>
        <v/>
      </c>
      <c r="AA69" s="97">
        <f>U69</f>
        <v/>
      </c>
      <c r="AB69" s="97">
        <f>V69</f>
        <v/>
      </c>
      <c r="AC69" s="97">
        <f>D69*INDEX(Régions!$Z$2:$Z$6,MATCH($B69,Régions!$A$2:$A$6,0))</f>
        <v/>
      </c>
      <c r="AD69" s="97">
        <f>E69*INDEX(Régions!$AA$2:$AA$6,MATCH($B69,Régions!$A$2:$A$6,0))</f>
        <v/>
      </c>
      <c r="AE69" s="97">
        <f>F69*INDEX(Régions!$AB$2:$AB$6,MATCH($B69,Régions!$A$2:$A$6,0))</f>
        <v/>
      </c>
      <c r="AF69" s="97">
        <f>G69*INDEX(Régions!$AC$2:$AC$6,MATCH($B69,Régions!$A$2:$A$6,0))</f>
        <v/>
      </c>
      <c r="AG69" s="97">
        <f>H69*INDEX(Régions!$AD$2:$AD$6,MATCH($B69,Régions!$A$2:$A$6,0))</f>
        <v/>
      </c>
      <c r="AH69" s="97">
        <f>I69*INDEX(Régions!$AE$2:$AE$6,MATCH($B69,Régions!$A$2:$A$6,0))</f>
        <v/>
      </c>
      <c r="AI69" s="97">
        <f>D69*INDEX(Régions!$AF$2:$AF$6,MATCH($B69,Régions!$A$2:$A$6,0))</f>
        <v/>
      </c>
      <c r="AJ69" s="97">
        <f>E69*INDEX(Régions!$AG$2:$AG$6,MATCH($B69,Régions!$A$2:$A$6,0))</f>
        <v/>
      </c>
      <c r="AK69" s="97">
        <f>F69*INDEX(Régions!$AH$2:$AH$6,MATCH($B69,Régions!$A$2:$A$6,0))</f>
        <v/>
      </c>
      <c r="AL69" s="97">
        <f>G69*INDEX(Régions!$AI$2:$AI$6,MATCH($B69,Régions!$A$2:$A$6,0))</f>
        <v/>
      </c>
      <c r="AM69" s="97">
        <f>H69*INDEX(Régions!$AJ$2:$AJ$6,MATCH($B69,Régions!$A$2:$A$6,0))</f>
        <v/>
      </c>
      <c r="AN69" s="97">
        <f>I69*INDEX(Régions!$AK$2:$AK$6,MATCH($B69,Régions!$A$2:$A$6,0))</f>
        <v/>
      </c>
      <c r="AO69" s="99">
        <f>INDEX({"CAQ","PLQ","QS","PQ","PCQ","Autre"},MATCH(MAX(Q69:V69),Q69:V69,0))</f>
        <v/>
      </c>
      <c r="AP69" s="99">
        <f>INDEX({"CAQ","PLQ","QS","PQ","PCQ","Autre"},MATCH(MAX(W69:AB69),W69:AB69,0))</f>
        <v/>
      </c>
      <c r="AQ69" s="99">
        <f>INDEX({"CAQ","PLQ","QS","PQ","PCQ","Autre"},MATCH(MAX(AC69:AH69),AC69:AH69,0))</f>
        <v/>
      </c>
      <c r="AR69" s="99">
        <f>INDEX({"CAQ","PLQ","QS","PQ","PCQ","Autre"},MATCH(MAX(AI69:AN69),AI69:AN69,0))</f>
        <v/>
      </c>
      <c r="AS69" s="100">
        <f>(MAX(K69:P69)-LARGE(K69:P69,2))*100</f>
        <v/>
      </c>
      <c r="AT69" s="101">
        <f>IF(AS69&lt;5,"Oui","Non")</f>
        <v/>
      </c>
      <c r="AU69" s="102" t="n">
        <v>-4.171</v>
      </c>
      <c r="AV69" s="102" t="n">
        <v>-0.707</v>
      </c>
      <c r="AW69" s="102" t="n">
        <v>-3.349</v>
      </c>
      <c r="AX69" s="102" t="n">
        <v>4.31</v>
      </c>
      <c r="AY69" s="96" t="n">
        <v>15043</v>
      </c>
      <c r="AZ69" s="96" t="n">
        <v>3169</v>
      </c>
      <c r="BA69" s="96" t="n">
        <v>4935</v>
      </c>
      <c r="BB69" s="96" t="n">
        <v>3754</v>
      </c>
      <c r="BC69" s="96" t="n">
        <v>1369</v>
      </c>
      <c r="BD69" s="97">
        <f>AY69*INDEX(Régions!$AQ$2:$AQ$6,MATCH($B69,Régions!$A$2:$A$6,0))</f>
        <v/>
      </c>
      <c r="BE69" s="97">
        <f>AZ69*INDEX(Régions!$AR$2:$AR$6,MATCH($B69,Régions!$A$2:$A$6,0))</f>
        <v/>
      </c>
      <c r="BF69" s="97">
        <f>BA69*INDEX(Régions!$AS$2:$AS$6,MATCH($B69,Régions!$A$2:$A$6,0))</f>
        <v/>
      </c>
      <c r="BG69" s="97">
        <f>BB69*INDEX(Régions!$AT$2:$AT$6,MATCH($B69,Régions!$A$2:$A$6,0))</f>
        <v/>
      </c>
      <c r="BH69" s="97">
        <f>U69</f>
        <v/>
      </c>
      <c r="BI69" s="97">
        <f>BC69*INDEX(Régions!$AU$2:$AU$6,MATCH($B69,Régions!$A$2:$A$6,0))</f>
        <v/>
      </c>
      <c r="BJ69" s="97">
        <f>INDEX({"CAQ","PLQ","QS","PQ","PCQ","Autre"},MATCH(MAX(BD69:BI69),BD69:BI69,0))</f>
        <v/>
      </c>
    </row>
    <row r="70" ht="15" customHeight="1" s="60">
      <c r="A70" s="94" t="inlineStr">
        <is>
          <t>Marie-Victorin</t>
        </is>
      </c>
      <c r="B70" s="94" t="inlineStr">
        <is>
          <t>Banlieue de Montréal</t>
        </is>
      </c>
      <c r="C70" s="95" t="inlineStr">
        <is>
          <t>CAQ</t>
        </is>
      </c>
      <c r="D70" s="96" t="n">
        <v>9212</v>
      </c>
      <c r="E70" s="96" t="n">
        <v>2793</v>
      </c>
      <c r="F70" s="96" t="n">
        <v>6307</v>
      </c>
      <c r="G70" s="96" t="n">
        <v>6913</v>
      </c>
      <c r="H70" s="96" t="n">
        <v>1952</v>
      </c>
      <c r="I70" s="96" t="n">
        <v>643</v>
      </c>
      <c r="J70" s="97">
        <f>SUM(D70:I70)</f>
        <v/>
      </c>
      <c r="K70" s="98">
        <f>IFERROR(D70/J70,0)</f>
        <v/>
      </c>
      <c r="L70" s="98">
        <f>IFERROR(E70/J70,0)</f>
        <v/>
      </c>
      <c r="M70" s="98">
        <f>IFERROR(F70/J70,0)</f>
        <v/>
      </c>
      <c r="N70" s="98">
        <f>IFERROR(G70/J70,0)</f>
        <v/>
      </c>
      <c r="O70" s="98">
        <f>IFERROR(H70/J70,0)</f>
        <v/>
      </c>
      <c r="P70" s="98">
        <f>IFERROR(I70/J70,0)</f>
        <v/>
      </c>
      <c r="Q70" s="97">
        <f>D70*INDEX(Régions!$T$2:$T$6,MATCH($B70,Régions!$A$2:$A$6,0))</f>
        <v/>
      </c>
      <c r="R70" s="97">
        <f>E70*INDEX(Régions!$U$2:$U$6,MATCH($B70,Régions!$A$2:$A$6,0))</f>
        <v/>
      </c>
      <c r="S70" s="97">
        <f>F70*INDEX(Régions!$V$2:$V$6,MATCH($B70,Régions!$A$2:$A$6,0))</f>
        <v/>
      </c>
      <c r="T70" s="97">
        <f>G70*INDEX(Régions!$W$2:$W$6,MATCH($B70,Régions!$A$2:$A$6,0))</f>
        <v/>
      </c>
      <c r="U70" s="97">
        <f>H70*INDEX(Régions!$X$2:$X$6,MATCH($B70,Régions!$A$2:$A$6,0))</f>
        <v/>
      </c>
      <c r="V70" s="97">
        <f>I70*INDEX(Régions!$Y$2:$Y$6,MATCH($B70,Régions!$A$2:$A$6,0))</f>
        <v/>
      </c>
      <c r="W70" s="97">
        <f>Q70+(AU70/100)*J70*Régions!$O$2</f>
        <v/>
      </c>
      <c r="X70" s="97">
        <f>R70+(AV70/100)*J70*Régions!$O$2</f>
        <v/>
      </c>
      <c r="Y70" s="97">
        <f>S70+(AW70/100)*J70*Régions!$O$2</f>
        <v/>
      </c>
      <c r="Z70" s="97">
        <f>T70+(AX70/100)*J70*Régions!$O$2</f>
        <v/>
      </c>
      <c r="AA70" s="97">
        <f>U70</f>
        <v/>
      </c>
      <c r="AB70" s="97">
        <f>V70</f>
        <v/>
      </c>
      <c r="AC70" s="97">
        <f>D70*INDEX(Régions!$Z$2:$Z$6,MATCH($B70,Régions!$A$2:$A$6,0))</f>
        <v/>
      </c>
      <c r="AD70" s="97">
        <f>E70*INDEX(Régions!$AA$2:$AA$6,MATCH($B70,Régions!$A$2:$A$6,0))</f>
        <v/>
      </c>
      <c r="AE70" s="97">
        <f>F70*INDEX(Régions!$AB$2:$AB$6,MATCH($B70,Régions!$A$2:$A$6,0))</f>
        <v/>
      </c>
      <c r="AF70" s="97">
        <f>G70*INDEX(Régions!$AC$2:$AC$6,MATCH($B70,Régions!$A$2:$A$6,0))</f>
        <v/>
      </c>
      <c r="AG70" s="97">
        <f>H70*INDEX(Régions!$AD$2:$AD$6,MATCH($B70,Régions!$A$2:$A$6,0))</f>
        <v/>
      </c>
      <c r="AH70" s="97">
        <f>I70*INDEX(Régions!$AE$2:$AE$6,MATCH($B70,Régions!$A$2:$A$6,0))</f>
        <v/>
      </c>
      <c r="AI70" s="97">
        <f>D70*INDEX(Régions!$AF$2:$AF$6,MATCH($B70,Régions!$A$2:$A$6,0))</f>
        <v/>
      </c>
      <c r="AJ70" s="97">
        <f>E70*INDEX(Régions!$AG$2:$AG$6,MATCH($B70,Régions!$A$2:$A$6,0))</f>
        <v/>
      </c>
      <c r="AK70" s="97">
        <f>F70*INDEX(Régions!$AH$2:$AH$6,MATCH($B70,Régions!$A$2:$A$6,0))</f>
        <v/>
      </c>
      <c r="AL70" s="97">
        <f>G70*INDEX(Régions!$AI$2:$AI$6,MATCH($B70,Régions!$A$2:$A$6,0))</f>
        <v/>
      </c>
      <c r="AM70" s="97">
        <f>H70*INDEX(Régions!$AJ$2:$AJ$6,MATCH($B70,Régions!$A$2:$A$6,0))</f>
        <v/>
      </c>
      <c r="AN70" s="97">
        <f>I70*INDEX(Régions!$AK$2:$AK$6,MATCH($B70,Régions!$A$2:$A$6,0))</f>
        <v/>
      </c>
      <c r="AO70" s="99">
        <f>INDEX({"CAQ","PLQ","QS","PQ","PCQ","Autre"},MATCH(MAX(Q70:V70),Q70:V70,0))</f>
        <v/>
      </c>
      <c r="AP70" s="99">
        <f>INDEX({"CAQ","PLQ","QS","PQ","PCQ","Autre"},MATCH(MAX(W70:AB70),W70:AB70,0))</f>
        <v/>
      </c>
      <c r="AQ70" s="99">
        <f>INDEX({"CAQ","PLQ","QS","PQ","PCQ","Autre"},MATCH(MAX(AC70:AH70),AC70:AH70,0))</f>
        <v/>
      </c>
      <c r="AR70" s="99">
        <f>INDEX({"CAQ","PLQ","QS","PQ","PCQ","Autre"},MATCH(MAX(AI70:AN70),AI70:AN70,0))</f>
        <v/>
      </c>
      <c r="AS70" s="100">
        <f>(MAX(K70:P70)-LARGE(K70:P70,2))*100</f>
        <v/>
      </c>
      <c r="AT70" s="101">
        <f>IF(AS70&lt;5,"Oui","Non")</f>
        <v/>
      </c>
      <c r="AU70" s="102" t="n">
        <v>1.597</v>
      </c>
      <c r="AV70" s="102" t="n">
        <v>1.734</v>
      </c>
      <c r="AW70" s="102" t="n">
        <v>1.696</v>
      </c>
      <c r="AX70" s="102" t="n">
        <v>-2.965</v>
      </c>
      <c r="AY70" s="96" t="n">
        <v>8245</v>
      </c>
      <c r="AZ70" s="96" t="n">
        <v>4417</v>
      </c>
      <c r="BA70" s="96" t="n">
        <v>6293</v>
      </c>
      <c r="BB70" s="96" t="n">
        <v>8949</v>
      </c>
      <c r="BC70" s="96" t="n">
        <v>1138</v>
      </c>
      <c r="BD70" s="97">
        <f>AY70*INDEX(Régions!$AQ$2:$AQ$6,MATCH($B70,Régions!$A$2:$A$6,0))</f>
        <v/>
      </c>
      <c r="BE70" s="97">
        <f>AZ70*INDEX(Régions!$AR$2:$AR$6,MATCH($B70,Régions!$A$2:$A$6,0))</f>
        <v/>
      </c>
      <c r="BF70" s="97">
        <f>BA70*INDEX(Régions!$AS$2:$AS$6,MATCH($B70,Régions!$A$2:$A$6,0))</f>
        <v/>
      </c>
      <c r="BG70" s="97">
        <f>BB70*INDEX(Régions!$AT$2:$AT$6,MATCH($B70,Régions!$A$2:$A$6,0))</f>
        <v/>
      </c>
      <c r="BH70" s="97">
        <f>U70</f>
        <v/>
      </c>
      <c r="BI70" s="97">
        <f>BC70*INDEX(Régions!$AU$2:$AU$6,MATCH($B70,Régions!$A$2:$A$6,0))</f>
        <v/>
      </c>
      <c r="BJ70" s="97">
        <f>INDEX({"CAQ","PLQ","QS","PQ","PCQ","Autre"},MATCH(MAX(BD70:BI70),BD70:BI70,0))</f>
        <v/>
      </c>
    </row>
    <row r="71" ht="15" customHeight="1" s="60">
      <c r="A71" s="94" t="inlineStr">
        <is>
          <t>Marquette</t>
        </is>
      </c>
      <c r="B71" s="94" t="inlineStr">
        <is>
          <t>Île de Montréal</t>
        </is>
      </c>
      <c r="C71" s="95" t="inlineStr">
        <is>
          <t>PLQ</t>
        </is>
      </c>
      <c r="D71" s="96" t="n">
        <v>5722</v>
      </c>
      <c r="E71" s="96" t="n">
        <v>12255</v>
      </c>
      <c r="F71" s="96" t="n">
        <v>2956</v>
      </c>
      <c r="G71" s="96" t="n">
        <v>2114</v>
      </c>
      <c r="H71" s="96" t="n">
        <v>2395</v>
      </c>
      <c r="I71" s="96" t="n">
        <v>782</v>
      </c>
      <c r="J71" s="97">
        <f>SUM(D71:I71)</f>
        <v/>
      </c>
      <c r="K71" s="98">
        <f>IFERROR(D71/J71,0)</f>
        <v/>
      </c>
      <c r="L71" s="98">
        <f>IFERROR(E71/J71,0)</f>
        <v/>
      </c>
      <c r="M71" s="98">
        <f>IFERROR(F71/J71,0)</f>
        <v/>
      </c>
      <c r="N71" s="98">
        <f>IFERROR(G71/J71,0)</f>
        <v/>
      </c>
      <c r="O71" s="98">
        <f>IFERROR(H71/J71,0)</f>
        <v/>
      </c>
      <c r="P71" s="98">
        <f>IFERROR(I71/J71,0)</f>
        <v/>
      </c>
      <c r="Q71" s="97">
        <f>D71*INDEX(Régions!$T$2:$T$6,MATCH($B71,Régions!$A$2:$A$6,0))</f>
        <v/>
      </c>
      <c r="R71" s="97">
        <f>E71*INDEX(Régions!$U$2:$U$6,MATCH($B71,Régions!$A$2:$A$6,0))</f>
        <v/>
      </c>
      <c r="S71" s="97">
        <f>F71*INDEX(Régions!$V$2:$V$6,MATCH($B71,Régions!$A$2:$A$6,0))</f>
        <v/>
      </c>
      <c r="T71" s="97">
        <f>G71*INDEX(Régions!$W$2:$W$6,MATCH($B71,Régions!$A$2:$A$6,0))</f>
        <v/>
      </c>
      <c r="U71" s="97">
        <f>H71*INDEX(Régions!$X$2:$X$6,MATCH($B71,Régions!$A$2:$A$6,0))</f>
        <v/>
      </c>
      <c r="V71" s="97">
        <f>I71*INDEX(Régions!$Y$2:$Y$6,MATCH($B71,Régions!$A$2:$A$6,0))</f>
        <v/>
      </c>
      <c r="W71" s="97">
        <f>Q71+(AU71/100)*J71*Régions!$O$2</f>
        <v/>
      </c>
      <c r="X71" s="97">
        <f>R71+(AV71/100)*J71*Régions!$O$2</f>
        <v/>
      </c>
      <c r="Y71" s="97">
        <f>S71+(AW71/100)*J71*Régions!$O$2</f>
        <v/>
      </c>
      <c r="Z71" s="97">
        <f>T71+(AX71/100)*J71*Régions!$O$2</f>
        <v/>
      </c>
      <c r="AA71" s="97">
        <f>U71</f>
        <v/>
      </c>
      <c r="AB71" s="97">
        <f>V71</f>
        <v/>
      </c>
      <c r="AC71" s="97">
        <f>D71*INDEX(Régions!$Z$2:$Z$6,MATCH($B71,Régions!$A$2:$A$6,0))</f>
        <v/>
      </c>
      <c r="AD71" s="97">
        <f>E71*INDEX(Régions!$AA$2:$AA$6,MATCH($B71,Régions!$A$2:$A$6,0))</f>
        <v/>
      </c>
      <c r="AE71" s="97">
        <f>F71*INDEX(Régions!$AB$2:$AB$6,MATCH($B71,Régions!$A$2:$A$6,0))</f>
        <v/>
      </c>
      <c r="AF71" s="97">
        <f>G71*INDEX(Régions!$AC$2:$AC$6,MATCH($B71,Régions!$A$2:$A$6,0))</f>
        <v/>
      </c>
      <c r="AG71" s="97">
        <f>H71*INDEX(Régions!$AD$2:$AD$6,MATCH($B71,Régions!$A$2:$A$6,0))</f>
        <v/>
      </c>
      <c r="AH71" s="97">
        <f>I71*INDEX(Régions!$AE$2:$AE$6,MATCH($B71,Régions!$A$2:$A$6,0))</f>
        <v/>
      </c>
      <c r="AI71" s="97">
        <f>D71*INDEX(Régions!$AF$2:$AF$6,MATCH($B71,Régions!$A$2:$A$6,0))</f>
        <v/>
      </c>
      <c r="AJ71" s="97">
        <f>E71*INDEX(Régions!$AG$2:$AG$6,MATCH($B71,Régions!$A$2:$A$6,0))</f>
        <v/>
      </c>
      <c r="AK71" s="97">
        <f>F71*INDEX(Régions!$AH$2:$AH$6,MATCH($B71,Régions!$A$2:$A$6,0))</f>
        <v/>
      </c>
      <c r="AL71" s="97">
        <f>G71*INDEX(Régions!$AI$2:$AI$6,MATCH($B71,Régions!$A$2:$A$6,0))</f>
        <v/>
      </c>
      <c r="AM71" s="97">
        <f>H71*INDEX(Régions!$AJ$2:$AJ$6,MATCH($B71,Régions!$A$2:$A$6,0))</f>
        <v/>
      </c>
      <c r="AN71" s="97">
        <f>I71*INDEX(Régions!$AK$2:$AK$6,MATCH($B71,Régions!$A$2:$A$6,0))</f>
        <v/>
      </c>
      <c r="AO71" s="99">
        <f>INDEX({"CAQ","PLQ","QS","PQ","PCQ","Autre"},MATCH(MAX(Q71:V71),Q71:V71,0))</f>
        <v/>
      </c>
      <c r="AP71" s="99">
        <f>INDEX({"CAQ","PLQ","QS","PQ","PCQ","Autre"},MATCH(MAX(W71:AB71),W71:AB71,0))</f>
        <v/>
      </c>
      <c r="AQ71" s="99">
        <f>INDEX({"CAQ","PLQ","QS","PQ","PCQ","Autre"},MATCH(MAX(AC71:AH71),AC71:AH71,0))</f>
        <v/>
      </c>
      <c r="AR71" s="99">
        <f>INDEX({"CAQ","PLQ","QS","PQ","PCQ","Autre"},MATCH(MAX(AI71:AN71),AI71:AN71,0))</f>
        <v/>
      </c>
      <c r="AS71" s="100">
        <f>(MAX(K71:P71)-LARGE(K71:P71,2))*100</f>
        <v/>
      </c>
      <c r="AT71" s="101">
        <f>IF(AS71&lt;5,"Oui","Non")</f>
        <v/>
      </c>
      <c r="AU71" s="102" t="n">
        <v>-8.632</v>
      </c>
      <c r="AV71" s="102" t="n">
        <v>12.58</v>
      </c>
      <c r="AW71" s="102" t="n">
        <v>-0.9399999999999999</v>
      </c>
      <c r="AX71" s="102" t="n">
        <v>1.436</v>
      </c>
      <c r="AY71" s="96" t="n">
        <v>7793</v>
      </c>
      <c r="AZ71" s="96" t="n">
        <v>11819</v>
      </c>
      <c r="BA71" s="96" t="n">
        <v>3153</v>
      </c>
      <c r="BB71" s="96" t="n">
        <v>2139</v>
      </c>
      <c r="BC71" s="96" t="n">
        <v>2590</v>
      </c>
      <c r="BD71" s="97">
        <f>AY71*INDEX(Régions!$AQ$2:$AQ$6,MATCH($B71,Régions!$A$2:$A$6,0))</f>
        <v/>
      </c>
      <c r="BE71" s="97">
        <f>AZ71*INDEX(Régions!$AR$2:$AR$6,MATCH($B71,Régions!$A$2:$A$6,0))</f>
        <v/>
      </c>
      <c r="BF71" s="97">
        <f>BA71*INDEX(Régions!$AS$2:$AS$6,MATCH($B71,Régions!$A$2:$A$6,0))</f>
        <v/>
      </c>
      <c r="BG71" s="97">
        <f>BB71*INDEX(Régions!$AT$2:$AT$6,MATCH($B71,Régions!$A$2:$A$6,0))</f>
        <v/>
      </c>
      <c r="BH71" s="97">
        <f>U71</f>
        <v/>
      </c>
      <c r="BI71" s="97">
        <f>BC71*INDEX(Régions!$AU$2:$AU$6,MATCH($B71,Régions!$A$2:$A$6,0))</f>
        <v/>
      </c>
      <c r="BJ71" s="97">
        <f>INDEX({"CAQ","PLQ","QS","PQ","PCQ","Autre"},MATCH(MAX(BD71:BI71),BD71:BI71,0))</f>
        <v/>
      </c>
    </row>
    <row r="72" ht="15" customHeight="1" s="60">
      <c r="A72" s="94" t="inlineStr">
        <is>
          <t>Maskinongé</t>
        </is>
      </c>
      <c r="B72" s="94" t="inlineStr">
        <is>
          <t>Reste du Québec</t>
        </is>
      </c>
      <c r="C72" s="95" t="inlineStr">
        <is>
          <t>CAQ</t>
        </is>
      </c>
      <c r="D72" s="96" t="n">
        <v>17095</v>
      </c>
      <c r="E72" s="96" t="n">
        <v>1619</v>
      </c>
      <c r="F72" s="96" t="n">
        <v>3162</v>
      </c>
      <c r="G72" s="96" t="n">
        <v>4519</v>
      </c>
      <c r="H72" s="96" t="n">
        <v>5131</v>
      </c>
      <c r="I72" s="96" t="n">
        <v>426</v>
      </c>
      <c r="J72" s="97">
        <f>SUM(D72:I72)</f>
        <v/>
      </c>
      <c r="K72" s="98">
        <f>IFERROR(D72/J72,0)</f>
        <v/>
      </c>
      <c r="L72" s="98">
        <f>IFERROR(E72/J72,0)</f>
        <v/>
      </c>
      <c r="M72" s="98">
        <f>IFERROR(F72/J72,0)</f>
        <v/>
      </c>
      <c r="N72" s="98">
        <f>IFERROR(G72/J72,0)</f>
        <v/>
      </c>
      <c r="O72" s="98">
        <f>IFERROR(H72/J72,0)</f>
        <v/>
      </c>
      <c r="P72" s="98">
        <f>IFERROR(I72/J72,0)</f>
        <v/>
      </c>
      <c r="Q72" s="97">
        <f>D72*INDEX(Régions!$T$2:$T$6,MATCH($B72,Régions!$A$2:$A$6,0))</f>
        <v/>
      </c>
      <c r="R72" s="97">
        <f>E72*INDEX(Régions!$U$2:$U$6,MATCH($B72,Régions!$A$2:$A$6,0))</f>
        <v/>
      </c>
      <c r="S72" s="97">
        <f>F72*INDEX(Régions!$V$2:$V$6,MATCH($B72,Régions!$A$2:$A$6,0))</f>
        <v/>
      </c>
      <c r="T72" s="97">
        <f>G72*INDEX(Régions!$W$2:$W$6,MATCH($B72,Régions!$A$2:$A$6,0))</f>
        <v/>
      </c>
      <c r="U72" s="97">
        <f>H72*INDEX(Régions!$X$2:$X$6,MATCH($B72,Régions!$A$2:$A$6,0))</f>
        <v/>
      </c>
      <c r="V72" s="97">
        <f>I72*INDEX(Régions!$Y$2:$Y$6,MATCH($B72,Régions!$A$2:$A$6,0))</f>
        <v/>
      </c>
      <c r="W72" s="97">
        <f>Q72+(AU72/100)*J72*Régions!$O$2</f>
        <v/>
      </c>
      <c r="X72" s="97">
        <f>R72+(AV72/100)*J72*Régions!$O$2</f>
        <v/>
      </c>
      <c r="Y72" s="97">
        <f>S72+(AW72/100)*J72*Régions!$O$2</f>
        <v/>
      </c>
      <c r="Z72" s="97">
        <f>T72+(AX72/100)*J72*Régions!$O$2</f>
        <v/>
      </c>
      <c r="AA72" s="97">
        <f>U72</f>
        <v/>
      </c>
      <c r="AB72" s="97">
        <f>V72</f>
        <v/>
      </c>
      <c r="AC72" s="97">
        <f>D72*INDEX(Régions!$Z$2:$Z$6,MATCH($B72,Régions!$A$2:$A$6,0))</f>
        <v/>
      </c>
      <c r="AD72" s="97">
        <f>E72*INDEX(Régions!$AA$2:$AA$6,MATCH($B72,Régions!$A$2:$A$6,0))</f>
        <v/>
      </c>
      <c r="AE72" s="97">
        <f>F72*INDEX(Régions!$AB$2:$AB$6,MATCH($B72,Régions!$A$2:$A$6,0))</f>
        <v/>
      </c>
      <c r="AF72" s="97">
        <f>G72*INDEX(Régions!$AC$2:$AC$6,MATCH($B72,Régions!$A$2:$A$6,0))</f>
        <v/>
      </c>
      <c r="AG72" s="97">
        <f>H72*INDEX(Régions!$AD$2:$AD$6,MATCH($B72,Régions!$A$2:$A$6,0))</f>
        <v/>
      </c>
      <c r="AH72" s="97">
        <f>I72*INDEX(Régions!$AE$2:$AE$6,MATCH($B72,Régions!$A$2:$A$6,0))</f>
        <v/>
      </c>
      <c r="AI72" s="97">
        <f>D72*INDEX(Régions!$AF$2:$AF$6,MATCH($B72,Régions!$A$2:$A$6,0))</f>
        <v/>
      </c>
      <c r="AJ72" s="97">
        <f>E72*INDEX(Régions!$AG$2:$AG$6,MATCH($B72,Régions!$A$2:$A$6,0))</f>
        <v/>
      </c>
      <c r="AK72" s="97">
        <f>F72*INDEX(Régions!$AH$2:$AH$6,MATCH($B72,Régions!$A$2:$A$6,0))</f>
        <v/>
      </c>
      <c r="AL72" s="97">
        <f>G72*INDEX(Régions!$AI$2:$AI$6,MATCH($B72,Régions!$A$2:$A$6,0))</f>
        <v/>
      </c>
      <c r="AM72" s="97">
        <f>H72*INDEX(Régions!$AJ$2:$AJ$6,MATCH($B72,Régions!$A$2:$A$6,0))</f>
        <v/>
      </c>
      <c r="AN72" s="97">
        <f>I72*INDEX(Régions!$AK$2:$AK$6,MATCH($B72,Régions!$A$2:$A$6,0))</f>
        <v/>
      </c>
      <c r="AO72" s="99">
        <f>INDEX({"CAQ","PLQ","QS","PQ","PCQ","Autre"},MATCH(MAX(Q72:V72),Q72:V72,0))</f>
        <v/>
      </c>
      <c r="AP72" s="99">
        <f>INDEX({"CAQ","PLQ","QS","PQ","PCQ","Autre"},MATCH(MAX(W72:AB72),W72:AB72,0))</f>
        <v/>
      </c>
      <c r="AQ72" s="99">
        <f>INDEX({"CAQ","PLQ","QS","PQ","PCQ","Autre"},MATCH(MAX(AC72:AH72),AC72:AH72,0))</f>
        <v/>
      </c>
      <c r="AR72" s="99">
        <f>INDEX({"CAQ","PLQ","QS","PQ","PCQ","Autre"},MATCH(MAX(AI72:AN72),AI72:AN72,0))</f>
        <v/>
      </c>
      <c r="AS72" s="100">
        <f>(MAX(K72:P72)-LARGE(K72:P72,2))*100</f>
        <v/>
      </c>
      <c r="AT72" s="101">
        <f>IF(AS72&lt;5,"Oui","Non")</f>
        <v/>
      </c>
      <c r="AU72" s="102" t="n">
        <v>5.132</v>
      </c>
      <c r="AV72" s="102" t="n">
        <v>-10.087</v>
      </c>
      <c r="AW72" s="102" t="n">
        <v>-1.214</v>
      </c>
      <c r="AX72" s="102" t="n">
        <v>5.312</v>
      </c>
      <c r="AY72" s="96" t="n">
        <v>13198</v>
      </c>
      <c r="AZ72" s="96" t="n">
        <v>8681</v>
      </c>
      <c r="BA72" s="96" t="n">
        <v>3764</v>
      </c>
      <c r="BB72" s="96" t="n">
        <v>3987</v>
      </c>
      <c r="BC72" s="96" t="n">
        <v>1482</v>
      </c>
      <c r="BD72" s="97">
        <f>AY72*INDEX(Régions!$AQ$2:$AQ$6,MATCH($B72,Régions!$A$2:$A$6,0))</f>
        <v/>
      </c>
      <c r="BE72" s="97">
        <f>AZ72*INDEX(Régions!$AR$2:$AR$6,MATCH($B72,Régions!$A$2:$A$6,0))</f>
        <v/>
      </c>
      <c r="BF72" s="97">
        <f>BA72*INDEX(Régions!$AS$2:$AS$6,MATCH($B72,Régions!$A$2:$A$6,0))</f>
        <v/>
      </c>
      <c r="BG72" s="97">
        <f>BB72*INDEX(Régions!$AT$2:$AT$6,MATCH($B72,Régions!$A$2:$A$6,0))</f>
        <v/>
      </c>
      <c r="BH72" s="97">
        <f>U72</f>
        <v/>
      </c>
      <c r="BI72" s="97">
        <f>BC72*INDEX(Régions!$AU$2:$AU$6,MATCH($B72,Régions!$A$2:$A$6,0))</f>
        <v/>
      </c>
      <c r="BJ72" s="97">
        <f>INDEX({"CAQ","PLQ","QS","PQ","PCQ","Autre"},MATCH(MAX(BD72:BI72),BD72:BI72,0))</f>
        <v/>
      </c>
    </row>
    <row r="73" ht="15" customHeight="1" s="60">
      <c r="A73" s="94" t="inlineStr">
        <is>
          <t>Masson</t>
        </is>
      </c>
      <c r="B73" s="94" t="inlineStr">
        <is>
          <t>Banlieue de Montréal</t>
        </is>
      </c>
      <c r="C73" s="95" t="inlineStr">
        <is>
          <t>CAQ</t>
        </is>
      </c>
      <c r="D73" s="96" t="n">
        <v>18194</v>
      </c>
      <c r="E73" s="96" t="n">
        <v>2723</v>
      </c>
      <c r="F73" s="96" t="n">
        <v>4610</v>
      </c>
      <c r="G73" s="96" t="n">
        <v>6432</v>
      </c>
      <c r="H73" s="96" t="n">
        <v>2972</v>
      </c>
      <c r="I73" s="96" t="n">
        <v>332</v>
      </c>
      <c r="J73" s="97">
        <f>SUM(D73:I73)</f>
        <v/>
      </c>
      <c r="K73" s="98">
        <f>IFERROR(D73/J73,0)</f>
        <v/>
      </c>
      <c r="L73" s="98">
        <f>IFERROR(E73/J73,0)</f>
        <v/>
      </c>
      <c r="M73" s="98">
        <f>IFERROR(F73/J73,0)</f>
        <v/>
      </c>
      <c r="N73" s="98">
        <f>IFERROR(G73/J73,0)</f>
        <v/>
      </c>
      <c r="O73" s="98">
        <f>IFERROR(H73/J73,0)</f>
        <v/>
      </c>
      <c r="P73" s="98">
        <f>IFERROR(I73/J73,0)</f>
        <v/>
      </c>
      <c r="Q73" s="97">
        <f>D73*INDEX(Régions!$T$2:$T$6,MATCH($B73,Régions!$A$2:$A$6,0))</f>
        <v/>
      </c>
      <c r="R73" s="97">
        <f>E73*INDEX(Régions!$U$2:$U$6,MATCH($B73,Régions!$A$2:$A$6,0))</f>
        <v/>
      </c>
      <c r="S73" s="97">
        <f>F73*INDEX(Régions!$V$2:$V$6,MATCH($B73,Régions!$A$2:$A$6,0))</f>
        <v/>
      </c>
      <c r="T73" s="97">
        <f>G73*INDEX(Régions!$W$2:$W$6,MATCH($B73,Régions!$A$2:$A$6,0))</f>
        <v/>
      </c>
      <c r="U73" s="97">
        <f>H73*INDEX(Régions!$X$2:$X$6,MATCH($B73,Régions!$A$2:$A$6,0))</f>
        <v/>
      </c>
      <c r="V73" s="97">
        <f>I73*INDEX(Régions!$Y$2:$Y$6,MATCH($B73,Régions!$A$2:$A$6,0))</f>
        <v/>
      </c>
      <c r="W73" s="97">
        <f>Q73+(AU73/100)*J73*Régions!$O$2</f>
        <v/>
      </c>
      <c r="X73" s="97">
        <f>R73+(AV73/100)*J73*Régions!$O$2</f>
        <v/>
      </c>
      <c r="Y73" s="97">
        <f>S73+(AW73/100)*J73*Régions!$O$2</f>
        <v/>
      </c>
      <c r="Z73" s="97">
        <f>T73+(AX73/100)*J73*Régions!$O$2</f>
        <v/>
      </c>
      <c r="AA73" s="97">
        <f>U73</f>
        <v/>
      </c>
      <c r="AB73" s="97">
        <f>V73</f>
        <v/>
      </c>
      <c r="AC73" s="97">
        <f>D73*INDEX(Régions!$Z$2:$Z$6,MATCH($B73,Régions!$A$2:$A$6,0))</f>
        <v/>
      </c>
      <c r="AD73" s="97">
        <f>E73*INDEX(Régions!$AA$2:$AA$6,MATCH($B73,Régions!$A$2:$A$6,0))</f>
        <v/>
      </c>
      <c r="AE73" s="97">
        <f>F73*INDEX(Régions!$AB$2:$AB$6,MATCH($B73,Régions!$A$2:$A$6,0))</f>
        <v/>
      </c>
      <c r="AF73" s="97">
        <f>G73*INDEX(Régions!$AC$2:$AC$6,MATCH($B73,Régions!$A$2:$A$6,0))</f>
        <v/>
      </c>
      <c r="AG73" s="97">
        <f>H73*INDEX(Régions!$AD$2:$AD$6,MATCH($B73,Régions!$A$2:$A$6,0))</f>
        <v/>
      </c>
      <c r="AH73" s="97">
        <f>I73*INDEX(Régions!$AE$2:$AE$6,MATCH($B73,Régions!$A$2:$A$6,0))</f>
        <v/>
      </c>
      <c r="AI73" s="97">
        <f>D73*INDEX(Régions!$AF$2:$AF$6,MATCH($B73,Régions!$A$2:$A$6,0))</f>
        <v/>
      </c>
      <c r="AJ73" s="97">
        <f>E73*INDEX(Régions!$AG$2:$AG$6,MATCH($B73,Régions!$A$2:$A$6,0))</f>
        <v/>
      </c>
      <c r="AK73" s="97">
        <f>F73*INDEX(Régions!$AH$2:$AH$6,MATCH($B73,Régions!$A$2:$A$6,0))</f>
        <v/>
      </c>
      <c r="AL73" s="97">
        <f>G73*INDEX(Régions!$AI$2:$AI$6,MATCH($B73,Régions!$A$2:$A$6,0))</f>
        <v/>
      </c>
      <c r="AM73" s="97">
        <f>H73*INDEX(Régions!$AJ$2:$AJ$6,MATCH($B73,Régions!$A$2:$A$6,0))</f>
        <v/>
      </c>
      <c r="AN73" s="97">
        <f>I73*INDEX(Régions!$AK$2:$AK$6,MATCH($B73,Régions!$A$2:$A$6,0))</f>
        <v/>
      </c>
      <c r="AO73" s="99">
        <f>INDEX({"CAQ","PLQ","QS","PQ","PCQ","Autre"},MATCH(MAX(Q73:V73),Q73:V73,0))</f>
        <v/>
      </c>
      <c r="AP73" s="99">
        <f>INDEX({"CAQ","PLQ","QS","PQ","PCQ","Autre"},MATCH(MAX(W73:AB73),W73:AB73,0))</f>
        <v/>
      </c>
      <c r="AQ73" s="99">
        <f>INDEX({"CAQ","PLQ","QS","PQ","PCQ","Autre"},MATCH(MAX(AC73:AH73),AC73:AH73,0))</f>
        <v/>
      </c>
      <c r="AR73" s="99">
        <f>INDEX({"CAQ","PLQ","QS","PQ","PCQ","Autre"},MATCH(MAX(AI73:AN73),AI73:AN73,0))</f>
        <v/>
      </c>
      <c r="AS73" s="100">
        <f>(MAX(K73:P73)-LARGE(K73:P73,2))*100</f>
        <v/>
      </c>
      <c r="AT73" s="101">
        <f>IF(AS73&lt;5,"Oui","Non")</f>
        <v/>
      </c>
      <c r="AU73" s="102" t="n">
        <v>-4.579</v>
      </c>
      <c r="AV73" s="102" t="n">
        <v>3.734</v>
      </c>
      <c r="AW73" s="102" t="n">
        <v>0.325</v>
      </c>
      <c r="AX73" s="102" t="n">
        <v>1.529</v>
      </c>
      <c r="AY73" s="96" t="n">
        <v>17564</v>
      </c>
      <c r="AZ73" s="96" t="n">
        <v>3606</v>
      </c>
      <c r="BA73" s="96" t="n">
        <v>4451</v>
      </c>
      <c r="BB73" s="96" t="n">
        <v>6527</v>
      </c>
      <c r="BC73" s="96" t="n">
        <v>962</v>
      </c>
      <c r="BD73" s="97">
        <f>AY73*INDEX(Régions!$AQ$2:$AQ$6,MATCH($B73,Régions!$A$2:$A$6,0))</f>
        <v/>
      </c>
      <c r="BE73" s="97">
        <f>AZ73*INDEX(Régions!$AR$2:$AR$6,MATCH($B73,Régions!$A$2:$A$6,0))</f>
        <v/>
      </c>
      <c r="BF73" s="97">
        <f>BA73*INDEX(Régions!$AS$2:$AS$6,MATCH($B73,Régions!$A$2:$A$6,0))</f>
        <v/>
      </c>
      <c r="BG73" s="97">
        <f>BB73*INDEX(Régions!$AT$2:$AT$6,MATCH($B73,Régions!$A$2:$A$6,0))</f>
        <v/>
      </c>
      <c r="BH73" s="97">
        <f>U73</f>
        <v/>
      </c>
      <c r="BI73" s="97">
        <f>BC73*INDEX(Régions!$AU$2:$AU$6,MATCH($B73,Régions!$A$2:$A$6,0))</f>
        <v/>
      </c>
      <c r="BJ73" s="97">
        <f>INDEX({"CAQ","PLQ","QS","PQ","PCQ","Autre"},MATCH(MAX(BD73:BI73),BD73:BI73,0))</f>
        <v/>
      </c>
    </row>
    <row r="74" ht="15" customHeight="1" s="60">
      <c r="A74" s="94" t="inlineStr">
        <is>
          <t>Matane-Matapédia-Mitis</t>
        </is>
      </c>
      <c r="B74" s="94" t="inlineStr">
        <is>
          <t>Reste du Québec</t>
        </is>
      </c>
      <c r="C74" s="95" t="inlineStr">
        <is>
          <t>PQ</t>
        </is>
      </c>
      <c r="D74" s="96" t="n">
        <v>5163</v>
      </c>
      <c r="E74" s="96" t="n">
        <v>637</v>
      </c>
      <c r="F74" s="96" t="n">
        <v>1450</v>
      </c>
      <c r="G74" s="96" t="n">
        <v>20057</v>
      </c>
      <c r="H74" s="96" t="n">
        <v>2316</v>
      </c>
      <c r="I74" s="96" t="n">
        <v>123</v>
      </c>
      <c r="J74" s="97">
        <f>SUM(D74:I74)</f>
        <v/>
      </c>
      <c r="K74" s="98">
        <f>IFERROR(D74/J74,0)</f>
        <v/>
      </c>
      <c r="L74" s="98">
        <f>IFERROR(E74/J74,0)</f>
        <v/>
      </c>
      <c r="M74" s="98">
        <f>IFERROR(F74/J74,0)</f>
        <v/>
      </c>
      <c r="N74" s="98">
        <f>IFERROR(G74/J74,0)</f>
        <v/>
      </c>
      <c r="O74" s="98">
        <f>IFERROR(H74/J74,0)</f>
        <v/>
      </c>
      <c r="P74" s="98">
        <f>IFERROR(I74/J74,0)</f>
        <v/>
      </c>
      <c r="Q74" s="97">
        <f>D74*INDEX(Régions!$T$2:$T$6,MATCH($B74,Régions!$A$2:$A$6,0))</f>
        <v/>
      </c>
      <c r="R74" s="97">
        <f>E74*INDEX(Régions!$U$2:$U$6,MATCH($B74,Régions!$A$2:$A$6,0))</f>
        <v/>
      </c>
      <c r="S74" s="97">
        <f>F74*INDEX(Régions!$V$2:$V$6,MATCH($B74,Régions!$A$2:$A$6,0))</f>
        <v/>
      </c>
      <c r="T74" s="97">
        <f>G74*INDEX(Régions!$W$2:$W$6,MATCH($B74,Régions!$A$2:$A$6,0))</f>
        <v/>
      </c>
      <c r="U74" s="97">
        <f>H74*INDEX(Régions!$X$2:$X$6,MATCH($B74,Régions!$A$2:$A$6,0))</f>
        <v/>
      </c>
      <c r="V74" s="97">
        <f>I74*INDEX(Régions!$Y$2:$Y$6,MATCH($B74,Régions!$A$2:$A$6,0))</f>
        <v/>
      </c>
      <c r="W74" s="97">
        <f>Q74+(AU74/100)*J74*Régions!$O$2</f>
        <v/>
      </c>
      <c r="X74" s="97">
        <f>R74+(AV74/100)*J74*Régions!$O$2</f>
        <v/>
      </c>
      <c r="Y74" s="97">
        <f>S74+(AW74/100)*J74*Régions!$O$2</f>
        <v/>
      </c>
      <c r="Z74" s="97">
        <f>T74+(AX74/100)*J74*Régions!$O$2</f>
        <v/>
      </c>
      <c r="AA74" s="97">
        <f>U74</f>
        <v/>
      </c>
      <c r="AB74" s="97">
        <f>V74</f>
        <v/>
      </c>
      <c r="AC74" s="97">
        <f>D74*INDEX(Régions!$Z$2:$Z$6,MATCH($B74,Régions!$A$2:$A$6,0))</f>
        <v/>
      </c>
      <c r="AD74" s="97">
        <f>E74*INDEX(Régions!$AA$2:$AA$6,MATCH($B74,Régions!$A$2:$A$6,0))</f>
        <v/>
      </c>
      <c r="AE74" s="97">
        <f>F74*INDEX(Régions!$AB$2:$AB$6,MATCH($B74,Régions!$A$2:$A$6,0))</f>
        <v/>
      </c>
      <c r="AF74" s="97">
        <f>G74*INDEX(Régions!$AC$2:$AC$6,MATCH($B74,Régions!$A$2:$A$6,0))</f>
        <v/>
      </c>
      <c r="AG74" s="97">
        <f>H74*INDEX(Régions!$AD$2:$AD$6,MATCH($B74,Régions!$A$2:$A$6,0))</f>
        <v/>
      </c>
      <c r="AH74" s="97">
        <f>I74*INDEX(Régions!$AE$2:$AE$6,MATCH($B74,Régions!$A$2:$A$6,0))</f>
        <v/>
      </c>
      <c r="AI74" s="97">
        <f>D74*INDEX(Régions!$AF$2:$AF$6,MATCH($B74,Régions!$A$2:$A$6,0))</f>
        <v/>
      </c>
      <c r="AJ74" s="97">
        <f>E74*INDEX(Régions!$AG$2:$AG$6,MATCH($B74,Régions!$A$2:$A$6,0))</f>
        <v/>
      </c>
      <c r="AK74" s="97">
        <f>F74*INDEX(Régions!$AH$2:$AH$6,MATCH($B74,Régions!$A$2:$A$6,0))</f>
        <v/>
      </c>
      <c r="AL74" s="97">
        <f>G74*INDEX(Régions!$AI$2:$AI$6,MATCH($B74,Régions!$A$2:$A$6,0))</f>
        <v/>
      </c>
      <c r="AM74" s="97">
        <f>H74*INDEX(Régions!$AJ$2:$AJ$6,MATCH($B74,Régions!$A$2:$A$6,0))</f>
        <v/>
      </c>
      <c r="AN74" s="97">
        <f>I74*INDEX(Régions!$AK$2:$AK$6,MATCH($B74,Régions!$A$2:$A$6,0))</f>
        <v/>
      </c>
      <c r="AO74" s="99">
        <f>INDEX({"CAQ","PLQ","QS","PQ","PCQ","Autre"},MATCH(MAX(Q74:V74),Q74:V74,0))</f>
        <v/>
      </c>
      <c r="AP74" s="99">
        <f>INDEX({"CAQ","PLQ","QS","PQ","PCQ","Autre"},MATCH(MAX(W74:AB74),W74:AB74,0))</f>
        <v/>
      </c>
      <c r="AQ74" s="99">
        <f>INDEX({"CAQ","PLQ","QS","PQ","PCQ","Autre"},MATCH(MAX(AC74:AH74),AC74:AH74,0))</f>
        <v/>
      </c>
      <c r="AR74" s="99">
        <f>INDEX({"CAQ","PLQ","QS","PQ","PCQ","Autre"},MATCH(MAX(AI74:AN74),AI74:AN74,0))</f>
        <v/>
      </c>
      <c r="AS74" s="100">
        <f>(MAX(K74:P74)-LARGE(K74:P74,2))*100</f>
        <v/>
      </c>
      <c r="AT74" s="101">
        <f>IF(AS74&lt;5,"Oui","Non")</f>
        <v/>
      </c>
      <c r="AU74" s="102" t="n">
        <v>0.046</v>
      </c>
      <c r="AV74" s="102" t="n">
        <v>3.624</v>
      </c>
      <c r="AW74" s="102" t="n">
        <v>0.08500000000000001</v>
      </c>
      <c r="AX74" s="102" t="n">
        <v>1.952</v>
      </c>
      <c r="AY74" s="96" t="n">
        <v>3379</v>
      </c>
      <c r="AZ74" s="96" t="n">
        <v>3351</v>
      </c>
      <c r="BA74" s="96" t="n">
        <v>1718</v>
      </c>
      <c r="BB74" s="96" t="n">
        <v>20658</v>
      </c>
      <c r="BC74" s="96" t="n">
        <v>635</v>
      </c>
      <c r="BD74" s="97">
        <f>AY74*INDEX(Régions!$AQ$2:$AQ$6,MATCH($B74,Régions!$A$2:$A$6,0))</f>
        <v/>
      </c>
      <c r="BE74" s="97">
        <f>AZ74*INDEX(Régions!$AR$2:$AR$6,MATCH($B74,Régions!$A$2:$A$6,0))</f>
        <v/>
      </c>
      <c r="BF74" s="97">
        <f>BA74*INDEX(Régions!$AS$2:$AS$6,MATCH($B74,Régions!$A$2:$A$6,0))</f>
        <v/>
      </c>
      <c r="BG74" s="97">
        <f>BB74*INDEX(Régions!$AT$2:$AT$6,MATCH($B74,Régions!$A$2:$A$6,0))</f>
        <v/>
      </c>
      <c r="BH74" s="97">
        <f>U74</f>
        <v/>
      </c>
      <c r="BI74" s="97">
        <f>BC74*INDEX(Régions!$AU$2:$AU$6,MATCH($B74,Régions!$A$2:$A$6,0))</f>
        <v/>
      </c>
      <c r="BJ74" s="97">
        <f>INDEX({"CAQ","PLQ","QS","PQ","PCQ","Autre"},MATCH(MAX(BD74:BI74),BD74:BI74,0))</f>
        <v/>
      </c>
    </row>
    <row r="75" ht="15" customHeight="1" s="60">
      <c r="A75" s="94" t="inlineStr">
        <is>
          <t>Maurice-Richard</t>
        </is>
      </c>
      <c r="B75" s="94" t="inlineStr">
        <is>
          <t>Île de Montréal</t>
        </is>
      </c>
      <c r="C75" s="95" t="inlineStr">
        <is>
          <t>QS</t>
        </is>
      </c>
      <c r="D75" s="96" t="n">
        <v>8542</v>
      </c>
      <c r="E75" s="96" t="n">
        <v>5414</v>
      </c>
      <c r="F75" s="96" t="n">
        <v>10903</v>
      </c>
      <c r="G75" s="96" t="n">
        <v>4612</v>
      </c>
      <c r="H75" s="96" t="n">
        <v>1322</v>
      </c>
      <c r="I75" s="96" t="n">
        <v>654</v>
      </c>
      <c r="J75" s="97">
        <f>SUM(D75:I75)</f>
        <v/>
      </c>
      <c r="K75" s="98">
        <f>IFERROR(D75/J75,0)</f>
        <v/>
      </c>
      <c r="L75" s="98">
        <f>IFERROR(E75/J75,0)</f>
        <v/>
      </c>
      <c r="M75" s="98">
        <f>IFERROR(F75/J75,0)</f>
        <v/>
      </c>
      <c r="N75" s="98">
        <f>IFERROR(G75/J75,0)</f>
        <v/>
      </c>
      <c r="O75" s="98">
        <f>IFERROR(H75/J75,0)</f>
        <v/>
      </c>
      <c r="P75" s="98">
        <f>IFERROR(I75/J75,0)</f>
        <v/>
      </c>
      <c r="Q75" s="97">
        <f>D75*INDEX(Régions!$T$2:$T$6,MATCH($B75,Régions!$A$2:$A$6,0))</f>
        <v/>
      </c>
      <c r="R75" s="97">
        <f>E75*INDEX(Régions!$U$2:$U$6,MATCH($B75,Régions!$A$2:$A$6,0))</f>
        <v/>
      </c>
      <c r="S75" s="97">
        <f>F75*INDEX(Régions!$V$2:$V$6,MATCH($B75,Régions!$A$2:$A$6,0))</f>
        <v/>
      </c>
      <c r="T75" s="97">
        <f>G75*INDEX(Régions!$W$2:$W$6,MATCH($B75,Régions!$A$2:$A$6,0))</f>
        <v/>
      </c>
      <c r="U75" s="97">
        <f>H75*INDEX(Régions!$X$2:$X$6,MATCH($B75,Régions!$A$2:$A$6,0))</f>
        <v/>
      </c>
      <c r="V75" s="97">
        <f>I75*INDEX(Régions!$Y$2:$Y$6,MATCH($B75,Régions!$A$2:$A$6,0))</f>
        <v/>
      </c>
      <c r="W75" s="97">
        <f>Q75+(AU75/100)*J75*Régions!$O$2</f>
        <v/>
      </c>
      <c r="X75" s="97">
        <f>R75+(AV75/100)*J75*Régions!$O$2</f>
        <v/>
      </c>
      <c r="Y75" s="97">
        <f>S75+(AW75/100)*J75*Régions!$O$2</f>
        <v/>
      </c>
      <c r="Z75" s="97">
        <f>T75+(AX75/100)*J75*Régions!$O$2</f>
        <v/>
      </c>
      <c r="AA75" s="97">
        <f>U75</f>
        <v/>
      </c>
      <c r="AB75" s="97">
        <f>V75</f>
        <v/>
      </c>
      <c r="AC75" s="97">
        <f>D75*INDEX(Régions!$Z$2:$Z$6,MATCH($B75,Régions!$A$2:$A$6,0))</f>
        <v/>
      </c>
      <c r="AD75" s="97">
        <f>E75*INDEX(Régions!$AA$2:$AA$6,MATCH($B75,Régions!$A$2:$A$6,0))</f>
        <v/>
      </c>
      <c r="AE75" s="97">
        <f>F75*INDEX(Régions!$AB$2:$AB$6,MATCH($B75,Régions!$A$2:$A$6,0))</f>
        <v/>
      </c>
      <c r="AF75" s="97">
        <f>G75*INDEX(Régions!$AC$2:$AC$6,MATCH($B75,Régions!$A$2:$A$6,0))</f>
        <v/>
      </c>
      <c r="AG75" s="97">
        <f>H75*INDEX(Régions!$AD$2:$AD$6,MATCH($B75,Régions!$A$2:$A$6,0))</f>
        <v/>
      </c>
      <c r="AH75" s="97">
        <f>I75*INDEX(Régions!$AE$2:$AE$6,MATCH($B75,Régions!$A$2:$A$6,0))</f>
        <v/>
      </c>
      <c r="AI75" s="97">
        <f>D75*INDEX(Régions!$AF$2:$AF$6,MATCH($B75,Régions!$A$2:$A$6,0))</f>
        <v/>
      </c>
      <c r="AJ75" s="97">
        <f>E75*INDEX(Régions!$AG$2:$AG$6,MATCH($B75,Régions!$A$2:$A$6,0))</f>
        <v/>
      </c>
      <c r="AK75" s="97">
        <f>F75*INDEX(Régions!$AH$2:$AH$6,MATCH($B75,Régions!$A$2:$A$6,0))</f>
        <v/>
      </c>
      <c r="AL75" s="97">
        <f>G75*INDEX(Régions!$AI$2:$AI$6,MATCH($B75,Régions!$A$2:$A$6,0))</f>
        <v/>
      </c>
      <c r="AM75" s="97">
        <f>H75*INDEX(Régions!$AJ$2:$AJ$6,MATCH($B75,Régions!$A$2:$A$6,0))</f>
        <v/>
      </c>
      <c r="AN75" s="97">
        <f>I75*INDEX(Régions!$AK$2:$AK$6,MATCH($B75,Régions!$A$2:$A$6,0))</f>
        <v/>
      </c>
      <c r="AO75" s="99">
        <f>INDEX({"CAQ","PLQ","QS","PQ","PCQ","Autre"},MATCH(MAX(Q75:V75),Q75:V75,0))</f>
        <v/>
      </c>
      <c r="AP75" s="99">
        <f>INDEX({"CAQ","PLQ","QS","PQ","PCQ","Autre"},MATCH(MAX(W75:AB75),W75:AB75,0))</f>
        <v/>
      </c>
      <c r="AQ75" s="99">
        <f>INDEX({"CAQ","PLQ","QS","PQ","PCQ","Autre"},MATCH(MAX(AC75:AH75),AC75:AH75,0))</f>
        <v/>
      </c>
      <c r="AR75" s="99">
        <f>INDEX({"CAQ","PLQ","QS","PQ","PCQ","Autre"},MATCH(MAX(AI75:AN75),AI75:AN75,0))</f>
        <v/>
      </c>
      <c r="AS75" s="100">
        <f>(MAX(K75:P75)-LARGE(K75:P75,2))*100</f>
        <v/>
      </c>
      <c r="AT75" s="101">
        <f>IF(AS75&lt;5,"Oui","Non")</f>
        <v/>
      </c>
      <c r="AU75" s="102" t="n">
        <v>5.304</v>
      </c>
      <c r="AV75" s="102" t="n">
        <v>-3.464</v>
      </c>
      <c r="AW75" s="102" t="n">
        <v>6.066</v>
      </c>
      <c r="AX75" s="102" t="n">
        <v>-3.31</v>
      </c>
      <c r="AY75" s="96" t="n">
        <v>6330</v>
      </c>
      <c r="AZ75" s="96" t="n">
        <v>9459</v>
      </c>
      <c r="BA75" s="96" t="n">
        <v>8929</v>
      </c>
      <c r="BB75" s="96" t="n">
        <v>6131</v>
      </c>
      <c r="BC75" s="96" t="n">
        <v>1199</v>
      </c>
      <c r="BD75" s="97">
        <f>AY75*INDEX(Régions!$AQ$2:$AQ$6,MATCH($B75,Régions!$A$2:$A$6,0))</f>
        <v/>
      </c>
      <c r="BE75" s="97">
        <f>AZ75*INDEX(Régions!$AR$2:$AR$6,MATCH($B75,Régions!$A$2:$A$6,0))</f>
        <v/>
      </c>
      <c r="BF75" s="97">
        <f>BA75*INDEX(Régions!$AS$2:$AS$6,MATCH($B75,Régions!$A$2:$A$6,0))</f>
        <v/>
      </c>
      <c r="BG75" s="97">
        <f>BB75*INDEX(Régions!$AT$2:$AT$6,MATCH($B75,Régions!$A$2:$A$6,0))</f>
        <v/>
      </c>
      <c r="BH75" s="97">
        <f>U75</f>
        <v/>
      </c>
      <c r="BI75" s="97">
        <f>BC75*INDEX(Régions!$AU$2:$AU$6,MATCH($B75,Régions!$A$2:$A$6,0))</f>
        <v/>
      </c>
      <c r="BJ75" s="97">
        <f>INDEX({"CAQ","PLQ","QS","PQ","PCQ","Autre"},MATCH(MAX(BD75:BI75),BD75:BI75,0))</f>
        <v/>
      </c>
    </row>
    <row r="76" ht="15" customHeight="1" s="60">
      <c r="A76" s="94" t="inlineStr">
        <is>
          <t>Mercier</t>
        </is>
      </c>
      <c r="B76" s="94" t="inlineStr">
        <is>
          <t>Île de Montréal</t>
        </is>
      </c>
      <c r="C76" s="95" t="inlineStr">
        <is>
          <t>QS</t>
        </is>
      </c>
      <c r="D76" s="96" t="n">
        <v>2814</v>
      </c>
      <c r="E76" s="96" t="n">
        <v>3837</v>
      </c>
      <c r="F76" s="96" t="n">
        <v>14755</v>
      </c>
      <c r="G76" s="96" t="n">
        <v>3986</v>
      </c>
      <c r="H76" s="96" t="n">
        <v>1051</v>
      </c>
      <c r="I76" s="96" t="n">
        <v>920</v>
      </c>
      <c r="J76" s="97">
        <f>SUM(D76:I76)</f>
        <v/>
      </c>
      <c r="K76" s="98">
        <f>IFERROR(D76/J76,0)</f>
        <v/>
      </c>
      <c r="L76" s="98">
        <f>IFERROR(E76/J76,0)</f>
        <v/>
      </c>
      <c r="M76" s="98">
        <f>IFERROR(F76/J76,0)</f>
        <v/>
      </c>
      <c r="N76" s="98">
        <f>IFERROR(G76/J76,0)</f>
        <v/>
      </c>
      <c r="O76" s="98">
        <f>IFERROR(H76/J76,0)</f>
        <v/>
      </c>
      <c r="P76" s="98">
        <f>IFERROR(I76/J76,0)</f>
        <v/>
      </c>
      <c r="Q76" s="97">
        <f>D76*INDEX(Régions!$T$2:$T$6,MATCH($B76,Régions!$A$2:$A$6,0))</f>
        <v/>
      </c>
      <c r="R76" s="97">
        <f>E76*INDEX(Régions!$U$2:$U$6,MATCH($B76,Régions!$A$2:$A$6,0))</f>
        <v/>
      </c>
      <c r="S76" s="97">
        <f>F76*INDEX(Régions!$V$2:$V$6,MATCH($B76,Régions!$A$2:$A$6,0))</f>
        <v/>
      </c>
      <c r="T76" s="97">
        <f>G76*INDEX(Régions!$W$2:$W$6,MATCH($B76,Régions!$A$2:$A$6,0))</f>
        <v/>
      </c>
      <c r="U76" s="97">
        <f>H76*INDEX(Régions!$X$2:$X$6,MATCH($B76,Régions!$A$2:$A$6,0))</f>
        <v/>
      </c>
      <c r="V76" s="97">
        <f>I76*INDEX(Régions!$Y$2:$Y$6,MATCH($B76,Régions!$A$2:$A$6,0))</f>
        <v/>
      </c>
      <c r="W76" s="97">
        <f>Q76+(AU76/100)*J76*Régions!$O$2</f>
        <v/>
      </c>
      <c r="X76" s="97">
        <f>R76+(AV76/100)*J76*Régions!$O$2</f>
        <v/>
      </c>
      <c r="Y76" s="97">
        <f>S76+(AW76/100)*J76*Régions!$O$2</f>
        <v/>
      </c>
      <c r="Z76" s="97">
        <f>T76+(AX76/100)*J76*Régions!$O$2</f>
        <v/>
      </c>
      <c r="AA76" s="97">
        <f>U76</f>
        <v/>
      </c>
      <c r="AB76" s="97">
        <f>V76</f>
        <v/>
      </c>
      <c r="AC76" s="97">
        <f>D76*INDEX(Régions!$Z$2:$Z$6,MATCH($B76,Régions!$A$2:$A$6,0))</f>
        <v/>
      </c>
      <c r="AD76" s="97">
        <f>E76*INDEX(Régions!$AA$2:$AA$6,MATCH($B76,Régions!$A$2:$A$6,0))</f>
        <v/>
      </c>
      <c r="AE76" s="97">
        <f>F76*INDEX(Régions!$AB$2:$AB$6,MATCH($B76,Régions!$A$2:$A$6,0))</f>
        <v/>
      </c>
      <c r="AF76" s="97">
        <f>G76*INDEX(Régions!$AC$2:$AC$6,MATCH($B76,Régions!$A$2:$A$6,0))</f>
        <v/>
      </c>
      <c r="AG76" s="97">
        <f>H76*INDEX(Régions!$AD$2:$AD$6,MATCH($B76,Régions!$A$2:$A$6,0))</f>
        <v/>
      </c>
      <c r="AH76" s="97">
        <f>I76*INDEX(Régions!$AE$2:$AE$6,MATCH($B76,Régions!$A$2:$A$6,0))</f>
        <v/>
      </c>
      <c r="AI76" s="97">
        <f>D76*INDEX(Régions!$AF$2:$AF$6,MATCH($B76,Régions!$A$2:$A$6,0))</f>
        <v/>
      </c>
      <c r="AJ76" s="97">
        <f>E76*INDEX(Régions!$AG$2:$AG$6,MATCH($B76,Régions!$A$2:$A$6,0))</f>
        <v/>
      </c>
      <c r="AK76" s="97">
        <f>F76*INDEX(Régions!$AH$2:$AH$6,MATCH($B76,Régions!$A$2:$A$6,0))</f>
        <v/>
      </c>
      <c r="AL76" s="97">
        <f>G76*INDEX(Régions!$AI$2:$AI$6,MATCH($B76,Régions!$A$2:$A$6,0))</f>
        <v/>
      </c>
      <c r="AM76" s="97">
        <f>H76*INDEX(Régions!$AJ$2:$AJ$6,MATCH($B76,Régions!$A$2:$A$6,0))</f>
        <v/>
      </c>
      <c r="AN76" s="97">
        <f>I76*INDEX(Régions!$AK$2:$AK$6,MATCH($B76,Régions!$A$2:$A$6,0))</f>
        <v/>
      </c>
      <c r="AO76" s="99">
        <f>INDEX({"CAQ","PLQ","QS","PQ","PCQ","Autre"},MATCH(MAX(Q76:V76),Q76:V76,0))</f>
        <v/>
      </c>
      <c r="AP76" s="99">
        <f>INDEX({"CAQ","PLQ","QS","PQ","PCQ","Autre"},MATCH(MAX(W76:AB76),W76:AB76,0))</f>
        <v/>
      </c>
      <c r="AQ76" s="99">
        <f>INDEX({"CAQ","PLQ","QS","PQ","PCQ","Autre"},MATCH(MAX(AC76:AH76),AC76:AH76,0))</f>
        <v/>
      </c>
      <c r="AR76" s="99">
        <f>INDEX({"CAQ","PLQ","QS","PQ","PCQ","Autre"},MATCH(MAX(AI76:AN76),AI76:AN76,0))</f>
        <v/>
      </c>
      <c r="AS76" s="100">
        <f>(MAX(K76:P76)-LARGE(K76:P76,2))*100</f>
        <v/>
      </c>
      <c r="AT76" s="101">
        <f>IF(AS76&lt;5,"Oui","Non")</f>
        <v/>
      </c>
      <c r="AU76" s="102" t="n">
        <v>0.138</v>
      </c>
      <c r="AV76" s="102" t="n">
        <v>5.151</v>
      </c>
      <c r="AW76" s="102" t="n">
        <v>-1.319</v>
      </c>
      <c r="AX76" s="102" t="n">
        <v>3.595</v>
      </c>
      <c r="AY76" s="96" t="n">
        <v>2348</v>
      </c>
      <c r="AZ76" s="96" t="n">
        <v>5172</v>
      </c>
      <c r="BA76" s="96" t="n">
        <v>15919</v>
      </c>
      <c r="BB76" s="96" t="n">
        <v>3542</v>
      </c>
      <c r="BC76" s="96" t="n">
        <v>2229</v>
      </c>
      <c r="BD76" s="97">
        <f>AY76*INDEX(Régions!$AQ$2:$AQ$6,MATCH($B76,Régions!$A$2:$A$6,0))</f>
        <v/>
      </c>
      <c r="BE76" s="97">
        <f>AZ76*INDEX(Régions!$AR$2:$AR$6,MATCH($B76,Régions!$A$2:$A$6,0))</f>
        <v/>
      </c>
      <c r="BF76" s="97">
        <f>BA76*INDEX(Régions!$AS$2:$AS$6,MATCH($B76,Régions!$A$2:$A$6,0))</f>
        <v/>
      </c>
      <c r="BG76" s="97">
        <f>BB76*INDEX(Régions!$AT$2:$AT$6,MATCH($B76,Régions!$A$2:$A$6,0))</f>
        <v/>
      </c>
      <c r="BH76" s="97">
        <f>U76</f>
        <v/>
      </c>
      <c r="BI76" s="97">
        <f>BC76*INDEX(Régions!$AU$2:$AU$6,MATCH($B76,Régions!$A$2:$A$6,0))</f>
        <v/>
      </c>
      <c r="BJ76" s="97">
        <f>INDEX({"CAQ","PLQ","QS","PQ","PCQ","Autre"},MATCH(MAX(BD76:BI76),BD76:BI76,0))</f>
        <v/>
      </c>
    </row>
    <row r="77" ht="15" customHeight="1" s="60">
      <c r="A77" s="94" t="inlineStr">
        <is>
          <t>Mille-Îles</t>
        </is>
      </c>
      <c r="B77" s="94" t="inlineStr">
        <is>
          <t>Banlieue de Montréal</t>
        </is>
      </c>
      <c r="C77" s="95" t="inlineStr">
        <is>
          <t>PLQ</t>
        </is>
      </c>
      <c r="D77" s="96" t="n">
        <v>9967</v>
      </c>
      <c r="E77" s="96" t="n">
        <v>10305</v>
      </c>
      <c r="F77" s="96" t="n">
        <v>4244</v>
      </c>
      <c r="G77" s="96" t="n">
        <v>3903</v>
      </c>
      <c r="H77" s="96" t="n">
        <v>3339</v>
      </c>
      <c r="I77" s="96" t="n">
        <v>379</v>
      </c>
      <c r="J77" s="97">
        <f>SUM(D77:I77)</f>
        <v/>
      </c>
      <c r="K77" s="98">
        <f>IFERROR(D77/J77,0)</f>
        <v/>
      </c>
      <c r="L77" s="98">
        <f>IFERROR(E77/J77,0)</f>
        <v/>
      </c>
      <c r="M77" s="98">
        <f>IFERROR(F77/J77,0)</f>
        <v/>
      </c>
      <c r="N77" s="98">
        <f>IFERROR(G77/J77,0)</f>
        <v/>
      </c>
      <c r="O77" s="98">
        <f>IFERROR(H77/J77,0)</f>
        <v/>
      </c>
      <c r="P77" s="98">
        <f>IFERROR(I77/J77,0)</f>
        <v/>
      </c>
      <c r="Q77" s="97">
        <f>D77*INDEX(Régions!$T$2:$T$6,MATCH($B77,Régions!$A$2:$A$6,0))</f>
        <v/>
      </c>
      <c r="R77" s="97">
        <f>E77*INDEX(Régions!$U$2:$U$6,MATCH($B77,Régions!$A$2:$A$6,0))</f>
        <v/>
      </c>
      <c r="S77" s="97">
        <f>F77*INDEX(Régions!$V$2:$V$6,MATCH($B77,Régions!$A$2:$A$6,0))</f>
        <v/>
      </c>
      <c r="T77" s="97">
        <f>G77*INDEX(Régions!$W$2:$W$6,MATCH($B77,Régions!$A$2:$A$6,0))</f>
        <v/>
      </c>
      <c r="U77" s="97">
        <f>H77*INDEX(Régions!$X$2:$X$6,MATCH($B77,Régions!$A$2:$A$6,0))</f>
        <v/>
      </c>
      <c r="V77" s="97">
        <f>I77*INDEX(Régions!$Y$2:$Y$6,MATCH($B77,Régions!$A$2:$A$6,0))</f>
        <v/>
      </c>
      <c r="W77" s="97">
        <f>Q77+(AU77/100)*J77*Régions!$O$2</f>
        <v/>
      </c>
      <c r="X77" s="97">
        <f>R77+(AV77/100)*J77*Régions!$O$2</f>
        <v/>
      </c>
      <c r="Y77" s="97">
        <f>S77+(AW77/100)*J77*Régions!$O$2</f>
        <v/>
      </c>
      <c r="Z77" s="97">
        <f>T77+(AX77/100)*J77*Régions!$O$2</f>
        <v/>
      </c>
      <c r="AA77" s="97">
        <f>U77</f>
        <v/>
      </c>
      <c r="AB77" s="97">
        <f>V77</f>
        <v/>
      </c>
      <c r="AC77" s="97">
        <f>D77*INDEX(Régions!$Z$2:$Z$6,MATCH($B77,Régions!$A$2:$A$6,0))</f>
        <v/>
      </c>
      <c r="AD77" s="97">
        <f>E77*INDEX(Régions!$AA$2:$AA$6,MATCH($B77,Régions!$A$2:$A$6,0))</f>
        <v/>
      </c>
      <c r="AE77" s="97">
        <f>F77*INDEX(Régions!$AB$2:$AB$6,MATCH($B77,Régions!$A$2:$A$6,0))</f>
        <v/>
      </c>
      <c r="AF77" s="97">
        <f>G77*INDEX(Régions!$AC$2:$AC$6,MATCH($B77,Régions!$A$2:$A$6,0))</f>
        <v/>
      </c>
      <c r="AG77" s="97">
        <f>H77*INDEX(Régions!$AD$2:$AD$6,MATCH($B77,Régions!$A$2:$A$6,0))</f>
        <v/>
      </c>
      <c r="AH77" s="97">
        <f>I77*INDEX(Régions!$AE$2:$AE$6,MATCH($B77,Régions!$A$2:$A$6,0))</f>
        <v/>
      </c>
      <c r="AI77" s="97">
        <f>D77*INDEX(Régions!$AF$2:$AF$6,MATCH($B77,Régions!$A$2:$A$6,0))</f>
        <v/>
      </c>
      <c r="AJ77" s="97">
        <f>E77*INDEX(Régions!$AG$2:$AG$6,MATCH($B77,Régions!$A$2:$A$6,0))</f>
        <v/>
      </c>
      <c r="AK77" s="97">
        <f>F77*INDEX(Régions!$AH$2:$AH$6,MATCH($B77,Régions!$A$2:$A$6,0))</f>
        <v/>
      </c>
      <c r="AL77" s="97">
        <f>G77*INDEX(Régions!$AI$2:$AI$6,MATCH($B77,Régions!$A$2:$A$6,0))</f>
        <v/>
      </c>
      <c r="AM77" s="97">
        <f>H77*INDEX(Régions!$AJ$2:$AJ$6,MATCH($B77,Régions!$A$2:$A$6,0))</f>
        <v/>
      </c>
      <c r="AN77" s="97">
        <f>I77*INDEX(Régions!$AK$2:$AK$6,MATCH($B77,Régions!$A$2:$A$6,0))</f>
        <v/>
      </c>
      <c r="AO77" s="99">
        <f>INDEX({"CAQ","PLQ","QS","PQ","PCQ","Autre"},MATCH(MAX(Q77:V77),Q77:V77,0))</f>
        <v/>
      </c>
      <c r="AP77" s="99">
        <f>INDEX({"CAQ","PLQ","QS","PQ","PCQ","Autre"},MATCH(MAX(W77:AB77),W77:AB77,0))</f>
        <v/>
      </c>
      <c r="AQ77" s="99">
        <f>INDEX({"CAQ","PLQ","QS","PQ","PCQ","Autre"},MATCH(MAX(AC77:AH77),AC77:AH77,0))</f>
        <v/>
      </c>
      <c r="AR77" s="99">
        <f>INDEX({"CAQ","PLQ","QS","PQ","PCQ","Autre"},MATCH(MAX(AI77:AN77),AI77:AN77,0))</f>
        <v/>
      </c>
      <c r="AS77" s="100">
        <f>(MAX(K77:P77)-LARGE(K77:P77,2))*100</f>
        <v/>
      </c>
      <c r="AT77" s="101">
        <f>IF(AS77&lt;5,"Oui","Non")</f>
        <v/>
      </c>
      <c r="AU77" s="102" t="n">
        <v>-3.7</v>
      </c>
      <c r="AV77" s="102" t="n">
        <v>3.524</v>
      </c>
      <c r="AW77" s="102" t="n">
        <v>0.765</v>
      </c>
      <c r="AX77" s="102" t="n">
        <v>0.052</v>
      </c>
      <c r="AY77" s="96" t="n">
        <v>10053</v>
      </c>
      <c r="AZ77" s="96" t="n">
        <v>11281</v>
      </c>
      <c r="BA77" s="96" t="n">
        <v>4180</v>
      </c>
      <c r="BB77" s="96" t="n">
        <v>4804</v>
      </c>
      <c r="BC77" s="96" t="n">
        <v>1508</v>
      </c>
      <c r="BD77" s="97">
        <f>AY77*INDEX(Régions!$AQ$2:$AQ$6,MATCH($B77,Régions!$A$2:$A$6,0))</f>
        <v/>
      </c>
      <c r="BE77" s="97">
        <f>AZ77*INDEX(Régions!$AR$2:$AR$6,MATCH($B77,Régions!$A$2:$A$6,0))</f>
        <v/>
      </c>
      <c r="BF77" s="97">
        <f>BA77*INDEX(Régions!$AS$2:$AS$6,MATCH($B77,Régions!$A$2:$A$6,0))</f>
        <v/>
      </c>
      <c r="BG77" s="97">
        <f>BB77*INDEX(Régions!$AT$2:$AT$6,MATCH($B77,Régions!$A$2:$A$6,0))</f>
        <v/>
      </c>
      <c r="BH77" s="97">
        <f>U77</f>
        <v/>
      </c>
      <c r="BI77" s="97">
        <f>BC77*INDEX(Régions!$AU$2:$AU$6,MATCH($B77,Régions!$A$2:$A$6,0))</f>
        <v/>
      </c>
      <c r="BJ77" s="97">
        <f>INDEX({"CAQ","PLQ","QS","PQ","PCQ","Autre"},MATCH(MAX(BD77:BI77),BD77:BI77,0))</f>
        <v/>
      </c>
    </row>
    <row r="78" ht="15" customHeight="1" s="60">
      <c r="A78" s="94" t="inlineStr">
        <is>
          <t>Mirabel</t>
        </is>
      </c>
      <c r="B78" s="94" t="inlineStr">
        <is>
          <t>Banlieue de Montréal</t>
        </is>
      </c>
      <c r="C78" s="95" t="inlineStr">
        <is>
          <t>CAQ</t>
        </is>
      </c>
      <c r="D78" s="96" t="n">
        <v>17487</v>
      </c>
      <c r="E78" s="96" t="n">
        <v>2358</v>
      </c>
      <c r="F78" s="96" t="n">
        <v>5028</v>
      </c>
      <c r="G78" s="96" t="n">
        <v>5856</v>
      </c>
      <c r="H78" s="96" t="n">
        <v>3989</v>
      </c>
      <c r="I78" s="96" t="n">
        <v>180</v>
      </c>
      <c r="J78" s="97">
        <f>SUM(D78:I78)</f>
        <v/>
      </c>
      <c r="K78" s="98">
        <f>IFERROR(D78/J78,0)</f>
        <v/>
      </c>
      <c r="L78" s="98">
        <f>IFERROR(E78/J78,0)</f>
        <v/>
      </c>
      <c r="M78" s="98">
        <f>IFERROR(F78/J78,0)</f>
        <v/>
      </c>
      <c r="N78" s="98">
        <f>IFERROR(G78/J78,0)</f>
        <v/>
      </c>
      <c r="O78" s="98">
        <f>IFERROR(H78/J78,0)</f>
        <v/>
      </c>
      <c r="P78" s="98">
        <f>IFERROR(I78/J78,0)</f>
        <v/>
      </c>
      <c r="Q78" s="97">
        <f>D78*INDEX(Régions!$T$2:$T$6,MATCH($B78,Régions!$A$2:$A$6,0))</f>
        <v/>
      </c>
      <c r="R78" s="97">
        <f>E78*INDEX(Régions!$U$2:$U$6,MATCH($B78,Régions!$A$2:$A$6,0))</f>
        <v/>
      </c>
      <c r="S78" s="97">
        <f>F78*INDEX(Régions!$V$2:$V$6,MATCH($B78,Régions!$A$2:$A$6,0))</f>
        <v/>
      </c>
      <c r="T78" s="97">
        <f>G78*INDEX(Régions!$W$2:$W$6,MATCH($B78,Régions!$A$2:$A$6,0))</f>
        <v/>
      </c>
      <c r="U78" s="97">
        <f>H78*INDEX(Régions!$X$2:$X$6,MATCH($B78,Régions!$A$2:$A$6,0))</f>
        <v/>
      </c>
      <c r="V78" s="97">
        <f>I78*INDEX(Régions!$Y$2:$Y$6,MATCH($B78,Régions!$A$2:$A$6,0))</f>
        <v/>
      </c>
      <c r="W78" s="97">
        <f>Q78+(AU78/100)*J78*Régions!$O$2</f>
        <v/>
      </c>
      <c r="X78" s="97">
        <f>R78+(AV78/100)*J78*Régions!$O$2</f>
        <v/>
      </c>
      <c r="Y78" s="97">
        <f>S78+(AW78/100)*J78*Régions!$O$2</f>
        <v/>
      </c>
      <c r="Z78" s="97">
        <f>T78+(AX78/100)*J78*Régions!$O$2</f>
        <v/>
      </c>
      <c r="AA78" s="97">
        <f>U78</f>
        <v/>
      </c>
      <c r="AB78" s="97">
        <f>V78</f>
        <v/>
      </c>
      <c r="AC78" s="97">
        <f>D78*INDEX(Régions!$Z$2:$Z$6,MATCH($B78,Régions!$A$2:$A$6,0))</f>
        <v/>
      </c>
      <c r="AD78" s="97">
        <f>E78*INDEX(Régions!$AA$2:$AA$6,MATCH($B78,Régions!$A$2:$A$6,0))</f>
        <v/>
      </c>
      <c r="AE78" s="97">
        <f>F78*INDEX(Régions!$AB$2:$AB$6,MATCH($B78,Régions!$A$2:$A$6,0))</f>
        <v/>
      </c>
      <c r="AF78" s="97">
        <f>G78*INDEX(Régions!$AC$2:$AC$6,MATCH($B78,Régions!$A$2:$A$6,0))</f>
        <v/>
      </c>
      <c r="AG78" s="97">
        <f>H78*INDEX(Régions!$AD$2:$AD$6,MATCH($B78,Régions!$A$2:$A$6,0))</f>
        <v/>
      </c>
      <c r="AH78" s="97">
        <f>I78*INDEX(Régions!$AE$2:$AE$6,MATCH($B78,Régions!$A$2:$A$6,0))</f>
        <v/>
      </c>
      <c r="AI78" s="97">
        <f>D78*INDEX(Régions!$AF$2:$AF$6,MATCH($B78,Régions!$A$2:$A$6,0))</f>
        <v/>
      </c>
      <c r="AJ78" s="97">
        <f>E78*INDEX(Régions!$AG$2:$AG$6,MATCH($B78,Régions!$A$2:$A$6,0))</f>
        <v/>
      </c>
      <c r="AK78" s="97">
        <f>F78*INDEX(Régions!$AH$2:$AH$6,MATCH($B78,Régions!$A$2:$A$6,0))</f>
        <v/>
      </c>
      <c r="AL78" s="97">
        <f>G78*INDEX(Régions!$AI$2:$AI$6,MATCH($B78,Régions!$A$2:$A$6,0))</f>
        <v/>
      </c>
      <c r="AM78" s="97">
        <f>H78*INDEX(Régions!$AJ$2:$AJ$6,MATCH($B78,Régions!$A$2:$A$6,0))</f>
        <v/>
      </c>
      <c r="AN78" s="97">
        <f>I78*INDEX(Régions!$AK$2:$AK$6,MATCH($B78,Régions!$A$2:$A$6,0))</f>
        <v/>
      </c>
      <c r="AO78" s="99">
        <f>INDEX({"CAQ","PLQ","QS","PQ","PCQ","Autre"},MATCH(MAX(Q78:V78),Q78:V78,0))</f>
        <v/>
      </c>
      <c r="AP78" s="99">
        <f>INDEX({"CAQ","PLQ","QS","PQ","PCQ","Autre"},MATCH(MAX(W78:AB78),W78:AB78,0))</f>
        <v/>
      </c>
      <c r="AQ78" s="99">
        <f>INDEX({"CAQ","PLQ","QS","PQ","PCQ","Autre"},MATCH(MAX(AC78:AH78),AC78:AH78,0))</f>
        <v/>
      </c>
      <c r="AR78" s="99">
        <f>INDEX({"CAQ","PLQ","QS","PQ","PCQ","Autre"},MATCH(MAX(AI78:AN78),AI78:AN78,0))</f>
        <v/>
      </c>
      <c r="AS78" s="100">
        <f>(MAX(K78:P78)-LARGE(K78:P78,2))*100</f>
        <v/>
      </c>
      <c r="AT78" s="101">
        <f>IF(AS78&lt;5,"Oui","Non")</f>
        <v/>
      </c>
      <c r="AU78" s="102" t="n">
        <v>-7.647</v>
      </c>
      <c r="AV78" s="102" t="n">
        <v>4.743</v>
      </c>
      <c r="AW78" s="102" t="n">
        <v>0.142</v>
      </c>
      <c r="AX78" s="102" t="n">
        <v>1.669</v>
      </c>
      <c r="AY78" s="96" t="n">
        <v>17457</v>
      </c>
      <c r="AZ78" s="96" t="n">
        <v>2850</v>
      </c>
      <c r="BA78" s="96" t="n">
        <v>4781</v>
      </c>
      <c r="BB78" s="96" t="n">
        <v>5788</v>
      </c>
      <c r="BC78" s="96" t="n">
        <v>1081</v>
      </c>
      <c r="BD78" s="97">
        <f>AY78*INDEX(Régions!$AQ$2:$AQ$6,MATCH($B78,Régions!$A$2:$A$6,0))</f>
        <v/>
      </c>
      <c r="BE78" s="97">
        <f>AZ78*INDEX(Régions!$AR$2:$AR$6,MATCH($B78,Régions!$A$2:$A$6,0))</f>
        <v/>
      </c>
      <c r="BF78" s="97">
        <f>BA78*INDEX(Régions!$AS$2:$AS$6,MATCH($B78,Régions!$A$2:$A$6,0))</f>
        <v/>
      </c>
      <c r="BG78" s="97">
        <f>BB78*INDEX(Régions!$AT$2:$AT$6,MATCH($B78,Régions!$A$2:$A$6,0))</f>
        <v/>
      </c>
      <c r="BH78" s="97">
        <f>U78</f>
        <v/>
      </c>
      <c r="BI78" s="97">
        <f>BC78*INDEX(Régions!$AU$2:$AU$6,MATCH($B78,Régions!$A$2:$A$6,0))</f>
        <v/>
      </c>
      <c r="BJ78" s="97">
        <f>INDEX({"CAQ","PLQ","QS","PQ","PCQ","Autre"},MATCH(MAX(BD78:BI78),BD78:BI78,0))</f>
        <v/>
      </c>
    </row>
    <row r="79" ht="15" customHeight="1" s="60">
      <c r="A79" s="94" t="inlineStr">
        <is>
          <t>Mont-Royal–Outremont</t>
        </is>
      </c>
      <c r="B79" s="94" t="inlineStr">
        <is>
          <t>Île de Montréal</t>
        </is>
      </c>
      <c r="C79" s="95" t="inlineStr">
        <is>
          <t>PLQ</t>
        </is>
      </c>
      <c r="D79" s="96" t="n">
        <v>4677</v>
      </c>
      <c r="E79" s="96" t="n">
        <v>11658</v>
      </c>
      <c r="F79" s="96" t="n">
        <v>6008</v>
      </c>
      <c r="G79" s="96" t="n">
        <v>3385</v>
      </c>
      <c r="H79" s="96" t="n">
        <v>3029</v>
      </c>
      <c r="I79" s="96" t="n">
        <v>872</v>
      </c>
      <c r="J79" s="97">
        <f>SUM(D79:I79)</f>
        <v/>
      </c>
      <c r="K79" s="98">
        <f>IFERROR(D79/J79,0)</f>
        <v/>
      </c>
      <c r="L79" s="98">
        <f>IFERROR(E79/J79,0)</f>
        <v/>
      </c>
      <c r="M79" s="98">
        <f>IFERROR(F79/J79,0)</f>
        <v/>
      </c>
      <c r="N79" s="98">
        <f>IFERROR(G79/J79,0)</f>
        <v/>
      </c>
      <c r="O79" s="98">
        <f>IFERROR(H79/J79,0)</f>
        <v/>
      </c>
      <c r="P79" s="98">
        <f>IFERROR(I79/J79,0)</f>
        <v/>
      </c>
      <c r="Q79" s="97">
        <f>D79*INDEX(Régions!$T$2:$T$6,MATCH($B79,Régions!$A$2:$A$6,0))</f>
        <v/>
      </c>
      <c r="R79" s="97">
        <f>E79*INDEX(Régions!$U$2:$U$6,MATCH($B79,Régions!$A$2:$A$6,0))</f>
        <v/>
      </c>
      <c r="S79" s="97">
        <f>F79*INDEX(Régions!$V$2:$V$6,MATCH($B79,Régions!$A$2:$A$6,0))</f>
        <v/>
      </c>
      <c r="T79" s="97">
        <f>G79*INDEX(Régions!$W$2:$W$6,MATCH($B79,Régions!$A$2:$A$6,0))</f>
        <v/>
      </c>
      <c r="U79" s="97">
        <f>H79*INDEX(Régions!$X$2:$X$6,MATCH($B79,Régions!$A$2:$A$6,0))</f>
        <v/>
      </c>
      <c r="V79" s="97">
        <f>I79*INDEX(Régions!$Y$2:$Y$6,MATCH($B79,Régions!$A$2:$A$6,0))</f>
        <v/>
      </c>
      <c r="W79" s="97">
        <f>Q79+(AU79/100)*J79*Régions!$O$2</f>
        <v/>
      </c>
      <c r="X79" s="97">
        <f>R79+(AV79/100)*J79*Régions!$O$2</f>
        <v/>
      </c>
      <c r="Y79" s="97">
        <f>S79+(AW79/100)*J79*Régions!$O$2</f>
        <v/>
      </c>
      <c r="Z79" s="97">
        <f>T79+(AX79/100)*J79*Régions!$O$2</f>
        <v/>
      </c>
      <c r="AA79" s="97">
        <f>U79</f>
        <v/>
      </c>
      <c r="AB79" s="97">
        <f>V79</f>
        <v/>
      </c>
      <c r="AC79" s="97">
        <f>D79*INDEX(Régions!$Z$2:$Z$6,MATCH($B79,Régions!$A$2:$A$6,0))</f>
        <v/>
      </c>
      <c r="AD79" s="97">
        <f>E79*INDEX(Régions!$AA$2:$AA$6,MATCH($B79,Régions!$A$2:$A$6,0))</f>
        <v/>
      </c>
      <c r="AE79" s="97">
        <f>F79*INDEX(Régions!$AB$2:$AB$6,MATCH($B79,Régions!$A$2:$A$6,0))</f>
        <v/>
      </c>
      <c r="AF79" s="97">
        <f>G79*INDEX(Régions!$AC$2:$AC$6,MATCH($B79,Régions!$A$2:$A$6,0))</f>
        <v/>
      </c>
      <c r="AG79" s="97">
        <f>H79*INDEX(Régions!$AD$2:$AD$6,MATCH($B79,Régions!$A$2:$A$6,0))</f>
        <v/>
      </c>
      <c r="AH79" s="97">
        <f>I79*INDEX(Régions!$AE$2:$AE$6,MATCH($B79,Régions!$A$2:$A$6,0))</f>
        <v/>
      </c>
      <c r="AI79" s="97">
        <f>D79*INDEX(Régions!$AF$2:$AF$6,MATCH($B79,Régions!$A$2:$A$6,0))</f>
        <v/>
      </c>
      <c r="AJ79" s="97">
        <f>E79*INDEX(Régions!$AG$2:$AG$6,MATCH($B79,Régions!$A$2:$A$6,0))</f>
        <v/>
      </c>
      <c r="AK79" s="97">
        <f>F79*INDEX(Régions!$AH$2:$AH$6,MATCH($B79,Régions!$A$2:$A$6,0))</f>
        <v/>
      </c>
      <c r="AL79" s="97">
        <f>G79*INDEX(Régions!$AI$2:$AI$6,MATCH($B79,Régions!$A$2:$A$6,0))</f>
        <v/>
      </c>
      <c r="AM79" s="97">
        <f>H79*INDEX(Régions!$AJ$2:$AJ$6,MATCH($B79,Régions!$A$2:$A$6,0))</f>
        <v/>
      </c>
      <c r="AN79" s="97">
        <f>I79*INDEX(Régions!$AK$2:$AK$6,MATCH($B79,Régions!$A$2:$A$6,0))</f>
        <v/>
      </c>
      <c r="AO79" s="99">
        <f>INDEX({"CAQ","PLQ","QS","PQ","PCQ","Autre"},MATCH(MAX(Q79:V79),Q79:V79,0))</f>
        <v/>
      </c>
      <c r="AP79" s="99">
        <f>INDEX({"CAQ","PLQ","QS","PQ","PCQ","Autre"},MATCH(MAX(W79:AB79),W79:AB79,0))</f>
        <v/>
      </c>
      <c r="AQ79" s="99">
        <f>INDEX({"CAQ","PLQ","QS","PQ","PCQ","Autre"},MATCH(MAX(AC79:AH79),AC79:AH79,0))</f>
        <v/>
      </c>
      <c r="AR79" s="99">
        <f>INDEX({"CAQ","PLQ","QS","PQ","PCQ","Autre"},MATCH(MAX(AI79:AN79),AI79:AN79,0))</f>
        <v/>
      </c>
      <c r="AS79" s="100">
        <f>(MAX(K79:P79)-LARGE(K79:P79,2))*100</f>
        <v/>
      </c>
      <c r="AT79" s="101">
        <f>IF(AS79&lt;5,"Oui","Non")</f>
        <v/>
      </c>
      <c r="AU79" s="102" t="n">
        <v>0.165</v>
      </c>
      <c r="AV79" s="102" t="n">
        <v>-3.157</v>
      </c>
      <c r="AW79" s="102" t="n">
        <v>4.093</v>
      </c>
      <c r="AX79" s="102" t="n">
        <v>0.8159999999999999</v>
      </c>
      <c r="AY79" s="96" t="n">
        <v>4218</v>
      </c>
      <c r="AZ79" s="96" t="n">
        <v>16026</v>
      </c>
      <c r="BA79" s="96" t="n">
        <v>4820</v>
      </c>
      <c r="BB79" s="96" t="n">
        <v>3672</v>
      </c>
      <c r="BC79" s="96" t="n">
        <v>2480</v>
      </c>
      <c r="BD79" s="97">
        <f>AY79*INDEX(Régions!$AQ$2:$AQ$6,MATCH($B79,Régions!$A$2:$A$6,0))</f>
        <v/>
      </c>
      <c r="BE79" s="97">
        <f>AZ79*INDEX(Régions!$AR$2:$AR$6,MATCH($B79,Régions!$A$2:$A$6,0))</f>
        <v/>
      </c>
      <c r="BF79" s="97">
        <f>BA79*INDEX(Régions!$AS$2:$AS$6,MATCH($B79,Régions!$A$2:$A$6,0))</f>
        <v/>
      </c>
      <c r="BG79" s="97">
        <f>BB79*INDEX(Régions!$AT$2:$AT$6,MATCH($B79,Régions!$A$2:$A$6,0))</f>
        <v/>
      </c>
      <c r="BH79" s="97">
        <f>U79</f>
        <v/>
      </c>
      <c r="BI79" s="97">
        <f>BC79*INDEX(Régions!$AU$2:$AU$6,MATCH($B79,Régions!$A$2:$A$6,0))</f>
        <v/>
      </c>
      <c r="BJ79" s="97">
        <f>INDEX({"CAQ","PLQ","QS","PQ","PCQ","Autre"},MATCH(MAX(BD79:BI79),BD79:BI79,0))</f>
        <v/>
      </c>
    </row>
    <row r="80" ht="15" customHeight="1" s="60">
      <c r="A80" s="94" t="inlineStr">
        <is>
          <t>Montarville</t>
        </is>
      </c>
      <c r="B80" s="94" t="inlineStr">
        <is>
          <t>Banlieue de Montréal</t>
        </is>
      </c>
      <c r="C80" s="95" t="inlineStr">
        <is>
          <t>CAQ</t>
        </is>
      </c>
      <c r="D80" s="96" t="n">
        <v>19045</v>
      </c>
      <c r="E80" s="96" t="n">
        <v>5090</v>
      </c>
      <c r="F80" s="96" t="n">
        <v>6741</v>
      </c>
      <c r="G80" s="96" t="n">
        <v>7753</v>
      </c>
      <c r="H80" s="96" t="n">
        <v>2124</v>
      </c>
      <c r="I80" s="96" t="n">
        <v>735</v>
      </c>
      <c r="J80" s="97">
        <f>SUM(D80:I80)</f>
        <v/>
      </c>
      <c r="K80" s="98">
        <f>IFERROR(D80/J80,0)</f>
        <v/>
      </c>
      <c r="L80" s="98">
        <f>IFERROR(E80/J80,0)</f>
        <v/>
      </c>
      <c r="M80" s="98">
        <f>IFERROR(F80/J80,0)</f>
        <v/>
      </c>
      <c r="N80" s="98">
        <f>IFERROR(G80/J80,0)</f>
        <v/>
      </c>
      <c r="O80" s="98">
        <f>IFERROR(H80/J80,0)</f>
        <v/>
      </c>
      <c r="P80" s="98">
        <f>IFERROR(I80/J80,0)</f>
        <v/>
      </c>
      <c r="Q80" s="97">
        <f>D80*INDEX(Régions!$T$2:$T$6,MATCH($B80,Régions!$A$2:$A$6,0))</f>
        <v/>
      </c>
      <c r="R80" s="97">
        <f>E80*INDEX(Régions!$U$2:$U$6,MATCH($B80,Régions!$A$2:$A$6,0))</f>
        <v/>
      </c>
      <c r="S80" s="97">
        <f>F80*INDEX(Régions!$V$2:$V$6,MATCH($B80,Régions!$A$2:$A$6,0))</f>
        <v/>
      </c>
      <c r="T80" s="97">
        <f>G80*INDEX(Régions!$W$2:$W$6,MATCH($B80,Régions!$A$2:$A$6,0))</f>
        <v/>
      </c>
      <c r="U80" s="97">
        <f>H80*INDEX(Régions!$X$2:$X$6,MATCH($B80,Régions!$A$2:$A$6,0))</f>
        <v/>
      </c>
      <c r="V80" s="97">
        <f>I80*INDEX(Régions!$Y$2:$Y$6,MATCH($B80,Régions!$A$2:$A$6,0))</f>
        <v/>
      </c>
      <c r="W80" s="97">
        <f>Q80+(AU80/100)*J80*Régions!$O$2</f>
        <v/>
      </c>
      <c r="X80" s="97">
        <f>R80+(AV80/100)*J80*Régions!$O$2</f>
        <v/>
      </c>
      <c r="Y80" s="97">
        <f>S80+(AW80/100)*J80*Régions!$O$2</f>
        <v/>
      </c>
      <c r="Z80" s="97">
        <f>T80+(AX80/100)*J80*Régions!$O$2</f>
        <v/>
      </c>
      <c r="AA80" s="97">
        <f>U80</f>
        <v/>
      </c>
      <c r="AB80" s="97">
        <f>V80</f>
        <v/>
      </c>
      <c r="AC80" s="97">
        <f>D80*INDEX(Régions!$Z$2:$Z$6,MATCH($B80,Régions!$A$2:$A$6,0))</f>
        <v/>
      </c>
      <c r="AD80" s="97">
        <f>E80*INDEX(Régions!$AA$2:$AA$6,MATCH($B80,Régions!$A$2:$A$6,0))</f>
        <v/>
      </c>
      <c r="AE80" s="97">
        <f>F80*INDEX(Régions!$AB$2:$AB$6,MATCH($B80,Régions!$A$2:$A$6,0))</f>
        <v/>
      </c>
      <c r="AF80" s="97">
        <f>G80*INDEX(Régions!$AC$2:$AC$6,MATCH($B80,Régions!$A$2:$A$6,0))</f>
        <v/>
      </c>
      <c r="AG80" s="97">
        <f>H80*INDEX(Régions!$AD$2:$AD$6,MATCH($B80,Régions!$A$2:$A$6,0))</f>
        <v/>
      </c>
      <c r="AH80" s="97">
        <f>I80*INDEX(Régions!$AE$2:$AE$6,MATCH($B80,Régions!$A$2:$A$6,0))</f>
        <v/>
      </c>
      <c r="AI80" s="97">
        <f>D80*INDEX(Régions!$AF$2:$AF$6,MATCH($B80,Régions!$A$2:$A$6,0))</f>
        <v/>
      </c>
      <c r="AJ80" s="97">
        <f>E80*INDEX(Régions!$AG$2:$AG$6,MATCH($B80,Régions!$A$2:$A$6,0))</f>
        <v/>
      </c>
      <c r="AK80" s="97">
        <f>F80*INDEX(Régions!$AH$2:$AH$6,MATCH($B80,Régions!$A$2:$A$6,0))</f>
        <v/>
      </c>
      <c r="AL80" s="97">
        <f>G80*INDEX(Régions!$AI$2:$AI$6,MATCH($B80,Régions!$A$2:$A$6,0))</f>
        <v/>
      </c>
      <c r="AM80" s="97">
        <f>H80*INDEX(Régions!$AJ$2:$AJ$6,MATCH($B80,Régions!$A$2:$A$6,0))</f>
        <v/>
      </c>
      <c r="AN80" s="97">
        <f>I80*INDEX(Régions!$AK$2:$AK$6,MATCH($B80,Régions!$A$2:$A$6,0))</f>
        <v/>
      </c>
      <c r="AO80" s="99">
        <f>INDEX({"CAQ","PLQ","QS","PQ","PCQ","Autre"},MATCH(MAX(Q80:V80),Q80:V80,0))</f>
        <v/>
      </c>
      <c r="AP80" s="99">
        <f>INDEX({"CAQ","PLQ","QS","PQ","PCQ","Autre"},MATCH(MAX(W80:AB80),W80:AB80,0))</f>
        <v/>
      </c>
      <c r="AQ80" s="99">
        <f>INDEX({"CAQ","PLQ","QS","PQ","PCQ","Autre"},MATCH(MAX(AC80:AH80),AC80:AH80,0))</f>
        <v/>
      </c>
      <c r="AR80" s="99">
        <f>INDEX({"CAQ","PLQ","QS","PQ","PCQ","Autre"},MATCH(MAX(AI80:AN80),AI80:AN80,0))</f>
        <v/>
      </c>
      <c r="AS80" s="100">
        <f>(MAX(K80:P80)-LARGE(K80:P80,2))*100</f>
        <v/>
      </c>
      <c r="AT80" s="101">
        <f>IF(AS80&lt;5,"Oui","Non")</f>
        <v/>
      </c>
      <c r="AU80" s="102" t="n">
        <v>1.669</v>
      </c>
      <c r="AV80" s="102" t="n">
        <v>-5.196</v>
      </c>
      <c r="AW80" s="102" t="n">
        <v>1.048</v>
      </c>
      <c r="AX80" s="102" t="n">
        <v>5.546</v>
      </c>
      <c r="AY80" s="96" t="n">
        <v>17368</v>
      </c>
      <c r="AZ80" s="96" t="n">
        <v>10295</v>
      </c>
      <c r="BA80" s="96" t="n">
        <v>6716</v>
      </c>
      <c r="BB80" s="96" t="n">
        <v>6820</v>
      </c>
      <c r="BC80" s="96" t="n">
        <v>1050</v>
      </c>
      <c r="BD80" s="97">
        <f>AY80*INDEX(Régions!$AQ$2:$AQ$6,MATCH($B80,Régions!$A$2:$A$6,0))</f>
        <v/>
      </c>
      <c r="BE80" s="97">
        <f>AZ80*INDEX(Régions!$AR$2:$AR$6,MATCH($B80,Régions!$A$2:$A$6,0))</f>
        <v/>
      </c>
      <c r="BF80" s="97">
        <f>BA80*INDEX(Régions!$AS$2:$AS$6,MATCH($B80,Régions!$A$2:$A$6,0))</f>
        <v/>
      </c>
      <c r="BG80" s="97">
        <f>BB80*INDEX(Régions!$AT$2:$AT$6,MATCH($B80,Régions!$A$2:$A$6,0))</f>
        <v/>
      </c>
      <c r="BH80" s="97">
        <f>U80</f>
        <v/>
      </c>
      <c r="BI80" s="97">
        <f>BC80*INDEX(Régions!$AU$2:$AU$6,MATCH($B80,Régions!$A$2:$A$6,0))</f>
        <v/>
      </c>
      <c r="BJ80" s="97">
        <f>INDEX({"CAQ","PLQ","QS","PQ","PCQ","Autre"},MATCH(MAX(BD80:BI80),BD80:BI80,0))</f>
        <v/>
      </c>
    </row>
    <row r="81" ht="15" customHeight="1" s="60">
      <c r="A81" s="94" t="inlineStr">
        <is>
          <t>Montmorency</t>
        </is>
      </c>
      <c r="B81" s="94" t="inlineStr">
        <is>
          <t>Québec RMR</t>
        </is>
      </c>
      <c r="C81" s="95" t="inlineStr">
        <is>
          <t>CAQ</t>
        </is>
      </c>
      <c r="D81" s="96" t="n">
        <v>19124</v>
      </c>
      <c r="E81" s="96" t="n">
        <v>1969</v>
      </c>
      <c r="F81" s="96" t="n">
        <v>5100</v>
      </c>
      <c r="G81" s="96" t="n">
        <v>4773</v>
      </c>
      <c r="H81" s="96" t="n">
        <v>11031</v>
      </c>
      <c r="I81" s="96" t="n">
        <v>329</v>
      </c>
      <c r="J81" s="97">
        <f>SUM(D81:I81)</f>
        <v/>
      </c>
      <c r="K81" s="98">
        <f>IFERROR(D81/J81,0)</f>
        <v/>
      </c>
      <c r="L81" s="98">
        <f>IFERROR(E81/J81,0)</f>
        <v/>
      </c>
      <c r="M81" s="98">
        <f>IFERROR(F81/J81,0)</f>
        <v/>
      </c>
      <c r="N81" s="98">
        <f>IFERROR(G81/J81,0)</f>
        <v/>
      </c>
      <c r="O81" s="98">
        <f>IFERROR(H81/J81,0)</f>
        <v/>
      </c>
      <c r="P81" s="98">
        <f>IFERROR(I81/J81,0)</f>
        <v/>
      </c>
      <c r="Q81" s="97">
        <f>D81*INDEX(Régions!$T$2:$T$6,MATCH($B81,Régions!$A$2:$A$6,0))</f>
        <v/>
      </c>
      <c r="R81" s="97">
        <f>E81*INDEX(Régions!$U$2:$U$6,MATCH($B81,Régions!$A$2:$A$6,0))</f>
        <v/>
      </c>
      <c r="S81" s="97">
        <f>F81*INDEX(Régions!$V$2:$V$6,MATCH($B81,Régions!$A$2:$A$6,0))</f>
        <v/>
      </c>
      <c r="T81" s="97">
        <f>G81*INDEX(Régions!$W$2:$W$6,MATCH($B81,Régions!$A$2:$A$6,0))</f>
        <v/>
      </c>
      <c r="U81" s="97">
        <f>H81*INDEX(Régions!$X$2:$X$6,MATCH($B81,Régions!$A$2:$A$6,0))</f>
        <v/>
      </c>
      <c r="V81" s="97">
        <f>I81*INDEX(Régions!$Y$2:$Y$6,MATCH($B81,Régions!$A$2:$A$6,0))</f>
        <v/>
      </c>
      <c r="W81" s="97">
        <f>Q81+(AU81/100)*J81*Régions!$O$2</f>
        <v/>
      </c>
      <c r="X81" s="97">
        <f>R81+(AV81/100)*J81*Régions!$O$2</f>
        <v/>
      </c>
      <c r="Y81" s="97">
        <f>S81+(AW81/100)*J81*Régions!$O$2</f>
        <v/>
      </c>
      <c r="Z81" s="97">
        <f>T81+(AX81/100)*J81*Régions!$O$2</f>
        <v/>
      </c>
      <c r="AA81" s="97">
        <f>U81</f>
        <v/>
      </c>
      <c r="AB81" s="97">
        <f>V81</f>
        <v/>
      </c>
      <c r="AC81" s="97">
        <f>D81*INDEX(Régions!$Z$2:$Z$6,MATCH($B81,Régions!$A$2:$A$6,0))</f>
        <v/>
      </c>
      <c r="AD81" s="97">
        <f>E81*INDEX(Régions!$AA$2:$AA$6,MATCH($B81,Régions!$A$2:$A$6,0))</f>
        <v/>
      </c>
      <c r="AE81" s="97">
        <f>F81*INDEX(Régions!$AB$2:$AB$6,MATCH($B81,Régions!$A$2:$A$6,0))</f>
        <v/>
      </c>
      <c r="AF81" s="97">
        <f>G81*INDEX(Régions!$AC$2:$AC$6,MATCH($B81,Régions!$A$2:$A$6,0))</f>
        <v/>
      </c>
      <c r="AG81" s="97">
        <f>H81*INDEX(Régions!$AD$2:$AD$6,MATCH($B81,Régions!$A$2:$A$6,0))</f>
        <v/>
      </c>
      <c r="AH81" s="97">
        <f>I81*INDEX(Régions!$AE$2:$AE$6,MATCH($B81,Régions!$A$2:$A$6,0))</f>
        <v/>
      </c>
      <c r="AI81" s="97">
        <f>D81*INDEX(Régions!$AF$2:$AF$6,MATCH($B81,Régions!$A$2:$A$6,0))</f>
        <v/>
      </c>
      <c r="AJ81" s="97">
        <f>E81*INDEX(Régions!$AG$2:$AG$6,MATCH($B81,Régions!$A$2:$A$6,0))</f>
        <v/>
      </c>
      <c r="AK81" s="97">
        <f>F81*INDEX(Régions!$AH$2:$AH$6,MATCH($B81,Régions!$A$2:$A$6,0))</f>
        <v/>
      </c>
      <c r="AL81" s="97">
        <f>G81*INDEX(Régions!$AI$2:$AI$6,MATCH($B81,Régions!$A$2:$A$6,0))</f>
        <v/>
      </c>
      <c r="AM81" s="97">
        <f>H81*INDEX(Régions!$AJ$2:$AJ$6,MATCH($B81,Régions!$A$2:$A$6,0))</f>
        <v/>
      </c>
      <c r="AN81" s="97">
        <f>I81*INDEX(Régions!$AK$2:$AK$6,MATCH($B81,Régions!$A$2:$A$6,0))</f>
        <v/>
      </c>
      <c r="AO81" s="99">
        <f>INDEX({"CAQ","PLQ","QS","PQ","PCQ","Autre"},MATCH(MAX(Q81:V81),Q81:V81,0))</f>
        <v/>
      </c>
      <c r="AP81" s="99">
        <f>INDEX({"CAQ","PLQ","QS","PQ","PCQ","Autre"},MATCH(MAX(W81:AB81),W81:AB81,0))</f>
        <v/>
      </c>
      <c r="AQ81" s="99">
        <f>INDEX({"CAQ","PLQ","QS","PQ","PCQ","Autre"},MATCH(MAX(AC81:AH81),AC81:AH81,0))</f>
        <v/>
      </c>
      <c r="AR81" s="99">
        <f>INDEX({"CAQ","PLQ","QS","PQ","PCQ","Autre"},MATCH(MAX(AI81:AN81),AI81:AN81,0))</f>
        <v/>
      </c>
      <c r="AS81" s="100">
        <f>(MAX(K81:P81)-LARGE(K81:P81,2))*100</f>
        <v/>
      </c>
      <c r="AT81" s="101">
        <f>IF(AS81&lt;5,"Oui","Non")</f>
        <v/>
      </c>
      <c r="AU81" s="102" t="n">
        <v>-2.589</v>
      </c>
      <c r="AV81" s="102" t="n">
        <v>0.918</v>
      </c>
      <c r="AW81" s="102" t="n">
        <v>-0.649</v>
      </c>
      <c r="AX81" s="102" t="n">
        <v>-1.286</v>
      </c>
      <c r="AY81" s="96" t="n">
        <v>20232</v>
      </c>
      <c r="AZ81" s="96" t="n">
        <v>7397</v>
      </c>
      <c r="BA81" s="96" t="n">
        <v>5225</v>
      </c>
      <c r="BB81" s="96" t="n">
        <v>4221</v>
      </c>
      <c r="BC81" s="96" t="n">
        <v>2695</v>
      </c>
      <c r="BD81" s="97">
        <f>AY81*INDEX(Régions!$AQ$2:$AQ$6,MATCH($B81,Régions!$A$2:$A$6,0))</f>
        <v/>
      </c>
      <c r="BE81" s="97">
        <f>AZ81*INDEX(Régions!$AR$2:$AR$6,MATCH($B81,Régions!$A$2:$A$6,0))</f>
        <v/>
      </c>
      <c r="BF81" s="97">
        <f>BA81*INDEX(Régions!$AS$2:$AS$6,MATCH($B81,Régions!$A$2:$A$6,0))</f>
        <v/>
      </c>
      <c r="BG81" s="97">
        <f>BB81*INDEX(Régions!$AT$2:$AT$6,MATCH($B81,Régions!$A$2:$A$6,0))</f>
        <v/>
      </c>
      <c r="BH81" s="97">
        <f>U81</f>
        <v/>
      </c>
      <c r="BI81" s="97">
        <f>BC81*INDEX(Régions!$AU$2:$AU$6,MATCH($B81,Régions!$A$2:$A$6,0))</f>
        <v/>
      </c>
      <c r="BJ81" s="97">
        <f>INDEX({"CAQ","PLQ","QS","PQ","PCQ","Autre"},MATCH(MAX(BD81:BI81),BD81:BI81,0))</f>
        <v/>
      </c>
    </row>
    <row r="82" ht="15" customHeight="1" s="60">
      <c r="A82" s="94" t="inlineStr">
        <is>
          <t>Mégantic</t>
        </is>
      </c>
      <c r="B82" s="94" t="inlineStr">
        <is>
          <t>Reste du Québec</t>
        </is>
      </c>
      <c r="C82" s="95" t="inlineStr">
        <is>
          <t>CAQ</t>
        </is>
      </c>
      <c r="D82" s="96" t="n">
        <v>16016</v>
      </c>
      <c r="E82" s="96" t="n">
        <v>1953</v>
      </c>
      <c r="F82" s="96" t="n">
        <v>4997</v>
      </c>
      <c r="G82" s="96" t="n">
        <v>4416</v>
      </c>
      <c r="H82" s="96" t="n">
        <v>7083</v>
      </c>
      <c r="I82" s="96" t="n">
        <v>123</v>
      </c>
      <c r="J82" s="97">
        <f>SUM(D82:I82)</f>
        <v/>
      </c>
      <c r="K82" s="98">
        <f>IFERROR(D82/J82,0)</f>
        <v/>
      </c>
      <c r="L82" s="98">
        <f>IFERROR(E82/J82,0)</f>
        <v/>
      </c>
      <c r="M82" s="98">
        <f>IFERROR(F82/J82,0)</f>
        <v/>
      </c>
      <c r="N82" s="98">
        <f>IFERROR(G82/J82,0)</f>
        <v/>
      </c>
      <c r="O82" s="98">
        <f>IFERROR(H82/J82,0)</f>
        <v/>
      </c>
      <c r="P82" s="98">
        <f>IFERROR(I82/J82,0)</f>
        <v/>
      </c>
      <c r="Q82" s="97">
        <f>D82*INDEX(Régions!$T$2:$T$6,MATCH($B82,Régions!$A$2:$A$6,0))</f>
        <v/>
      </c>
      <c r="R82" s="97">
        <f>E82*INDEX(Régions!$U$2:$U$6,MATCH($B82,Régions!$A$2:$A$6,0))</f>
        <v/>
      </c>
      <c r="S82" s="97">
        <f>F82*INDEX(Régions!$V$2:$V$6,MATCH($B82,Régions!$A$2:$A$6,0))</f>
        <v/>
      </c>
      <c r="T82" s="97">
        <f>G82*INDEX(Régions!$W$2:$W$6,MATCH($B82,Régions!$A$2:$A$6,0))</f>
        <v/>
      </c>
      <c r="U82" s="97">
        <f>H82*INDEX(Régions!$X$2:$X$6,MATCH($B82,Régions!$A$2:$A$6,0))</f>
        <v/>
      </c>
      <c r="V82" s="97">
        <f>I82*INDEX(Régions!$Y$2:$Y$6,MATCH($B82,Régions!$A$2:$A$6,0))</f>
        <v/>
      </c>
      <c r="W82" s="97">
        <f>Q82+(AU82/100)*J82*Régions!$O$2</f>
        <v/>
      </c>
      <c r="X82" s="97">
        <f>R82+(AV82/100)*J82*Régions!$O$2</f>
        <v/>
      </c>
      <c r="Y82" s="97">
        <f>S82+(AW82/100)*J82*Régions!$O$2</f>
        <v/>
      </c>
      <c r="Z82" s="97">
        <f>T82+(AX82/100)*J82*Régions!$O$2</f>
        <v/>
      </c>
      <c r="AA82" s="97">
        <f>U82</f>
        <v/>
      </c>
      <c r="AB82" s="97">
        <f>V82</f>
        <v/>
      </c>
      <c r="AC82" s="97">
        <f>D82*INDEX(Régions!$Z$2:$Z$6,MATCH($B82,Régions!$A$2:$A$6,0))</f>
        <v/>
      </c>
      <c r="AD82" s="97">
        <f>E82*INDEX(Régions!$AA$2:$AA$6,MATCH($B82,Régions!$A$2:$A$6,0))</f>
        <v/>
      </c>
      <c r="AE82" s="97">
        <f>F82*INDEX(Régions!$AB$2:$AB$6,MATCH($B82,Régions!$A$2:$A$6,0))</f>
        <v/>
      </c>
      <c r="AF82" s="97">
        <f>G82*INDEX(Régions!$AC$2:$AC$6,MATCH($B82,Régions!$A$2:$A$6,0))</f>
        <v/>
      </c>
      <c r="AG82" s="97">
        <f>H82*INDEX(Régions!$AD$2:$AD$6,MATCH($B82,Régions!$A$2:$A$6,0))</f>
        <v/>
      </c>
      <c r="AH82" s="97">
        <f>I82*INDEX(Régions!$AE$2:$AE$6,MATCH($B82,Régions!$A$2:$A$6,0))</f>
        <v/>
      </c>
      <c r="AI82" s="97">
        <f>D82*INDEX(Régions!$AF$2:$AF$6,MATCH($B82,Régions!$A$2:$A$6,0))</f>
        <v/>
      </c>
      <c r="AJ82" s="97">
        <f>E82*INDEX(Régions!$AG$2:$AG$6,MATCH($B82,Régions!$A$2:$A$6,0))</f>
        <v/>
      </c>
      <c r="AK82" s="97">
        <f>F82*INDEX(Régions!$AH$2:$AH$6,MATCH($B82,Régions!$A$2:$A$6,0))</f>
        <v/>
      </c>
      <c r="AL82" s="97">
        <f>G82*INDEX(Régions!$AI$2:$AI$6,MATCH($B82,Régions!$A$2:$A$6,0))</f>
        <v/>
      </c>
      <c r="AM82" s="97">
        <f>H82*INDEX(Régions!$AJ$2:$AJ$6,MATCH($B82,Régions!$A$2:$A$6,0))</f>
        <v/>
      </c>
      <c r="AN82" s="97">
        <f>I82*INDEX(Régions!$AK$2:$AK$6,MATCH($B82,Régions!$A$2:$A$6,0))</f>
        <v/>
      </c>
      <c r="AO82" s="99">
        <f>INDEX({"CAQ","PLQ","QS","PQ","PCQ","Autre"},MATCH(MAX(Q82:V82),Q82:V82,0))</f>
        <v/>
      </c>
      <c r="AP82" s="99">
        <f>INDEX({"CAQ","PLQ","QS","PQ","PCQ","Autre"},MATCH(MAX(W82:AB82),W82:AB82,0))</f>
        <v/>
      </c>
      <c r="AQ82" s="99">
        <f>INDEX({"CAQ","PLQ","QS","PQ","PCQ","Autre"},MATCH(MAX(AC82:AH82),AC82:AH82,0))</f>
        <v/>
      </c>
      <c r="AR82" s="99">
        <f>INDEX({"CAQ","PLQ","QS","PQ","PCQ","Autre"},MATCH(MAX(AI82:AN82),AI82:AN82,0))</f>
        <v/>
      </c>
      <c r="AS82" s="100">
        <f>(MAX(K82:P82)-LARGE(K82:P82,2))*100</f>
        <v/>
      </c>
      <c r="AT82" s="101">
        <f>IF(AS82&lt;5,"Oui","Non")</f>
        <v/>
      </c>
      <c r="AU82" s="102" t="n">
        <v>-5.323</v>
      </c>
      <c r="AV82" s="102" t="n">
        <v>-1.439</v>
      </c>
      <c r="AW82" s="102" t="n">
        <v>-1.216</v>
      </c>
      <c r="AX82" s="102" t="n">
        <v>2.959</v>
      </c>
      <c r="AY82" s="96" t="n">
        <v>14900</v>
      </c>
      <c r="AZ82" s="96" t="n">
        <v>6470</v>
      </c>
      <c r="BA82" s="96" t="n">
        <v>5431</v>
      </c>
      <c r="BB82" s="96" t="n">
        <v>4499</v>
      </c>
      <c r="BC82" s="96" t="n">
        <v>1318</v>
      </c>
      <c r="BD82" s="97">
        <f>AY82*INDEX(Régions!$AQ$2:$AQ$6,MATCH($B82,Régions!$A$2:$A$6,0))</f>
        <v/>
      </c>
      <c r="BE82" s="97">
        <f>AZ82*INDEX(Régions!$AR$2:$AR$6,MATCH($B82,Régions!$A$2:$A$6,0))</f>
        <v/>
      </c>
      <c r="BF82" s="97">
        <f>BA82*INDEX(Régions!$AS$2:$AS$6,MATCH($B82,Régions!$A$2:$A$6,0))</f>
        <v/>
      </c>
      <c r="BG82" s="97">
        <f>BB82*INDEX(Régions!$AT$2:$AT$6,MATCH($B82,Régions!$A$2:$A$6,0))</f>
        <v/>
      </c>
      <c r="BH82" s="97">
        <f>U82</f>
        <v/>
      </c>
      <c r="BI82" s="97">
        <f>BC82*INDEX(Régions!$AU$2:$AU$6,MATCH($B82,Régions!$A$2:$A$6,0))</f>
        <v/>
      </c>
      <c r="BJ82" s="97">
        <f>INDEX({"CAQ","PLQ","QS","PQ","PCQ","Autre"},MATCH(MAX(BD82:BI82),BD82:BI82,0))</f>
        <v/>
      </c>
    </row>
    <row r="83" ht="15" customHeight="1" s="60">
      <c r="A83" s="94" t="inlineStr">
        <is>
          <t>Nelligan</t>
        </is>
      </c>
      <c r="B83" s="94" t="inlineStr">
        <is>
          <t>Île de Montréal</t>
        </is>
      </c>
      <c r="C83" s="95" t="inlineStr">
        <is>
          <t>PLQ</t>
        </is>
      </c>
      <c r="D83" s="96" t="n">
        <v>5584</v>
      </c>
      <c r="E83" s="96" t="n">
        <v>17453</v>
      </c>
      <c r="F83" s="96" t="n">
        <v>1766</v>
      </c>
      <c r="G83" s="96" t="n">
        <v>1399</v>
      </c>
      <c r="H83" s="96" t="n">
        <v>6075</v>
      </c>
      <c r="I83" s="96" t="n">
        <v>1268</v>
      </c>
      <c r="J83" s="97">
        <f>SUM(D83:I83)</f>
        <v/>
      </c>
      <c r="K83" s="98">
        <f>IFERROR(D83/J83,0)</f>
        <v/>
      </c>
      <c r="L83" s="98">
        <f>IFERROR(E83/J83,0)</f>
        <v/>
      </c>
      <c r="M83" s="98">
        <f>IFERROR(F83/J83,0)</f>
        <v/>
      </c>
      <c r="N83" s="98">
        <f>IFERROR(G83/J83,0)</f>
        <v/>
      </c>
      <c r="O83" s="98">
        <f>IFERROR(H83/J83,0)</f>
        <v/>
      </c>
      <c r="P83" s="98">
        <f>IFERROR(I83/J83,0)</f>
        <v/>
      </c>
      <c r="Q83" s="97">
        <f>D83*INDEX(Régions!$T$2:$T$6,MATCH($B83,Régions!$A$2:$A$6,0))</f>
        <v/>
      </c>
      <c r="R83" s="97">
        <f>E83*INDEX(Régions!$U$2:$U$6,MATCH($B83,Régions!$A$2:$A$6,0))</f>
        <v/>
      </c>
      <c r="S83" s="97">
        <f>F83*INDEX(Régions!$V$2:$V$6,MATCH($B83,Régions!$A$2:$A$6,0))</f>
        <v/>
      </c>
      <c r="T83" s="97">
        <f>G83*INDEX(Régions!$W$2:$W$6,MATCH($B83,Régions!$A$2:$A$6,0))</f>
        <v/>
      </c>
      <c r="U83" s="97">
        <f>H83*INDEX(Régions!$X$2:$X$6,MATCH($B83,Régions!$A$2:$A$6,0))</f>
        <v/>
      </c>
      <c r="V83" s="97">
        <f>I83*INDEX(Régions!$Y$2:$Y$6,MATCH($B83,Régions!$A$2:$A$6,0))</f>
        <v/>
      </c>
      <c r="W83" s="97">
        <f>Q83+(AU83/100)*J83*Régions!$O$2</f>
        <v/>
      </c>
      <c r="X83" s="97">
        <f>R83+(AV83/100)*J83*Régions!$O$2</f>
        <v/>
      </c>
      <c r="Y83" s="97">
        <f>S83+(AW83/100)*J83*Régions!$O$2</f>
        <v/>
      </c>
      <c r="Z83" s="97">
        <f>T83+(AX83/100)*J83*Régions!$O$2</f>
        <v/>
      </c>
      <c r="AA83" s="97">
        <f>U83</f>
        <v/>
      </c>
      <c r="AB83" s="97">
        <f>V83</f>
        <v/>
      </c>
      <c r="AC83" s="97">
        <f>D83*INDEX(Régions!$Z$2:$Z$6,MATCH($B83,Régions!$A$2:$A$6,0))</f>
        <v/>
      </c>
      <c r="AD83" s="97">
        <f>E83*INDEX(Régions!$AA$2:$AA$6,MATCH($B83,Régions!$A$2:$A$6,0))</f>
        <v/>
      </c>
      <c r="AE83" s="97">
        <f>F83*INDEX(Régions!$AB$2:$AB$6,MATCH($B83,Régions!$A$2:$A$6,0))</f>
        <v/>
      </c>
      <c r="AF83" s="97">
        <f>G83*INDEX(Régions!$AC$2:$AC$6,MATCH($B83,Régions!$A$2:$A$6,0))</f>
        <v/>
      </c>
      <c r="AG83" s="97">
        <f>H83*INDEX(Régions!$AD$2:$AD$6,MATCH($B83,Régions!$A$2:$A$6,0))</f>
        <v/>
      </c>
      <c r="AH83" s="97">
        <f>I83*INDEX(Régions!$AE$2:$AE$6,MATCH($B83,Régions!$A$2:$A$6,0))</f>
        <v/>
      </c>
      <c r="AI83" s="97">
        <f>D83*INDEX(Régions!$AF$2:$AF$6,MATCH($B83,Régions!$A$2:$A$6,0))</f>
        <v/>
      </c>
      <c r="AJ83" s="97">
        <f>E83*INDEX(Régions!$AG$2:$AG$6,MATCH($B83,Régions!$A$2:$A$6,0))</f>
        <v/>
      </c>
      <c r="AK83" s="97">
        <f>F83*INDEX(Régions!$AH$2:$AH$6,MATCH($B83,Régions!$A$2:$A$6,0))</f>
        <v/>
      </c>
      <c r="AL83" s="97">
        <f>G83*INDEX(Régions!$AI$2:$AI$6,MATCH($B83,Régions!$A$2:$A$6,0))</f>
        <v/>
      </c>
      <c r="AM83" s="97">
        <f>H83*INDEX(Régions!$AJ$2:$AJ$6,MATCH($B83,Régions!$A$2:$A$6,0))</f>
        <v/>
      </c>
      <c r="AN83" s="97">
        <f>I83*INDEX(Régions!$AK$2:$AK$6,MATCH($B83,Régions!$A$2:$A$6,0))</f>
        <v/>
      </c>
      <c r="AO83" s="99">
        <f>INDEX({"CAQ","PLQ","QS","PQ","PCQ","Autre"},MATCH(MAX(Q83:V83),Q83:V83,0))</f>
        <v/>
      </c>
      <c r="AP83" s="99">
        <f>INDEX({"CAQ","PLQ","QS","PQ","PCQ","Autre"},MATCH(MAX(W83:AB83),W83:AB83,0))</f>
        <v/>
      </c>
      <c r="AQ83" s="99">
        <f>INDEX({"CAQ","PLQ","QS","PQ","PCQ","Autre"},MATCH(MAX(AC83:AH83),AC83:AH83,0))</f>
        <v/>
      </c>
      <c r="AR83" s="99">
        <f>INDEX({"CAQ","PLQ","QS","PQ","PCQ","Autre"},MATCH(MAX(AI83:AN83),AI83:AN83,0))</f>
        <v/>
      </c>
      <c r="AS83" s="100">
        <f>(MAX(K83:P83)-LARGE(K83:P83,2))*100</f>
        <v/>
      </c>
      <c r="AT83" s="101">
        <f>IF(AS83&lt;5,"Oui","Non")</f>
        <v/>
      </c>
      <c r="AU83" s="102" t="n">
        <v>-2.631</v>
      </c>
      <c r="AV83" s="102" t="n">
        <v>-4.257</v>
      </c>
      <c r="AW83" s="102" t="n">
        <v>-1.004</v>
      </c>
      <c r="AX83" s="102" t="n">
        <v>0.736</v>
      </c>
      <c r="AY83" s="96" t="n">
        <v>5911</v>
      </c>
      <c r="AZ83" s="96" t="n">
        <v>22420</v>
      </c>
      <c r="BA83" s="96" t="n">
        <v>1902</v>
      </c>
      <c r="BB83" s="96" t="n">
        <v>1580</v>
      </c>
      <c r="BC83" s="96" t="n">
        <v>2615</v>
      </c>
      <c r="BD83" s="97">
        <f>AY83*INDEX(Régions!$AQ$2:$AQ$6,MATCH($B83,Régions!$A$2:$A$6,0))</f>
        <v/>
      </c>
      <c r="BE83" s="97">
        <f>AZ83*INDEX(Régions!$AR$2:$AR$6,MATCH($B83,Régions!$A$2:$A$6,0))</f>
        <v/>
      </c>
      <c r="BF83" s="97">
        <f>BA83*INDEX(Régions!$AS$2:$AS$6,MATCH($B83,Régions!$A$2:$A$6,0))</f>
        <v/>
      </c>
      <c r="BG83" s="97">
        <f>BB83*INDEX(Régions!$AT$2:$AT$6,MATCH($B83,Régions!$A$2:$A$6,0))</f>
        <v/>
      </c>
      <c r="BH83" s="97">
        <f>U83</f>
        <v/>
      </c>
      <c r="BI83" s="97">
        <f>BC83*INDEX(Régions!$AU$2:$AU$6,MATCH($B83,Régions!$A$2:$A$6,0))</f>
        <v/>
      </c>
      <c r="BJ83" s="97">
        <f>INDEX({"CAQ","PLQ","QS","PQ","PCQ","Autre"},MATCH(MAX(BD83:BI83),BD83:BI83,0))</f>
        <v/>
      </c>
    </row>
    <row r="84" ht="15" customHeight="1" s="60">
      <c r="A84" s="94" t="inlineStr">
        <is>
          <t>Nicolet-Bécancour</t>
        </is>
      </c>
      <c r="B84" s="94" t="inlineStr">
        <is>
          <t>Reste du Québec</t>
        </is>
      </c>
      <c r="C84" s="95" t="inlineStr">
        <is>
          <t>CAQ</t>
        </is>
      </c>
      <c r="D84" s="96" t="n">
        <v>13566</v>
      </c>
      <c r="E84" s="96" t="n">
        <v>1350</v>
      </c>
      <c r="F84" s="96" t="n">
        <v>2532</v>
      </c>
      <c r="G84" s="96" t="n">
        <v>4854</v>
      </c>
      <c r="H84" s="96" t="n">
        <v>6412</v>
      </c>
      <c r="I84" s="96" t="n">
        <v>6</v>
      </c>
      <c r="J84" s="97">
        <f>SUM(D84:I84)</f>
        <v/>
      </c>
      <c r="K84" s="98">
        <f>IFERROR(D84/J84,0)</f>
        <v/>
      </c>
      <c r="L84" s="98">
        <f>IFERROR(E84/J84,0)</f>
        <v/>
      </c>
      <c r="M84" s="98">
        <f>IFERROR(F84/J84,0)</f>
        <v/>
      </c>
      <c r="N84" s="98">
        <f>IFERROR(G84/J84,0)</f>
        <v/>
      </c>
      <c r="O84" s="98">
        <f>IFERROR(H84/J84,0)</f>
        <v/>
      </c>
      <c r="P84" s="98">
        <f>IFERROR(I84/J84,0)</f>
        <v/>
      </c>
      <c r="Q84" s="97">
        <f>D84*INDEX(Régions!$T$2:$T$6,MATCH($B84,Régions!$A$2:$A$6,0))</f>
        <v/>
      </c>
      <c r="R84" s="97">
        <f>E84*INDEX(Régions!$U$2:$U$6,MATCH($B84,Régions!$A$2:$A$6,0))</f>
        <v/>
      </c>
      <c r="S84" s="97">
        <f>F84*INDEX(Régions!$V$2:$V$6,MATCH($B84,Régions!$A$2:$A$6,0))</f>
        <v/>
      </c>
      <c r="T84" s="97">
        <f>G84*INDEX(Régions!$W$2:$W$6,MATCH($B84,Régions!$A$2:$A$6,0))</f>
        <v/>
      </c>
      <c r="U84" s="97">
        <f>H84*INDEX(Régions!$X$2:$X$6,MATCH($B84,Régions!$A$2:$A$6,0))</f>
        <v/>
      </c>
      <c r="V84" s="97">
        <f>I84*INDEX(Régions!$Y$2:$Y$6,MATCH($B84,Régions!$A$2:$A$6,0))</f>
        <v/>
      </c>
      <c r="W84" s="97">
        <f>Q84+(AU84/100)*J84*Régions!$O$2</f>
        <v/>
      </c>
      <c r="X84" s="97">
        <f>R84+(AV84/100)*J84*Régions!$O$2</f>
        <v/>
      </c>
      <c r="Y84" s="97">
        <f>S84+(AW84/100)*J84*Régions!$O$2</f>
        <v/>
      </c>
      <c r="Z84" s="97">
        <f>T84+(AX84/100)*J84*Régions!$O$2</f>
        <v/>
      </c>
      <c r="AA84" s="97">
        <f>U84</f>
        <v/>
      </c>
      <c r="AB84" s="97">
        <f>V84</f>
        <v/>
      </c>
      <c r="AC84" s="97">
        <f>D84*INDEX(Régions!$Z$2:$Z$6,MATCH($B84,Régions!$A$2:$A$6,0))</f>
        <v/>
      </c>
      <c r="AD84" s="97">
        <f>E84*INDEX(Régions!$AA$2:$AA$6,MATCH($B84,Régions!$A$2:$A$6,0))</f>
        <v/>
      </c>
      <c r="AE84" s="97">
        <f>F84*INDEX(Régions!$AB$2:$AB$6,MATCH($B84,Régions!$A$2:$A$6,0))</f>
        <v/>
      </c>
      <c r="AF84" s="97">
        <f>G84*INDEX(Régions!$AC$2:$AC$6,MATCH($B84,Régions!$A$2:$A$6,0))</f>
        <v/>
      </c>
      <c r="AG84" s="97">
        <f>H84*INDEX(Régions!$AD$2:$AD$6,MATCH($B84,Régions!$A$2:$A$6,0))</f>
        <v/>
      </c>
      <c r="AH84" s="97">
        <f>I84*INDEX(Régions!$AE$2:$AE$6,MATCH($B84,Régions!$A$2:$A$6,0))</f>
        <v/>
      </c>
      <c r="AI84" s="97">
        <f>D84*INDEX(Régions!$AF$2:$AF$6,MATCH($B84,Régions!$A$2:$A$6,0))</f>
        <v/>
      </c>
      <c r="AJ84" s="97">
        <f>E84*INDEX(Régions!$AG$2:$AG$6,MATCH($B84,Régions!$A$2:$A$6,0))</f>
        <v/>
      </c>
      <c r="AK84" s="97">
        <f>F84*INDEX(Régions!$AH$2:$AH$6,MATCH($B84,Régions!$A$2:$A$6,0))</f>
        <v/>
      </c>
      <c r="AL84" s="97">
        <f>G84*INDEX(Régions!$AI$2:$AI$6,MATCH($B84,Régions!$A$2:$A$6,0))</f>
        <v/>
      </c>
      <c r="AM84" s="97">
        <f>H84*INDEX(Régions!$AJ$2:$AJ$6,MATCH($B84,Régions!$A$2:$A$6,0))</f>
        <v/>
      </c>
      <c r="AN84" s="97">
        <f>I84*INDEX(Régions!$AK$2:$AK$6,MATCH($B84,Régions!$A$2:$A$6,0))</f>
        <v/>
      </c>
      <c r="AO84" s="99">
        <f>INDEX({"CAQ","PLQ","QS","PQ","PCQ","Autre"},MATCH(MAX(Q84:V84),Q84:V84,0))</f>
        <v/>
      </c>
      <c r="AP84" s="99">
        <f>INDEX({"CAQ","PLQ","QS","PQ","PCQ","Autre"},MATCH(MAX(W84:AB84),W84:AB84,0))</f>
        <v/>
      </c>
      <c r="AQ84" s="99">
        <f>INDEX({"CAQ","PLQ","QS","PQ","PCQ","Autre"},MATCH(MAX(AC84:AH84),AC84:AH84,0))</f>
        <v/>
      </c>
      <c r="AR84" s="99">
        <f>INDEX({"CAQ","PLQ","QS","PQ","PCQ","Autre"},MATCH(MAX(AI84:AN84),AI84:AN84,0))</f>
        <v/>
      </c>
      <c r="AS84" s="100">
        <f>(MAX(K84:P84)-LARGE(K84:P84,2))*100</f>
        <v/>
      </c>
      <c r="AT84" s="101">
        <f>IF(AS84&lt;5,"Oui","Non")</f>
        <v/>
      </c>
      <c r="AU84" s="102" t="n">
        <v>-14.248</v>
      </c>
      <c r="AV84" s="102" t="n">
        <v>4.924</v>
      </c>
      <c r="AW84" s="102" t="n">
        <v>-2.548</v>
      </c>
      <c r="AX84" s="102" t="n">
        <v>5.405</v>
      </c>
      <c r="AY84" s="96" t="n">
        <v>15114</v>
      </c>
      <c r="AZ84" s="96" t="n">
        <v>3410</v>
      </c>
      <c r="BA84" s="96" t="n">
        <v>3362</v>
      </c>
      <c r="BB84" s="96" t="n">
        <v>4213</v>
      </c>
      <c r="BC84" s="96" t="n">
        <v>1119</v>
      </c>
      <c r="BD84" s="97">
        <f>AY84*INDEX(Régions!$AQ$2:$AQ$6,MATCH($B84,Régions!$A$2:$A$6,0))</f>
        <v/>
      </c>
      <c r="BE84" s="97">
        <f>AZ84*INDEX(Régions!$AR$2:$AR$6,MATCH($B84,Régions!$A$2:$A$6,0))</f>
        <v/>
      </c>
      <c r="BF84" s="97">
        <f>BA84*INDEX(Régions!$AS$2:$AS$6,MATCH($B84,Régions!$A$2:$A$6,0))</f>
        <v/>
      </c>
      <c r="BG84" s="97">
        <f>BB84*INDEX(Régions!$AT$2:$AT$6,MATCH($B84,Régions!$A$2:$A$6,0))</f>
        <v/>
      </c>
      <c r="BH84" s="97">
        <f>U84</f>
        <v/>
      </c>
      <c r="BI84" s="97">
        <f>BC84*INDEX(Régions!$AU$2:$AU$6,MATCH($B84,Régions!$A$2:$A$6,0))</f>
        <v/>
      </c>
      <c r="BJ84" s="97">
        <f>INDEX({"CAQ","PLQ","QS","PQ","PCQ","Autre"},MATCH(MAX(BD84:BI84),BD84:BI84,0))</f>
        <v/>
      </c>
    </row>
    <row r="85" ht="15" customHeight="1" s="60">
      <c r="A85" s="94" t="inlineStr">
        <is>
          <t>Notre-Dame-de-Grâce</t>
        </is>
      </c>
      <c r="B85" s="94" t="inlineStr">
        <is>
          <t>Île de Montréal</t>
        </is>
      </c>
      <c r="C85" s="95" t="inlineStr">
        <is>
          <t>PLQ</t>
        </is>
      </c>
      <c r="D85" s="96" t="n">
        <v>1877</v>
      </c>
      <c r="E85" s="96" t="n">
        <v>12918</v>
      </c>
      <c r="F85" s="96" t="n">
        <v>3967</v>
      </c>
      <c r="G85" s="96" t="n">
        <v>1302</v>
      </c>
      <c r="H85" s="96" t="n">
        <v>2810</v>
      </c>
      <c r="I85" s="96" t="n">
        <v>2728</v>
      </c>
      <c r="J85" s="97">
        <f>SUM(D85:I85)</f>
        <v/>
      </c>
      <c r="K85" s="98">
        <f>IFERROR(D85/J85,0)</f>
        <v/>
      </c>
      <c r="L85" s="98">
        <f>IFERROR(E85/J85,0)</f>
        <v/>
      </c>
      <c r="M85" s="98">
        <f>IFERROR(F85/J85,0)</f>
        <v/>
      </c>
      <c r="N85" s="98">
        <f>IFERROR(G85/J85,0)</f>
        <v/>
      </c>
      <c r="O85" s="98">
        <f>IFERROR(H85/J85,0)</f>
        <v/>
      </c>
      <c r="P85" s="98">
        <f>IFERROR(I85/J85,0)</f>
        <v/>
      </c>
      <c r="Q85" s="97">
        <f>D85*INDEX(Régions!$T$2:$T$6,MATCH($B85,Régions!$A$2:$A$6,0))</f>
        <v/>
      </c>
      <c r="R85" s="97">
        <f>E85*INDEX(Régions!$U$2:$U$6,MATCH($B85,Régions!$A$2:$A$6,0))</f>
        <v/>
      </c>
      <c r="S85" s="97">
        <f>F85*INDEX(Régions!$V$2:$V$6,MATCH($B85,Régions!$A$2:$A$6,0))</f>
        <v/>
      </c>
      <c r="T85" s="97">
        <f>G85*INDEX(Régions!$W$2:$W$6,MATCH($B85,Régions!$A$2:$A$6,0))</f>
        <v/>
      </c>
      <c r="U85" s="97">
        <f>H85*INDEX(Régions!$X$2:$X$6,MATCH($B85,Régions!$A$2:$A$6,0))</f>
        <v/>
      </c>
      <c r="V85" s="97">
        <f>I85*INDEX(Régions!$Y$2:$Y$6,MATCH($B85,Régions!$A$2:$A$6,0))</f>
        <v/>
      </c>
      <c r="W85" s="97">
        <f>Q85+(AU85/100)*J85*Régions!$O$2</f>
        <v/>
      </c>
      <c r="X85" s="97">
        <f>R85+(AV85/100)*J85*Régions!$O$2</f>
        <v/>
      </c>
      <c r="Y85" s="97">
        <f>S85+(AW85/100)*J85*Régions!$O$2</f>
        <v/>
      </c>
      <c r="Z85" s="97">
        <f>T85+(AX85/100)*J85*Régions!$O$2</f>
        <v/>
      </c>
      <c r="AA85" s="97">
        <f>U85</f>
        <v/>
      </c>
      <c r="AB85" s="97">
        <f>V85</f>
        <v/>
      </c>
      <c r="AC85" s="97">
        <f>D85*INDEX(Régions!$Z$2:$Z$6,MATCH($B85,Régions!$A$2:$A$6,0))</f>
        <v/>
      </c>
      <c r="AD85" s="97">
        <f>E85*INDEX(Régions!$AA$2:$AA$6,MATCH($B85,Régions!$A$2:$A$6,0))</f>
        <v/>
      </c>
      <c r="AE85" s="97">
        <f>F85*INDEX(Régions!$AB$2:$AB$6,MATCH($B85,Régions!$A$2:$A$6,0))</f>
        <v/>
      </c>
      <c r="AF85" s="97">
        <f>G85*INDEX(Régions!$AC$2:$AC$6,MATCH($B85,Régions!$A$2:$A$6,0))</f>
        <v/>
      </c>
      <c r="AG85" s="97">
        <f>H85*INDEX(Régions!$AD$2:$AD$6,MATCH($B85,Régions!$A$2:$A$6,0))</f>
        <v/>
      </c>
      <c r="AH85" s="97">
        <f>I85*INDEX(Régions!$AE$2:$AE$6,MATCH($B85,Régions!$A$2:$A$6,0))</f>
        <v/>
      </c>
      <c r="AI85" s="97">
        <f>D85*INDEX(Régions!$AF$2:$AF$6,MATCH($B85,Régions!$A$2:$A$6,0))</f>
        <v/>
      </c>
      <c r="AJ85" s="97">
        <f>E85*INDEX(Régions!$AG$2:$AG$6,MATCH($B85,Régions!$A$2:$A$6,0))</f>
        <v/>
      </c>
      <c r="AK85" s="97">
        <f>F85*INDEX(Régions!$AH$2:$AH$6,MATCH($B85,Régions!$A$2:$A$6,0))</f>
        <v/>
      </c>
      <c r="AL85" s="97">
        <f>G85*INDEX(Régions!$AI$2:$AI$6,MATCH($B85,Régions!$A$2:$A$6,0))</f>
        <v/>
      </c>
      <c r="AM85" s="97">
        <f>H85*INDEX(Régions!$AJ$2:$AJ$6,MATCH($B85,Régions!$A$2:$A$6,0))</f>
        <v/>
      </c>
      <c r="AN85" s="97">
        <f>I85*INDEX(Régions!$AK$2:$AK$6,MATCH($B85,Régions!$A$2:$A$6,0))</f>
        <v/>
      </c>
      <c r="AO85" s="99">
        <f>INDEX({"CAQ","PLQ","QS","PQ","PCQ","Autre"},MATCH(MAX(Q85:V85),Q85:V85,0))</f>
        <v/>
      </c>
      <c r="AP85" s="99">
        <f>INDEX({"CAQ","PLQ","QS","PQ","PCQ","Autre"},MATCH(MAX(W85:AB85),W85:AB85,0))</f>
        <v/>
      </c>
      <c r="AQ85" s="99">
        <f>INDEX({"CAQ","PLQ","QS","PQ","PCQ","Autre"},MATCH(MAX(AC85:AH85),AC85:AH85,0))</f>
        <v/>
      </c>
      <c r="AR85" s="99">
        <f>INDEX({"CAQ","PLQ","QS","PQ","PCQ","Autre"},MATCH(MAX(AI85:AN85),AI85:AN85,0))</f>
        <v/>
      </c>
      <c r="AS85" s="100">
        <f>(MAX(K85:P85)-LARGE(K85:P85,2))*100</f>
        <v/>
      </c>
      <c r="AT85" s="101">
        <f>IF(AS85&lt;5,"Oui","Non")</f>
        <v/>
      </c>
      <c r="AU85" s="102" t="n">
        <v>-2.786</v>
      </c>
      <c r="AV85" s="102" t="n">
        <v>-3.691</v>
      </c>
      <c r="AW85" s="102" t="n">
        <v>2.912</v>
      </c>
      <c r="AX85" s="102" t="n">
        <v>0.781</v>
      </c>
      <c r="AY85" s="96" t="n">
        <v>2142</v>
      </c>
      <c r="AZ85" s="96" t="n">
        <v>16843</v>
      </c>
      <c r="BA85" s="96" t="n">
        <v>3166</v>
      </c>
      <c r="BB85" s="96" t="n">
        <v>1460</v>
      </c>
      <c r="BC85" s="96" t="n">
        <v>3131</v>
      </c>
      <c r="BD85" s="97">
        <f>AY85*INDEX(Régions!$AQ$2:$AQ$6,MATCH($B85,Régions!$A$2:$A$6,0))</f>
        <v/>
      </c>
      <c r="BE85" s="97">
        <f>AZ85*INDEX(Régions!$AR$2:$AR$6,MATCH($B85,Régions!$A$2:$A$6,0))</f>
        <v/>
      </c>
      <c r="BF85" s="97">
        <f>BA85*INDEX(Régions!$AS$2:$AS$6,MATCH($B85,Régions!$A$2:$A$6,0))</f>
        <v/>
      </c>
      <c r="BG85" s="97">
        <f>BB85*INDEX(Régions!$AT$2:$AT$6,MATCH($B85,Régions!$A$2:$A$6,0))</f>
        <v/>
      </c>
      <c r="BH85" s="97">
        <f>U85</f>
        <v/>
      </c>
      <c r="BI85" s="97">
        <f>BC85*INDEX(Régions!$AU$2:$AU$6,MATCH($B85,Régions!$A$2:$A$6,0))</f>
        <v/>
      </c>
      <c r="BJ85" s="97">
        <f>INDEX({"CAQ","PLQ","QS","PQ","PCQ","Autre"},MATCH(MAX(BD85:BI85),BD85:BI85,0))</f>
        <v/>
      </c>
    </row>
    <row r="86" ht="15" customHeight="1" s="60">
      <c r="A86" s="94" t="inlineStr">
        <is>
          <t>Orford</t>
        </is>
      </c>
      <c r="B86" s="94" t="inlineStr">
        <is>
          <t>Reste du Québec</t>
        </is>
      </c>
      <c r="C86" s="95" t="inlineStr">
        <is>
          <t>CAQ</t>
        </is>
      </c>
      <c r="D86" s="96" t="n">
        <v>13642</v>
      </c>
      <c r="E86" s="96" t="n">
        <v>4763</v>
      </c>
      <c r="F86" s="96" t="n">
        <v>5132</v>
      </c>
      <c r="G86" s="96" t="n">
        <v>4323</v>
      </c>
      <c r="H86" s="96" t="n">
        <v>3798</v>
      </c>
      <c r="I86" s="96" t="n">
        <v>106</v>
      </c>
      <c r="J86" s="97">
        <f>SUM(D86:I86)</f>
        <v/>
      </c>
      <c r="K86" s="98">
        <f>IFERROR(D86/J86,0)</f>
        <v/>
      </c>
      <c r="L86" s="98">
        <f>IFERROR(E86/J86,0)</f>
        <v/>
      </c>
      <c r="M86" s="98">
        <f>IFERROR(F86/J86,0)</f>
        <v/>
      </c>
      <c r="N86" s="98">
        <f>IFERROR(G86/J86,0)</f>
        <v/>
      </c>
      <c r="O86" s="98">
        <f>IFERROR(H86/J86,0)</f>
        <v/>
      </c>
      <c r="P86" s="98">
        <f>IFERROR(I86/J86,0)</f>
        <v/>
      </c>
      <c r="Q86" s="97">
        <f>D86*INDEX(Régions!$T$2:$T$6,MATCH($B86,Régions!$A$2:$A$6,0))</f>
        <v/>
      </c>
      <c r="R86" s="97">
        <f>E86*INDEX(Régions!$U$2:$U$6,MATCH($B86,Régions!$A$2:$A$6,0))</f>
        <v/>
      </c>
      <c r="S86" s="97">
        <f>F86*INDEX(Régions!$V$2:$V$6,MATCH($B86,Régions!$A$2:$A$6,0))</f>
        <v/>
      </c>
      <c r="T86" s="97">
        <f>G86*INDEX(Régions!$W$2:$W$6,MATCH($B86,Régions!$A$2:$A$6,0))</f>
        <v/>
      </c>
      <c r="U86" s="97">
        <f>H86*INDEX(Régions!$X$2:$X$6,MATCH($B86,Régions!$A$2:$A$6,0))</f>
        <v/>
      </c>
      <c r="V86" s="97">
        <f>I86*INDEX(Régions!$Y$2:$Y$6,MATCH($B86,Régions!$A$2:$A$6,0))</f>
        <v/>
      </c>
      <c r="W86" s="97">
        <f>Q86+(AU86/100)*J86*Régions!$O$2</f>
        <v/>
      </c>
      <c r="X86" s="97">
        <f>R86+(AV86/100)*J86*Régions!$O$2</f>
        <v/>
      </c>
      <c r="Y86" s="97">
        <f>S86+(AW86/100)*J86*Régions!$O$2</f>
        <v/>
      </c>
      <c r="Z86" s="97">
        <f>T86+(AX86/100)*J86*Régions!$O$2</f>
        <v/>
      </c>
      <c r="AA86" s="97">
        <f>U86</f>
        <v/>
      </c>
      <c r="AB86" s="97">
        <f>V86</f>
        <v/>
      </c>
      <c r="AC86" s="97">
        <f>D86*INDEX(Régions!$Z$2:$Z$6,MATCH($B86,Régions!$A$2:$A$6,0))</f>
        <v/>
      </c>
      <c r="AD86" s="97">
        <f>E86*INDEX(Régions!$AA$2:$AA$6,MATCH($B86,Régions!$A$2:$A$6,0))</f>
        <v/>
      </c>
      <c r="AE86" s="97">
        <f>F86*INDEX(Régions!$AB$2:$AB$6,MATCH($B86,Régions!$A$2:$A$6,0))</f>
        <v/>
      </c>
      <c r="AF86" s="97">
        <f>G86*INDEX(Régions!$AC$2:$AC$6,MATCH($B86,Régions!$A$2:$A$6,0))</f>
        <v/>
      </c>
      <c r="AG86" s="97">
        <f>H86*INDEX(Régions!$AD$2:$AD$6,MATCH($B86,Régions!$A$2:$A$6,0))</f>
        <v/>
      </c>
      <c r="AH86" s="97">
        <f>I86*INDEX(Régions!$AE$2:$AE$6,MATCH($B86,Régions!$A$2:$A$6,0))</f>
        <v/>
      </c>
      <c r="AI86" s="97">
        <f>D86*INDEX(Régions!$AF$2:$AF$6,MATCH($B86,Régions!$A$2:$A$6,0))</f>
        <v/>
      </c>
      <c r="AJ86" s="97">
        <f>E86*INDEX(Régions!$AG$2:$AG$6,MATCH($B86,Régions!$A$2:$A$6,0))</f>
        <v/>
      </c>
      <c r="AK86" s="97">
        <f>F86*INDEX(Régions!$AH$2:$AH$6,MATCH($B86,Régions!$A$2:$A$6,0))</f>
        <v/>
      </c>
      <c r="AL86" s="97">
        <f>G86*INDEX(Régions!$AI$2:$AI$6,MATCH($B86,Régions!$A$2:$A$6,0))</f>
        <v/>
      </c>
      <c r="AM86" s="97">
        <f>H86*INDEX(Régions!$AJ$2:$AJ$6,MATCH($B86,Régions!$A$2:$A$6,0))</f>
        <v/>
      </c>
      <c r="AN86" s="97">
        <f>I86*INDEX(Régions!$AK$2:$AK$6,MATCH($B86,Régions!$A$2:$A$6,0))</f>
        <v/>
      </c>
      <c r="AO86" s="99">
        <f>INDEX({"CAQ","PLQ","QS","PQ","PCQ","Autre"},MATCH(MAX(Q86:V86),Q86:V86,0))</f>
        <v/>
      </c>
      <c r="AP86" s="99">
        <f>INDEX({"CAQ","PLQ","QS","PQ","PCQ","Autre"},MATCH(MAX(W86:AB86),W86:AB86,0))</f>
        <v/>
      </c>
      <c r="AQ86" s="99">
        <f>INDEX({"CAQ","PLQ","QS","PQ","PCQ","Autre"},MATCH(MAX(AC86:AH86),AC86:AH86,0))</f>
        <v/>
      </c>
      <c r="AR86" s="99">
        <f>INDEX({"CAQ","PLQ","QS","PQ","PCQ","Autre"},MATCH(MAX(AI86:AN86),AI86:AN86,0))</f>
        <v/>
      </c>
      <c r="AS86" s="100">
        <f>(MAX(K86:P86)-LARGE(K86:P86,2))*100</f>
        <v/>
      </c>
      <c r="AT86" s="101">
        <f>IF(AS86&lt;5,"Oui","Non")</f>
        <v/>
      </c>
      <c r="AU86" s="102" t="n">
        <v>-3.055</v>
      </c>
      <c r="AV86" s="102" t="n">
        <v>2.793</v>
      </c>
      <c r="AW86" s="102" t="n">
        <v>-0.727</v>
      </c>
      <c r="AX86" s="102" t="n">
        <v>5.217</v>
      </c>
      <c r="AY86" s="96" t="n">
        <v>11736</v>
      </c>
      <c r="AZ86" s="96" t="n">
        <v>7311</v>
      </c>
      <c r="BA86" s="96" t="n">
        <v>5236</v>
      </c>
      <c r="BB86" s="96" t="n">
        <v>3626</v>
      </c>
      <c r="BC86" s="96" t="n">
        <v>1391</v>
      </c>
      <c r="BD86" s="97">
        <f>AY86*INDEX(Régions!$AQ$2:$AQ$6,MATCH($B86,Régions!$A$2:$A$6,0))</f>
        <v/>
      </c>
      <c r="BE86" s="97">
        <f>AZ86*INDEX(Régions!$AR$2:$AR$6,MATCH($B86,Régions!$A$2:$A$6,0))</f>
        <v/>
      </c>
      <c r="BF86" s="97">
        <f>BA86*INDEX(Régions!$AS$2:$AS$6,MATCH($B86,Régions!$A$2:$A$6,0))</f>
        <v/>
      </c>
      <c r="BG86" s="97">
        <f>BB86*INDEX(Régions!$AT$2:$AT$6,MATCH($B86,Régions!$A$2:$A$6,0))</f>
        <v/>
      </c>
      <c r="BH86" s="97">
        <f>U86</f>
        <v/>
      </c>
      <c r="BI86" s="97">
        <f>BC86*INDEX(Régions!$AU$2:$AU$6,MATCH($B86,Régions!$A$2:$A$6,0))</f>
        <v/>
      </c>
      <c r="BJ86" s="97">
        <f>INDEX({"CAQ","PLQ","QS","PQ","PCQ","Autre"},MATCH(MAX(BD86:BI86),BD86:BI86,0))</f>
        <v/>
      </c>
    </row>
    <row r="87" ht="15" customHeight="1" s="60">
      <c r="A87" s="94" t="inlineStr">
        <is>
          <t>Papineau</t>
        </is>
      </c>
      <c r="B87" s="94" t="inlineStr">
        <is>
          <t>Banlieue de Montréal</t>
        </is>
      </c>
      <c r="C87" s="95" t="inlineStr">
        <is>
          <t>CAQ</t>
        </is>
      </c>
      <c r="D87" s="96" t="n">
        <v>18164</v>
      </c>
      <c r="E87" s="96" t="n">
        <v>2892</v>
      </c>
      <c r="F87" s="96" t="n">
        <v>4740</v>
      </c>
      <c r="G87" s="96" t="n">
        <v>3519</v>
      </c>
      <c r="H87" s="96" t="n">
        <v>4561</v>
      </c>
      <c r="I87" s="96" t="n">
        <v>508</v>
      </c>
      <c r="J87" s="97">
        <f>SUM(D87:I87)</f>
        <v/>
      </c>
      <c r="K87" s="98">
        <f>IFERROR(D87/J87,0)</f>
        <v/>
      </c>
      <c r="L87" s="98">
        <f>IFERROR(E87/J87,0)</f>
        <v/>
      </c>
      <c r="M87" s="98">
        <f>IFERROR(F87/J87,0)</f>
        <v/>
      </c>
      <c r="N87" s="98">
        <f>IFERROR(G87/J87,0)</f>
        <v/>
      </c>
      <c r="O87" s="98">
        <f>IFERROR(H87/J87,0)</f>
        <v/>
      </c>
      <c r="P87" s="98">
        <f>IFERROR(I87/J87,0)</f>
        <v/>
      </c>
      <c r="Q87" s="97">
        <f>D87*INDEX(Régions!$T$2:$T$6,MATCH($B87,Régions!$A$2:$A$6,0))</f>
        <v/>
      </c>
      <c r="R87" s="97">
        <f>E87*INDEX(Régions!$U$2:$U$6,MATCH($B87,Régions!$A$2:$A$6,0))</f>
        <v/>
      </c>
      <c r="S87" s="97">
        <f>F87*INDEX(Régions!$V$2:$V$6,MATCH($B87,Régions!$A$2:$A$6,0))</f>
        <v/>
      </c>
      <c r="T87" s="97">
        <f>G87*INDEX(Régions!$W$2:$W$6,MATCH($B87,Régions!$A$2:$A$6,0))</f>
        <v/>
      </c>
      <c r="U87" s="97">
        <f>H87*INDEX(Régions!$X$2:$X$6,MATCH($B87,Régions!$A$2:$A$6,0))</f>
        <v/>
      </c>
      <c r="V87" s="97">
        <f>I87*INDEX(Régions!$Y$2:$Y$6,MATCH($B87,Régions!$A$2:$A$6,0))</f>
        <v/>
      </c>
      <c r="W87" s="97">
        <f>Q87+(AU87/100)*J87*Régions!$O$2</f>
        <v/>
      </c>
      <c r="X87" s="97">
        <f>R87+(AV87/100)*J87*Régions!$O$2</f>
        <v/>
      </c>
      <c r="Y87" s="97">
        <f>S87+(AW87/100)*J87*Régions!$O$2</f>
        <v/>
      </c>
      <c r="Z87" s="97">
        <f>T87+(AX87/100)*J87*Régions!$O$2</f>
        <v/>
      </c>
      <c r="AA87" s="97">
        <f>U87</f>
        <v/>
      </c>
      <c r="AB87" s="97">
        <f>V87</f>
        <v/>
      </c>
      <c r="AC87" s="97">
        <f>D87*INDEX(Régions!$Z$2:$Z$6,MATCH($B87,Régions!$A$2:$A$6,0))</f>
        <v/>
      </c>
      <c r="AD87" s="97">
        <f>E87*INDEX(Régions!$AA$2:$AA$6,MATCH($B87,Régions!$A$2:$A$6,0))</f>
        <v/>
      </c>
      <c r="AE87" s="97">
        <f>F87*INDEX(Régions!$AB$2:$AB$6,MATCH($B87,Régions!$A$2:$A$6,0))</f>
        <v/>
      </c>
      <c r="AF87" s="97">
        <f>G87*INDEX(Régions!$AC$2:$AC$6,MATCH($B87,Régions!$A$2:$A$6,0))</f>
        <v/>
      </c>
      <c r="AG87" s="97">
        <f>H87*INDEX(Régions!$AD$2:$AD$6,MATCH($B87,Régions!$A$2:$A$6,0))</f>
        <v/>
      </c>
      <c r="AH87" s="97">
        <f>I87*INDEX(Régions!$AE$2:$AE$6,MATCH($B87,Régions!$A$2:$A$6,0))</f>
        <v/>
      </c>
      <c r="AI87" s="97">
        <f>D87*INDEX(Régions!$AF$2:$AF$6,MATCH($B87,Régions!$A$2:$A$6,0))</f>
        <v/>
      </c>
      <c r="AJ87" s="97">
        <f>E87*INDEX(Régions!$AG$2:$AG$6,MATCH($B87,Régions!$A$2:$A$6,0))</f>
        <v/>
      </c>
      <c r="AK87" s="97">
        <f>F87*INDEX(Régions!$AH$2:$AH$6,MATCH($B87,Régions!$A$2:$A$6,0))</f>
        <v/>
      </c>
      <c r="AL87" s="97">
        <f>G87*INDEX(Régions!$AI$2:$AI$6,MATCH($B87,Régions!$A$2:$A$6,0))</f>
        <v/>
      </c>
      <c r="AM87" s="97">
        <f>H87*INDEX(Régions!$AJ$2:$AJ$6,MATCH($B87,Régions!$A$2:$A$6,0))</f>
        <v/>
      </c>
      <c r="AN87" s="97">
        <f>I87*INDEX(Régions!$AK$2:$AK$6,MATCH($B87,Régions!$A$2:$A$6,0))</f>
        <v/>
      </c>
      <c r="AO87" s="99">
        <f>INDEX({"CAQ","PLQ","QS","PQ","PCQ","Autre"},MATCH(MAX(Q87:V87),Q87:V87,0))</f>
        <v/>
      </c>
      <c r="AP87" s="99">
        <f>INDEX({"CAQ","PLQ","QS","PQ","PCQ","Autre"},MATCH(MAX(W87:AB87),W87:AB87,0))</f>
        <v/>
      </c>
      <c r="AQ87" s="99">
        <f>INDEX({"CAQ","PLQ","QS","PQ","PCQ","Autre"},MATCH(MAX(AC87:AH87),AC87:AH87,0))</f>
        <v/>
      </c>
      <c r="AR87" s="99">
        <f>INDEX({"CAQ","PLQ","QS","PQ","PCQ","Autre"},MATCH(MAX(AI87:AN87),AI87:AN87,0))</f>
        <v/>
      </c>
      <c r="AS87" s="100">
        <f>(MAX(K87:P87)-LARGE(K87:P87,2))*100</f>
        <v/>
      </c>
      <c r="AT87" s="101">
        <f>IF(AS87&lt;5,"Oui","Non")</f>
        <v/>
      </c>
      <c r="AU87" s="102" t="n">
        <v>2.767</v>
      </c>
      <c r="AV87" s="102" t="n">
        <v>-7.795</v>
      </c>
      <c r="AW87" s="102" t="n">
        <v>-0.546</v>
      </c>
      <c r="AX87" s="102" t="n">
        <v>2.651</v>
      </c>
      <c r="AY87" s="96" t="n">
        <v>15580</v>
      </c>
      <c r="AZ87" s="96" t="n">
        <v>7671</v>
      </c>
      <c r="BA87" s="96" t="n">
        <v>4988</v>
      </c>
      <c r="BB87" s="96" t="n">
        <v>3514</v>
      </c>
      <c r="BC87" s="96" t="n">
        <v>1444</v>
      </c>
      <c r="BD87" s="97">
        <f>AY87*INDEX(Régions!$AQ$2:$AQ$6,MATCH($B87,Régions!$A$2:$A$6,0))</f>
        <v/>
      </c>
      <c r="BE87" s="97">
        <f>AZ87*INDEX(Régions!$AR$2:$AR$6,MATCH($B87,Régions!$A$2:$A$6,0))</f>
        <v/>
      </c>
      <c r="BF87" s="97">
        <f>BA87*INDEX(Régions!$AS$2:$AS$6,MATCH($B87,Régions!$A$2:$A$6,0))</f>
        <v/>
      </c>
      <c r="BG87" s="97">
        <f>BB87*INDEX(Régions!$AT$2:$AT$6,MATCH($B87,Régions!$A$2:$A$6,0))</f>
        <v/>
      </c>
      <c r="BH87" s="97">
        <f>U87</f>
        <v/>
      </c>
      <c r="BI87" s="97">
        <f>BC87*INDEX(Régions!$AU$2:$AU$6,MATCH($B87,Régions!$A$2:$A$6,0))</f>
        <v/>
      </c>
      <c r="BJ87" s="97">
        <f>INDEX({"CAQ","PLQ","QS","PQ","PCQ","Autre"},MATCH(MAX(BD87:BI87),BD87:BI87,0))</f>
        <v/>
      </c>
    </row>
    <row r="88" ht="15" customHeight="1" s="60">
      <c r="A88" s="94" t="inlineStr">
        <is>
          <t>Pierre-Laporte</t>
        </is>
      </c>
      <c r="B88" s="94" t="inlineStr">
        <is>
          <t>Banlieue de Montréal</t>
        </is>
      </c>
      <c r="C88" s="95" t="inlineStr">
        <is>
          <t>CAQ</t>
        </is>
      </c>
      <c r="D88" s="96" t="n">
        <v>10361</v>
      </c>
      <c r="E88" s="96" t="n">
        <v>9707</v>
      </c>
      <c r="F88" s="96" t="n">
        <v>5968</v>
      </c>
      <c r="G88" s="96" t="n">
        <v>4108</v>
      </c>
      <c r="H88" s="96" t="n">
        <v>2933</v>
      </c>
      <c r="I88" s="96" t="n">
        <v>610</v>
      </c>
      <c r="J88" s="97">
        <f>SUM(D88:I88)</f>
        <v/>
      </c>
      <c r="K88" s="98">
        <f>IFERROR(D88/J88,0)</f>
        <v/>
      </c>
      <c r="L88" s="98">
        <f>IFERROR(E88/J88,0)</f>
        <v/>
      </c>
      <c r="M88" s="98">
        <f>IFERROR(F88/J88,0)</f>
        <v/>
      </c>
      <c r="N88" s="98">
        <f>IFERROR(G88/J88,0)</f>
        <v/>
      </c>
      <c r="O88" s="98">
        <f>IFERROR(H88/J88,0)</f>
        <v/>
      </c>
      <c r="P88" s="98">
        <f>IFERROR(I88/J88,0)</f>
        <v/>
      </c>
      <c r="Q88" s="97">
        <f>D88*INDEX(Régions!$T$2:$T$6,MATCH($B88,Régions!$A$2:$A$6,0))</f>
        <v/>
      </c>
      <c r="R88" s="97">
        <f>E88*INDEX(Régions!$U$2:$U$6,MATCH($B88,Régions!$A$2:$A$6,0))</f>
        <v/>
      </c>
      <c r="S88" s="97">
        <f>F88*INDEX(Régions!$V$2:$V$6,MATCH($B88,Régions!$A$2:$A$6,0))</f>
        <v/>
      </c>
      <c r="T88" s="97">
        <f>G88*INDEX(Régions!$W$2:$W$6,MATCH($B88,Régions!$A$2:$A$6,0))</f>
        <v/>
      </c>
      <c r="U88" s="97">
        <f>H88*INDEX(Régions!$X$2:$X$6,MATCH($B88,Régions!$A$2:$A$6,0))</f>
        <v/>
      </c>
      <c r="V88" s="97">
        <f>I88*INDEX(Régions!$Y$2:$Y$6,MATCH($B88,Régions!$A$2:$A$6,0))</f>
        <v/>
      </c>
      <c r="W88" s="97">
        <f>Q88+(AU88/100)*J88*Régions!$O$2</f>
        <v/>
      </c>
      <c r="X88" s="97">
        <f>R88+(AV88/100)*J88*Régions!$O$2</f>
        <v/>
      </c>
      <c r="Y88" s="97">
        <f>S88+(AW88/100)*J88*Régions!$O$2</f>
        <v/>
      </c>
      <c r="Z88" s="97">
        <f>T88+(AX88/100)*J88*Régions!$O$2</f>
        <v/>
      </c>
      <c r="AA88" s="97">
        <f>U88</f>
        <v/>
      </c>
      <c r="AB88" s="97">
        <f>V88</f>
        <v/>
      </c>
      <c r="AC88" s="97">
        <f>D88*INDEX(Régions!$Z$2:$Z$6,MATCH($B88,Régions!$A$2:$A$6,0))</f>
        <v/>
      </c>
      <c r="AD88" s="97">
        <f>E88*INDEX(Régions!$AA$2:$AA$6,MATCH($B88,Régions!$A$2:$A$6,0))</f>
        <v/>
      </c>
      <c r="AE88" s="97">
        <f>F88*INDEX(Régions!$AB$2:$AB$6,MATCH($B88,Régions!$A$2:$A$6,0))</f>
        <v/>
      </c>
      <c r="AF88" s="97">
        <f>G88*INDEX(Régions!$AC$2:$AC$6,MATCH($B88,Régions!$A$2:$A$6,0))</f>
        <v/>
      </c>
      <c r="AG88" s="97">
        <f>H88*INDEX(Régions!$AD$2:$AD$6,MATCH($B88,Régions!$A$2:$A$6,0))</f>
        <v/>
      </c>
      <c r="AH88" s="97">
        <f>I88*INDEX(Régions!$AE$2:$AE$6,MATCH($B88,Régions!$A$2:$A$6,0))</f>
        <v/>
      </c>
      <c r="AI88" s="97">
        <f>D88*INDEX(Régions!$AF$2:$AF$6,MATCH($B88,Régions!$A$2:$A$6,0))</f>
        <v/>
      </c>
      <c r="AJ88" s="97">
        <f>E88*INDEX(Régions!$AG$2:$AG$6,MATCH($B88,Régions!$A$2:$A$6,0))</f>
        <v/>
      </c>
      <c r="AK88" s="97">
        <f>F88*INDEX(Régions!$AH$2:$AH$6,MATCH($B88,Régions!$A$2:$A$6,0))</f>
        <v/>
      </c>
      <c r="AL88" s="97">
        <f>G88*INDEX(Régions!$AI$2:$AI$6,MATCH($B88,Régions!$A$2:$A$6,0))</f>
        <v/>
      </c>
      <c r="AM88" s="97">
        <f>H88*INDEX(Régions!$AJ$2:$AJ$6,MATCH($B88,Régions!$A$2:$A$6,0))</f>
        <v/>
      </c>
      <c r="AN88" s="97">
        <f>I88*INDEX(Régions!$AK$2:$AK$6,MATCH($B88,Régions!$A$2:$A$6,0))</f>
        <v/>
      </c>
      <c r="AO88" s="99">
        <f>INDEX({"CAQ","PLQ","QS","PQ","PCQ","Autre"},MATCH(MAX(Q88:V88),Q88:V88,0))</f>
        <v/>
      </c>
      <c r="AP88" s="99">
        <f>INDEX({"CAQ","PLQ","QS","PQ","PCQ","Autre"},MATCH(MAX(W88:AB88),W88:AB88,0))</f>
        <v/>
      </c>
      <c r="AQ88" s="99">
        <f>INDEX({"CAQ","PLQ","QS","PQ","PCQ","Autre"},MATCH(MAX(AC88:AH88),AC88:AH88,0))</f>
        <v/>
      </c>
      <c r="AR88" s="99">
        <f>INDEX({"CAQ","PLQ","QS","PQ","PCQ","Autre"},MATCH(MAX(AI88:AN88),AI88:AN88,0))</f>
        <v/>
      </c>
      <c r="AS88" s="100">
        <f>(MAX(K88:P88)-LARGE(K88:P88,2))*100</f>
        <v/>
      </c>
      <c r="AT88" s="101">
        <f>IF(AS88&lt;5,"Oui","Non")</f>
        <v/>
      </c>
      <c r="AU88" s="102" t="n">
        <v>-0.929</v>
      </c>
      <c r="AV88" s="102" t="n">
        <v>0.109</v>
      </c>
      <c r="AW88" s="102" t="n">
        <v>1.314</v>
      </c>
      <c r="AX88" s="102" t="n">
        <v>1.967</v>
      </c>
      <c r="AY88" s="96" t="n">
        <v>10037</v>
      </c>
      <c r="AZ88" s="96" t="n">
        <v>12515</v>
      </c>
      <c r="BA88" s="96" t="n">
        <v>6009</v>
      </c>
      <c r="BB88" s="96" t="n">
        <v>4650</v>
      </c>
      <c r="BC88" s="96" t="n">
        <v>1935</v>
      </c>
      <c r="BD88" s="97">
        <f>AY88*INDEX(Régions!$AQ$2:$AQ$6,MATCH($B88,Régions!$A$2:$A$6,0))</f>
        <v/>
      </c>
      <c r="BE88" s="97">
        <f>AZ88*INDEX(Régions!$AR$2:$AR$6,MATCH($B88,Régions!$A$2:$A$6,0))</f>
        <v/>
      </c>
      <c r="BF88" s="97">
        <f>BA88*INDEX(Régions!$AS$2:$AS$6,MATCH($B88,Régions!$A$2:$A$6,0))</f>
        <v/>
      </c>
      <c r="BG88" s="97">
        <f>BB88*INDEX(Régions!$AT$2:$AT$6,MATCH($B88,Régions!$A$2:$A$6,0))</f>
        <v/>
      </c>
      <c r="BH88" s="97">
        <f>U88</f>
        <v/>
      </c>
      <c r="BI88" s="97">
        <f>BC88*INDEX(Régions!$AU$2:$AU$6,MATCH($B88,Régions!$A$2:$A$6,0))</f>
        <v/>
      </c>
      <c r="BJ88" s="97">
        <f>INDEX({"CAQ","PLQ","QS","PQ","PCQ","Autre"},MATCH(MAX(BD88:BI88),BD88:BI88,0))</f>
        <v/>
      </c>
    </row>
    <row r="89" ht="15" customHeight="1" s="60">
      <c r="A89" s="94" t="inlineStr">
        <is>
          <t>Pointe-aux-Trembles</t>
        </is>
      </c>
      <c r="B89" s="94" t="inlineStr">
        <is>
          <t>Île de Montréal</t>
        </is>
      </c>
      <c r="C89" s="95" t="inlineStr">
        <is>
          <t>CAQ</t>
        </is>
      </c>
      <c r="D89" s="96" t="n">
        <v>12156</v>
      </c>
      <c r="E89" s="96" t="n">
        <v>2750</v>
      </c>
      <c r="F89" s="96" t="n">
        <v>4084</v>
      </c>
      <c r="G89" s="96" t="n">
        <v>5265</v>
      </c>
      <c r="H89" s="96" t="n">
        <v>1804</v>
      </c>
      <c r="I89" s="96" t="n">
        <v>436</v>
      </c>
      <c r="J89" s="97">
        <f>SUM(D89:I89)</f>
        <v/>
      </c>
      <c r="K89" s="98">
        <f>IFERROR(D89/J89,0)</f>
        <v/>
      </c>
      <c r="L89" s="98">
        <f>IFERROR(E89/J89,0)</f>
        <v/>
      </c>
      <c r="M89" s="98">
        <f>IFERROR(F89/J89,0)</f>
        <v/>
      </c>
      <c r="N89" s="98">
        <f>IFERROR(G89/J89,0)</f>
        <v/>
      </c>
      <c r="O89" s="98">
        <f>IFERROR(H89/J89,0)</f>
        <v/>
      </c>
      <c r="P89" s="98">
        <f>IFERROR(I89/J89,0)</f>
        <v/>
      </c>
      <c r="Q89" s="97">
        <f>D89*INDEX(Régions!$T$2:$T$6,MATCH($B89,Régions!$A$2:$A$6,0))</f>
        <v/>
      </c>
      <c r="R89" s="97">
        <f>E89*INDEX(Régions!$U$2:$U$6,MATCH($B89,Régions!$A$2:$A$6,0))</f>
        <v/>
      </c>
      <c r="S89" s="97">
        <f>F89*INDEX(Régions!$V$2:$V$6,MATCH($B89,Régions!$A$2:$A$6,0))</f>
        <v/>
      </c>
      <c r="T89" s="97">
        <f>G89*INDEX(Régions!$W$2:$W$6,MATCH($B89,Régions!$A$2:$A$6,0))</f>
        <v/>
      </c>
      <c r="U89" s="97">
        <f>H89*INDEX(Régions!$X$2:$X$6,MATCH($B89,Régions!$A$2:$A$6,0))</f>
        <v/>
      </c>
      <c r="V89" s="97">
        <f>I89*INDEX(Régions!$Y$2:$Y$6,MATCH($B89,Régions!$A$2:$A$6,0))</f>
        <v/>
      </c>
      <c r="W89" s="97">
        <f>Q89+(AU89/100)*J89*Régions!$O$2</f>
        <v/>
      </c>
      <c r="X89" s="97">
        <f>R89+(AV89/100)*J89*Régions!$O$2</f>
        <v/>
      </c>
      <c r="Y89" s="97">
        <f>S89+(AW89/100)*J89*Régions!$O$2</f>
        <v/>
      </c>
      <c r="Z89" s="97">
        <f>T89+(AX89/100)*J89*Régions!$O$2</f>
        <v/>
      </c>
      <c r="AA89" s="97">
        <f>U89</f>
        <v/>
      </c>
      <c r="AB89" s="97">
        <f>V89</f>
        <v/>
      </c>
      <c r="AC89" s="97">
        <f>D89*INDEX(Régions!$Z$2:$Z$6,MATCH($B89,Régions!$A$2:$A$6,0))</f>
        <v/>
      </c>
      <c r="AD89" s="97">
        <f>E89*INDEX(Régions!$AA$2:$AA$6,MATCH($B89,Régions!$A$2:$A$6,0))</f>
        <v/>
      </c>
      <c r="AE89" s="97">
        <f>F89*INDEX(Régions!$AB$2:$AB$6,MATCH($B89,Régions!$A$2:$A$6,0))</f>
        <v/>
      </c>
      <c r="AF89" s="97">
        <f>G89*INDEX(Régions!$AC$2:$AC$6,MATCH($B89,Régions!$A$2:$A$6,0))</f>
        <v/>
      </c>
      <c r="AG89" s="97">
        <f>H89*INDEX(Régions!$AD$2:$AD$6,MATCH($B89,Régions!$A$2:$A$6,0))</f>
        <v/>
      </c>
      <c r="AH89" s="97">
        <f>I89*INDEX(Régions!$AE$2:$AE$6,MATCH($B89,Régions!$A$2:$A$6,0))</f>
        <v/>
      </c>
      <c r="AI89" s="97">
        <f>D89*INDEX(Régions!$AF$2:$AF$6,MATCH($B89,Régions!$A$2:$A$6,0))</f>
        <v/>
      </c>
      <c r="AJ89" s="97">
        <f>E89*INDEX(Régions!$AG$2:$AG$6,MATCH($B89,Régions!$A$2:$A$6,0))</f>
        <v/>
      </c>
      <c r="AK89" s="97">
        <f>F89*INDEX(Régions!$AH$2:$AH$6,MATCH($B89,Régions!$A$2:$A$6,0))</f>
        <v/>
      </c>
      <c r="AL89" s="97">
        <f>G89*INDEX(Régions!$AI$2:$AI$6,MATCH($B89,Régions!$A$2:$A$6,0))</f>
        <v/>
      </c>
      <c r="AM89" s="97">
        <f>H89*INDEX(Régions!$AJ$2:$AJ$6,MATCH($B89,Régions!$A$2:$A$6,0))</f>
        <v/>
      </c>
      <c r="AN89" s="97">
        <f>I89*INDEX(Régions!$AK$2:$AK$6,MATCH($B89,Régions!$A$2:$A$6,0))</f>
        <v/>
      </c>
      <c r="AO89" s="99">
        <f>INDEX({"CAQ","PLQ","QS","PQ","PCQ","Autre"},MATCH(MAX(Q89:V89),Q89:V89,0))</f>
        <v/>
      </c>
      <c r="AP89" s="99">
        <f>INDEX({"CAQ","PLQ","QS","PQ","PCQ","Autre"},MATCH(MAX(W89:AB89),W89:AB89,0))</f>
        <v/>
      </c>
      <c r="AQ89" s="99">
        <f>INDEX({"CAQ","PLQ","QS","PQ","PCQ","Autre"},MATCH(MAX(AC89:AH89),AC89:AH89,0))</f>
        <v/>
      </c>
      <c r="AR89" s="99">
        <f>INDEX({"CAQ","PLQ","QS","PQ","PCQ","Autre"},MATCH(MAX(AI89:AN89),AI89:AN89,0))</f>
        <v/>
      </c>
      <c r="AS89" s="100">
        <f>(MAX(K89:P89)-LARGE(K89:P89,2))*100</f>
        <v/>
      </c>
      <c r="AT89" s="101">
        <f>IF(AS89&lt;5,"Oui","Non")</f>
        <v/>
      </c>
      <c r="AU89" s="102" t="n">
        <v>4.816</v>
      </c>
      <c r="AV89" s="102" t="n">
        <v>6.657</v>
      </c>
      <c r="AW89" s="102" t="n">
        <v>-0.192</v>
      </c>
      <c r="AX89" s="102" t="n">
        <v>-11.176</v>
      </c>
      <c r="AY89" s="96" t="n">
        <v>10579</v>
      </c>
      <c r="AZ89" s="96" t="n">
        <v>3410</v>
      </c>
      <c r="BA89" s="96" t="n">
        <v>4036</v>
      </c>
      <c r="BB89" s="96" t="n">
        <v>8745</v>
      </c>
      <c r="BC89" s="96" t="n">
        <v>386</v>
      </c>
      <c r="BD89" s="97">
        <f>AY89*INDEX(Régions!$AQ$2:$AQ$6,MATCH($B89,Régions!$A$2:$A$6,0))</f>
        <v/>
      </c>
      <c r="BE89" s="97">
        <f>AZ89*INDEX(Régions!$AR$2:$AR$6,MATCH($B89,Régions!$A$2:$A$6,0))</f>
        <v/>
      </c>
      <c r="BF89" s="97">
        <f>BA89*INDEX(Régions!$AS$2:$AS$6,MATCH($B89,Régions!$A$2:$A$6,0))</f>
        <v/>
      </c>
      <c r="BG89" s="97">
        <f>BB89*INDEX(Régions!$AT$2:$AT$6,MATCH($B89,Régions!$A$2:$A$6,0))</f>
        <v/>
      </c>
      <c r="BH89" s="97">
        <f>U89</f>
        <v/>
      </c>
      <c r="BI89" s="97">
        <f>BC89*INDEX(Régions!$AU$2:$AU$6,MATCH($B89,Régions!$A$2:$A$6,0))</f>
        <v/>
      </c>
      <c r="BJ89" s="97">
        <f>INDEX({"CAQ","PLQ","QS","PQ","PCQ","Autre"},MATCH(MAX(BD89:BI89),BD89:BI89,0))</f>
        <v/>
      </c>
    </row>
    <row r="90" ht="15" customHeight="1" s="60">
      <c r="A90" s="94" t="inlineStr">
        <is>
          <t>Pontiac</t>
        </is>
      </c>
      <c r="B90" s="94" t="inlineStr">
        <is>
          <t>Reste du Québec</t>
        </is>
      </c>
      <c r="C90" s="95" t="inlineStr">
        <is>
          <t>PLQ</t>
        </is>
      </c>
      <c r="D90" s="96" t="n">
        <v>7056</v>
      </c>
      <c r="E90" s="96" t="n">
        <v>12476</v>
      </c>
      <c r="F90" s="96" t="n">
        <v>2935</v>
      </c>
      <c r="G90" s="96" t="n">
        <v>1887</v>
      </c>
      <c r="H90" s="96" t="n">
        <v>3593</v>
      </c>
      <c r="I90" s="96" t="n">
        <v>616</v>
      </c>
      <c r="J90" s="97">
        <f>SUM(D90:I90)</f>
        <v/>
      </c>
      <c r="K90" s="98">
        <f>IFERROR(D90/J90,0)</f>
        <v/>
      </c>
      <c r="L90" s="98">
        <f>IFERROR(E90/J90,0)</f>
        <v/>
      </c>
      <c r="M90" s="98">
        <f>IFERROR(F90/J90,0)</f>
        <v/>
      </c>
      <c r="N90" s="98">
        <f>IFERROR(G90/J90,0)</f>
        <v/>
      </c>
      <c r="O90" s="98">
        <f>IFERROR(H90/J90,0)</f>
        <v/>
      </c>
      <c r="P90" s="98">
        <f>IFERROR(I90/J90,0)</f>
        <v/>
      </c>
      <c r="Q90" s="97">
        <f>D90*INDEX(Régions!$T$2:$T$6,MATCH($B90,Régions!$A$2:$A$6,0))</f>
        <v/>
      </c>
      <c r="R90" s="97">
        <f>E90*INDEX(Régions!$U$2:$U$6,MATCH($B90,Régions!$A$2:$A$6,0))</f>
        <v/>
      </c>
      <c r="S90" s="97">
        <f>F90*INDEX(Régions!$V$2:$V$6,MATCH($B90,Régions!$A$2:$A$6,0))</f>
        <v/>
      </c>
      <c r="T90" s="97">
        <f>G90*INDEX(Régions!$W$2:$W$6,MATCH($B90,Régions!$A$2:$A$6,0))</f>
        <v/>
      </c>
      <c r="U90" s="97">
        <f>H90*INDEX(Régions!$X$2:$X$6,MATCH($B90,Régions!$A$2:$A$6,0))</f>
        <v/>
      </c>
      <c r="V90" s="97">
        <f>I90*INDEX(Régions!$Y$2:$Y$6,MATCH($B90,Régions!$A$2:$A$6,0))</f>
        <v/>
      </c>
      <c r="W90" s="97">
        <f>Q90+(AU90/100)*J90*Régions!$O$2</f>
        <v/>
      </c>
      <c r="X90" s="97">
        <f>R90+(AV90/100)*J90*Régions!$O$2</f>
        <v/>
      </c>
      <c r="Y90" s="97">
        <f>S90+(AW90/100)*J90*Régions!$O$2</f>
        <v/>
      </c>
      <c r="Z90" s="97">
        <f>T90+(AX90/100)*J90*Régions!$O$2</f>
        <v/>
      </c>
      <c r="AA90" s="97">
        <f>U90</f>
        <v/>
      </c>
      <c r="AB90" s="97">
        <f>V90</f>
        <v/>
      </c>
      <c r="AC90" s="97">
        <f>D90*INDEX(Régions!$Z$2:$Z$6,MATCH($B90,Régions!$A$2:$A$6,0))</f>
        <v/>
      </c>
      <c r="AD90" s="97">
        <f>E90*INDEX(Régions!$AA$2:$AA$6,MATCH($B90,Régions!$A$2:$A$6,0))</f>
        <v/>
      </c>
      <c r="AE90" s="97">
        <f>F90*INDEX(Régions!$AB$2:$AB$6,MATCH($B90,Régions!$A$2:$A$6,0))</f>
        <v/>
      </c>
      <c r="AF90" s="97">
        <f>G90*INDEX(Régions!$AC$2:$AC$6,MATCH($B90,Régions!$A$2:$A$6,0))</f>
        <v/>
      </c>
      <c r="AG90" s="97">
        <f>H90*INDEX(Régions!$AD$2:$AD$6,MATCH($B90,Régions!$A$2:$A$6,0))</f>
        <v/>
      </c>
      <c r="AH90" s="97">
        <f>I90*INDEX(Régions!$AE$2:$AE$6,MATCH($B90,Régions!$A$2:$A$6,0))</f>
        <v/>
      </c>
      <c r="AI90" s="97">
        <f>D90*INDEX(Régions!$AF$2:$AF$6,MATCH($B90,Régions!$A$2:$A$6,0))</f>
        <v/>
      </c>
      <c r="AJ90" s="97">
        <f>E90*INDEX(Régions!$AG$2:$AG$6,MATCH($B90,Régions!$A$2:$A$6,0))</f>
        <v/>
      </c>
      <c r="AK90" s="97">
        <f>F90*INDEX(Régions!$AH$2:$AH$6,MATCH($B90,Régions!$A$2:$A$6,0))</f>
        <v/>
      </c>
      <c r="AL90" s="97">
        <f>G90*INDEX(Régions!$AI$2:$AI$6,MATCH($B90,Régions!$A$2:$A$6,0))</f>
        <v/>
      </c>
      <c r="AM90" s="97">
        <f>H90*INDEX(Régions!$AJ$2:$AJ$6,MATCH($B90,Régions!$A$2:$A$6,0))</f>
        <v/>
      </c>
      <c r="AN90" s="97">
        <f>I90*INDEX(Régions!$AK$2:$AK$6,MATCH($B90,Régions!$A$2:$A$6,0))</f>
        <v/>
      </c>
      <c r="AO90" s="99">
        <f>INDEX({"CAQ","PLQ","QS","PQ","PCQ","Autre"},MATCH(MAX(Q90:V90),Q90:V90,0))</f>
        <v/>
      </c>
      <c r="AP90" s="99">
        <f>INDEX({"CAQ","PLQ","QS","PQ","PCQ","Autre"},MATCH(MAX(W90:AB90),W90:AB90,0))</f>
        <v/>
      </c>
      <c r="AQ90" s="99">
        <f>INDEX({"CAQ","PLQ","QS","PQ","PCQ","Autre"},MATCH(MAX(AC90:AH90),AC90:AH90,0))</f>
        <v/>
      </c>
      <c r="AR90" s="99">
        <f>INDEX({"CAQ","PLQ","QS","PQ","PCQ","Autre"},MATCH(MAX(AI90:AN90),AI90:AN90,0))</f>
        <v/>
      </c>
      <c r="AS90" s="100">
        <f>(MAX(K90:P90)-LARGE(K90:P90,2))*100</f>
        <v/>
      </c>
      <c r="AT90" s="101">
        <f>IF(AS90&lt;5,"Oui","Non")</f>
        <v/>
      </c>
      <c r="AU90" s="102" t="n">
        <v>-1.66</v>
      </c>
      <c r="AV90" s="102" t="n">
        <v>2.543</v>
      </c>
      <c r="AW90" s="102" t="n">
        <v>0.52</v>
      </c>
      <c r="AX90" s="102" t="n">
        <v>5.081</v>
      </c>
      <c r="AY90" s="96" t="n">
        <v>5632</v>
      </c>
      <c r="AZ90" s="96" t="n">
        <v>14867</v>
      </c>
      <c r="BA90" s="96" t="n">
        <v>2964</v>
      </c>
      <c r="BB90" s="96" t="n">
        <v>1520</v>
      </c>
      <c r="BC90" s="96" t="n">
        <v>2607</v>
      </c>
      <c r="BD90" s="97">
        <f>AY90*INDEX(Régions!$AQ$2:$AQ$6,MATCH($B90,Régions!$A$2:$A$6,0))</f>
        <v/>
      </c>
      <c r="BE90" s="97">
        <f>AZ90*INDEX(Régions!$AR$2:$AR$6,MATCH($B90,Régions!$A$2:$A$6,0))</f>
        <v/>
      </c>
      <c r="BF90" s="97">
        <f>BA90*INDEX(Régions!$AS$2:$AS$6,MATCH($B90,Régions!$A$2:$A$6,0))</f>
        <v/>
      </c>
      <c r="BG90" s="97">
        <f>BB90*INDEX(Régions!$AT$2:$AT$6,MATCH($B90,Régions!$A$2:$A$6,0))</f>
        <v/>
      </c>
      <c r="BH90" s="97">
        <f>U90</f>
        <v/>
      </c>
      <c r="BI90" s="97">
        <f>BC90*INDEX(Régions!$AU$2:$AU$6,MATCH($B90,Régions!$A$2:$A$6,0))</f>
        <v/>
      </c>
      <c r="BJ90" s="97">
        <f>INDEX({"CAQ","PLQ","QS","PQ","PCQ","Autre"},MATCH(MAX(BD90:BI90),BD90:BI90,0))</f>
        <v/>
      </c>
    </row>
    <row r="91" ht="15" customHeight="1" s="60">
      <c r="A91" s="94" t="inlineStr">
        <is>
          <t>Portneuf</t>
        </is>
      </c>
      <c r="B91" s="94" t="inlineStr">
        <is>
          <t>Québec RMR</t>
        </is>
      </c>
      <c r="C91" s="95" t="inlineStr">
        <is>
          <t>CAQ</t>
        </is>
      </c>
      <c r="D91" s="96" t="n">
        <v>18254</v>
      </c>
      <c r="E91" s="96" t="n">
        <v>1279</v>
      </c>
      <c r="F91" s="96" t="n">
        <v>3245</v>
      </c>
      <c r="G91" s="96" t="n">
        <v>3840</v>
      </c>
      <c r="H91" s="96" t="n">
        <v>11591</v>
      </c>
      <c r="I91" s="96" t="n">
        <v>728</v>
      </c>
      <c r="J91" s="97">
        <f>SUM(D91:I91)</f>
        <v/>
      </c>
      <c r="K91" s="98">
        <f>IFERROR(D91/J91,0)</f>
        <v/>
      </c>
      <c r="L91" s="98">
        <f>IFERROR(E91/J91,0)</f>
        <v/>
      </c>
      <c r="M91" s="98">
        <f>IFERROR(F91/J91,0)</f>
        <v/>
      </c>
      <c r="N91" s="98">
        <f>IFERROR(G91/J91,0)</f>
        <v/>
      </c>
      <c r="O91" s="98">
        <f>IFERROR(H91/J91,0)</f>
        <v/>
      </c>
      <c r="P91" s="98">
        <f>IFERROR(I91/J91,0)</f>
        <v/>
      </c>
      <c r="Q91" s="97">
        <f>D91*INDEX(Régions!$T$2:$T$6,MATCH($B91,Régions!$A$2:$A$6,0))</f>
        <v/>
      </c>
      <c r="R91" s="97">
        <f>E91*INDEX(Régions!$U$2:$U$6,MATCH($B91,Régions!$A$2:$A$6,0))</f>
        <v/>
      </c>
      <c r="S91" s="97">
        <f>F91*INDEX(Régions!$V$2:$V$6,MATCH($B91,Régions!$A$2:$A$6,0))</f>
        <v/>
      </c>
      <c r="T91" s="97">
        <f>G91*INDEX(Régions!$W$2:$W$6,MATCH($B91,Régions!$A$2:$A$6,0))</f>
        <v/>
      </c>
      <c r="U91" s="97">
        <f>H91*INDEX(Régions!$X$2:$X$6,MATCH($B91,Régions!$A$2:$A$6,0))</f>
        <v/>
      </c>
      <c r="V91" s="97">
        <f>I91*INDEX(Régions!$Y$2:$Y$6,MATCH($B91,Régions!$A$2:$A$6,0))</f>
        <v/>
      </c>
      <c r="W91" s="97">
        <f>Q91+(AU91/100)*J91*Régions!$O$2</f>
        <v/>
      </c>
      <c r="X91" s="97">
        <f>R91+(AV91/100)*J91*Régions!$O$2</f>
        <v/>
      </c>
      <c r="Y91" s="97">
        <f>S91+(AW91/100)*J91*Régions!$O$2</f>
        <v/>
      </c>
      <c r="Z91" s="97">
        <f>T91+(AX91/100)*J91*Régions!$O$2</f>
        <v/>
      </c>
      <c r="AA91" s="97">
        <f>U91</f>
        <v/>
      </c>
      <c r="AB91" s="97">
        <f>V91</f>
        <v/>
      </c>
      <c r="AC91" s="97">
        <f>D91*INDEX(Régions!$Z$2:$Z$6,MATCH($B91,Régions!$A$2:$A$6,0))</f>
        <v/>
      </c>
      <c r="AD91" s="97">
        <f>E91*INDEX(Régions!$AA$2:$AA$6,MATCH($B91,Régions!$A$2:$A$6,0))</f>
        <v/>
      </c>
      <c r="AE91" s="97">
        <f>F91*INDEX(Régions!$AB$2:$AB$6,MATCH($B91,Régions!$A$2:$A$6,0))</f>
        <v/>
      </c>
      <c r="AF91" s="97">
        <f>G91*INDEX(Régions!$AC$2:$AC$6,MATCH($B91,Régions!$A$2:$A$6,0))</f>
        <v/>
      </c>
      <c r="AG91" s="97">
        <f>H91*INDEX(Régions!$AD$2:$AD$6,MATCH($B91,Régions!$A$2:$A$6,0))</f>
        <v/>
      </c>
      <c r="AH91" s="97">
        <f>I91*INDEX(Régions!$AE$2:$AE$6,MATCH($B91,Régions!$A$2:$A$6,0))</f>
        <v/>
      </c>
      <c r="AI91" s="97">
        <f>D91*INDEX(Régions!$AF$2:$AF$6,MATCH($B91,Régions!$A$2:$A$6,0))</f>
        <v/>
      </c>
      <c r="AJ91" s="97">
        <f>E91*INDEX(Régions!$AG$2:$AG$6,MATCH($B91,Régions!$A$2:$A$6,0))</f>
        <v/>
      </c>
      <c r="AK91" s="97">
        <f>F91*INDEX(Régions!$AH$2:$AH$6,MATCH($B91,Régions!$A$2:$A$6,0))</f>
        <v/>
      </c>
      <c r="AL91" s="97">
        <f>G91*INDEX(Régions!$AI$2:$AI$6,MATCH($B91,Régions!$A$2:$A$6,0))</f>
        <v/>
      </c>
      <c r="AM91" s="97">
        <f>H91*INDEX(Régions!$AJ$2:$AJ$6,MATCH($B91,Régions!$A$2:$A$6,0))</f>
        <v/>
      </c>
      <c r="AN91" s="97">
        <f>I91*INDEX(Régions!$AK$2:$AK$6,MATCH($B91,Régions!$A$2:$A$6,0))</f>
        <v/>
      </c>
      <c r="AO91" s="99">
        <f>INDEX({"CAQ","PLQ","QS","PQ","PCQ","Autre"},MATCH(MAX(Q91:V91),Q91:V91,0))</f>
        <v/>
      </c>
      <c r="AP91" s="99">
        <f>INDEX({"CAQ","PLQ","QS","PQ","PCQ","Autre"},MATCH(MAX(W91:AB91),W91:AB91,0))</f>
        <v/>
      </c>
      <c r="AQ91" s="99">
        <f>INDEX({"CAQ","PLQ","QS","PQ","PCQ","Autre"},MATCH(MAX(AC91:AH91),AC91:AH91,0))</f>
        <v/>
      </c>
      <c r="AR91" s="99">
        <f>INDEX({"CAQ","PLQ","QS","PQ","PCQ","Autre"},MATCH(MAX(AI91:AN91),AI91:AN91,0))</f>
        <v/>
      </c>
      <c r="AS91" s="100">
        <f>(MAX(K91:P91)-LARGE(K91:P91,2))*100</f>
        <v/>
      </c>
      <c r="AT91" s="101">
        <f>IF(AS91&lt;5,"Oui","Non")</f>
        <v/>
      </c>
      <c r="AU91" s="102" t="n">
        <v>-4.891</v>
      </c>
      <c r="AV91" s="102" t="n">
        <v>-0.351</v>
      </c>
      <c r="AW91" s="102" t="n">
        <v>-2.393</v>
      </c>
      <c r="AX91" s="102" t="n">
        <v>-1.061</v>
      </c>
      <c r="AY91" s="96" t="n">
        <v>19367</v>
      </c>
      <c r="AZ91" s="96" t="n">
        <v>6530</v>
      </c>
      <c r="BA91" s="96" t="n">
        <v>3941</v>
      </c>
      <c r="BB91" s="96" t="n">
        <v>3167</v>
      </c>
      <c r="BC91" s="96" t="n">
        <v>2289</v>
      </c>
      <c r="BD91" s="97">
        <f>AY91*INDEX(Régions!$AQ$2:$AQ$6,MATCH($B91,Régions!$A$2:$A$6,0))</f>
        <v/>
      </c>
      <c r="BE91" s="97">
        <f>AZ91*INDEX(Régions!$AR$2:$AR$6,MATCH($B91,Régions!$A$2:$A$6,0))</f>
        <v/>
      </c>
      <c r="BF91" s="97">
        <f>BA91*INDEX(Régions!$AS$2:$AS$6,MATCH($B91,Régions!$A$2:$A$6,0))</f>
        <v/>
      </c>
      <c r="BG91" s="97">
        <f>BB91*INDEX(Régions!$AT$2:$AT$6,MATCH($B91,Régions!$A$2:$A$6,0))</f>
        <v/>
      </c>
      <c r="BH91" s="97">
        <f>U91</f>
        <v/>
      </c>
      <c r="BI91" s="97">
        <f>BC91*INDEX(Régions!$AU$2:$AU$6,MATCH($B91,Régions!$A$2:$A$6,0))</f>
        <v/>
      </c>
      <c r="BJ91" s="97">
        <f>INDEX({"CAQ","PLQ","QS","PQ","PCQ","Autre"},MATCH(MAX(BD91:BI91),BD91:BI91,0))</f>
        <v/>
      </c>
    </row>
    <row r="92" ht="15" customHeight="1" s="60">
      <c r="A92" s="94" t="inlineStr">
        <is>
          <t>Prévost</t>
        </is>
      </c>
      <c r="B92" s="94" t="inlineStr">
        <is>
          <t>Banlieue de Montréal</t>
        </is>
      </c>
      <c r="C92" s="95" t="inlineStr">
        <is>
          <t>CAQ</t>
        </is>
      </c>
      <c r="D92" s="96" t="n">
        <v>15910</v>
      </c>
      <c r="E92" s="96" t="n">
        <v>2072</v>
      </c>
      <c r="F92" s="96" t="n">
        <v>5198</v>
      </c>
      <c r="G92" s="96" t="n">
        <v>6739</v>
      </c>
      <c r="H92" s="96" t="n">
        <v>4020</v>
      </c>
      <c r="I92" s="96" t="n">
        <v>474</v>
      </c>
      <c r="J92" s="97">
        <f>SUM(D92:I92)</f>
        <v/>
      </c>
      <c r="K92" s="98">
        <f>IFERROR(D92/J92,0)</f>
        <v/>
      </c>
      <c r="L92" s="98">
        <f>IFERROR(E92/J92,0)</f>
        <v/>
      </c>
      <c r="M92" s="98">
        <f>IFERROR(F92/J92,0)</f>
        <v/>
      </c>
      <c r="N92" s="98">
        <f>IFERROR(G92/J92,0)</f>
        <v/>
      </c>
      <c r="O92" s="98">
        <f>IFERROR(H92/J92,0)</f>
        <v/>
      </c>
      <c r="P92" s="98">
        <f>IFERROR(I92/J92,0)</f>
        <v/>
      </c>
      <c r="Q92" s="97">
        <f>D92*INDEX(Régions!$T$2:$T$6,MATCH($B92,Régions!$A$2:$A$6,0))</f>
        <v/>
      </c>
      <c r="R92" s="97">
        <f>E92*INDEX(Régions!$U$2:$U$6,MATCH($B92,Régions!$A$2:$A$6,0))</f>
        <v/>
      </c>
      <c r="S92" s="97">
        <f>F92*INDEX(Régions!$V$2:$V$6,MATCH($B92,Régions!$A$2:$A$6,0))</f>
        <v/>
      </c>
      <c r="T92" s="97">
        <f>G92*INDEX(Régions!$W$2:$W$6,MATCH($B92,Régions!$A$2:$A$6,0))</f>
        <v/>
      </c>
      <c r="U92" s="97">
        <f>H92*INDEX(Régions!$X$2:$X$6,MATCH($B92,Régions!$A$2:$A$6,0))</f>
        <v/>
      </c>
      <c r="V92" s="97">
        <f>I92*INDEX(Régions!$Y$2:$Y$6,MATCH($B92,Régions!$A$2:$A$6,0))</f>
        <v/>
      </c>
      <c r="W92" s="97">
        <f>Q92+(AU92/100)*J92*Régions!$O$2</f>
        <v/>
      </c>
      <c r="X92" s="97">
        <f>R92+(AV92/100)*J92*Régions!$O$2</f>
        <v/>
      </c>
      <c r="Y92" s="97">
        <f>S92+(AW92/100)*J92*Régions!$O$2</f>
        <v/>
      </c>
      <c r="Z92" s="97">
        <f>T92+(AX92/100)*J92*Régions!$O$2</f>
        <v/>
      </c>
      <c r="AA92" s="97">
        <f>U92</f>
        <v/>
      </c>
      <c r="AB92" s="97">
        <f>V92</f>
        <v/>
      </c>
      <c r="AC92" s="97">
        <f>D92*INDEX(Régions!$Z$2:$Z$6,MATCH($B92,Régions!$A$2:$A$6,0))</f>
        <v/>
      </c>
      <c r="AD92" s="97">
        <f>E92*INDEX(Régions!$AA$2:$AA$6,MATCH($B92,Régions!$A$2:$A$6,0))</f>
        <v/>
      </c>
      <c r="AE92" s="97">
        <f>F92*INDEX(Régions!$AB$2:$AB$6,MATCH($B92,Régions!$A$2:$A$6,0))</f>
        <v/>
      </c>
      <c r="AF92" s="97">
        <f>G92*INDEX(Régions!$AC$2:$AC$6,MATCH($B92,Régions!$A$2:$A$6,0))</f>
        <v/>
      </c>
      <c r="AG92" s="97">
        <f>H92*INDEX(Régions!$AD$2:$AD$6,MATCH($B92,Régions!$A$2:$A$6,0))</f>
        <v/>
      </c>
      <c r="AH92" s="97">
        <f>I92*INDEX(Régions!$AE$2:$AE$6,MATCH($B92,Régions!$A$2:$A$6,0))</f>
        <v/>
      </c>
      <c r="AI92" s="97">
        <f>D92*INDEX(Régions!$AF$2:$AF$6,MATCH($B92,Régions!$A$2:$A$6,0))</f>
        <v/>
      </c>
      <c r="AJ92" s="97">
        <f>E92*INDEX(Régions!$AG$2:$AG$6,MATCH($B92,Régions!$A$2:$A$6,0))</f>
        <v/>
      </c>
      <c r="AK92" s="97">
        <f>F92*INDEX(Régions!$AH$2:$AH$6,MATCH($B92,Régions!$A$2:$A$6,0))</f>
        <v/>
      </c>
      <c r="AL92" s="97">
        <f>G92*INDEX(Régions!$AI$2:$AI$6,MATCH($B92,Régions!$A$2:$A$6,0))</f>
        <v/>
      </c>
      <c r="AM92" s="97">
        <f>H92*INDEX(Régions!$AJ$2:$AJ$6,MATCH($B92,Régions!$A$2:$A$6,0))</f>
        <v/>
      </c>
      <c r="AN92" s="97">
        <f>I92*INDEX(Régions!$AK$2:$AK$6,MATCH($B92,Régions!$A$2:$A$6,0))</f>
        <v/>
      </c>
      <c r="AO92" s="99">
        <f>INDEX({"CAQ","PLQ","QS","PQ","PCQ","Autre"},MATCH(MAX(Q92:V92),Q92:V92,0))</f>
        <v/>
      </c>
      <c r="AP92" s="99">
        <f>INDEX({"CAQ","PLQ","QS","PQ","PCQ","Autre"},MATCH(MAX(W92:AB92),W92:AB92,0))</f>
        <v/>
      </c>
      <c r="AQ92" s="99">
        <f>INDEX({"CAQ","PLQ","QS","PQ","PCQ","Autre"},MATCH(MAX(AC92:AH92),AC92:AH92,0))</f>
        <v/>
      </c>
      <c r="AR92" s="99">
        <f>INDEX({"CAQ","PLQ","QS","PQ","PCQ","Autre"},MATCH(MAX(AI92:AN92),AI92:AN92,0))</f>
        <v/>
      </c>
      <c r="AS92" s="100">
        <f>(MAX(K92:P92)-LARGE(K92:P92,2))*100</f>
        <v/>
      </c>
      <c r="AT92" s="101">
        <f>IF(AS92&lt;5,"Oui","Non")</f>
        <v/>
      </c>
      <c r="AU92" s="102" t="n">
        <v>-3.926</v>
      </c>
      <c r="AV92" s="102" t="n">
        <v>0.083</v>
      </c>
      <c r="AW92" s="102" t="n">
        <v>1.843</v>
      </c>
      <c r="AX92" s="102" t="n">
        <v>-1.885</v>
      </c>
      <c r="AY92" s="96" t="n">
        <v>14882</v>
      </c>
      <c r="AZ92" s="96" t="n">
        <v>4063</v>
      </c>
      <c r="BA92" s="96" t="n">
        <v>4416</v>
      </c>
      <c r="BB92" s="96" t="n">
        <v>7743</v>
      </c>
      <c r="BC92" s="96" t="n">
        <v>539</v>
      </c>
      <c r="BD92" s="97">
        <f>AY92*INDEX(Régions!$AQ$2:$AQ$6,MATCH($B92,Régions!$A$2:$A$6,0))</f>
        <v/>
      </c>
      <c r="BE92" s="97">
        <f>AZ92*INDEX(Régions!$AR$2:$AR$6,MATCH($B92,Régions!$A$2:$A$6,0))</f>
        <v/>
      </c>
      <c r="BF92" s="97">
        <f>BA92*INDEX(Régions!$AS$2:$AS$6,MATCH($B92,Régions!$A$2:$A$6,0))</f>
        <v/>
      </c>
      <c r="BG92" s="97">
        <f>BB92*INDEX(Régions!$AT$2:$AT$6,MATCH($B92,Régions!$A$2:$A$6,0))</f>
        <v/>
      </c>
      <c r="BH92" s="97">
        <f>U92</f>
        <v/>
      </c>
      <c r="BI92" s="97">
        <f>BC92*INDEX(Régions!$AU$2:$AU$6,MATCH($B92,Régions!$A$2:$A$6,0))</f>
        <v/>
      </c>
      <c r="BJ92" s="97">
        <f>INDEX({"CAQ","PLQ","QS","PQ","PCQ","Autre"},MATCH(MAX(BD92:BI92),BD92:BI92,0))</f>
        <v/>
      </c>
    </row>
    <row r="93" ht="15" customHeight="1" s="60">
      <c r="A93" s="94" t="inlineStr">
        <is>
          <t>René-Lévesque</t>
        </is>
      </c>
      <c r="B93" s="94" t="inlineStr">
        <is>
          <t>Reste du Québec</t>
        </is>
      </c>
      <c r="C93" s="95" t="inlineStr">
        <is>
          <t>CAQ</t>
        </is>
      </c>
      <c r="D93" s="96" t="n">
        <v>11377</v>
      </c>
      <c r="E93" s="96" t="n">
        <v>307</v>
      </c>
      <c r="F93" s="96" t="n">
        <v>1459</v>
      </c>
      <c r="G93" s="96" t="n">
        <v>4087</v>
      </c>
      <c r="H93" s="96" t="n">
        <v>1955</v>
      </c>
      <c r="I93" s="96" t="n">
        <v>124</v>
      </c>
      <c r="J93" s="97">
        <f>SUM(D93:I93)</f>
        <v/>
      </c>
      <c r="K93" s="98">
        <f>IFERROR(D93/J93,0)</f>
        <v/>
      </c>
      <c r="L93" s="98">
        <f>IFERROR(E93/J93,0)</f>
        <v/>
      </c>
      <c r="M93" s="98">
        <f>IFERROR(F93/J93,0)</f>
        <v/>
      </c>
      <c r="N93" s="98">
        <f>IFERROR(G93/J93,0)</f>
        <v/>
      </c>
      <c r="O93" s="98">
        <f>IFERROR(H93/J93,0)</f>
        <v/>
      </c>
      <c r="P93" s="98">
        <f>IFERROR(I93/J93,0)</f>
        <v/>
      </c>
      <c r="Q93" s="97">
        <f>D93*INDEX(Régions!$T$2:$T$6,MATCH($B93,Régions!$A$2:$A$6,0))</f>
        <v/>
      </c>
      <c r="R93" s="97">
        <f>E93*INDEX(Régions!$U$2:$U$6,MATCH($B93,Régions!$A$2:$A$6,0))</f>
        <v/>
      </c>
      <c r="S93" s="97">
        <f>F93*INDEX(Régions!$V$2:$V$6,MATCH($B93,Régions!$A$2:$A$6,0))</f>
        <v/>
      </c>
      <c r="T93" s="97">
        <f>G93*INDEX(Régions!$W$2:$W$6,MATCH($B93,Régions!$A$2:$A$6,0))</f>
        <v/>
      </c>
      <c r="U93" s="97">
        <f>H93*INDEX(Régions!$X$2:$X$6,MATCH($B93,Régions!$A$2:$A$6,0))</f>
        <v/>
      </c>
      <c r="V93" s="97">
        <f>I93*INDEX(Régions!$Y$2:$Y$6,MATCH($B93,Régions!$A$2:$A$6,0))</f>
        <v/>
      </c>
      <c r="W93" s="97">
        <f>Q93+(AU93/100)*J93*Régions!$O$2</f>
        <v/>
      </c>
      <c r="X93" s="97">
        <f>R93+(AV93/100)*J93*Régions!$O$2</f>
        <v/>
      </c>
      <c r="Y93" s="97">
        <f>S93+(AW93/100)*J93*Régions!$O$2</f>
        <v/>
      </c>
      <c r="Z93" s="97">
        <f>T93+(AX93/100)*J93*Régions!$O$2</f>
        <v/>
      </c>
      <c r="AA93" s="97">
        <f>U93</f>
        <v/>
      </c>
      <c r="AB93" s="97">
        <f>V93</f>
        <v/>
      </c>
      <c r="AC93" s="97">
        <f>D93*INDEX(Régions!$Z$2:$Z$6,MATCH($B93,Régions!$A$2:$A$6,0))</f>
        <v/>
      </c>
      <c r="AD93" s="97">
        <f>E93*INDEX(Régions!$AA$2:$AA$6,MATCH($B93,Régions!$A$2:$A$6,0))</f>
        <v/>
      </c>
      <c r="AE93" s="97">
        <f>F93*INDEX(Régions!$AB$2:$AB$6,MATCH($B93,Régions!$A$2:$A$6,0))</f>
        <v/>
      </c>
      <c r="AF93" s="97">
        <f>G93*INDEX(Régions!$AC$2:$AC$6,MATCH($B93,Régions!$A$2:$A$6,0))</f>
        <v/>
      </c>
      <c r="AG93" s="97">
        <f>H93*INDEX(Régions!$AD$2:$AD$6,MATCH($B93,Régions!$A$2:$A$6,0))</f>
        <v/>
      </c>
      <c r="AH93" s="97">
        <f>I93*INDEX(Régions!$AE$2:$AE$6,MATCH($B93,Régions!$A$2:$A$6,0))</f>
        <v/>
      </c>
      <c r="AI93" s="97">
        <f>D93*INDEX(Régions!$AF$2:$AF$6,MATCH($B93,Régions!$A$2:$A$6,0))</f>
        <v/>
      </c>
      <c r="AJ93" s="97">
        <f>E93*INDEX(Régions!$AG$2:$AG$6,MATCH($B93,Régions!$A$2:$A$6,0))</f>
        <v/>
      </c>
      <c r="AK93" s="97">
        <f>F93*INDEX(Régions!$AH$2:$AH$6,MATCH($B93,Régions!$A$2:$A$6,0))</f>
        <v/>
      </c>
      <c r="AL93" s="97">
        <f>G93*INDEX(Régions!$AI$2:$AI$6,MATCH($B93,Régions!$A$2:$A$6,0))</f>
        <v/>
      </c>
      <c r="AM93" s="97">
        <f>H93*INDEX(Régions!$AJ$2:$AJ$6,MATCH($B93,Régions!$A$2:$A$6,0))</f>
        <v/>
      </c>
      <c r="AN93" s="97">
        <f>I93*INDEX(Régions!$AK$2:$AK$6,MATCH($B93,Régions!$A$2:$A$6,0))</f>
        <v/>
      </c>
      <c r="AO93" s="99">
        <f>INDEX({"CAQ","PLQ","QS","PQ","PCQ","Autre"},MATCH(MAX(Q93:V93),Q93:V93,0))</f>
        <v/>
      </c>
      <c r="AP93" s="99">
        <f>INDEX({"CAQ","PLQ","QS","PQ","PCQ","Autre"},MATCH(MAX(W93:AB93),W93:AB93,0))</f>
        <v/>
      </c>
      <c r="AQ93" s="99">
        <f>INDEX({"CAQ","PLQ","QS","PQ","PCQ","Autre"},MATCH(MAX(AC93:AH93),AC93:AH93,0))</f>
        <v/>
      </c>
      <c r="AR93" s="99">
        <f>INDEX({"CAQ","PLQ","QS","PQ","PCQ","Autre"},MATCH(MAX(AI93:AN93),AI93:AN93,0))</f>
        <v/>
      </c>
      <c r="AS93" s="100">
        <f>(MAX(K93:P93)-LARGE(K93:P93,2))*100</f>
        <v/>
      </c>
      <c r="AT93" s="101">
        <f>IF(AS93&lt;5,"Oui","Non")</f>
        <v/>
      </c>
      <c r="AU93" s="102" t="n">
        <v>19.258</v>
      </c>
      <c r="AV93" s="102" t="n">
        <v>1.551</v>
      </c>
      <c r="AW93" s="102" t="n">
        <v>-1.667</v>
      </c>
      <c r="AX93" s="102" t="n">
        <v>-17.069</v>
      </c>
      <c r="AY93" s="96" t="n">
        <v>6432</v>
      </c>
      <c r="AZ93" s="96" t="n">
        <v>2440</v>
      </c>
      <c r="BA93" s="96" t="n">
        <v>1948</v>
      </c>
      <c r="BB93" s="96" t="n">
        <v>8055</v>
      </c>
      <c r="BC93" s="96" t="n">
        <v>204</v>
      </c>
      <c r="BD93" s="97">
        <f>AY93*INDEX(Régions!$AQ$2:$AQ$6,MATCH($B93,Régions!$A$2:$A$6,0))</f>
        <v/>
      </c>
      <c r="BE93" s="97">
        <f>AZ93*INDEX(Régions!$AR$2:$AR$6,MATCH($B93,Régions!$A$2:$A$6,0))</f>
        <v/>
      </c>
      <c r="BF93" s="97">
        <f>BA93*INDEX(Régions!$AS$2:$AS$6,MATCH($B93,Régions!$A$2:$A$6,0))</f>
        <v/>
      </c>
      <c r="BG93" s="97">
        <f>BB93*INDEX(Régions!$AT$2:$AT$6,MATCH($B93,Régions!$A$2:$A$6,0))</f>
        <v/>
      </c>
      <c r="BH93" s="97">
        <f>U93</f>
        <v/>
      </c>
      <c r="BI93" s="97">
        <f>BC93*INDEX(Régions!$AU$2:$AU$6,MATCH($B93,Régions!$A$2:$A$6,0))</f>
        <v/>
      </c>
      <c r="BJ93" s="97">
        <f>INDEX({"CAQ","PLQ","QS","PQ","PCQ","Autre"},MATCH(MAX(BD93:BI93),BD93:BI93,0))</f>
        <v/>
      </c>
    </row>
    <row r="94" ht="15" customHeight="1" s="60">
      <c r="A94" s="94" t="inlineStr">
        <is>
          <t>Repentigny</t>
        </is>
      </c>
      <c r="B94" s="94" t="inlineStr">
        <is>
          <t>Banlieue de Montréal</t>
        </is>
      </c>
      <c r="C94" s="95" t="inlineStr">
        <is>
          <t>CAQ</t>
        </is>
      </c>
      <c r="D94" s="96" t="n">
        <v>20731</v>
      </c>
      <c r="E94" s="96" t="n">
        <v>3753</v>
      </c>
      <c r="F94" s="96" t="n">
        <v>5026</v>
      </c>
      <c r="G94" s="96" t="n">
        <v>6804</v>
      </c>
      <c r="H94" s="96" t="n">
        <v>2555</v>
      </c>
      <c r="I94" s="96" t="n">
        <v>303</v>
      </c>
      <c r="J94" s="97">
        <f>SUM(D94:I94)</f>
        <v/>
      </c>
      <c r="K94" s="98">
        <f>IFERROR(D94/J94,0)</f>
        <v/>
      </c>
      <c r="L94" s="98">
        <f>IFERROR(E94/J94,0)</f>
        <v/>
      </c>
      <c r="M94" s="98">
        <f>IFERROR(F94/J94,0)</f>
        <v/>
      </c>
      <c r="N94" s="98">
        <f>IFERROR(G94/J94,0)</f>
        <v/>
      </c>
      <c r="O94" s="98">
        <f>IFERROR(H94/J94,0)</f>
        <v/>
      </c>
      <c r="P94" s="98">
        <f>IFERROR(I94/J94,0)</f>
        <v/>
      </c>
      <c r="Q94" s="97">
        <f>D94*INDEX(Régions!$T$2:$T$6,MATCH($B94,Régions!$A$2:$A$6,0))</f>
        <v/>
      </c>
      <c r="R94" s="97">
        <f>E94*INDEX(Régions!$U$2:$U$6,MATCH($B94,Régions!$A$2:$A$6,0))</f>
        <v/>
      </c>
      <c r="S94" s="97">
        <f>F94*INDEX(Régions!$V$2:$V$6,MATCH($B94,Régions!$A$2:$A$6,0))</f>
        <v/>
      </c>
      <c r="T94" s="97">
        <f>G94*INDEX(Régions!$W$2:$W$6,MATCH($B94,Régions!$A$2:$A$6,0))</f>
        <v/>
      </c>
      <c r="U94" s="97">
        <f>H94*INDEX(Régions!$X$2:$X$6,MATCH($B94,Régions!$A$2:$A$6,0))</f>
        <v/>
      </c>
      <c r="V94" s="97">
        <f>I94*INDEX(Régions!$Y$2:$Y$6,MATCH($B94,Régions!$A$2:$A$6,0))</f>
        <v/>
      </c>
      <c r="W94" s="97">
        <f>Q94+(AU94/100)*J94*Régions!$O$2</f>
        <v/>
      </c>
      <c r="X94" s="97">
        <f>R94+(AV94/100)*J94*Régions!$O$2</f>
        <v/>
      </c>
      <c r="Y94" s="97">
        <f>S94+(AW94/100)*J94*Régions!$O$2</f>
        <v/>
      </c>
      <c r="Z94" s="97">
        <f>T94+(AX94/100)*J94*Régions!$O$2</f>
        <v/>
      </c>
      <c r="AA94" s="97">
        <f>U94</f>
        <v/>
      </c>
      <c r="AB94" s="97">
        <f>V94</f>
        <v/>
      </c>
      <c r="AC94" s="97">
        <f>D94*INDEX(Régions!$Z$2:$Z$6,MATCH($B94,Régions!$A$2:$A$6,0))</f>
        <v/>
      </c>
      <c r="AD94" s="97">
        <f>E94*INDEX(Régions!$AA$2:$AA$6,MATCH($B94,Régions!$A$2:$A$6,0))</f>
        <v/>
      </c>
      <c r="AE94" s="97">
        <f>F94*INDEX(Régions!$AB$2:$AB$6,MATCH($B94,Régions!$A$2:$A$6,0))</f>
        <v/>
      </c>
      <c r="AF94" s="97">
        <f>G94*INDEX(Régions!$AC$2:$AC$6,MATCH($B94,Régions!$A$2:$A$6,0))</f>
        <v/>
      </c>
      <c r="AG94" s="97">
        <f>H94*INDEX(Régions!$AD$2:$AD$6,MATCH($B94,Régions!$A$2:$A$6,0))</f>
        <v/>
      </c>
      <c r="AH94" s="97">
        <f>I94*INDEX(Régions!$AE$2:$AE$6,MATCH($B94,Régions!$A$2:$A$6,0))</f>
        <v/>
      </c>
      <c r="AI94" s="97">
        <f>D94*INDEX(Régions!$AF$2:$AF$6,MATCH($B94,Régions!$A$2:$A$6,0))</f>
        <v/>
      </c>
      <c r="AJ94" s="97">
        <f>E94*INDEX(Régions!$AG$2:$AG$6,MATCH($B94,Régions!$A$2:$A$6,0))</f>
        <v/>
      </c>
      <c r="AK94" s="97">
        <f>F94*INDEX(Régions!$AH$2:$AH$6,MATCH($B94,Régions!$A$2:$A$6,0))</f>
        <v/>
      </c>
      <c r="AL94" s="97">
        <f>G94*INDEX(Régions!$AI$2:$AI$6,MATCH($B94,Régions!$A$2:$A$6,0))</f>
        <v/>
      </c>
      <c r="AM94" s="97">
        <f>H94*INDEX(Régions!$AJ$2:$AJ$6,MATCH($B94,Régions!$A$2:$A$6,0))</f>
        <v/>
      </c>
      <c r="AN94" s="97">
        <f>I94*INDEX(Régions!$AK$2:$AK$6,MATCH($B94,Régions!$A$2:$A$6,0))</f>
        <v/>
      </c>
      <c r="AO94" s="99">
        <f>INDEX({"CAQ","PLQ","QS","PQ","PCQ","Autre"},MATCH(MAX(Q94:V94),Q94:V94,0))</f>
        <v/>
      </c>
      <c r="AP94" s="99">
        <f>INDEX({"CAQ","PLQ","QS","PQ","PCQ","Autre"},MATCH(MAX(W94:AB94),W94:AB94,0))</f>
        <v/>
      </c>
      <c r="AQ94" s="99">
        <f>INDEX({"CAQ","PLQ","QS","PQ","PCQ","Autre"},MATCH(MAX(AC94:AH94),AC94:AH94,0))</f>
        <v/>
      </c>
      <c r="AR94" s="99">
        <f>INDEX({"CAQ","PLQ","QS","PQ","PCQ","Autre"},MATCH(MAX(AI94:AN94),AI94:AN94,0))</f>
        <v/>
      </c>
      <c r="AS94" s="100">
        <f>(MAX(K94:P94)-LARGE(K94:P94,2))*100</f>
        <v/>
      </c>
      <c r="AT94" s="101">
        <f>IF(AS94&lt;5,"Oui","Non")</f>
        <v/>
      </c>
      <c r="AU94" s="102" t="n">
        <v>-0.605</v>
      </c>
      <c r="AV94" s="102" t="n">
        <v>3.329</v>
      </c>
      <c r="AW94" s="102" t="n">
        <v>-1.54</v>
      </c>
      <c r="AX94" s="102" t="n">
        <v>1.976</v>
      </c>
      <c r="AY94" s="96" t="n">
        <v>19793</v>
      </c>
      <c r="AZ94" s="96" t="n">
        <v>5166</v>
      </c>
      <c r="BA94" s="96" t="n">
        <v>5916</v>
      </c>
      <c r="BB94" s="96" t="n">
        <v>7224</v>
      </c>
      <c r="BC94" s="96" t="n">
        <v>1172</v>
      </c>
      <c r="BD94" s="97">
        <f>AY94*INDEX(Régions!$AQ$2:$AQ$6,MATCH($B94,Régions!$A$2:$A$6,0))</f>
        <v/>
      </c>
      <c r="BE94" s="97">
        <f>AZ94*INDEX(Régions!$AR$2:$AR$6,MATCH($B94,Régions!$A$2:$A$6,0))</f>
        <v/>
      </c>
      <c r="BF94" s="97">
        <f>BA94*INDEX(Régions!$AS$2:$AS$6,MATCH($B94,Régions!$A$2:$A$6,0))</f>
        <v/>
      </c>
      <c r="BG94" s="97">
        <f>BB94*INDEX(Régions!$AT$2:$AT$6,MATCH($B94,Régions!$A$2:$A$6,0))</f>
        <v/>
      </c>
      <c r="BH94" s="97">
        <f>U94</f>
        <v/>
      </c>
      <c r="BI94" s="97">
        <f>BC94*INDEX(Régions!$AU$2:$AU$6,MATCH($B94,Régions!$A$2:$A$6,0))</f>
        <v/>
      </c>
      <c r="BJ94" s="97">
        <f>INDEX({"CAQ","PLQ","QS","PQ","PCQ","Autre"},MATCH(MAX(BD94:BI94),BD94:BI94,0))</f>
        <v/>
      </c>
    </row>
    <row r="95" ht="15" customHeight="1" s="60">
      <c r="A95" s="94" t="inlineStr">
        <is>
          <t>Richelieu</t>
        </is>
      </c>
      <c r="B95" s="94" t="inlineStr">
        <is>
          <t>Banlieue de Montréal</t>
        </is>
      </c>
      <c r="C95" s="95" t="inlineStr">
        <is>
          <t>CAQ</t>
        </is>
      </c>
      <c r="D95" s="96" t="n">
        <v>19945</v>
      </c>
      <c r="E95" s="96" t="n">
        <v>1555</v>
      </c>
      <c r="F95" s="96" t="n">
        <v>3886</v>
      </c>
      <c r="G95" s="96" t="n">
        <v>7354</v>
      </c>
      <c r="H95" s="96" t="n">
        <v>3090</v>
      </c>
      <c r="I95" s="96" t="n">
        <v>314</v>
      </c>
      <c r="J95" s="97">
        <f>SUM(D95:I95)</f>
        <v/>
      </c>
      <c r="K95" s="98">
        <f>IFERROR(D95/J95,0)</f>
        <v/>
      </c>
      <c r="L95" s="98">
        <f>IFERROR(E95/J95,0)</f>
        <v/>
      </c>
      <c r="M95" s="98">
        <f>IFERROR(F95/J95,0)</f>
        <v/>
      </c>
      <c r="N95" s="98">
        <f>IFERROR(G95/J95,0)</f>
        <v/>
      </c>
      <c r="O95" s="98">
        <f>IFERROR(H95/J95,0)</f>
        <v/>
      </c>
      <c r="P95" s="98">
        <f>IFERROR(I95/J95,0)</f>
        <v/>
      </c>
      <c r="Q95" s="97">
        <f>D95*INDEX(Régions!$T$2:$T$6,MATCH($B95,Régions!$A$2:$A$6,0))</f>
        <v/>
      </c>
      <c r="R95" s="97">
        <f>E95*INDEX(Régions!$U$2:$U$6,MATCH($B95,Régions!$A$2:$A$6,0))</f>
        <v/>
      </c>
      <c r="S95" s="97">
        <f>F95*INDEX(Régions!$V$2:$V$6,MATCH($B95,Régions!$A$2:$A$6,0))</f>
        <v/>
      </c>
      <c r="T95" s="97">
        <f>G95*INDEX(Régions!$W$2:$W$6,MATCH($B95,Régions!$A$2:$A$6,0))</f>
        <v/>
      </c>
      <c r="U95" s="97">
        <f>H95*INDEX(Régions!$X$2:$X$6,MATCH($B95,Régions!$A$2:$A$6,0))</f>
        <v/>
      </c>
      <c r="V95" s="97">
        <f>I95*INDEX(Régions!$Y$2:$Y$6,MATCH($B95,Régions!$A$2:$A$6,0))</f>
        <v/>
      </c>
      <c r="W95" s="97">
        <f>Q95+(AU95/100)*J95*Régions!$O$2</f>
        <v/>
      </c>
      <c r="X95" s="97">
        <f>R95+(AV95/100)*J95*Régions!$O$2</f>
        <v/>
      </c>
      <c r="Y95" s="97">
        <f>S95+(AW95/100)*J95*Régions!$O$2</f>
        <v/>
      </c>
      <c r="Z95" s="97">
        <f>T95+(AX95/100)*J95*Régions!$O$2</f>
        <v/>
      </c>
      <c r="AA95" s="97">
        <f>U95</f>
        <v/>
      </c>
      <c r="AB95" s="97">
        <f>V95</f>
        <v/>
      </c>
      <c r="AC95" s="97">
        <f>D95*INDEX(Régions!$Z$2:$Z$6,MATCH($B95,Régions!$A$2:$A$6,0))</f>
        <v/>
      </c>
      <c r="AD95" s="97">
        <f>E95*INDEX(Régions!$AA$2:$AA$6,MATCH($B95,Régions!$A$2:$A$6,0))</f>
        <v/>
      </c>
      <c r="AE95" s="97">
        <f>F95*INDEX(Régions!$AB$2:$AB$6,MATCH($B95,Régions!$A$2:$A$6,0))</f>
        <v/>
      </c>
      <c r="AF95" s="97">
        <f>G95*INDEX(Régions!$AC$2:$AC$6,MATCH($B95,Régions!$A$2:$A$6,0))</f>
        <v/>
      </c>
      <c r="AG95" s="97">
        <f>H95*INDEX(Régions!$AD$2:$AD$6,MATCH($B95,Régions!$A$2:$A$6,0))</f>
        <v/>
      </c>
      <c r="AH95" s="97">
        <f>I95*INDEX(Régions!$AE$2:$AE$6,MATCH($B95,Régions!$A$2:$A$6,0))</f>
        <v/>
      </c>
      <c r="AI95" s="97">
        <f>D95*INDEX(Régions!$AF$2:$AF$6,MATCH($B95,Régions!$A$2:$A$6,0))</f>
        <v/>
      </c>
      <c r="AJ95" s="97">
        <f>E95*INDEX(Régions!$AG$2:$AG$6,MATCH($B95,Régions!$A$2:$A$6,0))</f>
        <v/>
      </c>
      <c r="AK95" s="97">
        <f>F95*INDEX(Régions!$AH$2:$AH$6,MATCH($B95,Régions!$A$2:$A$6,0))</f>
        <v/>
      </c>
      <c r="AL95" s="97">
        <f>G95*INDEX(Régions!$AI$2:$AI$6,MATCH($B95,Régions!$A$2:$A$6,0))</f>
        <v/>
      </c>
      <c r="AM95" s="97">
        <f>H95*INDEX(Régions!$AJ$2:$AJ$6,MATCH($B95,Régions!$A$2:$A$6,0))</f>
        <v/>
      </c>
      <c r="AN95" s="97">
        <f>I95*INDEX(Régions!$AK$2:$AK$6,MATCH($B95,Régions!$A$2:$A$6,0))</f>
        <v/>
      </c>
      <c r="AO95" s="99">
        <f>INDEX({"CAQ","PLQ","QS","PQ","PCQ","Autre"},MATCH(MAX(Q95:V95),Q95:V95,0))</f>
        <v/>
      </c>
      <c r="AP95" s="99">
        <f>INDEX({"CAQ","PLQ","QS","PQ","PCQ","Autre"},MATCH(MAX(W95:AB95),W95:AB95,0))</f>
        <v/>
      </c>
      <c r="AQ95" s="99">
        <f>INDEX({"CAQ","PLQ","QS","PQ","PCQ","Autre"},MATCH(MAX(AC95:AH95),AC95:AH95,0))</f>
        <v/>
      </c>
      <c r="AR95" s="99">
        <f>INDEX({"CAQ","PLQ","QS","PQ","PCQ","Autre"},MATCH(MAX(AI95:AN95),AI95:AN95,0))</f>
        <v/>
      </c>
      <c r="AS95" s="100">
        <f>(MAX(K95:P95)-LARGE(K95:P95,2))*100</f>
        <v/>
      </c>
      <c r="AT95" s="101">
        <f>IF(AS95&lt;5,"Oui","Non")</f>
        <v/>
      </c>
      <c r="AU95" s="102" t="n">
        <v>4.13</v>
      </c>
      <c r="AV95" s="102" t="n">
        <v>0.301</v>
      </c>
      <c r="AW95" s="102" t="n">
        <v>-2.147</v>
      </c>
      <c r="AX95" s="102" t="n">
        <v>-1.615</v>
      </c>
      <c r="AY95" s="96" t="n">
        <v>17312</v>
      </c>
      <c r="AZ95" s="96" t="n">
        <v>3939</v>
      </c>
      <c r="BA95" s="96" t="n">
        <v>4910</v>
      </c>
      <c r="BB95" s="96" t="n">
        <v>9017</v>
      </c>
      <c r="BC95" s="96" t="n">
        <v>945</v>
      </c>
      <c r="BD95" s="97">
        <f>AY95*INDEX(Régions!$AQ$2:$AQ$6,MATCH($B95,Régions!$A$2:$A$6,0))</f>
        <v/>
      </c>
      <c r="BE95" s="97">
        <f>AZ95*INDEX(Régions!$AR$2:$AR$6,MATCH($B95,Régions!$A$2:$A$6,0))</f>
        <v/>
      </c>
      <c r="BF95" s="97">
        <f>BA95*INDEX(Régions!$AS$2:$AS$6,MATCH($B95,Régions!$A$2:$A$6,0))</f>
        <v/>
      </c>
      <c r="BG95" s="97">
        <f>BB95*INDEX(Régions!$AT$2:$AT$6,MATCH($B95,Régions!$A$2:$A$6,0))</f>
        <v/>
      </c>
      <c r="BH95" s="97">
        <f>U95</f>
        <v/>
      </c>
      <c r="BI95" s="97">
        <f>BC95*INDEX(Régions!$AU$2:$AU$6,MATCH($B95,Régions!$A$2:$A$6,0))</f>
        <v/>
      </c>
      <c r="BJ95" s="97">
        <f>INDEX({"CAQ","PLQ","QS","PQ","PCQ","Autre"},MATCH(MAX(BD95:BI95),BD95:BI95,0))</f>
        <v/>
      </c>
    </row>
    <row r="96" ht="15" customHeight="1" s="60">
      <c r="A96" s="94" t="inlineStr">
        <is>
          <t>Richmond</t>
        </is>
      </c>
      <c r="B96" s="94" t="inlineStr">
        <is>
          <t>Reste du Québec</t>
        </is>
      </c>
      <c r="C96" s="95" t="inlineStr">
        <is>
          <t>CAQ</t>
        </is>
      </c>
      <c r="D96" s="96" t="n">
        <v>18491</v>
      </c>
      <c r="E96" s="96" t="n">
        <v>2273</v>
      </c>
      <c r="F96" s="96" t="n">
        <v>8135</v>
      </c>
      <c r="G96" s="96" t="n">
        <v>4956</v>
      </c>
      <c r="H96" s="96" t="n">
        <v>5878</v>
      </c>
      <c r="I96" s="96" t="n">
        <v>194</v>
      </c>
      <c r="J96" s="97">
        <f>SUM(D96:I96)</f>
        <v/>
      </c>
      <c r="K96" s="98">
        <f>IFERROR(D96/J96,0)</f>
        <v/>
      </c>
      <c r="L96" s="98">
        <f>IFERROR(E96/J96,0)</f>
        <v/>
      </c>
      <c r="M96" s="98">
        <f>IFERROR(F96/J96,0)</f>
        <v/>
      </c>
      <c r="N96" s="98">
        <f>IFERROR(G96/J96,0)</f>
        <v/>
      </c>
      <c r="O96" s="98">
        <f>IFERROR(H96/J96,0)</f>
        <v/>
      </c>
      <c r="P96" s="98">
        <f>IFERROR(I96/J96,0)</f>
        <v/>
      </c>
      <c r="Q96" s="97">
        <f>D96*INDEX(Régions!$T$2:$T$6,MATCH($B96,Régions!$A$2:$A$6,0))</f>
        <v/>
      </c>
      <c r="R96" s="97">
        <f>E96*INDEX(Régions!$U$2:$U$6,MATCH($B96,Régions!$A$2:$A$6,0))</f>
        <v/>
      </c>
      <c r="S96" s="97">
        <f>F96*INDEX(Régions!$V$2:$V$6,MATCH($B96,Régions!$A$2:$A$6,0))</f>
        <v/>
      </c>
      <c r="T96" s="97">
        <f>G96*INDEX(Régions!$W$2:$W$6,MATCH($B96,Régions!$A$2:$A$6,0))</f>
        <v/>
      </c>
      <c r="U96" s="97">
        <f>H96*INDEX(Régions!$X$2:$X$6,MATCH($B96,Régions!$A$2:$A$6,0))</f>
        <v/>
      </c>
      <c r="V96" s="97">
        <f>I96*INDEX(Régions!$Y$2:$Y$6,MATCH($B96,Régions!$A$2:$A$6,0))</f>
        <v/>
      </c>
      <c r="W96" s="97">
        <f>Q96+(AU96/100)*J96*Régions!$O$2</f>
        <v/>
      </c>
      <c r="X96" s="97">
        <f>R96+(AV96/100)*J96*Régions!$O$2</f>
        <v/>
      </c>
      <c r="Y96" s="97">
        <f>S96+(AW96/100)*J96*Régions!$O$2</f>
        <v/>
      </c>
      <c r="Z96" s="97">
        <f>T96+(AX96/100)*J96*Régions!$O$2</f>
        <v/>
      </c>
      <c r="AA96" s="97">
        <f>U96</f>
        <v/>
      </c>
      <c r="AB96" s="97">
        <f>V96</f>
        <v/>
      </c>
      <c r="AC96" s="97">
        <f>D96*INDEX(Régions!$Z$2:$Z$6,MATCH($B96,Régions!$A$2:$A$6,0))</f>
        <v/>
      </c>
      <c r="AD96" s="97">
        <f>E96*INDEX(Régions!$AA$2:$AA$6,MATCH($B96,Régions!$A$2:$A$6,0))</f>
        <v/>
      </c>
      <c r="AE96" s="97">
        <f>F96*INDEX(Régions!$AB$2:$AB$6,MATCH($B96,Régions!$A$2:$A$6,0))</f>
        <v/>
      </c>
      <c r="AF96" s="97">
        <f>G96*INDEX(Régions!$AC$2:$AC$6,MATCH($B96,Régions!$A$2:$A$6,0))</f>
        <v/>
      </c>
      <c r="AG96" s="97">
        <f>H96*INDEX(Régions!$AD$2:$AD$6,MATCH($B96,Régions!$A$2:$A$6,0))</f>
        <v/>
      </c>
      <c r="AH96" s="97">
        <f>I96*INDEX(Régions!$AE$2:$AE$6,MATCH($B96,Régions!$A$2:$A$6,0))</f>
        <v/>
      </c>
      <c r="AI96" s="97">
        <f>D96*INDEX(Régions!$AF$2:$AF$6,MATCH($B96,Régions!$A$2:$A$6,0))</f>
        <v/>
      </c>
      <c r="AJ96" s="97">
        <f>E96*INDEX(Régions!$AG$2:$AG$6,MATCH($B96,Régions!$A$2:$A$6,0))</f>
        <v/>
      </c>
      <c r="AK96" s="97">
        <f>F96*INDEX(Régions!$AH$2:$AH$6,MATCH($B96,Régions!$A$2:$A$6,0))</f>
        <v/>
      </c>
      <c r="AL96" s="97">
        <f>G96*INDEX(Régions!$AI$2:$AI$6,MATCH($B96,Régions!$A$2:$A$6,0))</f>
        <v/>
      </c>
      <c r="AM96" s="97">
        <f>H96*INDEX(Régions!$AJ$2:$AJ$6,MATCH($B96,Régions!$A$2:$A$6,0))</f>
        <v/>
      </c>
      <c r="AN96" s="97">
        <f>I96*INDEX(Régions!$AK$2:$AK$6,MATCH($B96,Régions!$A$2:$A$6,0))</f>
        <v/>
      </c>
      <c r="AO96" s="99">
        <f>INDEX({"CAQ","PLQ","QS","PQ","PCQ","Autre"},MATCH(MAX(Q96:V96),Q96:V96,0))</f>
        <v/>
      </c>
      <c r="AP96" s="99">
        <f>INDEX({"CAQ","PLQ","QS","PQ","PCQ","Autre"},MATCH(MAX(W96:AB96),W96:AB96,0))</f>
        <v/>
      </c>
      <c r="AQ96" s="99">
        <f>INDEX({"CAQ","PLQ","QS","PQ","PCQ","Autre"},MATCH(MAX(AC96:AH96),AC96:AH96,0))</f>
        <v/>
      </c>
      <c r="AR96" s="99">
        <f>INDEX({"CAQ","PLQ","QS","PQ","PCQ","Autre"},MATCH(MAX(AI96:AN96),AI96:AN96,0))</f>
        <v/>
      </c>
      <c r="AS96" s="100">
        <f>(MAX(K96:P96)-LARGE(K96:P96,2))*100</f>
        <v/>
      </c>
      <c r="AT96" s="101">
        <f>IF(AS96&lt;5,"Oui","Non")</f>
        <v/>
      </c>
      <c r="AU96" s="102" t="n">
        <v>0.873</v>
      </c>
      <c r="AV96" s="102" t="n">
        <v>-1.711</v>
      </c>
      <c r="AW96" s="102" t="n">
        <v>2.216</v>
      </c>
      <c r="AX96" s="102" t="n">
        <v>-1.064</v>
      </c>
      <c r="AY96" s="96" t="n">
        <v>14898</v>
      </c>
      <c r="AZ96" s="96" t="n">
        <v>7604</v>
      </c>
      <c r="BA96" s="96" t="n">
        <v>7224</v>
      </c>
      <c r="BB96" s="96" t="n">
        <v>6588</v>
      </c>
      <c r="BC96" s="96" t="n">
        <v>1415</v>
      </c>
      <c r="BD96" s="97">
        <f>AY96*INDEX(Régions!$AQ$2:$AQ$6,MATCH($B96,Régions!$A$2:$A$6,0))</f>
        <v/>
      </c>
      <c r="BE96" s="97">
        <f>AZ96*INDEX(Régions!$AR$2:$AR$6,MATCH($B96,Régions!$A$2:$A$6,0))</f>
        <v/>
      </c>
      <c r="BF96" s="97">
        <f>BA96*INDEX(Régions!$AS$2:$AS$6,MATCH($B96,Régions!$A$2:$A$6,0))</f>
        <v/>
      </c>
      <c r="BG96" s="97">
        <f>BB96*INDEX(Régions!$AT$2:$AT$6,MATCH($B96,Régions!$A$2:$A$6,0))</f>
        <v/>
      </c>
      <c r="BH96" s="97">
        <f>U96</f>
        <v/>
      </c>
      <c r="BI96" s="97">
        <f>BC96*INDEX(Régions!$AU$2:$AU$6,MATCH($B96,Régions!$A$2:$A$6,0))</f>
        <v/>
      </c>
      <c r="BJ96" s="97">
        <f>INDEX({"CAQ","PLQ","QS","PQ","PCQ","Autre"},MATCH(MAX(BD96:BI96),BD96:BI96,0))</f>
        <v/>
      </c>
    </row>
    <row r="97" ht="15" customHeight="1" s="60">
      <c r="A97" s="94" t="inlineStr">
        <is>
          <t>Rimouski</t>
        </is>
      </c>
      <c r="B97" s="94" t="inlineStr">
        <is>
          <t>Reste du Québec</t>
        </is>
      </c>
      <c r="C97" s="95" t="inlineStr">
        <is>
          <t>CAQ</t>
        </is>
      </c>
      <c r="D97" s="96" t="n">
        <v>13761</v>
      </c>
      <c r="E97" s="96" t="n">
        <v>992</v>
      </c>
      <c r="F97" s="96" t="n">
        <v>7042</v>
      </c>
      <c r="G97" s="96" t="n">
        <v>9440</v>
      </c>
      <c r="H97" s="96" t="n">
        <v>1566</v>
      </c>
      <c r="I97" s="96" t="n">
        <v>159</v>
      </c>
      <c r="J97" s="97">
        <f>SUM(D97:I97)</f>
        <v/>
      </c>
      <c r="K97" s="98">
        <f>IFERROR(D97/J97,0)</f>
        <v/>
      </c>
      <c r="L97" s="98">
        <f>IFERROR(E97/J97,0)</f>
        <v/>
      </c>
      <c r="M97" s="98">
        <f>IFERROR(F97/J97,0)</f>
        <v/>
      </c>
      <c r="N97" s="98">
        <f>IFERROR(G97/J97,0)</f>
        <v/>
      </c>
      <c r="O97" s="98">
        <f>IFERROR(H97/J97,0)</f>
        <v/>
      </c>
      <c r="P97" s="98">
        <f>IFERROR(I97/J97,0)</f>
        <v/>
      </c>
      <c r="Q97" s="97">
        <f>D97*INDEX(Régions!$T$2:$T$6,MATCH($B97,Régions!$A$2:$A$6,0))</f>
        <v/>
      </c>
      <c r="R97" s="97">
        <f>E97*INDEX(Régions!$U$2:$U$6,MATCH($B97,Régions!$A$2:$A$6,0))</f>
        <v/>
      </c>
      <c r="S97" s="97">
        <f>F97*INDEX(Régions!$V$2:$V$6,MATCH($B97,Régions!$A$2:$A$6,0))</f>
        <v/>
      </c>
      <c r="T97" s="97">
        <f>G97*INDEX(Régions!$W$2:$W$6,MATCH($B97,Régions!$A$2:$A$6,0))</f>
        <v/>
      </c>
      <c r="U97" s="97">
        <f>H97*INDEX(Régions!$X$2:$X$6,MATCH($B97,Régions!$A$2:$A$6,0))</f>
        <v/>
      </c>
      <c r="V97" s="97">
        <f>I97*INDEX(Régions!$Y$2:$Y$6,MATCH($B97,Régions!$A$2:$A$6,0))</f>
        <v/>
      </c>
      <c r="W97" s="97">
        <f>Q97+(AU97/100)*J97*Régions!$O$2</f>
        <v/>
      </c>
      <c r="X97" s="97">
        <f>R97+(AV97/100)*J97*Régions!$O$2</f>
        <v/>
      </c>
      <c r="Y97" s="97">
        <f>S97+(AW97/100)*J97*Régions!$O$2</f>
        <v/>
      </c>
      <c r="Z97" s="97">
        <f>T97+(AX97/100)*J97*Régions!$O$2</f>
        <v/>
      </c>
      <c r="AA97" s="97">
        <f>U97</f>
        <v/>
      </c>
      <c r="AB97" s="97">
        <f>V97</f>
        <v/>
      </c>
      <c r="AC97" s="97">
        <f>D97*INDEX(Régions!$Z$2:$Z$6,MATCH($B97,Régions!$A$2:$A$6,0))</f>
        <v/>
      </c>
      <c r="AD97" s="97">
        <f>E97*INDEX(Régions!$AA$2:$AA$6,MATCH($B97,Régions!$A$2:$A$6,0))</f>
        <v/>
      </c>
      <c r="AE97" s="97">
        <f>F97*INDEX(Régions!$AB$2:$AB$6,MATCH($B97,Régions!$A$2:$A$6,0))</f>
        <v/>
      </c>
      <c r="AF97" s="97">
        <f>G97*INDEX(Régions!$AC$2:$AC$6,MATCH($B97,Régions!$A$2:$A$6,0))</f>
        <v/>
      </c>
      <c r="AG97" s="97">
        <f>H97*INDEX(Régions!$AD$2:$AD$6,MATCH($B97,Régions!$A$2:$A$6,0))</f>
        <v/>
      </c>
      <c r="AH97" s="97">
        <f>I97*INDEX(Régions!$AE$2:$AE$6,MATCH($B97,Régions!$A$2:$A$6,0))</f>
        <v/>
      </c>
      <c r="AI97" s="97">
        <f>D97*INDEX(Régions!$AF$2:$AF$6,MATCH($B97,Régions!$A$2:$A$6,0))</f>
        <v/>
      </c>
      <c r="AJ97" s="97">
        <f>E97*INDEX(Régions!$AG$2:$AG$6,MATCH($B97,Régions!$A$2:$A$6,0))</f>
        <v/>
      </c>
      <c r="AK97" s="97">
        <f>F97*INDEX(Régions!$AH$2:$AH$6,MATCH($B97,Régions!$A$2:$A$6,0))</f>
        <v/>
      </c>
      <c r="AL97" s="97">
        <f>G97*INDEX(Régions!$AI$2:$AI$6,MATCH($B97,Régions!$A$2:$A$6,0))</f>
        <v/>
      </c>
      <c r="AM97" s="97">
        <f>H97*INDEX(Régions!$AJ$2:$AJ$6,MATCH($B97,Régions!$A$2:$A$6,0))</f>
        <v/>
      </c>
      <c r="AN97" s="97">
        <f>I97*INDEX(Régions!$AK$2:$AK$6,MATCH($B97,Régions!$A$2:$A$6,0))</f>
        <v/>
      </c>
      <c r="AO97" s="99">
        <f>INDEX({"CAQ","PLQ","QS","PQ","PCQ","Autre"},MATCH(MAX(Q97:V97),Q97:V97,0))</f>
        <v/>
      </c>
      <c r="AP97" s="99">
        <f>INDEX({"CAQ","PLQ","QS","PQ","PCQ","Autre"},MATCH(MAX(W97:AB97),W97:AB97,0))</f>
        <v/>
      </c>
      <c r="AQ97" s="99">
        <f>INDEX({"CAQ","PLQ","QS","PQ","PCQ","Autre"},MATCH(MAX(AC97:AH97),AC97:AH97,0))</f>
        <v/>
      </c>
      <c r="AR97" s="99">
        <f>INDEX({"CAQ","PLQ","QS","PQ","PCQ","Autre"},MATCH(MAX(AI97:AN97),AI97:AN97,0))</f>
        <v/>
      </c>
      <c r="AS97" s="100">
        <f>(MAX(K97:P97)-LARGE(K97:P97,2))*100</f>
        <v/>
      </c>
      <c r="AT97" s="101">
        <f>IF(AS97&lt;5,"Oui","Non")</f>
        <v/>
      </c>
      <c r="AU97" s="102" t="n">
        <v>10.899</v>
      </c>
      <c r="AV97" s="102" t="n">
        <v>3.427</v>
      </c>
      <c r="AW97" s="102" t="n">
        <v>4.925</v>
      </c>
      <c r="AX97" s="102" t="n">
        <v>-11.299</v>
      </c>
      <c r="AY97" s="96" t="n">
        <v>7903</v>
      </c>
      <c r="AZ97" s="96" t="n">
        <v>3914</v>
      </c>
      <c r="BA97" s="96" t="n">
        <v>5531</v>
      </c>
      <c r="BB97" s="96" t="n">
        <v>13940</v>
      </c>
      <c r="BC97" s="96" t="n">
        <v>449</v>
      </c>
      <c r="BD97" s="97">
        <f>AY97*INDEX(Régions!$AQ$2:$AQ$6,MATCH($B97,Régions!$A$2:$A$6,0))</f>
        <v/>
      </c>
      <c r="BE97" s="97">
        <f>AZ97*INDEX(Régions!$AR$2:$AR$6,MATCH($B97,Régions!$A$2:$A$6,0))</f>
        <v/>
      </c>
      <c r="BF97" s="97">
        <f>BA97*INDEX(Régions!$AS$2:$AS$6,MATCH($B97,Régions!$A$2:$A$6,0))</f>
        <v/>
      </c>
      <c r="BG97" s="97">
        <f>BB97*INDEX(Régions!$AT$2:$AT$6,MATCH($B97,Régions!$A$2:$A$6,0))</f>
        <v/>
      </c>
      <c r="BH97" s="97">
        <f>U97</f>
        <v/>
      </c>
      <c r="BI97" s="97">
        <f>BC97*INDEX(Régions!$AU$2:$AU$6,MATCH($B97,Régions!$A$2:$A$6,0))</f>
        <v/>
      </c>
      <c r="BJ97" s="97">
        <f>INDEX({"CAQ","PLQ","QS","PQ","PCQ","Autre"},MATCH(MAX(BD97:BI97),BD97:BI97,0))</f>
        <v/>
      </c>
    </row>
    <row r="98" ht="15" customHeight="1" s="60">
      <c r="A98" s="94" t="inlineStr">
        <is>
          <t>Rivière-du-Loup–Témiscouata–Les Basques</t>
        </is>
      </c>
      <c r="B98" s="94" t="inlineStr">
        <is>
          <t>Reste du Québec</t>
        </is>
      </c>
      <c r="C98" s="95" t="inlineStr">
        <is>
          <t>CAQ</t>
        </is>
      </c>
      <c r="D98" s="96" t="n">
        <v>18183</v>
      </c>
      <c r="E98" s="96" t="n">
        <v>1388</v>
      </c>
      <c r="F98" s="96" t="n">
        <v>5102</v>
      </c>
      <c r="G98" s="96" t="n">
        <v>6141</v>
      </c>
      <c r="H98" s="96" t="n">
        <v>3937</v>
      </c>
      <c r="I98" s="96" t="n">
        <v>174</v>
      </c>
      <c r="J98" s="97">
        <f>SUM(D98:I98)</f>
        <v/>
      </c>
      <c r="K98" s="98">
        <f>IFERROR(D98/J98,0)</f>
        <v/>
      </c>
      <c r="L98" s="98">
        <f>IFERROR(E98/J98,0)</f>
        <v/>
      </c>
      <c r="M98" s="98">
        <f>IFERROR(F98/J98,0)</f>
        <v/>
      </c>
      <c r="N98" s="98">
        <f>IFERROR(G98/J98,0)</f>
        <v/>
      </c>
      <c r="O98" s="98">
        <f>IFERROR(H98/J98,0)</f>
        <v/>
      </c>
      <c r="P98" s="98">
        <f>IFERROR(I98/J98,0)</f>
        <v/>
      </c>
      <c r="Q98" s="97">
        <f>D98*INDEX(Régions!$T$2:$T$6,MATCH($B98,Régions!$A$2:$A$6,0))</f>
        <v/>
      </c>
      <c r="R98" s="97">
        <f>E98*INDEX(Régions!$U$2:$U$6,MATCH($B98,Régions!$A$2:$A$6,0))</f>
        <v/>
      </c>
      <c r="S98" s="97">
        <f>F98*INDEX(Régions!$V$2:$V$6,MATCH($B98,Régions!$A$2:$A$6,0))</f>
        <v/>
      </c>
      <c r="T98" s="97">
        <f>G98*INDEX(Régions!$W$2:$W$6,MATCH($B98,Régions!$A$2:$A$6,0))</f>
        <v/>
      </c>
      <c r="U98" s="97">
        <f>H98*INDEX(Régions!$X$2:$X$6,MATCH($B98,Régions!$A$2:$A$6,0))</f>
        <v/>
      </c>
      <c r="V98" s="97">
        <f>I98*INDEX(Régions!$Y$2:$Y$6,MATCH($B98,Régions!$A$2:$A$6,0))</f>
        <v/>
      </c>
      <c r="W98" s="97">
        <f>Q98+(AU98/100)*J98*Régions!$O$2</f>
        <v/>
      </c>
      <c r="X98" s="97">
        <f>R98+(AV98/100)*J98*Régions!$O$2</f>
        <v/>
      </c>
      <c r="Y98" s="97">
        <f>S98+(AW98/100)*J98*Régions!$O$2</f>
        <v/>
      </c>
      <c r="Z98" s="97">
        <f>T98+(AX98/100)*J98*Régions!$O$2</f>
        <v/>
      </c>
      <c r="AA98" s="97">
        <f>U98</f>
        <v/>
      </c>
      <c r="AB98" s="97">
        <f>V98</f>
        <v/>
      </c>
      <c r="AC98" s="97">
        <f>D98*INDEX(Régions!$Z$2:$Z$6,MATCH($B98,Régions!$A$2:$A$6,0))</f>
        <v/>
      </c>
      <c r="AD98" s="97">
        <f>E98*INDEX(Régions!$AA$2:$AA$6,MATCH($B98,Régions!$A$2:$A$6,0))</f>
        <v/>
      </c>
      <c r="AE98" s="97">
        <f>F98*INDEX(Régions!$AB$2:$AB$6,MATCH($B98,Régions!$A$2:$A$6,0))</f>
        <v/>
      </c>
      <c r="AF98" s="97">
        <f>G98*INDEX(Régions!$AC$2:$AC$6,MATCH($B98,Régions!$A$2:$A$6,0))</f>
        <v/>
      </c>
      <c r="AG98" s="97">
        <f>H98*INDEX(Régions!$AD$2:$AD$6,MATCH($B98,Régions!$A$2:$A$6,0))</f>
        <v/>
      </c>
      <c r="AH98" s="97">
        <f>I98*INDEX(Régions!$AE$2:$AE$6,MATCH($B98,Régions!$A$2:$A$6,0))</f>
        <v/>
      </c>
      <c r="AI98" s="97">
        <f>D98*INDEX(Régions!$AF$2:$AF$6,MATCH($B98,Régions!$A$2:$A$6,0))</f>
        <v/>
      </c>
      <c r="AJ98" s="97">
        <f>E98*INDEX(Régions!$AG$2:$AG$6,MATCH($B98,Régions!$A$2:$A$6,0))</f>
        <v/>
      </c>
      <c r="AK98" s="97">
        <f>F98*INDEX(Régions!$AH$2:$AH$6,MATCH($B98,Régions!$A$2:$A$6,0))</f>
        <v/>
      </c>
      <c r="AL98" s="97">
        <f>G98*INDEX(Régions!$AI$2:$AI$6,MATCH($B98,Régions!$A$2:$A$6,0))</f>
        <v/>
      </c>
      <c r="AM98" s="97">
        <f>H98*INDEX(Régions!$AJ$2:$AJ$6,MATCH($B98,Régions!$A$2:$A$6,0))</f>
        <v/>
      </c>
      <c r="AN98" s="97">
        <f>I98*INDEX(Régions!$AK$2:$AK$6,MATCH($B98,Régions!$A$2:$A$6,0))</f>
        <v/>
      </c>
      <c r="AO98" s="99">
        <f>INDEX({"CAQ","PLQ","QS","PQ","PCQ","Autre"},MATCH(MAX(Q98:V98),Q98:V98,0))</f>
        <v/>
      </c>
      <c r="AP98" s="99">
        <f>INDEX({"CAQ","PLQ","QS","PQ","PCQ","Autre"},MATCH(MAX(W98:AB98),W98:AB98,0))</f>
        <v/>
      </c>
      <c r="AQ98" s="99">
        <f>INDEX({"CAQ","PLQ","QS","PQ","PCQ","Autre"},MATCH(MAX(AC98:AH98),AC98:AH98,0))</f>
        <v/>
      </c>
      <c r="AR98" s="99">
        <f>INDEX({"CAQ","PLQ","QS","PQ","PCQ","Autre"},MATCH(MAX(AI98:AN98),AI98:AN98,0))</f>
        <v/>
      </c>
      <c r="AS98" s="100">
        <f>(MAX(K98:P98)-LARGE(K98:P98,2))*100</f>
        <v/>
      </c>
      <c r="AT98" s="101">
        <f>IF(AS98&lt;5,"Oui","Non")</f>
        <v/>
      </c>
      <c r="AU98" s="102" t="n">
        <v>6.935</v>
      </c>
      <c r="AV98" s="102" t="n">
        <v>-16.734</v>
      </c>
      <c r="AW98" s="102" t="n">
        <v>4.567</v>
      </c>
      <c r="AX98" s="102" t="n">
        <v>6.321</v>
      </c>
      <c r="AY98" s="96" t="n">
        <v>13439</v>
      </c>
      <c r="AZ98" s="96" t="n">
        <v>11477</v>
      </c>
      <c r="BA98" s="96" t="n">
        <v>3783</v>
      </c>
      <c r="BB98" s="96" t="n">
        <v>5230</v>
      </c>
      <c r="BC98" s="96" t="n">
        <v>373</v>
      </c>
      <c r="BD98" s="97">
        <f>AY98*INDEX(Régions!$AQ$2:$AQ$6,MATCH($B98,Régions!$A$2:$A$6,0))</f>
        <v/>
      </c>
      <c r="BE98" s="97">
        <f>AZ98*INDEX(Régions!$AR$2:$AR$6,MATCH($B98,Régions!$A$2:$A$6,0))</f>
        <v/>
      </c>
      <c r="BF98" s="97">
        <f>BA98*INDEX(Régions!$AS$2:$AS$6,MATCH($B98,Régions!$A$2:$A$6,0))</f>
        <v/>
      </c>
      <c r="BG98" s="97">
        <f>BB98*INDEX(Régions!$AT$2:$AT$6,MATCH($B98,Régions!$A$2:$A$6,0))</f>
        <v/>
      </c>
      <c r="BH98" s="97">
        <f>U98</f>
        <v/>
      </c>
      <c r="BI98" s="97">
        <f>BC98*INDEX(Régions!$AU$2:$AU$6,MATCH($B98,Régions!$A$2:$A$6,0))</f>
        <v/>
      </c>
      <c r="BJ98" s="97">
        <f>INDEX({"CAQ","PLQ","QS","PQ","PCQ","Autre"},MATCH(MAX(BD98:BI98),BD98:BI98,0))</f>
        <v/>
      </c>
    </row>
    <row r="99" ht="15" customHeight="1" s="60">
      <c r="A99" s="94" t="inlineStr">
        <is>
          <t>Robert-Baldwin</t>
        </is>
      </c>
      <c r="B99" s="94" t="inlineStr">
        <is>
          <t>Île de Montréal</t>
        </is>
      </c>
      <c r="C99" s="95" t="inlineStr">
        <is>
          <t>PLQ</t>
        </is>
      </c>
      <c r="D99" s="96" t="n">
        <v>2909</v>
      </c>
      <c r="E99" s="96" t="n">
        <v>17229</v>
      </c>
      <c r="F99" s="96" t="n">
        <v>1498</v>
      </c>
      <c r="G99" s="96" t="n">
        <v>776</v>
      </c>
      <c r="H99" s="96" t="n">
        <v>6010</v>
      </c>
      <c r="I99" s="96" t="n">
        <v>1406</v>
      </c>
      <c r="J99" s="97">
        <f>SUM(D99:I99)</f>
        <v/>
      </c>
      <c r="K99" s="98">
        <f>IFERROR(D99/J99,0)</f>
        <v/>
      </c>
      <c r="L99" s="98">
        <f>IFERROR(E99/J99,0)</f>
        <v/>
      </c>
      <c r="M99" s="98">
        <f>IFERROR(F99/J99,0)</f>
        <v/>
      </c>
      <c r="N99" s="98">
        <f>IFERROR(G99/J99,0)</f>
        <v/>
      </c>
      <c r="O99" s="98">
        <f>IFERROR(H99/J99,0)</f>
        <v/>
      </c>
      <c r="P99" s="98">
        <f>IFERROR(I99/J99,0)</f>
        <v/>
      </c>
      <c r="Q99" s="97">
        <f>D99*INDEX(Régions!$T$2:$T$6,MATCH($B99,Régions!$A$2:$A$6,0))</f>
        <v/>
      </c>
      <c r="R99" s="97">
        <f>E99*INDEX(Régions!$U$2:$U$6,MATCH($B99,Régions!$A$2:$A$6,0))</f>
        <v/>
      </c>
      <c r="S99" s="97">
        <f>F99*INDEX(Régions!$V$2:$V$6,MATCH($B99,Régions!$A$2:$A$6,0))</f>
        <v/>
      </c>
      <c r="T99" s="97">
        <f>G99*INDEX(Régions!$W$2:$W$6,MATCH($B99,Régions!$A$2:$A$6,0))</f>
        <v/>
      </c>
      <c r="U99" s="97">
        <f>H99*INDEX(Régions!$X$2:$X$6,MATCH($B99,Régions!$A$2:$A$6,0))</f>
        <v/>
      </c>
      <c r="V99" s="97">
        <f>I99*INDEX(Régions!$Y$2:$Y$6,MATCH($B99,Régions!$A$2:$A$6,0))</f>
        <v/>
      </c>
      <c r="W99" s="97">
        <f>Q99+(AU99/100)*J99*Régions!$O$2</f>
        <v/>
      </c>
      <c r="X99" s="97">
        <f>R99+(AV99/100)*J99*Régions!$O$2</f>
        <v/>
      </c>
      <c r="Y99" s="97">
        <f>S99+(AW99/100)*J99*Régions!$O$2</f>
        <v/>
      </c>
      <c r="Z99" s="97">
        <f>T99+(AX99/100)*J99*Régions!$O$2</f>
        <v/>
      </c>
      <c r="AA99" s="97">
        <f>U99</f>
        <v/>
      </c>
      <c r="AB99" s="97">
        <f>V99</f>
        <v/>
      </c>
      <c r="AC99" s="97">
        <f>D99*INDEX(Régions!$Z$2:$Z$6,MATCH($B99,Régions!$A$2:$A$6,0))</f>
        <v/>
      </c>
      <c r="AD99" s="97">
        <f>E99*INDEX(Régions!$AA$2:$AA$6,MATCH($B99,Régions!$A$2:$A$6,0))</f>
        <v/>
      </c>
      <c r="AE99" s="97">
        <f>F99*INDEX(Régions!$AB$2:$AB$6,MATCH($B99,Régions!$A$2:$A$6,0))</f>
        <v/>
      </c>
      <c r="AF99" s="97">
        <f>G99*INDEX(Régions!$AC$2:$AC$6,MATCH($B99,Régions!$A$2:$A$6,0))</f>
        <v/>
      </c>
      <c r="AG99" s="97">
        <f>H99*INDEX(Régions!$AD$2:$AD$6,MATCH($B99,Régions!$A$2:$A$6,0))</f>
        <v/>
      </c>
      <c r="AH99" s="97">
        <f>I99*INDEX(Régions!$AE$2:$AE$6,MATCH($B99,Régions!$A$2:$A$6,0))</f>
        <v/>
      </c>
      <c r="AI99" s="97">
        <f>D99*INDEX(Régions!$AF$2:$AF$6,MATCH($B99,Régions!$A$2:$A$6,0))</f>
        <v/>
      </c>
      <c r="AJ99" s="97">
        <f>E99*INDEX(Régions!$AG$2:$AG$6,MATCH($B99,Régions!$A$2:$A$6,0))</f>
        <v/>
      </c>
      <c r="AK99" s="97">
        <f>F99*INDEX(Régions!$AH$2:$AH$6,MATCH($B99,Régions!$A$2:$A$6,0))</f>
        <v/>
      </c>
      <c r="AL99" s="97">
        <f>G99*INDEX(Régions!$AI$2:$AI$6,MATCH($B99,Régions!$A$2:$A$6,0))</f>
        <v/>
      </c>
      <c r="AM99" s="97">
        <f>H99*INDEX(Régions!$AJ$2:$AJ$6,MATCH($B99,Régions!$A$2:$A$6,0))</f>
        <v/>
      </c>
      <c r="AN99" s="97">
        <f>I99*INDEX(Régions!$AK$2:$AK$6,MATCH($B99,Régions!$A$2:$A$6,0))</f>
        <v/>
      </c>
      <c r="AO99" s="99">
        <f>INDEX({"CAQ","PLQ","QS","PQ","PCQ","Autre"},MATCH(MAX(Q99:V99),Q99:V99,0))</f>
        <v/>
      </c>
      <c r="AP99" s="99">
        <f>INDEX({"CAQ","PLQ","QS","PQ","PCQ","Autre"},MATCH(MAX(W99:AB99),W99:AB99,0))</f>
        <v/>
      </c>
      <c r="AQ99" s="99">
        <f>INDEX({"CAQ","PLQ","QS","PQ","PCQ","Autre"},MATCH(MAX(AC99:AH99),AC99:AH99,0))</f>
        <v/>
      </c>
      <c r="AR99" s="99">
        <f>INDEX({"CAQ","PLQ","QS","PQ","PCQ","Autre"},MATCH(MAX(AI99:AN99),AI99:AN99,0))</f>
        <v/>
      </c>
      <c r="AS99" s="100">
        <f>(MAX(K99:P99)-LARGE(K99:P99,2))*100</f>
        <v/>
      </c>
      <c r="AT99" s="101">
        <f>IF(AS99&lt;5,"Oui","Non")</f>
        <v/>
      </c>
      <c r="AU99" s="102" t="n">
        <v>-3.677</v>
      </c>
      <c r="AV99" s="102" t="n">
        <v>-7.26</v>
      </c>
      <c r="AW99" s="102" t="n">
        <v>-0.059</v>
      </c>
      <c r="AX99" s="102" t="n">
        <v>0.483</v>
      </c>
      <c r="AY99" s="96" t="n">
        <v>3438</v>
      </c>
      <c r="AZ99" s="96" t="n">
        <v>22427</v>
      </c>
      <c r="BA99" s="96" t="n">
        <v>1317</v>
      </c>
      <c r="BB99" s="96" t="n">
        <v>994</v>
      </c>
      <c r="BC99" s="96" t="n">
        <v>2190</v>
      </c>
      <c r="BD99" s="97">
        <f>AY99*INDEX(Régions!$AQ$2:$AQ$6,MATCH($B99,Régions!$A$2:$A$6,0))</f>
        <v/>
      </c>
      <c r="BE99" s="97">
        <f>AZ99*INDEX(Régions!$AR$2:$AR$6,MATCH($B99,Régions!$A$2:$A$6,0))</f>
        <v/>
      </c>
      <c r="BF99" s="97">
        <f>BA99*INDEX(Régions!$AS$2:$AS$6,MATCH($B99,Régions!$A$2:$A$6,0))</f>
        <v/>
      </c>
      <c r="BG99" s="97">
        <f>BB99*INDEX(Régions!$AT$2:$AT$6,MATCH($B99,Régions!$A$2:$A$6,0))</f>
        <v/>
      </c>
      <c r="BH99" s="97">
        <f>U99</f>
        <v/>
      </c>
      <c r="BI99" s="97">
        <f>BC99*INDEX(Régions!$AU$2:$AU$6,MATCH($B99,Régions!$A$2:$A$6,0))</f>
        <v/>
      </c>
      <c r="BJ99" s="97">
        <f>INDEX({"CAQ","PLQ","QS","PQ","PCQ","Autre"},MATCH(MAX(BD99:BI99),BD99:BI99,0))</f>
        <v/>
      </c>
    </row>
    <row r="100" ht="15" customHeight="1" s="60">
      <c r="A100" s="94" t="inlineStr">
        <is>
          <t>Roberval</t>
        </is>
      </c>
      <c r="B100" s="94" t="inlineStr">
        <is>
          <t>Reste du Québec</t>
        </is>
      </c>
      <c r="C100" s="95" t="inlineStr">
        <is>
          <t>CAQ</t>
        </is>
      </c>
      <c r="D100" s="96" t="n">
        <v>15017</v>
      </c>
      <c r="E100" s="96" t="n">
        <v>1217</v>
      </c>
      <c r="F100" s="96" t="n">
        <v>1826</v>
      </c>
      <c r="G100" s="96" t="n">
        <v>5488</v>
      </c>
      <c r="H100" s="96" t="n">
        <v>3038</v>
      </c>
      <c r="I100" s="96" t="n">
        <v>141</v>
      </c>
      <c r="J100" s="97">
        <f>SUM(D100:I100)</f>
        <v/>
      </c>
      <c r="K100" s="98">
        <f>IFERROR(D100/J100,0)</f>
        <v/>
      </c>
      <c r="L100" s="98">
        <f>IFERROR(E100/J100,0)</f>
        <v/>
      </c>
      <c r="M100" s="98">
        <f>IFERROR(F100/J100,0)</f>
        <v/>
      </c>
      <c r="N100" s="98">
        <f>IFERROR(G100/J100,0)</f>
        <v/>
      </c>
      <c r="O100" s="98">
        <f>IFERROR(H100/J100,0)</f>
        <v/>
      </c>
      <c r="P100" s="98">
        <f>IFERROR(I100/J100,0)</f>
        <v/>
      </c>
      <c r="Q100" s="97">
        <f>D100*INDEX(Régions!$T$2:$T$6,MATCH($B100,Régions!$A$2:$A$6,0))</f>
        <v/>
      </c>
      <c r="R100" s="97">
        <f>E100*INDEX(Régions!$U$2:$U$6,MATCH($B100,Régions!$A$2:$A$6,0))</f>
        <v/>
      </c>
      <c r="S100" s="97">
        <f>F100*INDEX(Régions!$V$2:$V$6,MATCH($B100,Régions!$A$2:$A$6,0))</f>
        <v/>
      </c>
      <c r="T100" s="97">
        <f>G100*INDEX(Régions!$W$2:$W$6,MATCH($B100,Régions!$A$2:$A$6,0))</f>
        <v/>
      </c>
      <c r="U100" s="97">
        <f>H100*INDEX(Régions!$X$2:$X$6,MATCH($B100,Régions!$A$2:$A$6,0))</f>
        <v/>
      </c>
      <c r="V100" s="97">
        <f>I100*INDEX(Régions!$Y$2:$Y$6,MATCH($B100,Régions!$A$2:$A$6,0))</f>
        <v/>
      </c>
      <c r="W100" s="97">
        <f>Q100+(AU100/100)*J100*Régions!$O$2</f>
        <v/>
      </c>
      <c r="X100" s="97">
        <f>R100+(AV100/100)*J100*Régions!$O$2</f>
        <v/>
      </c>
      <c r="Y100" s="97">
        <f>S100+(AW100/100)*J100*Régions!$O$2</f>
        <v/>
      </c>
      <c r="Z100" s="97">
        <f>T100+(AX100/100)*J100*Régions!$O$2</f>
        <v/>
      </c>
      <c r="AA100" s="97">
        <f>U100</f>
        <v/>
      </c>
      <c r="AB100" s="97">
        <f>V100</f>
        <v/>
      </c>
      <c r="AC100" s="97">
        <f>D100*INDEX(Régions!$Z$2:$Z$6,MATCH($B100,Régions!$A$2:$A$6,0))</f>
        <v/>
      </c>
      <c r="AD100" s="97">
        <f>E100*INDEX(Régions!$AA$2:$AA$6,MATCH($B100,Régions!$A$2:$A$6,0))</f>
        <v/>
      </c>
      <c r="AE100" s="97">
        <f>F100*INDEX(Régions!$AB$2:$AB$6,MATCH($B100,Régions!$A$2:$A$6,0))</f>
        <v/>
      </c>
      <c r="AF100" s="97">
        <f>G100*INDEX(Régions!$AC$2:$AC$6,MATCH($B100,Régions!$A$2:$A$6,0))</f>
        <v/>
      </c>
      <c r="AG100" s="97">
        <f>H100*INDEX(Régions!$AD$2:$AD$6,MATCH($B100,Régions!$A$2:$A$6,0))</f>
        <v/>
      </c>
      <c r="AH100" s="97">
        <f>I100*INDEX(Régions!$AE$2:$AE$6,MATCH($B100,Régions!$A$2:$A$6,0))</f>
        <v/>
      </c>
      <c r="AI100" s="97">
        <f>D100*INDEX(Régions!$AF$2:$AF$6,MATCH($B100,Régions!$A$2:$A$6,0))</f>
        <v/>
      </c>
      <c r="AJ100" s="97">
        <f>E100*INDEX(Régions!$AG$2:$AG$6,MATCH($B100,Régions!$A$2:$A$6,0))</f>
        <v/>
      </c>
      <c r="AK100" s="97">
        <f>F100*INDEX(Régions!$AH$2:$AH$6,MATCH($B100,Régions!$A$2:$A$6,0))</f>
        <v/>
      </c>
      <c r="AL100" s="97">
        <f>G100*INDEX(Régions!$AI$2:$AI$6,MATCH($B100,Régions!$A$2:$A$6,0))</f>
        <v/>
      </c>
      <c r="AM100" s="97">
        <f>H100*INDEX(Régions!$AJ$2:$AJ$6,MATCH($B100,Régions!$A$2:$A$6,0))</f>
        <v/>
      </c>
      <c r="AN100" s="97">
        <f>I100*INDEX(Régions!$AK$2:$AK$6,MATCH($B100,Régions!$A$2:$A$6,0))</f>
        <v/>
      </c>
      <c r="AO100" s="99">
        <f>INDEX({"CAQ","PLQ","QS","PQ","PCQ","Autre"},MATCH(MAX(Q100:V100),Q100:V100,0))</f>
        <v/>
      </c>
      <c r="AP100" s="99">
        <f>INDEX({"CAQ","PLQ","QS","PQ","PCQ","Autre"},MATCH(MAX(W100:AB100),W100:AB100,0))</f>
        <v/>
      </c>
      <c r="AQ100" s="99">
        <f>INDEX({"CAQ","PLQ","QS","PQ","PCQ","Autre"},MATCH(MAX(AC100:AH100),AC100:AH100,0))</f>
        <v/>
      </c>
      <c r="AR100" s="99">
        <f>INDEX({"CAQ","PLQ","QS","PQ","PCQ","Autre"},MATCH(MAX(AI100:AN100),AI100:AN100,0))</f>
        <v/>
      </c>
      <c r="AS100" s="100">
        <f>(MAX(K100:P100)-LARGE(K100:P100,2))*100</f>
        <v/>
      </c>
      <c r="AT100" s="101">
        <f>IF(AS100&lt;5,"Oui","Non")</f>
        <v/>
      </c>
      <c r="AU100" s="102" t="n">
        <v>26.076</v>
      </c>
      <c r="AV100" s="102" t="n">
        <v>-25.152</v>
      </c>
      <c r="AW100" s="102" t="n">
        <v>-2.878</v>
      </c>
      <c r="AX100" s="102" t="n">
        <v>5.496</v>
      </c>
      <c r="AY100" s="96" t="n">
        <v>6719</v>
      </c>
      <c r="AZ100" s="96" t="n">
        <v>11807</v>
      </c>
      <c r="BA100" s="96" t="n">
        <v>2975</v>
      </c>
      <c r="BB100" s="96" t="n">
        <v>5290</v>
      </c>
      <c r="BC100" s="96" t="n">
        <v>1019</v>
      </c>
      <c r="BD100" s="97">
        <f>AY100*INDEX(Régions!$AQ$2:$AQ$6,MATCH($B100,Régions!$A$2:$A$6,0))</f>
        <v/>
      </c>
      <c r="BE100" s="97">
        <f>AZ100*INDEX(Régions!$AR$2:$AR$6,MATCH($B100,Régions!$A$2:$A$6,0))</f>
        <v/>
      </c>
      <c r="BF100" s="97">
        <f>BA100*INDEX(Régions!$AS$2:$AS$6,MATCH($B100,Régions!$A$2:$A$6,0))</f>
        <v/>
      </c>
      <c r="BG100" s="97">
        <f>BB100*INDEX(Régions!$AT$2:$AT$6,MATCH($B100,Régions!$A$2:$A$6,0))</f>
        <v/>
      </c>
      <c r="BH100" s="97">
        <f>U100</f>
        <v/>
      </c>
      <c r="BI100" s="97">
        <f>BC100*INDEX(Régions!$AU$2:$AU$6,MATCH($B100,Régions!$A$2:$A$6,0))</f>
        <v/>
      </c>
      <c r="BJ100" s="97">
        <f>INDEX({"CAQ","PLQ","QS","PQ","PCQ","Autre"},MATCH(MAX(BD100:BI100),BD100:BI100,0))</f>
        <v/>
      </c>
    </row>
    <row r="101" ht="15" customHeight="1" s="60">
      <c r="A101" s="94" t="inlineStr">
        <is>
          <t>Rosemont</t>
        </is>
      </c>
      <c r="B101" s="94" t="inlineStr">
        <is>
          <t>Île de Montréal</t>
        </is>
      </c>
      <c r="C101" s="95" t="inlineStr">
        <is>
          <t>QS</t>
        </is>
      </c>
      <c r="D101" s="96" t="n">
        <v>8157</v>
      </c>
      <c r="E101" s="96" t="n">
        <v>4170</v>
      </c>
      <c r="F101" s="96" t="n">
        <v>13311</v>
      </c>
      <c r="G101" s="96" t="n">
        <v>7527</v>
      </c>
      <c r="H101" s="96" t="n">
        <v>1605</v>
      </c>
      <c r="I101" s="96" t="n">
        <v>610</v>
      </c>
      <c r="J101" s="97">
        <f>SUM(D101:I101)</f>
        <v/>
      </c>
      <c r="K101" s="98">
        <f>IFERROR(D101/J101,0)</f>
        <v/>
      </c>
      <c r="L101" s="98">
        <f>IFERROR(E101/J101,0)</f>
        <v/>
      </c>
      <c r="M101" s="98">
        <f>IFERROR(F101/J101,0)</f>
        <v/>
      </c>
      <c r="N101" s="98">
        <f>IFERROR(G101/J101,0)</f>
        <v/>
      </c>
      <c r="O101" s="98">
        <f>IFERROR(H101/J101,0)</f>
        <v/>
      </c>
      <c r="P101" s="98">
        <f>IFERROR(I101/J101,0)</f>
        <v/>
      </c>
      <c r="Q101" s="97">
        <f>D101*INDEX(Régions!$T$2:$T$6,MATCH($B101,Régions!$A$2:$A$6,0))</f>
        <v/>
      </c>
      <c r="R101" s="97">
        <f>E101*INDEX(Régions!$U$2:$U$6,MATCH($B101,Régions!$A$2:$A$6,0))</f>
        <v/>
      </c>
      <c r="S101" s="97">
        <f>F101*INDEX(Régions!$V$2:$V$6,MATCH($B101,Régions!$A$2:$A$6,0))</f>
        <v/>
      </c>
      <c r="T101" s="97">
        <f>G101*INDEX(Régions!$W$2:$W$6,MATCH($B101,Régions!$A$2:$A$6,0))</f>
        <v/>
      </c>
      <c r="U101" s="97">
        <f>H101*INDEX(Régions!$X$2:$X$6,MATCH($B101,Régions!$A$2:$A$6,0))</f>
        <v/>
      </c>
      <c r="V101" s="97">
        <f>I101*INDEX(Régions!$Y$2:$Y$6,MATCH($B101,Régions!$A$2:$A$6,0))</f>
        <v/>
      </c>
      <c r="W101" s="97">
        <f>Q101+(AU101/100)*J101*Régions!$O$2</f>
        <v/>
      </c>
      <c r="X101" s="97">
        <f>R101+(AV101/100)*J101*Régions!$O$2</f>
        <v/>
      </c>
      <c r="Y101" s="97">
        <f>S101+(AW101/100)*J101*Régions!$O$2</f>
        <v/>
      </c>
      <c r="Z101" s="97">
        <f>T101+(AX101/100)*J101*Régions!$O$2</f>
        <v/>
      </c>
      <c r="AA101" s="97">
        <f>U101</f>
        <v/>
      </c>
      <c r="AB101" s="97">
        <f>V101</f>
        <v/>
      </c>
      <c r="AC101" s="97">
        <f>D101*INDEX(Régions!$Z$2:$Z$6,MATCH($B101,Régions!$A$2:$A$6,0))</f>
        <v/>
      </c>
      <c r="AD101" s="97">
        <f>E101*INDEX(Régions!$AA$2:$AA$6,MATCH($B101,Régions!$A$2:$A$6,0))</f>
        <v/>
      </c>
      <c r="AE101" s="97">
        <f>F101*INDEX(Régions!$AB$2:$AB$6,MATCH($B101,Régions!$A$2:$A$6,0))</f>
        <v/>
      </c>
      <c r="AF101" s="97">
        <f>G101*INDEX(Régions!$AC$2:$AC$6,MATCH($B101,Régions!$A$2:$A$6,0))</f>
        <v/>
      </c>
      <c r="AG101" s="97">
        <f>H101*INDEX(Régions!$AD$2:$AD$6,MATCH($B101,Régions!$A$2:$A$6,0))</f>
        <v/>
      </c>
      <c r="AH101" s="97">
        <f>I101*INDEX(Régions!$AE$2:$AE$6,MATCH($B101,Régions!$A$2:$A$6,0))</f>
        <v/>
      </c>
      <c r="AI101" s="97">
        <f>D101*INDEX(Régions!$AF$2:$AF$6,MATCH($B101,Régions!$A$2:$A$6,0))</f>
        <v/>
      </c>
      <c r="AJ101" s="97">
        <f>E101*INDEX(Régions!$AG$2:$AG$6,MATCH($B101,Régions!$A$2:$A$6,0))</f>
        <v/>
      </c>
      <c r="AK101" s="97">
        <f>F101*INDEX(Régions!$AH$2:$AH$6,MATCH($B101,Régions!$A$2:$A$6,0))</f>
        <v/>
      </c>
      <c r="AL101" s="97">
        <f>G101*INDEX(Régions!$AI$2:$AI$6,MATCH($B101,Régions!$A$2:$A$6,0))</f>
        <v/>
      </c>
      <c r="AM101" s="97">
        <f>H101*INDEX(Régions!$AJ$2:$AJ$6,MATCH($B101,Régions!$A$2:$A$6,0))</f>
        <v/>
      </c>
      <c r="AN101" s="97">
        <f>I101*INDEX(Régions!$AK$2:$AK$6,MATCH($B101,Régions!$A$2:$A$6,0))</f>
        <v/>
      </c>
      <c r="AO101" s="99">
        <f>INDEX({"CAQ","PLQ","QS","PQ","PCQ","Autre"},MATCH(MAX(Q101:V101),Q101:V101,0))</f>
        <v/>
      </c>
      <c r="AP101" s="99">
        <f>INDEX({"CAQ","PLQ","QS","PQ","PCQ","Autre"},MATCH(MAX(W101:AB101),W101:AB101,0))</f>
        <v/>
      </c>
      <c r="AQ101" s="99">
        <f>INDEX({"CAQ","PLQ","QS","PQ","PCQ","Autre"},MATCH(MAX(AC101:AH101),AC101:AH101,0))</f>
        <v/>
      </c>
      <c r="AR101" s="99">
        <f>INDEX({"CAQ","PLQ","QS","PQ","PCQ","Autre"},MATCH(MAX(AI101:AN101),AI101:AN101,0))</f>
        <v/>
      </c>
      <c r="AS101" s="100">
        <f>(MAX(K101:P101)-LARGE(K101:P101,2))*100</f>
        <v/>
      </c>
      <c r="AT101" s="101">
        <f>IF(AS101&lt;5,"Oui","Non")</f>
        <v/>
      </c>
      <c r="AU101" s="102" t="n">
        <v>5.388</v>
      </c>
      <c r="AV101" s="102" t="n">
        <v>3.848</v>
      </c>
      <c r="AW101" s="102" t="n">
        <v>1.629</v>
      </c>
      <c r="AX101" s="102" t="n">
        <v>-5.999</v>
      </c>
      <c r="AY101" s="96" t="n">
        <v>5703</v>
      </c>
      <c r="AZ101" s="96" t="n">
        <v>6148</v>
      </c>
      <c r="BA101" s="96" t="n">
        <v>12920</v>
      </c>
      <c r="BB101" s="96" t="n">
        <v>10420</v>
      </c>
      <c r="BC101" s="96" t="n">
        <v>1462</v>
      </c>
      <c r="BD101" s="97">
        <f>AY101*INDEX(Régions!$AQ$2:$AQ$6,MATCH($B101,Régions!$A$2:$A$6,0))</f>
        <v/>
      </c>
      <c r="BE101" s="97">
        <f>AZ101*INDEX(Régions!$AR$2:$AR$6,MATCH($B101,Régions!$A$2:$A$6,0))</f>
        <v/>
      </c>
      <c r="BF101" s="97">
        <f>BA101*INDEX(Régions!$AS$2:$AS$6,MATCH($B101,Régions!$A$2:$A$6,0))</f>
        <v/>
      </c>
      <c r="BG101" s="97">
        <f>BB101*INDEX(Régions!$AT$2:$AT$6,MATCH($B101,Régions!$A$2:$A$6,0))</f>
        <v/>
      </c>
      <c r="BH101" s="97">
        <f>U101</f>
        <v/>
      </c>
      <c r="BI101" s="97">
        <f>BC101*INDEX(Régions!$AU$2:$AU$6,MATCH($B101,Régions!$A$2:$A$6,0))</f>
        <v/>
      </c>
      <c r="BJ101" s="97">
        <f>INDEX({"CAQ","PLQ","QS","PQ","PCQ","Autre"},MATCH(MAX(BD101:BI101),BD101:BI101,0))</f>
        <v/>
      </c>
    </row>
    <row r="102" ht="15" customHeight="1" s="60">
      <c r="A102" s="94" t="inlineStr">
        <is>
          <t>Rousseau</t>
        </is>
      </c>
      <c r="B102" s="94" t="inlineStr">
        <is>
          <t>Banlieue de Montréal</t>
        </is>
      </c>
      <c r="C102" s="95" t="inlineStr">
        <is>
          <t>CAQ</t>
        </is>
      </c>
      <c r="D102" s="96" t="n">
        <v>14122</v>
      </c>
      <c r="E102" s="96" t="n">
        <v>964</v>
      </c>
      <c r="F102" s="96" t="n">
        <v>3669</v>
      </c>
      <c r="G102" s="96" t="n">
        <v>4987</v>
      </c>
      <c r="H102" s="96" t="n">
        <v>4180</v>
      </c>
      <c r="I102" s="96" t="n">
        <v>0</v>
      </c>
      <c r="J102" s="97">
        <f>SUM(D102:I102)</f>
        <v/>
      </c>
      <c r="K102" s="98">
        <f>IFERROR(D102/J102,0)</f>
        <v/>
      </c>
      <c r="L102" s="98">
        <f>IFERROR(E102/J102,0)</f>
        <v/>
      </c>
      <c r="M102" s="98">
        <f>IFERROR(F102/J102,0)</f>
        <v/>
      </c>
      <c r="N102" s="98">
        <f>IFERROR(G102/J102,0)</f>
        <v/>
      </c>
      <c r="O102" s="98">
        <f>IFERROR(H102/J102,0)</f>
        <v/>
      </c>
      <c r="P102" s="98">
        <f>IFERROR(I102/J102,0)</f>
        <v/>
      </c>
      <c r="Q102" s="97">
        <f>D102*INDEX(Régions!$T$2:$T$6,MATCH($B102,Régions!$A$2:$A$6,0))</f>
        <v/>
      </c>
      <c r="R102" s="97">
        <f>E102*INDEX(Régions!$U$2:$U$6,MATCH($B102,Régions!$A$2:$A$6,0))</f>
        <v/>
      </c>
      <c r="S102" s="97">
        <f>F102*INDEX(Régions!$V$2:$V$6,MATCH($B102,Régions!$A$2:$A$6,0))</f>
        <v/>
      </c>
      <c r="T102" s="97">
        <f>G102*INDEX(Régions!$W$2:$W$6,MATCH($B102,Régions!$A$2:$A$6,0))</f>
        <v/>
      </c>
      <c r="U102" s="97">
        <f>H102*INDEX(Régions!$X$2:$X$6,MATCH($B102,Régions!$A$2:$A$6,0))</f>
        <v/>
      </c>
      <c r="V102" s="97">
        <f>I102*INDEX(Régions!$Y$2:$Y$6,MATCH($B102,Régions!$A$2:$A$6,0))</f>
        <v/>
      </c>
      <c r="W102" s="97">
        <f>Q102+(AU102/100)*J102*Régions!$O$2</f>
        <v/>
      </c>
      <c r="X102" s="97">
        <f>R102+(AV102/100)*J102*Régions!$O$2</f>
        <v/>
      </c>
      <c r="Y102" s="97">
        <f>S102+(AW102/100)*J102*Régions!$O$2</f>
        <v/>
      </c>
      <c r="Z102" s="97">
        <f>T102+(AX102/100)*J102*Régions!$O$2</f>
        <v/>
      </c>
      <c r="AA102" s="97">
        <f>U102</f>
        <v/>
      </c>
      <c r="AB102" s="97">
        <f>V102</f>
        <v/>
      </c>
      <c r="AC102" s="97">
        <f>D102*INDEX(Régions!$Z$2:$Z$6,MATCH($B102,Régions!$A$2:$A$6,0))</f>
        <v/>
      </c>
      <c r="AD102" s="97">
        <f>E102*INDEX(Régions!$AA$2:$AA$6,MATCH($B102,Régions!$A$2:$A$6,0))</f>
        <v/>
      </c>
      <c r="AE102" s="97">
        <f>F102*INDEX(Régions!$AB$2:$AB$6,MATCH($B102,Régions!$A$2:$A$6,0))</f>
        <v/>
      </c>
      <c r="AF102" s="97">
        <f>G102*INDEX(Régions!$AC$2:$AC$6,MATCH($B102,Régions!$A$2:$A$6,0))</f>
        <v/>
      </c>
      <c r="AG102" s="97">
        <f>H102*INDEX(Régions!$AD$2:$AD$6,MATCH($B102,Régions!$A$2:$A$6,0))</f>
        <v/>
      </c>
      <c r="AH102" s="97">
        <f>I102*INDEX(Régions!$AE$2:$AE$6,MATCH($B102,Régions!$A$2:$A$6,0))</f>
        <v/>
      </c>
      <c r="AI102" s="97">
        <f>D102*INDEX(Régions!$AF$2:$AF$6,MATCH($B102,Régions!$A$2:$A$6,0))</f>
        <v/>
      </c>
      <c r="AJ102" s="97">
        <f>E102*INDEX(Régions!$AG$2:$AG$6,MATCH($B102,Régions!$A$2:$A$6,0))</f>
        <v/>
      </c>
      <c r="AK102" s="97">
        <f>F102*INDEX(Régions!$AH$2:$AH$6,MATCH($B102,Régions!$A$2:$A$6,0))</f>
        <v/>
      </c>
      <c r="AL102" s="97">
        <f>G102*INDEX(Régions!$AI$2:$AI$6,MATCH($B102,Régions!$A$2:$A$6,0))</f>
        <v/>
      </c>
      <c r="AM102" s="97">
        <f>H102*INDEX(Régions!$AJ$2:$AJ$6,MATCH($B102,Régions!$A$2:$A$6,0))</f>
        <v/>
      </c>
      <c r="AN102" s="97">
        <f>I102*INDEX(Régions!$AK$2:$AK$6,MATCH($B102,Régions!$A$2:$A$6,0))</f>
        <v/>
      </c>
      <c r="AO102" s="99">
        <f>INDEX({"CAQ","PLQ","QS","PQ","PCQ","Autre"},MATCH(MAX(Q102:V102),Q102:V102,0))</f>
        <v/>
      </c>
      <c r="AP102" s="99">
        <f>INDEX({"CAQ","PLQ","QS","PQ","PCQ","Autre"},MATCH(MAX(W102:AB102),W102:AB102,0))</f>
        <v/>
      </c>
      <c r="AQ102" s="99">
        <f>INDEX({"CAQ","PLQ","QS","PQ","PCQ","Autre"},MATCH(MAX(AC102:AH102),AC102:AH102,0))</f>
        <v/>
      </c>
      <c r="AR102" s="99">
        <f>INDEX({"CAQ","PLQ","QS","PQ","PCQ","Autre"},MATCH(MAX(AI102:AN102),AI102:AN102,0))</f>
        <v/>
      </c>
      <c r="AS102" s="100">
        <f>(MAX(K102:P102)-LARGE(K102:P102,2))*100</f>
        <v/>
      </c>
      <c r="AT102" s="101">
        <f>IF(AS102&lt;5,"Oui","Non")</f>
        <v/>
      </c>
      <c r="AU102" s="102" t="n">
        <v>-5.785</v>
      </c>
      <c r="AV102" s="102" t="n">
        <v>5.126</v>
      </c>
      <c r="AW102" s="102" t="n">
        <v>0.835</v>
      </c>
      <c r="AX102" s="102" t="n">
        <v>-5.489</v>
      </c>
      <c r="AY102" s="96" t="n">
        <v>14468</v>
      </c>
      <c r="AZ102" s="96" t="n">
        <v>1421</v>
      </c>
      <c r="BA102" s="96" t="n">
        <v>3533</v>
      </c>
      <c r="BB102" s="96" t="n">
        <v>7162</v>
      </c>
      <c r="BC102" s="96" t="n">
        <v>594</v>
      </c>
      <c r="BD102" s="97">
        <f>AY102*INDEX(Régions!$AQ$2:$AQ$6,MATCH($B102,Régions!$A$2:$A$6,0))</f>
        <v/>
      </c>
      <c r="BE102" s="97">
        <f>AZ102*INDEX(Régions!$AR$2:$AR$6,MATCH($B102,Régions!$A$2:$A$6,0))</f>
        <v/>
      </c>
      <c r="BF102" s="97">
        <f>BA102*INDEX(Régions!$AS$2:$AS$6,MATCH($B102,Régions!$A$2:$A$6,0))</f>
        <v/>
      </c>
      <c r="BG102" s="97">
        <f>BB102*INDEX(Régions!$AT$2:$AT$6,MATCH($B102,Régions!$A$2:$A$6,0))</f>
        <v/>
      </c>
      <c r="BH102" s="97">
        <f>U102</f>
        <v/>
      </c>
      <c r="BI102" s="97">
        <f>BC102*INDEX(Régions!$AU$2:$AU$6,MATCH($B102,Régions!$A$2:$A$6,0))</f>
        <v/>
      </c>
      <c r="BJ102" s="97">
        <f>INDEX({"CAQ","PLQ","QS","PQ","PCQ","Autre"},MATCH(MAX(BD102:BI102),BD102:BI102,0))</f>
        <v/>
      </c>
    </row>
    <row r="103" ht="15" customHeight="1" s="60">
      <c r="A103" s="94" t="inlineStr">
        <is>
          <t>Rouyn-Noranda–Témiscamingue</t>
        </is>
      </c>
      <c r="B103" s="94" t="inlineStr">
        <is>
          <t>Reste du Québec</t>
        </is>
      </c>
      <c r="C103" s="95" t="inlineStr">
        <is>
          <t>CAQ</t>
        </is>
      </c>
      <c r="D103" s="96" t="n">
        <v>12975</v>
      </c>
      <c r="E103" s="96" t="n">
        <v>1255</v>
      </c>
      <c r="F103" s="96" t="n">
        <v>8890</v>
      </c>
      <c r="G103" s="96" t="n">
        <v>3232</v>
      </c>
      <c r="H103" s="96" t="n">
        <v>2202</v>
      </c>
      <c r="I103" s="96" t="n">
        <v>178</v>
      </c>
      <c r="J103" s="97">
        <f>SUM(D103:I103)</f>
        <v/>
      </c>
      <c r="K103" s="98">
        <f>IFERROR(D103/J103,0)</f>
        <v/>
      </c>
      <c r="L103" s="98">
        <f>IFERROR(E103/J103,0)</f>
        <v/>
      </c>
      <c r="M103" s="98">
        <f>IFERROR(F103/J103,0)</f>
        <v/>
      </c>
      <c r="N103" s="98">
        <f>IFERROR(G103/J103,0)</f>
        <v/>
      </c>
      <c r="O103" s="98">
        <f>IFERROR(H103/J103,0)</f>
        <v/>
      </c>
      <c r="P103" s="98">
        <f>IFERROR(I103/J103,0)</f>
        <v/>
      </c>
      <c r="Q103" s="97">
        <f>D103*INDEX(Régions!$T$2:$T$6,MATCH($B103,Régions!$A$2:$A$6,0))</f>
        <v/>
      </c>
      <c r="R103" s="97">
        <f>E103*INDEX(Régions!$U$2:$U$6,MATCH($B103,Régions!$A$2:$A$6,0))</f>
        <v/>
      </c>
      <c r="S103" s="97">
        <f>F103*INDEX(Régions!$V$2:$V$6,MATCH($B103,Régions!$A$2:$A$6,0))</f>
        <v/>
      </c>
      <c r="T103" s="97">
        <f>G103*INDEX(Régions!$W$2:$W$6,MATCH($B103,Régions!$A$2:$A$6,0))</f>
        <v/>
      </c>
      <c r="U103" s="97">
        <f>H103*INDEX(Régions!$X$2:$X$6,MATCH($B103,Régions!$A$2:$A$6,0))</f>
        <v/>
      </c>
      <c r="V103" s="97">
        <f>I103*INDEX(Régions!$Y$2:$Y$6,MATCH($B103,Régions!$A$2:$A$6,0))</f>
        <v/>
      </c>
      <c r="W103" s="97">
        <f>Q103+(AU103/100)*J103*Régions!$O$2</f>
        <v/>
      </c>
      <c r="X103" s="97">
        <f>R103+(AV103/100)*J103*Régions!$O$2</f>
        <v/>
      </c>
      <c r="Y103" s="97">
        <f>S103+(AW103/100)*J103*Régions!$O$2</f>
        <v/>
      </c>
      <c r="Z103" s="97">
        <f>T103+(AX103/100)*J103*Régions!$O$2</f>
        <v/>
      </c>
      <c r="AA103" s="97">
        <f>U103</f>
        <v/>
      </c>
      <c r="AB103" s="97">
        <f>V103</f>
        <v/>
      </c>
      <c r="AC103" s="97">
        <f>D103*INDEX(Régions!$Z$2:$Z$6,MATCH($B103,Régions!$A$2:$A$6,0))</f>
        <v/>
      </c>
      <c r="AD103" s="97">
        <f>E103*INDEX(Régions!$AA$2:$AA$6,MATCH($B103,Régions!$A$2:$A$6,0))</f>
        <v/>
      </c>
      <c r="AE103" s="97">
        <f>F103*INDEX(Régions!$AB$2:$AB$6,MATCH($B103,Régions!$A$2:$A$6,0))</f>
        <v/>
      </c>
      <c r="AF103" s="97">
        <f>G103*INDEX(Régions!$AC$2:$AC$6,MATCH($B103,Régions!$A$2:$A$6,0))</f>
        <v/>
      </c>
      <c r="AG103" s="97">
        <f>H103*INDEX(Régions!$AD$2:$AD$6,MATCH($B103,Régions!$A$2:$A$6,0))</f>
        <v/>
      </c>
      <c r="AH103" s="97">
        <f>I103*INDEX(Régions!$AE$2:$AE$6,MATCH($B103,Régions!$A$2:$A$6,0))</f>
        <v/>
      </c>
      <c r="AI103" s="97">
        <f>D103*INDEX(Régions!$AF$2:$AF$6,MATCH($B103,Régions!$A$2:$A$6,0))</f>
        <v/>
      </c>
      <c r="AJ103" s="97">
        <f>E103*INDEX(Régions!$AG$2:$AG$6,MATCH($B103,Régions!$A$2:$A$6,0))</f>
        <v/>
      </c>
      <c r="AK103" s="97">
        <f>F103*INDEX(Régions!$AH$2:$AH$6,MATCH($B103,Régions!$A$2:$A$6,0))</f>
        <v/>
      </c>
      <c r="AL103" s="97">
        <f>G103*INDEX(Régions!$AI$2:$AI$6,MATCH($B103,Régions!$A$2:$A$6,0))</f>
        <v/>
      </c>
      <c r="AM103" s="97">
        <f>H103*INDEX(Régions!$AJ$2:$AJ$6,MATCH($B103,Régions!$A$2:$A$6,0))</f>
        <v/>
      </c>
      <c r="AN103" s="97">
        <f>I103*INDEX(Régions!$AK$2:$AK$6,MATCH($B103,Régions!$A$2:$A$6,0))</f>
        <v/>
      </c>
      <c r="AO103" s="99">
        <f>INDEX({"CAQ","PLQ","QS","PQ","PCQ","Autre"},MATCH(MAX(Q103:V103),Q103:V103,0))</f>
        <v/>
      </c>
      <c r="AP103" s="99">
        <f>INDEX({"CAQ","PLQ","QS","PQ","PCQ","Autre"},MATCH(MAX(W103:AB103),W103:AB103,0))</f>
        <v/>
      </c>
      <c r="AQ103" s="99">
        <f>INDEX({"CAQ","PLQ","QS","PQ","PCQ","Autre"},MATCH(MAX(AC103:AH103),AC103:AH103,0))</f>
        <v/>
      </c>
      <c r="AR103" s="99">
        <f>INDEX({"CAQ","PLQ","QS","PQ","PCQ","Autre"},MATCH(MAX(AI103:AN103),AI103:AN103,0))</f>
        <v/>
      </c>
      <c r="AS103" s="100">
        <f>(MAX(K103:P103)-LARGE(K103:P103,2))*100</f>
        <v/>
      </c>
      <c r="AT103" s="101">
        <f>IF(AS103&lt;5,"Oui","Non")</f>
        <v/>
      </c>
      <c r="AU103" s="102" t="n">
        <v>8.874000000000001</v>
      </c>
      <c r="AV103" s="102" t="n">
        <v>0.73</v>
      </c>
      <c r="AW103" s="102" t="n">
        <v>-0.151</v>
      </c>
      <c r="AX103" s="102" t="n">
        <v>-3.079</v>
      </c>
      <c r="AY103" s="96" t="n">
        <v>8798</v>
      </c>
      <c r="AZ103" s="96" t="n">
        <v>4753</v>
      </c>
      <c r="BA103" s="96" t="n">
        <v>9304</v>
      </c>
      <c r="BB103" s="96" t="n">
        <v>5311</v>
      </c>
      <c r="BC103" s="96" t="n">
        <v>837</v>
      </c>
      <c r="BD103" s="97">
        <f>AY103*INDEX(Régions!$AQ$2:$AQ$6,MATCH($B103,Régions!$A$2:$A$6,0))</f>
        <v/>
      </c>
      <c r="BE103" s="97">
        <f>AZ103*INDEX(Régions!$AR$2:$AR$6,MATCH($B103,Régions!$A$2:$A$6,0))</f>
        <v/>
      </c>
      <c r="BF103" s="97">
        <f>BA103*INDEX(Régions!$AS$2:$AS$6,MATCH($B103,Régions!$A$2:$A$6,0))</f>
        <v/>
      </c>
      <c r="BG103" s="97">
        <f>BB103*INDEX(Régions!$AT$2:$AT$6,MATCH($B103,Régions!$A$2:$A$6,0))</f>
        <v/>
      </c>
      <c r="BH103" s="97">
        <f>U103</f>
        <v/>
      </c>
      <c r="BI103" s="97">
        <f>BC103*INDEX(Régions!$AU$2:$AU$6,MATCH($B103,Régions!$A$2:$A$6,0))</f>
        <v/>
      </c>
      <c r="BJ103" s="97">
        <f>INDEX({"CAQ","PLQ","QS","PQ","PCQ","Autre"},MATCH(MAX(BD103:BI103),BD103:BI103,0))</f>
        <v/>
      </c>
    </row>
    <row r="104" ht="15" customHeight="1" s="60">
      <c r="A104" s="94" t="inlineStr">
        <is>
          <t>Saint-François</t>
        </is>
      </c>
      <c r="B104" s="94" t="inlineStr">
        <is>
          <t>Reste du Québec</t>
        </is>
      </c>
      <c r="C104" s="95" t="inlineStr">
        <is>
          <t>CAQ</t>
        </is>
      </c>
      <c r="D104" s="96" t="n">
        <v>15653</v>
      </c>
      <c r="E104" s="96" t="n">
        <v>2917</v>
      </c>
      <c r="F104" s="96" t="n">
        <v>10409</v>
      </c>
      <c r="G104" s="96" t="n">
        <v>3363</v>
      </c>
      <c r="H104" s="96" t="n">
        <v>4319</v>
      </c>
      <c r="I104" s="96" t="n">
        <v>233</v>
      </c>
      <c r="J104" s="97">
        <f>SUM(D104:I104)</f>
        <v/>
      </c>
      <c r="K104" s="98">
        <f>IFERROR(D104/J104,0)</f>
        <v/>
      </c>
      <c r="L104" s="98">
        <f>IFERROR(E104/J104,0)</f>
        <v/>
      </c>
      <c r="M104" s="98">
        <f>IFERROR(F104/J104,0)</f>
        <v/>
      </c>
      <c r="N104" s="98">
        <f>IFERROR(G104/J104,0)</f>
        <v/>
      </c>
      <c r="O104" s="98">
        <f>IFERROR(H104/J104,0)</f>
        <v/>
      </c>
      <c r="P104" s="98">
        <f>IFERROR(I104/J104,0)</f>
        <v/>
      </c>
      <c r="Q104" s="97">
        <f>D104*INDEX(Régions!$T$2:$T$6,MATCH($B104,Régions!$A$2:$A$6,0))</f>
        <v/>
      </c>
      <c r="R104" s="97">
        <f>E104*INDEX(Régions!$U$2:$U$6,MATCH($B104,Régions!$A$2:$A$6,0))</f>
        <v/>
      </c>
      <c r="S104" s="97">
        <f>F104*INDEX(Régions!$V$2:$V$6,MATCH($B104,Régions!$A$2:$A$6,0))</f>
        <v/>
      </c>
      <c r="T104" s="97">
        <f>G104*INDEX(Régions!$W$2:$W$6,MATCH($B104,Régions!$A$2:$A$6,0))</f>
        <v/>
      </c>
      <c r="U104" s="97">
        <f>H104*INDEX(Régions!$X$2:$X$6,MATCH($B104,Régions!$A$2:$A$6,0))</f>
        <v/>
      </c>
      <c r="V104" s="97">
        <f>I104*INDEX(Régions!$Y$2:$Y$6,MATCH($B104,Régions!$A$2:$A$6,0))</f>
        <v/>
      </c>
      <c r="W104" s="97">
        <f>Q104+(AU104/100)*J104*Régions!$O$2</f>
        <v/>
      </c>
      <c r="X104" s="97">
        <f>R104+(AV104/100)*J104*Régions!$O$2</f>
        <v/>
      </c>
      <c r="Y104" s="97">
        <f>S104+(AW104/100)*J104*Régions!$O$2</f>
        <v/>
      </c>
      <c r="Z104" s="97">
        <f>T104+(AX104/100)*J104*Régions!$O$2</f>
        <v/>
      </c>
      <c r="AA104" s="97">
        <f>U104</f>
        <v/>
      </c>
      <c r="AB104" s="97">
        <f>V104</f>
        <v/>
      </c>
      <c r="AC104" s="97">
        <f>D104*INDEX(Régions!$Z$2:$Z$6,MATCH($B104,Régions!$A$2:$A$6,0))</f>
        <v/>
      </c>
      <c r="AD104" s="97">
        <f>E104*INDEX(Régions!$AA$2:$AA$6,MATCH($B104,Régions!$A$2:$A$6,0))</f>
        <v/>
      </c>
      <c r="AE104" s="97">
        <f>F104*INDEX(Régions!$AB$2:$AB$6,MATCH($B104,Régions!$A$2:$A$6,0))</f>
        <v/>
      </c>
      <c r="AF104" s="97">
        <f>G104*INDEX(Régions!$AC$2:$AC$6,MATCH($B104,Régions!$A$2:$A$6,0))</f>
        <v/>
      </c>
      <c r="AG104" s="97">
        <f>H104*INDEX(Régions!$AD$2:$AD$6,MATCH($B104,Régions!$A$2:$A$6,0))</f>
        <v/>
      </c>
      <c r="AH104" s="97">
        <f>I104*INDEX(Régions!$AE$2:$AE$6,MATCH($B104,Régions!$A$2:$A$6,0))</f>
        <v/>
      </c>
      <c r="AI104" s="97">
        <f>D104*INDEX(Régions!$AF$2:$AF$6,MATCH($B104,Régions!$A$2:$A$6,0))</f>
        <v/>
      </c>
      <c r="AJ104" s="97">
        <f>E104*INDEX(Régions!$AG$2:$AG$6,MATCH($B104,Régions!$A$2:$A$6,0))</f>
        <v/>
      </c>
      <c r="AK104" s="97">
        <f>F104*INDEX(Régions!$AH$2:$AH$6,MATCH($B104,Régions!$A$2:$A$6,0))</f>
        <v/>
      </c>
      <c r="AL104" s="97">
        <f>G104*INDEX(Régions!$AI$2:$AI$6,MATCH($B104,Régions!$A$2:$A$6,0))</f>
        <v/>
      </c>
      <c r="AM104" s="97">
        <f>H104*INDEX(Régions!$AJ$2:$AJ$6,MATCH($B104,Régions!$A$2:$A$6,0))</f>
        <v/>
      </c>
      <c r="AN104" s="97">
        <f>I104*INDEX(Régions!$AK$2:$AK$6,MATCH($B104,Régions!$A$2:$A$6,0))</f>
        <v/>
      </c>
      <c r="AO104" s="99">
        <f>INDEX({"CAQ","PLQ","QS","PQ","PCQ","Autre"},MATCH(MAX(Q104:V104),Q104:V104,0))</f>
        <v/>
      </c>
      <c r="AP104" s="99">
        <f>INDEX({"CAQ","PLQ","QS","PQ","PCQ","Autre"},MATCH(MAX(W104:AB104),W104:AB104,0))</f>
        <v/>
      </c>
      <c r="AQ104" s="99">
        <f>INDEX({"CAQ","PLQ","QS","PQ","PCQ","Autre"},MATCH(MAX(AC104:AH104),AC104:AH104,0))</f>
        <v/>
      </c>
      <c r="AR104" s="99">
        <f>INDEX({"CAQ","PLQ","QS","PQ","PCQ","Autre"},MATCH(MAX(AI104:AN104),AI104:AN104,0))</f>
        <v/>
      </c>
      <c r="AS104" s="100">
        <f>(MAX(K104:P104)-LARGE(K104:P104,2))*100</f>
        <v/>
      </c>
      <c r="AT104" s="101">
        <f>IF(AS104&lt;5,"Oui","Non")</f>
        <v/>
      </c>
      <c r="AU104" s="102" t="n">
        <v>1.747</v>
      </c>
      <c r="AV104" s="102" t="n">
        <v>-2.646</v>
      </c>
      <c r="AW104" s="102" t="n">
        <v>6.518</v>
      </c>
      <c r="AX104" s="102" t="n">
        <v>-3.091</v>
      </c>
      <c r="AY104" s="96" t="n">
        <v>12251</v>
      </c>
      <c r="AZ104" s="96" t="n">
        <v>8220</v>
      </c>
      <c r="BA104" s="96" t="n">
        <v>8001</v>
      </c>
      <c r="BB104" s="96" t="n">
        <v>5710</v>
      </c>
      <c r="BC104" s="96" t="n">
        <v>1092</v>
      </c>
      <c r="BD104" s="97">
        <f>AY104*INDEX(Régions!$AQ$2:$AQ$6,MATCH($B104,Régions!$A$2:$A$6,0))</f>
        <v/>
      </c>
      <c r="BE104" s="97">
        <f>AZ104*INDEX(Régions!$AR$2:$AR$6,MATCH($B104,Régions!$A$2:$A$6,0))</f>
        <v/>
      </c>
      <c r="BF104" s="97">
        <f>BA104*INDEX(Régions!$AS$2:$AS$6,MATCH($B104,Régions!$A$2:$A$6,0))</f>
        <v/>
      </c>
      <c r="BG104" s="97">
        <f>BB104*INDEX(Régions!$AT$2:$AT$6,MATCH($B104,Régions!$A$2:$A$6,0))</f>
        <v/>
      </c>
      <c r="BH104" s="97">
        <f>U104</f>
        <v/>
      </c>
      <c r="BI104" s="97">
        <f>BC104*INDEX(Régions!$AU$2:$AU$6,MATCH($B104,Régions!$A$2:$A$6,0))</f>
        <v/>
      </c>
      <c r="BJ104" s="97">
        <f>INDEX({"CAQ","PLQ","QS","PQ","PCQ","Autre"},MATCH(MAX(BD104:BI104),BD104:BI104,0))</f>
        <v/>
      </c>
    </row>
    <row r="105" ht="15" customHeight="1" s="60">
      <c r="A105" s="94" t="inlineStr">
        <is>
          <t>Saint-Henri–Sainte-Anne</t>
        </is>
      </c>
      <c r="B105" s="94" t="inlineStr">
        <is>
          <t>Île de Montréal</t>
        </is>
      </c>
      <c r="C105" s="95" t="inlineStr">
        <is>
          <t>PLQ</t>
        </is>
      </c>
      <c r="D105" s="96" t="n">
        <v>5751</v>
      </c>
      <c r="E105" s="96" t="n">
        <v>11728</v>
      </c>
      <c r="F105" s="96" t="n">
        <v>8992</v>
      </c>
      <c r="G105" s="96" t="n">
        <v>2683</v>
      </c>
      <c r="H105" s="96" t="n">
        <v>2063</v>
      </c>
      <c r="I105" s="96" t="n">
        <v>1223</v>
      </c>
      <c r="J105" s="97">
        <f>SUM(D105:I105)</f>
        <v/>
      </c>
      <c r="K105" s="98">
        <f>IFERROR(D105/J105,0)</f>
        <v/>
      </c>
      <c r="L105" s="98">
        <f>IFERROR(E105/J105,0)</f>
        <v/>
      </c>
      <c r="M105" s="98">
        <f>IFERROR(F105/J105,0)</f>
        <v/>
      </c>
      <c r="N105" s="98">
        <f>IFERROR(G105/J105,0)</f>
        <v/>
      </c>
      <c r="O105" s="98">
        <f>IFERROR(H105/J105,0)</f>
        <v/>
      </c>
      <c r="P105" s="98">
        <f>IFERROR(I105/J105,0)</f>
        <v/>
      </c>
      <c r="Q105" s="97">
        <f>D105*INDEX(Régions!$T$2:$T$6,MATCH($B105,Régions!$A$2:$A$6,0))</f>
        <v/>
      </c>
      <c r="R105" s="97">
        <f>E105*INDEX(Régions!$U$2:$U$6,MATCH($B105,Régions!$A$2:$A$6,0))</f>
        <v/>
      </c>
      <c r="S105" s="97">
        <f>F105*INDEX(Régions!$V$2:$V$6,MATCH($B105,Régions!$A$2:$A$6,0))</f>
        <v/>
      </c>
      <c r="T105" s="97">
        <f>G105*INDEX(Régions!$W$2:$W$6,MATCH($B105,Régions!$A$2:$A$6,0))</f>
        <v/>
      </c>
      <c r="U105" s="97">
        <f>H105*INDEX(Régions!$X$2:$X$6,MATCH($B105,Régions!$A$2:$A$6,0))</f>
        <v/>
      </c>
      <c r="V105" s="97">
        <f>I105*INDEX(Régions!$Y$2:$Y$6,MATCH($B105,Régions!$A$2:$A$6,0))</f>
        <v/>
      </c>
      <c r="W105" s="97">
        <f>Q105+(AU105/100)*J105*Régions!$O$2</f>
        <v/>
      </c>
      <c r="X105" s="97">
        <f>R105+(AV105/100)*J105*Régions!$O$2</f>
        <v/>
      </c>
      <c r="Y105" s="97">
        <f>S105+(AW105/100)*J105*Régions!$O$2</f>
        <v/>
      </c>
      <c r="Z105" s="97">
        <f>T105+(AX105/100)*J105*Régions!$O$2</f>
        <v/>
      </c>
      <c r="AA105" s="97">
        <f>U105</f>
        <v/>
      </c>
      <c r="AB105" s="97">
        <f>V105</f>
        <v/>
      </c>
      <c r="AC105" s="97">
        <f>D105*INDEX(Régions!$Z$2:$Z$6,MATCH($B105,Régions!$A$2:$A$6,0))</f>
        <v/>
      </c>
      <c r="AD105" s="97">
        <f>E105*INDEX(Régions!$AA$2:$AA$6,MATCH($B105,Régions!$A$2:$A$6,0))</f>
        <v/>
      </c>
      <c r="AE105" s="97">
        <f>F105*INDEX(Régions!$AB$2:$AB$6,MATCH($B105,Régions!$A$2:$A$6,0))</f>
        <v/>
      </c>
      <c r="AF105" s="97">
        <f>G105*INDEX(Régions!$AC$2:$AC$6,MATCH($B105,Régions!$A$2:$A$6,0))</f>
        <v/>
      </c>
      <c r="AG105" s="97">
        <f>H105*INDEX(Régions!$AD$2:$AD$6,MATCH($B105,Régions!$A$2:$A$6,0))</f>
        <v/>
      </c>
      <c r="AH105" s="97">
        <f>I105*INDEX(Régions!$AE$2:$AE$6,MATCH($B105,Régions!$A$2:$A$6,0))</f>
        <v/>
      </c>
      <c r="AI105" s="97">
        <f>D105*INDEX(Régions!$AF$2:$AF$6,MATCH($B105,Régions!$A$2:$A$6,0))</f>
        <v/>
      </c>
      <c r="AJ105" s="97">
        <f>E105*INDEX(Régions!$AG$2:$AG$6,MATCH($B105,Régions!$A$2:$A$6,0))</f>
        <v/>
      </c>
      <c r="AK105" s="97">
        <f>F105*INDEX(Régions!$AH$2:$AH$6,MATCH($B105,Régions!$A$2:$A$6,0))</f>
        <v/>
      </c>
      <c r="AL105" s="97">
        <f>G105*INDEX(Régions!$AI$2:$AI$6,MATCH($B105,Régions!$A$2:$A$6,0))</f>
        <v/>
      </c>
      <c r="AM105" s="97">
        <f>H105*INDEX(Régions!$AJ$2:$AJ$6,MATCH($B105,Régions!$A$2:$A$6,0))</f>
        <v/>
      </c>
      <c r="AN105" s="97">
        <f>I105*INDEX(Régions!$AK$2:$AK$6,MATCH($B105,Régions!$A$2:$A$6,0))</f>
        <v/>
      </c>
      <c r="AO105" s="99">
        <f>INDEX({"CAQ","PLQ","QS","PQ","PCQ","Autre"},MATCH(MAX(Q105:V105),Q105:V105,0))</f>
        <v/>
      </c>
      <c r="AP105" s="99">
        <f>INDEX({"CAQ","PLQ","QS","PQ","PCQ","Autre"},MATCH(MAX(W105:AB105),W105:AB105,0))</f>
        <v/>
      </c>
      <c r="AQ105" s="99">
        <f>INDEX({"CAQ","PLQ","QS","PQ","PCQ","Autre"},MATCH(MAX(AC105:AH105),AC105:AH105,0))</f>
        <v/>
      </c>
      <c r="AR105" s="99">
        <f>INDEX({"CAQ","PLQ","QS","PQ","PCQ","Autre"},MATCH(MAX(AI105:AN105),AI105:AN105,0))</f>
        <v/>
      </c>
      <c r="AS105" s="100">
        <f>(MAX(K105:P105)-LARGE(K105:P105,2))*100</f>
        <v/>
      </c>
      <c r="AT105" s="101">
        <f>IF(AS105&lt;5,"Oui","Non")</f>
        <v/>
      </c>
      <c r="AU105" s="102" t="n">
        <v>-3.057</v>
      </c>
      <c r="AV105" s="102" t="n">
        <v>6.929</v>
      </c>
      <c r="AW105" s="102" t="n">
        <v>3.14</v>
      </c>
      <c r="AX105" s="102" t="n">
        <v>-2.047</v>
      </c>
      <c r="AY105" s="96" t="n">
        <v>5809</v>
      </c>
      <c r="AZ105" s="96" t="n">
        <v>11837</v>
      </c>
      <c r="BA105" s="96" t="n">
        <v>7413</v>
      </c>
      <c r="BB105" s="96" t="n">
        <v>3568</v>
      </c>
      <c r="BC105" s="96" t="n">
        <v>2475</v>
      </c>
      <c r="BD105" s="97">
        <f>AY105*INDEX(Régions!$AQ$2:$AQ$6,MATCH($B105,Régions!$A$2:$A$6,0))</f>
        <v/>
      </c>
      <c r="BE105" s="97">
        <f>AZ105*INDEX(Régions!$AR$2:$AR$6,MATCH($B105,Régions!$A$2:$A$6,0))</f>
        <v/>
      </c>
      <c r="BF105" s="97">
        <f>BA105*INDEX(Régions!$AS$2:$AS$6,MATCH($B105,Régions!$A$2:$A$6,0))</f>
        <v/>
      </c>
      <c r="BG105" s="97">
        <f>BB105*INDEX(Régions!$AT$2:$AT$6,MATCH($B105,Régions!$A$2:$A$6,0))</f>
        <v/>
      </c>
      <c r="BH105" s="97">
        <f>U105</f>
        <v/>
      </c>
      <c r="BI105" s="97">
        <f>BC105*INDEX(Régions!$AU$2:$AU$6,MATCH($B105,Régions!$A$2:$A$6,0))</f>
        <v/>
      </c>
      <c r="BJ105" s="97">
        <f>INDEX({"CAQ","PLQ","QS","PQ","PCQ","Autre"},MATCH(MAX(BD105:BI105),BD105:BI105,0))</f>
        <v/>
      </c>
    </row>
    <row r="106" ht="15" customHeight="1" s="60">
      <c r="A106" s="94" t="inlineStr">
        <is>
          <t>Saint-Hyacinthe</t>
        </is>
      </c>
      <c r="B106" s="94" t="inlineStr">
        <is>
          <t>Reste du Québec</t>
        </is>
      </c>
      <c r="C106" s="95" t="inlineStr">
        <is>
          <t>CAQ</t>
        </is>
      </c>
      <c r="D106" s="96" t="n">
        <v>20566</v>
      </c>
      <c r="E106" s="96" t="n">
        <v>1599</v>
      </c>
      <c r="F106" s="96" t="n">
        <v>5222</v>
      </c>
      <c r="G106" s="96" t="n">
        <v>6420</v>
      </c>
      <c r="H106" s="96" t="n">
        <v>3669</v>
      </c>
      <c r="I106" s="96" t="n">
        <v>487</v>
      </c>
      <c r="J106" s="97">
        <f>SUM(D106:I106)</f>
        <v/>
      </c>
      <c r="K106" s="98">
        <f>IFERROR(D106/J106,0)</f>
        <v/>
      </c>
      <c r="L106" s="98">
        <f>IFERROR(E106/J106,0)</f>
        <v/>
      </c>
      <c r="M106" s="98">
        <f>IFERROR(F106/J106,0)</f>
        <v/>
      </c>
      <c r="N106" s="98">
        <f>IFERROR(G106/J106,0)</f>
        <v/>
      </c>
      <c r="O106" s="98">
        <f>IFERROR(H106/J106,0)</f>
        <v/>
      </c>
      <c r="P106" s="98">
        <f>IFERROR(I106/J106,0)</f>
        <v/>
      </c>
      <c r="Q106" s="97">
        <f>D106*INDEX(Régions!$T$2:$T$6,MATCH($B106,Régions!$A$2:$A$6,0))</f>
        <v/>
      </c>
      <c r="R106" s="97">
        <f>E106*INDEX(Régions!$U$2:$U$6,MATCH($B106,Régions!$A$2:$A$6,0))</f>
        <v/>
      </c>
      <c r="S106" s="97">
        <f>F106*INDEX(Régions!$V$2:$V$6,MATCH($B106,Régions!$A$2:$A$6,0))</f>
        <v/>
      </c>
      <c r="T106" s="97">
        <f>G106*INDEX(Régions!$W$2:$W$6,MATCH($B106,Régions!$A$2:$A$6,0))</f>
        <v/>
      </c>
      <c r="U106" s="97">
        <f>H106*INDEX(Régions!$X$2:$X$6,MATCH($B106,Régions!$A$2:$A$6,0))</f>
        <v/>
      </c>
      <c r="V106" s="97">
        <f>I106*INDEX(Régions!$Y$2:$Y$6,MATCH($B106,Régions!$A$2:$A$6,0))</f>
        <v/>
      </c>
      <c r="W106" s="97">
        <f>Q106+(AU106/100)*J106*Régions!$O$2</f>
        <v/>
      </c>
      <c r="X106" s="97">
        <f>R106+(AV106/100)*J106*Régions!$O$2</f>
        <v/>
      </c>
      <c r="Y106" s="97">
        <f>S106+(AW106/100)*J106*Régions!$O$2</f>
        <v/>
      </c>
      <c r="Z106" s="97">
        <f>T106+(AX106/100)*J106*Régions!$O$2</f>
        <v/>
      </c>
      <c r="AA106" s="97">
        <f>U106</f>
        <v/>
      </c>
      <c r="AB106" s="97">
        <f>V106</f>
        <v/>
      </c>
      <c r="AC106" s="97">
        <f>D106*INDEX(Régions!$Z$2:$Z$6,MATCH($B106,Régions!$A$2:$A$6,0))</f>
        <v/>
      </c>
      <c r="AD106" s="97">
        <f>E106*INDEX(Régions!$AA$2:$AA$6,MATCH($B106,Régions!$A$2:$A$6,0))</f>
        <v/>
      </c>
      <c r="AE106" s="97">
        <f>F106*INDEX(Régions!$AB$2:$AB$6,MATCH($B106,Régions!$A$2:$A$6,0))</f>
        <v/>
      </c>
      <c r="AF106" s="97">
        <f>G106*INDEX(Régions!$AC$2:$AC$6,MATCH($B106,Régions!$A$2:$A$6,0))</f>
        <v/>
      </c>
      <c r="AG106" s="97">
        <f>H106*INDEX(Régions!$AD$2:$AD$6,MATCH($B106,Régions!$A$2:$A$6,0))</f>
        <v/>
      </c>
      <c r="AH106" s="97">
        <f>I106*INDEX(Régions!$AE$2:$AE$6,MATCH($B106,Régions!$A$2:$A$6,0))</f>
        <v/>
      </c>
      <c r="AI106" s="97">
        <f>D106*INDEX(Régions!$AF$2:$AF$6,MATCH($B106,Régions!$A$2:$A$6,0))</f>
        <v/>
      </c>
      <c r="AJ106" s="97">
        <f>E106*INDEX(Régions!$AG$2:$AG$6,MATCH($B106,Régions!$A$2:$A$6,0))</f>
        <v/>
      </c>
      <c r="AK106" s="97">
        <f>F106*INDEX(Régions!$AH$2:$AH$6,MATCH($B106,Régions!$A$2:$A$6,0))</f>
        <v/>
      </c>
      <c r="AL106" s="97">
        <f>G106*INDEX(Régions!$AI$2:$AI$6,MATCH($B106,Régions!$A$2:$A$6,0))</f>
        <v/>
      </c>
      <c r="AM106" s="97">
        <f>H106*INDEX(Régions!$AJ$2:$AJ$6,MATCH($B106,Régions!$A$2:$A$6,0))</f>
        <v/>
      </c>
      <c r="AN106" s="97">
        <f>I106*INDEX(Régions!$AK$2:$AK$6,MATCH($B106,Régions!$A$2:$A$6,0))</f>
        <v/>
      </c>
      <c r="AO106" s="99">
        <f>INDEX({"CAQ","PLQ","QS","PQ","PCQ","Autre"},MATCH(MAX(Q106:V106),Q106:V106,0))</f>
        <v/>
      </c>
      <c r="AP106" s="99">
        <f>INDEX({"CAQ","PLQ","QS","PQ","PCQ","Autre"},MATCH(MAX(W106:AB106),W106:AB106,0))</f>
        <v/>
      </c>
      <c r="AQ106" s="99">
        <f>INDEX({"CAQ","PLQ","QS","PQ","PCQ","Autre"},MATCH(MAX(AC106:AH106),AC106:AH106,0))</f>
        <v/>
      </c>
      <c r="AR106" s="99">
        <f>INDEX({"CAQ","PLQ","QS","PQ","PCQ","Autre"},MATCH(MAX(AI106:AN106),AI106:AN106,0))</f>
        <v/>
      </c>
      <c r="AS106" s="100">
        <f>(MAX(K106:P106)-LARGE(K106:P106,2))*100</f>
        <v/>
      </c>
      <c r="AT106" s="101">
        <f>IF(AS106&lt;5,"Oui","Non")</f>
        <v/>
      </c>
      <c r="AU106" s="102" t="n">
        <v>-3.453</v>
      </c>
      <c r="AV106" s="102" t="n">
        <v>3.057</v>
      </c>
      <c r="AW106" s="102" t="n">
        <v>-1.897</v>
      </c>
      <c r="AX106" s="102" t="n">
        <v>4.498</v>
      </c>
      <c r="AY106" s="96" t="n">
        <v>19372</v>
      </c>
      <c r="AZ106" s="96" t="n">
        <v>5213</v>
      </c>
      <c r="BA106" s="96" t="n">
        <v>6238</v>
      </c>
      <c r="BB106" s="96" t="n">
        <v>6147</v>
      </c>
      <c r="BC106" s="96" t="n">
        <v>518</v>
      </c>
      <c r="BD106" s="97">
        <f>AY106*INDEX(Régions!$AQ$2:$AQ$6,MATCH($B106,Régions!$A$2:$A$6,0))</f>
        <v/>
      </c>
      <c r="BE106" s="97">
        <f>AZ106*INDEX(Régions!$AR$2:$AR$6,MATCH($B106,Régions!$A$2:$A$6,0))</f>
        <v/>
      </c>
      <c r="BF106" s="97">
        <f>BA106*INDEX(Régions!$AS$2:$AS$6,MATCH($B106,Régions!$A$2:$A$6,0))</f>
        <v/>
      </c>
      <c r="BG106" s="97">
        <f>BB106*INDEX(Régions!$AT$2:$AT$6,MATCH($B106,Régions!$A$2:$A$6,0))</f>
        <v/>
      </c>
      <c r="BH106" s="97">
        <f>U106</f>
        <v/>
      </c>
      <c r="BI106" s="97">
        <f>BC106*INDEX(Régions!$AU$2:$AU$6,MATCH($B106,Régions!$A$2:$A$6,0))</f>
        <v/>
      </c>
      <c r="BJ106" s="97">
        <f>INDEX({"CAQ","PLQ","QS","PQ","PCQ","Autre"},MATCH(MAX(BD106:BI106),BD106:BI106,0))</f>
        <v/>
      </c>
    </row>
    <row r="107" ht="15" customHeight="1" s="60">
      <c r="A107" s="94" t="inlineStr">
        <is>
          <t>Saint-Jean</t>
        </is>
      </c>
      <c r="B107" s="94" t="inlineStr">
        <is>
          <t>Banlieue de Montréal</t>
        </is>
      </c>
      <c r="C107" s="95" t="inlineStr">
        <is>
          <t>CAQ</t>
        </is>
      </c>
      <c r="D107" s="96" t="n">
        <v>21146</v>
      </c>
      <c r="E107" s="96" t="n">
        <v>2496</v>
      </c>
      <c r="F107" s="96" t="n">
        <v>6163</v>
      </c>
      <c r="G107" s="96" t="n">
        <v>8025</v>
      </c>
      <c r="H107" s="96" t="n">
        <v>3506</v>
      </c>
      <c r="I107" s="96" t="n">
        <v>412</v>
      </c>
      <c r="J107" s="97">
        <f>SUM(D107:I107)</f>
        <v/>
      </c>
      <c r="K107" s="98">
        <f>IFERROR(D107/J107,0)</f>
        <v/>
      </c>
      <c r="L107" s="98">
        <f>IFERROR(E107/J107,0)</f>
        <v/>
      </c>
      <c r="M107" s="98">
        <f>IFERROR(F107/J107,0)</f>
        <v/>
      </c>
      <c r="N107" s="98">
        <f>IFERROR(G107/J107,0)</f>
        <v/>
      </c>
      <c r="O107" s="98">
        <f>IFERROR(H107/J107,0)</f>
        <v/>
      </c>
      <c r="P107" s="98">
        <f>IFERROR(I107/J107,0)</f>
        <v/>
      </c>
      <c r="Q107" s="97">
        <f>D107*INDEX(Régions!$T$2:$T$6,MATCH($B107,Régions!$A$2:$A$6,0))</f>
        <v/>
      </c>
      <c r="R107" s="97">
        <f>E107*INDEX(Régions!$U$2:$U$6,MATCH($B107,Régions!$A$2:$A$6,0))</f>
        <v/>
      </c>
      <c r="S107" s="97">
        <f>F107*INDEX(Régions!$V$2:$V$6,MATCH($B107,Régions!$A$2:$A$6,0))</f>
        <v/>
      </c>
      <c r="T107" s="97">
        <f>G107*INDEX(Régions!$W$2:$W$6,MATCH($B107,Régions!$A$2:$A$6,0))</f>
        <v/>
      </c>
      <c r="U107" s="97">
        <f>H107*INDEX(Régions!$X$2:$X$6,MATCH($B107,Régions!$A$2:$A$6,0))</f>
        <v/>
      </c>
      <c r="V107" s="97">
        <f>I107*INDEX(Régions!$Y$2:$Y$6,MATCH($B107,Régions!$A$2:$A$6,0))</f>
        <v/>
      </c>
      <c r="W107" s="97">
        <f>Q107+(AU107/100)*J107*Régions!$O$2</f>
        <v/>
      </c>
      <c r="X107" s="97">
        <f>R107+(AV107/100)*J107*Régions!$O$2</f>
        <v/>
      </c>
      <c r="Y107" s="97">
        <f>S107+(AW107/100)*J107*Régions!$O$2</f>
        <v/>
      </c>
      <c r="Z107" s="97">
        <f>T107+(AX107/100)*J107*Régions!$O$2</f>
        <v/>
      </c>
      <c r="AA107" s="97">
        <f>U107</f>
        <v/>
      </c>
      <c r="AB107" s="97">
        <f>V107</f>
        <v/>
      </c>
      <c r="AC107" s="97">
        <f>D107*INDEX(Régions!$Z$2:$Z$6,MATCH($B107,Régions!$A$2:$A$6,0))</f>
        <v/>
      </c>
      <c r="AD107" s="97">
        <f>E107*INDEX(Régions!$AA$2:$AA$6,MATCH($B107,Régions!$A$2:$A$6,0))</f>
        <v/>
      </c>
      <c r="AE107" s="97">
        <f>F107*INDEX(Régions!$AB$2:$AB$6,MATCH($B107,Régions!$A$2:$A$6,0))</f>
        <v/>
      </c>
      <c r="AF107" s="97">
        <f>G107*INDEX(Régions!$AC$2:$AC$6,MATCH($B107,Régions!$A$2:$A$6,0))</f>
        <v/>
      </c>
      <c r="AG107" s="97">
        <f>H107*INDEX(Régions!$AD$2:$AD$6,MATCH($B107,Régions!$A$2:$A$6,0))</f>
        <v/>
      </c>
      <c r="AH107" s="97">
        <f>I107*INDEX(Régions!$AE$2:$AE$6,MATCH($B107,Régions!$A$2:$A$6,0))</f>
        <v/>
      </c>
      <c r="AI107" s="97">
        <f>D107*INDEX(Régions!$AF$2:$AF$6,MATCH($B107,Régions!$A$2:$A$6,0))</f>
        <v/>
      </c>
      <c r="AJ107" s="97">
        <f>E107*INDEX(Régions!$AG$2:$AG$6,MATCH($B107,Régions!$A$2:$A$6,0))</f>
        <v/>
      </c>
      <c r="AK107" s="97">
        <f>F107*INDEX(Régions!$AH$2:$AH$6,MATCH($B107,Régions!$A$2:$A$6,0))</f>
        <v/>
      </c>
      <c r="AL107" s="97">
        <f>G107*INDEX(Régions!$AI$2:$AI$6,MATCH($B107,Régions!$A$2:$A$6,0))</f>
        <v/>
      </c>
      <c r="AM107" s="97">
        <f>H107*INDEX(Régions!$AJ$2:$AJ$6,MATCH($B107,Régions!$A$2:$A$6,0))</f>
        <v/>
      </c>
      <c r="AN107" s="97">
        <f>I107*INDEX(Régions!$AK$2:$AK$6,MATCH($B107,Régions!$A$2:$A$6,0))</f>
        <v/>
      </c>
      <c r="AO107" s="99">
        <f>INDEX({"CAQ","PLQ","QS","PQ","PCQ","Autre"},MATCH(MAX(Q107:V107),Q107:V107,0))</f>
        <v/>
      </c>
      <c r="AP107" s="99">
        <f>INDEX({"CAQ","PLQ","QS","PQ","PCQ","Autre"},MATCH(MAX(W107:AB107),W107:AB107,0))</f>
        <v/>
      </c>
      <c r="AQ107" s="99">
        <f>INDEX({"CAQ","PLQ","QS","PQ","PCQ","Autre"},MATCH(MAX(AC107:AH107),AC107:AH107,0))</f>
        <v/>
      </c>
      <c r="AR107" s="99">
        <f>INDEX({"CAQ","PLQ","QS","PQ","PCQ","Autre"},MATCH(MAX(AI107:AN107),AI107:AN107,0))</f>
        <v/>
      </c>
      <c r="AS107" s="100">
        <f>(MAX(K107:P107)-LARGE(K107:P107,2))*100</f>
        <v/>
      </c>
      <c r="AT107" s="101">
        <f>IF(AS107&lt;5,"Oui","Non")</f>
        <v/>
      </c>
      <c r="AU107" s="102" t="n">
        <v>8.026999999999999</v>
      </c>
      <c r="AV107" s="102" t="n">
        <v>1.244</v>
      </c>
      <c r="AW107" s="102" t="n">
        <v>1.018</v>
      </c>
      <c r="AX107" s="102" t="n">
        <v>-8.763</v>
      </c>
      <c r="AY107" s="96" t="n">
        <v>16335</v>
      </c>
      <c r="AZ107" s="96" t="n">
        <v>4812</v>
      </c>
      <c r="BA107" s="96" t="n">
        <v>5971</v>
      </c>
      <c r="BB107" s="96" t="n">
        <v>12815</v>
      </c>
      <c r="BC107" s="96" t="n">
        <v>1421</v>
      </c>
      <c r="BD107" s="97">
        <f>AY107*INDEX(Régions!$AQ$2:$AQ$6,MATCH($B107,Régions!$A$2:$A$6,0))</f>
        <v/>
      </c>
      <c r="BE107" s="97">
        <f>AZ107*INDEX(Régions!$AR$2:$AR$6,MATCH($B107,Régions!$A$2:$A$6,0))</f>
        <v/>
      </c>
      <c r="BF107" s="97">
        <f>BA107*INDEX(Régions!$AS$2:$AS$6,MATCH($B107,Régions!$A$2:$A$6,0))</f>
        <v/>
      </c>
      <c r="BG107" s="97">
        <f>BB107*INDEX(Régions!$AT$2:$AT$6,MATCH($B107,Régions!$A$2:$A$6,0))</f>
        <v/>
      </c>
      <c r="BH107" s="97">
        <f>U107</f>
        <v/>
      </c>
      <c r="BI107" s="97">
        <f>BC107*INDEX(Régions!$AU$2:$AU$6,MATCH($B107,Régions!$A$2:$A$6,0))</f>
        <v/>
      </c>
      <c r="BJ107" s="97">
        <f>INDEX({"CAQ","PLQ","QS","PQ","PCQ","Autre"},MATCH(MAX(BD107:BI107),BD107:BI107,0))</f>
        <v/>
      </c>
    </row>
    <row r="108" ht="15" customHeight="1" s="60">
      <c r="A108" s="94" t="inlineStr">
        <is>
          <t>Saint-Jérôme</t>
        </is>
      </c>
      <c r="B108" s="94" t="inlineStr">
        <is>
          <t>Reste du Québec</t>
        </is>
      </c>
      <c r="C108" s="95" t="inlineStr">
        <is>
          <t>CAQ</t>
        </is>
      </c>
      <c r="D108" s="96" t="n">
        <v>14458</v>
      </c>
      <c r="E108" s="96" t="n">
        <v>1309</v>
      </c>
      <c r="F108" s="96" t="n">
        <v>4516</v>
      </c>
      <c r="G108" s="96" t="n">
        <v>5443</v>
      </c>
      <c r="H108" s="96" t="n">
        <v>2816</v>
      </c>
      <c r="I108" s="96" t="n">
        <v>364</v>
      </c>
      <c r="J108" s="97">
        <f>SUM(D108:I108)</f>
        <v/>
      </c>
      <c r="K108" s="98">
        <f>IFERROR(D108/J108,0)</f>
        <v/>
      </c>
      <c r="L108" s="98">
        <f>IFERROR(E108/J108,0)</f>
        <v/>
      </c>
      <c r="M108" s="98">
        <f>IFERROR(F108/J108,0)</f>
        <v/>
      </c>
      <c r="N108" s="98">
        <f>IFERROR(G108/J108,0)</f>
        <v/>
      </c>
      <c r="O108" s="98">
        <f>IFERROR(H108/J108,0)</f>
        <v/>
      </c>
      <c r="P108" s="98">
        <f>IFERROR(I108/J108,0)</f>
        <v/>
      </c>
      <c r="Q108" s="97">
        <f>D108*INDEX(Régions!$T$2:$T$6,MATCH($B108,Régions!$A$2:$A$6,0))</f>
        <v/>
      </c>
      <c r="R108" s="97">
        <f>E108*INDEX(Régions!$U$2:$U$6,MATCH($B108,Régions!$A$2:$A$6,0))</f>
        <v/>
      </c>
      <c r="S108" s="97">
        <f>F108*INDEX(Régions!$V$2:$V$6,MATCH($B108,Régions!$A$2:$A$6,0))</f>
        <v/>
      </c>
      <c r="T108" s="97">
        <f>G108*INDEX(Régions!$W$2:$W$6,MATCH($B108,Régions!$A$2:$A$6,0))</f>
        <v/>
      </c>
      <c r="U108" s="97">
        <f>H108*INDEX(Régions!$X$2:$X$6,MATCH($B108,Régions!$A$2:$A$6,0))</f>
        <v/>
      </c>
      <c r="V108" s="97">
        <f>I108*INDEX(Régions!$Y$2:$Y$6,MATCH($B108,Régions!$A$2:$A$6,0))</f>
        <v/>
      </c>
      <c r="W108" s="97">
        <f>Q108+(AU108/100)*J108*Régions!$O$2</f>
        <v/>
      </c>
      <c r="X108" s="97">
        <f>R108+(AV108/100)*J108*Régions!$O$2</f>
        <v/>
      </c>
      <c r="Y108" s="97">
        <f>S108+(AW108/100)*J108*Régions!$O$2</f>
        <v/>
      </c>
      <c r="Z108" s="97">
        <f>T108+(AX108/100)*J108*Régions!$O$2</f>
        <v/>
      </c>
      <c r="AA108" s="97">
        <f>U108</f>
        <v/>
      </c>
      <c r="AB108" s="97">
        <f>V108</f>
        <v/>
      </c>
      <c r="AC108" s="97">
        <f>D108*INDEX(Régions!$Z$2:$Z$6,MATCH($B108,Régions!$A$2:$A$6,0))</f>
        <v/>
      </c>
      <c r="AD108" s="97">
        <f>E108*INDEX(Régions!$AA$2:$AA$6,MATCH($B108,Régions!$A$2:$A$6,0))</f>
        <v/>
      </c>
      <c r="AE108" s="97">
        <f>F108*INDEX(Régions!$AB$2:$AB$6,MATCH($B108,Régions!$A$2:$A$6,0))</f>
        <v/>
      </c>
      <c r="AF108" s="97">
        <f>G108*INDEX(Régions!$AC$2:$AC$6,MATCH($B108,Régions!$A$2:$A$6,0))</f>
        <v/>
      </c>
      <c r="AG108" s="97">
        <f>H108*INDEX(Régions!$AD$2:$AD$6,MATCH($B108,Régions!$A$2:$A$6,0))</f>
        <v/>
      </c>
      <c r="AH108" s="97">
        <f>I108*INDEX(Régions!$AE$2:$AE$6,MATCH($B108,Régions!$A$2:$A$6,0))</f>
        <v/>
      </c>
      <c r="AI108" s="97">
        <f>D108*INDEX(Régions!$AF$2:$AF$6,MATCH($B108,Régions!$A$2:$A$6,0))</f>
        <v/>
      </c>
      <c r="AJ108" s="97">
        <f>E108*INDEX(Régions!$AG$2:$AG$6,MATCH($B108,Régions!$A$2:$A$6,0))</f>
        <v/>
      </c>
      <c r="AK108" s="97">
        <f>F108*INDEX(Régions!$AH$2:$AH$6,MATCH($B108,Régions!$A$2:$A$6,0))</f>
        <v/>
      </c>
      <c r="AL108" s="97">
        <f>G108*INDEX(Régions!$AI$2:$AI$6,MATCH($B108,Régions!$A$2:$A$6,0))</f>
        <v/>
      </c>
      <c r="AM108" s="97">
        <f>H108*INDEX(Régions!$AJ$2:$AJ$6,MATCH($B108,Régions!$A$2:$A$6,0))</f>
        <v/>
      </c>
      <c r="AN108" s="97">
        <f>I108*INDEX(Régions!$AK$2:$AK$6,MATCH($B108,Régions!$A$2:$A$6,0))</f>
        <v/>
      </c>
      <c r="AO108" s="99">
        <f>INDEX({"CAQ","PLQ","QS","PQ","PCQ","Autre"},MATCH(MAX(Q108:V108),Q108:V108,0))</f>
        <v/>
      </c>
      <c r="AP108" s="99">
        <f>INDEX({"CAQ","PLQ","QS","PQ","PCQ","Autre"},MATCH(MAX(W108:AB108),W108:AB108,0))</f>
        <v/>
      </c>
      <c r="AQ108" s="99">
        <f>INDEX({"CAQ","PLQ","QS","PQ","PCQ","Autre"},MATCH(MAX(AC108:AH108),AC108:AH108,0))</f>
        <v/>
      </c>
      <c r="AR108" s="99">
        <f>INDEX({"CAQ","PLQ","QS","PQ","PCQ","Autre"},MATCH(MAX(AI108:AN108),AI108:AN108,0))</f>
        <v/>
      </c>
      <c r="AS108" s="100">
        <f>(MAX(K108:P108)-LARGE(K108:P108,2))*100</f>
        <v/>
      </c>
      <c r="AT108" s="101">
        <f>IF(AS108&lt;5,"Oui","Non")</f>
        <v/>
      </c>
      <c r="AU108" s="102" t="n">
        <v>0.331</v>
      </c>
      <c r="AV108" s="102" t="n">
        <v>8.304</v>
      </c>
      <c r="AW108" s="102" t="n">
        <v>0.757</v>
      </c>
      <c r="AX108" s="102" t="n">
        <v>-4.61</v>
      </c>
      <c r="AY108" s="96" t="n">
        <v>12132</v>
      </c>
      <c r="AZ108" s="96" t="n">
        <v>2489</v>
      </c>
      <c r="BA108" s="96" t="n">
        <v>4397</v>
      </c>
      <c r="BB108" s="96" t="n">
        <v>7607</v>
      </c>
      <c r="BC108" s="96" t="n">
        <v>1113</v>
      </c>
      <c r="BD108" s="97">
        <f>AY108*INDEX(Régions!$AQ$2:$AQ$6,MATCH($B108,Régions!$A$2:$A$6,0))</f>
        <v/>
      </c>
      <c r="BE108" s="97">
        <f>AZ108*INDEX(Régions!$AR$2:$AR$6,MATCH($B108,Régions!$A$2:$A$6,0))</f>
        <v/>
      </c>
      <c r="BF108" s="97">
        <f>BA108*INDEX(Régions!$AS$2:$AS$6,MATCH($B108,Régions!$A$2:$A$6,0))</f>
        <v/>
      </c>
      <c r="BG108" s="97">
        <f>BB108*INDEX(Régions!$AT$2:$AT$6,MATCH($B108,Régions!$A$2:$A$6,0))</f>
        <v/>
      </c>
      <c r="BH108" s="97">
        <f>U108</f>
        <v/>
      </c>
      <c r="BI108" s="97">
        <f>BC108*INDEX(Régions!$AU$2:$AU$6,MATCH($B108,Régions!$A$2:$A$6,0))</f>
        <v/>
      </c>
      <c r="BJ108" s="97">
        <f>INDEX({"CAQ","PLQ","QS","PQ","PCQ","Autre"},MATCH(MAX(BD108:BI108),BD108:BI108,0))</f>
        <v/>
      </c>
    </row>
    <row r="109" ht="15" customHeight="1" s="60">
      <c r="A109" s="94" t="inlineStr">
        <is>
          <t>Saint-Laurent</t>
        </is>
      </c>
      <c r="B109" s="94" t="inlineStr">
        <is>
          <t>Île de Montréal</t>
        </is>
      </c>
      <c r="C109" s="95" t="inlineStr">
        <is>
          <t>PLQ</t>
        </is>
      </c>
      <c r="D109" s="96" t="n">
        <v>4091</v>
      </c>
      <c r="E109" s="96" t="n">
        <v>14304</v>
      </c>
      <c r="F109" s="96" t="n">
        <v>2840</v>
      </c>
      <c r="G109" s="96" t="n">
        <v>1696</v>
      </c>
      <c r="H109" s="96" t="n">
        <v>4506</v>
      </c>
      <c r="I109" s="96" t="n">
        <v>1191</v>
      </c>
      <c r="J109" s="97">
        <f>SUM(D109:I109)</f>
        <v/>
      </c>
      <c r="K109" s="98">
        <f>IFERROR(D109/J109,0)</f>
        <v/>
      </c>
      <c r="L109" s="98">
        <f>IFERROR(E109/J109,0)</f>
        <v/>
      </c>
      <c r="M109" s="98">
        <f>IFERROR(F109/J109,0)</f>
        <v/>
      </c>
      <c r="N109" s="98">
        <f>IFERROR(G109/J109,0)</f>
        <v/>
      </c>
      <c r="O109" s="98">
        <f>IFERROR(H109/J109,0)</f>
        <v/>
      </c>
      <c r="P109" s="98">
        <f>IFERROR(I109/J109,0)</f>
        <v/>
      </c>
      <c r="Q109" s="97">
        <f>D109*INDEX(Régions!$T$2:$T$6,MATCH($B109,Régions!$A$2:$A$6,0))</f>
        <v/>
      </c>
      <c r="R109" s="97">
        <f>E109*INDEX(Régions!$U$2:$U$6,MATCH($B109,Régions!$A$2:$A$6,0))</f>
        <v/>
      </c>
      <c r="S109" s="97">
        <f>F109*INDEX(Régions!$V$2:$V$6,MATCH($B109,Régions!$A$2:$A$6,0))</f>
        <v/>
      </c>
      <c r="T109" s="97">
        <f>G109*INDEX(Régions!$W$2:$W$6,MATCH($B109,Régions!$A$2:$A$6,0))</f>
        <v/>
      </c>
      <c r="U109" s="97">
        <f>H109*INDEX(Régions!$X$2:$X$6,MATCH($B109,Régions!$A$2:$A$6,0))</f>
        <v/>
      </c>
      <c r="V109" s="97">
        <f>I109*INDEX(Régions!$Y$2:$Y$6,MATCH($B109,Régions!$A$2:$A$6,0))</f>
        <v/>
      </c>
      <c r="W109" s="97">
        <f>Q109+(AU109/100)*J109*Régions!$O$2</f>
        <v/>
      </c>
      <c r="X109" s="97">
        <f>R109+(AV109/100)*J109*Régions!$O$2</f>
        <v/>
      </c>
      <c r="Y109" s="97">
        <f>S109+(AW109/100)*J109*Régions!$O$2</f>
        <v/>
      </c>
      <c r="Z109" s="97">
        <f>T109+(AX109/100)*J109*Régions!$O$2</f>
        <v/>
      </c>
      <c r="AA109" s="97">
        <f>U109</f>
        <v/>
      </c>
      <c r="AB109" s="97">
        <f>V109</f>
        <v/>
      </c>
      <c r="AC109" s="97">
        <f>D109*INDEX(Régions!$Z$2:$Z$6,MATCH($B109,Régions!$A$2:$A$6,0))</f>
        <v/>
      </c>
      <c r="AD109" s="97">
        <f>E109*INDEX(Régions!$AA$2:$AA$6,MATCH($B109,Régions!$A$2:$A$6,0))</f>
        <v/>
      </c>
      <c r="AE109" s="97">
        <f>F109*INDEX(Régions!$AB$2:$AB$6,MATCH($B109,Régions!$A$2:$A$6,0))</f>
        <v/>
      </c>
      <c r="AF109" s="97">
        <f>G109*INDEX(Régions!$AC$2:$AC$6,MATCH($B109,Régions!$A$2:$A$6,0))</f>
        <v/>
      </c>
      <c r="AG109" s="97">
        <f>H109*INDEX(Régions!$AD$2:$AD$6,MATCH($B109,Régions!$A$2:$A$6,0))</f>
        <v/>
      </c>
      <c r="AH109" s="97">
        <f>I109*INDEX(Régions!$AE$2:$AE$6,MATCH($B109,Régions!$A$2:$A$6,0))</f>
        <v/>
      </c>
      <c r="AI109" s="97">
        <f>D109*INDEX(Régions!$AF$2:$AF$6,MATCH($B109,Régions!$A$2:$A$6,0))</f>
        <v/>
      </c>
      <c r="AJ109" s="97">
        <f>E109*INDEX(Régions!$AG$2:$AG$6,MATCH($B109,Régions!$A$2:$A$6,0))</f>
        <v/>
      </c>
      <c r="AK109" s="97">
        <f>F109*INDEX(Régions!$AH$2:$AH$6,MATCH($B109,Régions!$A$2:$A$6,0))</f>
        <v/>
      </c>
      <c r="AL109" s="97">
        <f>G109*INDEX(Régions!$AI$2:$AI$6,MATCH($B109,Régions!$A$2:$A$6,0))</f>
        <v/>
      </c>
      <c r="AM109" s="97">
        <f>H109*INDEX(Régions!$AJ$2:$AJ$6,MATCH($B109,Régions!$A$2:$A$6,0))</f>
        <v/>
      </c>
      <c r="AN109" s="97">
        <f>I109*INDEX(Régions!$AK$2:$AK$6,MATCH($B109,Régions!$A$2:$A$6,0))</f>
        <v/>
      </c>
      <c r="AO109" s="99">
        <f>INDEX({"CAQ","PLQ","QS","PQ","PCQ","Autre"},MATCH(MAX(Q109:V109),Q109:V109,0))</f>
        <v/>
      </c>
      <c r="AP109" s="99">
        <f>INDEX({"CAQ","PLQ","QS","PQ","PCQ","Autre"},MATCH(MAX(W109:AB109),W109:AB109,0))</f>
        <v/>
      </c>
      <c r="AQ109" s="99">
        <f>INDEX({"CAQ","PLQ","QS","PQ","PCQ","Autre"},MATCH(MAX(AC109:AH109),AC109:AH109,0))</f>
        <v/>
      </c>
      <c r="AR109" s="99">
        <f>INDEX({"CAQ","PLQ","QS","PQ","PCQ","Autre"},MATCH(MAX(AI109:AN109),AI109:AN109,0))</f>
        <v/>
      </c>
      <c r="AS109" s="100">
        <f>(MAX(K109:P109)-LARGE(K109:P109,2))*100</f>
        <v/>
      </c>
      <c r="AT109" s="101">
        <f>IF(AS109&lt;5,"Oui","Non")</f>
        <v/>
      </c>
      <c r="AU109" s="102" t="n">
        <v>-2.975</v>
      </c>
      <c r="AV109" s="102" t="n">
        <v>-3.166</v>
      </c>
      <c r="AW109" s="102" t="n">
        <v>0.556</v>
      </c>
      <c r="AX109" s="102" t="n">
        <v>0.605</v>
      </c>
      <c r="AY109" s="96" t="n">
        <v>4322</v>
      </c>
      <c r="AZ109" s="96" t="n">
        <v>17669</v>
      </c>
      <c r="BA109" s="96" t="n">
        <v>2458</v>
      </c>
      <c r="BB109" s="96" t="n">
        <v>1846</v>
      </c>
      <c r="BC109" s="96" t="n">
        <v>2219</v>
      </c>
      <c r="BD109" s="97">
        <f>AY109*INDEX(Régions!$AQ$2:$AQ$6,MATCH($B109,Régions!$A$2:$A$6,0))</f>
        <v/>
      </c>
      <c r="BE109" s="97">
        <f>AZ109*INDEX(Régions!$AR$2:$AR$6,MATCH($B109,Régions!$A$2:$A$6,0))</f>
        <v/>
      </c>
      <c r="BF109" s="97">
        <f>BA109*INDEX(Régions!$AS$2:$AS$6,MATCH($B109,Régions!$A$2:$A$6,0))</f>
        <v/>
      </c>
      <c r="BG109" s="97">
        <f>BB109*INDEX(Régions!$AT$2:$AT$6,MATCH($B109,Régions!$A$2:$A$6,0))</f>
        <v/>
      </c>
      <c r="BH109" s="97">
        <f>U109</f>
        <v/>
      </c>
      <c r="BI109" s="97">
        <f>BC109*INDEX(Régions!$AU$2:$AU$6,MATCH($B109,Régions!$A$2:$A$6,0))</f>
        <v/>
      </c>
      <c r="BJ109" s="97">
        <f>INDEX({"CAQ","PLQ","QS","PQ","PCQ","Autre"},MATCH(MAX(BD109:BI109),BD109:BI109,0))</f>
        <v/>
      </c>
    </row>
    <row r="110" ht="15" customHeight="1" s="60">
      <c r="A110" s="94" t="inlineStr">
        <is>
          <t>Sainte-Marie–Saint-Jacques</t>
        </is>
      </c>
      <c r="B110" s="94" t="inlineStr">
        <is>
          <t>Île de Montréal</t>
        </is>
      </c>
      <c r="C110" s="95" t="inlineStr">
        <is>
          <t>QS</t>
        </is>
      </c>
      <c r="D110" s="96" t="n">
        <v>3269</v>
      </c>
      <c r="E110" s="96" t="n">
        <v>3621</v>
      </c>
      <c r="F110" s="96" t="n">
        <v>10894</v>
      </c>
      <c r="G110" s="96" t="n">
        <v>3363</v>
      </c>
      <c r="H110" s="96" t="n">
        <v>1138</v>
      </c>
      <c r="I110" s="96" t="n">
        <v>560</v>
      </c>
      <c r="J110" s="97">
        <f>SUM(D110:I110)</f>
        <v/>
      </c>
      <c r="K110" s="98">
        <f>IFERROR(D110/J110,0)</f>
        <v/>
      </c>
      <c r="L110" s="98">
        <f>IFERROR(E110/J110,0)</f>
        <v/>
      </c>
      <c r="M110" s="98">
        <f>IFERROR(F110/J110,0)</f>
        <v/>
      </c>
      <c r="N110" s="98">
        <f>IFERROR(G110/J110,0)</f>
        <v/>
      </c>
      <c r="O110" s="98">
        <f>IFERROR(H110/J110,0)</f>
        <v/>
      </c>
      <c r="P110" s="98">
        <f>IFERROR(I110/J110,0)</f>
        <v/>
      </c>
      <c r="Q110" s="97">
        <f>D110*INDEX(Régions!$T$2:$T$6,MATCH($B110,Régions!$A$2:$A$6,0))</f>
        <v/>
      </c>
      <c r="R110" s="97">
        <f>E110*INDEX(Régions!$U$2:$U$6,MATCH($B110,Régions!$A$2:$A$6,0))</f>
        <v/>
      </c>
      <c r="S110" s="97">
        <f>F110*INDEX(Régions!$V$2:$V$6,MATCH($B110,Régions!$A$2:$A$6,0))</f>
        <v/>
      </c>
      <c r="T110" s="97">
        <f>G110*INDEX(Régions!$W$2:$W$6,MATCH($B110,Régions!$A$2:$A$6,0))</f>
        <v/>
      </c>
      <c r="U110" s="97">
        <f>H110*INDEX(Régions!$X$2:$X$6,MATCH($B110,Régions!$A$2:$A$6,0))</f>
        <v/>
      </c>
      <c r="V110" s="97">
        <f>I110*INDEX(Régions!$Y$2:$Y$6,MATCH($B110,Régions!$A$2:$A$6,0))</f>
        <v/>
      </c>
      <c r="W110" s="97">
        <f>Q110+(AU110/100)*J110*Régions!$O$2</f>
        <v/>
      </c>
      <c r="X110" s="97">
        <f>R110+(AV110/100)*J110*Régions!$O$2</f>
        <v/>
      </c>
      <c r="Y110" s="97">
        <f>S110+(AW110/100)*J110*Régions!$O$2</f>
        <v/>
      </c>
      <c r="Z110" s="97">
        <f>T110+(AX110/100)*J110*Régions!$O$2</f>
        <v/>
      </c>
      <c r="AA110" s="97">
        <f>U110</f>
        <v/>
      </c>
      <c r="AB110" s="97">
        <f>V110</f>
        <v/>
      </c>
      <c r="AC110" s="97">
        <f>D110*INDEX(Régions!$Z$2:$Z$6,MATCH($B110,Régions!$A$2:$A$6,0))</f>
        <v/>
      </c>
      <c r="AD110" s="97">
        <f>E110*INDEX(Régions!$AA$2:$AA$6,MATCH($B110,Régions!$A$2:$A$6,0))</f>
        <v/>
      </c>
      <c r="AE110" s="97">
        <f>F110*INDEX(Régions!$AB$2:$AB$6,MATCH($B110,Régions!$A$2:$A$6,0))</f>
        <v/>
      </c>
      <c r="AF110" s="97">
        <f>G110*INDEX(Régions!$AC$2:$AC$6,MATCH($B110,Régions!$A$2:$A$6,0))</f>
        <v/>
      </c>
      <c r="AG110" s="97">
        <f>H110*INDEX(Régions!$AD$2:$AD$6,MATCH($B110,Régions!$A$2:$A$6,0))</f>
        <v/>
      </c>
      <c r="AH110" s="97">
        <f>I110*INDEX(Régions!$AE$2:$AE$6,MATCH($B110,Régions!$A$2:$A$6,0))</f>
        <v/>
      </c>
      <c r="AI110" s="97">
        <f>D110*INDEX(Régions!$AF$2:$AF$6,MATCH($B110,Régions!$A$2:$A$6,0))</f>
        <v/>
      </c>
      <c r="AJ110" s="97">
        <f>E110*INDEX(Régions!$AG$2:$AG$6,MATCH($B110,Régions!$A$2:$A$6,0))</f>
        <v/>
      </c>
      <c r="AK110" s="97">
        <f>F110*INDEX(Régions!$AH$2:$AH$6,MATCH($B110,Régions!$A$2:$A$6,0))</f>
        <v/>
      </c>
      <c r="AL110" s="97">
        <f>G110*INDEX(Régions!$AI$2:$AI$6,MATCH($B110,Régions!$A$2:$A$6,0))</f>
        <v/>
      </c>
      <c r="AM110" s="97">
        <f>H110*INDEX(Régions!$AJ$2:$AJ$6,MATCH($B110,Régions!$A$2:$A$6,0))</f>
        <v/>
      </c>
      <c r="AN110" s="97">
        <f>I110*INDEX(Régions!$AK$2:$AK$6,MATCH($B110,Régions!$A$2:$A$6,0))</f>
        <v/>
      </c>
      <c r="AO110" s="99">
        <f>INDEX({"CAQ","PLQ","QS","PQ","PCQ","Autre"},MATCH(MAX(Q110:V110),Q110:V110,0))</f>
        <v/>
      </c>
      <c r="AP110" s="99">
        <f>INDEX({"CAQ","PLQ","QS","PQ","PCQ","Autre"},MATCH(MAX(W110:AB110),W110:AB110,0))</f>
        <v/>
      </c>
      <c r="AQ110" s="99">
        <f>INDEX({"CAQ","PLQ","QS","PQ","PCQ","Autre"},MATCH(MAX(AC110:AH110),AC110:AH110,0))</f>
        <v/>
      </c>
      <c r="AR110" s="99">
        <f>INDEX({"CAQ","PLQ","QS","PQ","PCQ","Autre"},MATCH(MAX(AI110:AN110),AI110:AN110,0))</f>
        <v/>
      </c>
      <c r="AS110" s="100">
        <f>(MAX(K110:P110)-LARGE(K110:P110,2))*100</f>
        <v/>
      </c>
      <c r="AT110" s="101">
        <f>IF(AS110&lt;5,"Oui","Non")</f>
        <v/>
      </c>
      <c r="AU110" s="102" t="n">
        <v>1.206</v>
      </c>
      <c r="AV110" s="102" t="n">
        <v>3.536</v>
      </c>
      <c r="AW110" s="102" t="n">
        <v>-2.338</v>
      </c>
      <c r="AX110" s="102" t="n">
        <v>1.884</v>
      </c>
      <c r="AY110" s="96" t="n">
        <v>2773</v>
      </c>
      <c r="AZ110" s="96" t="n">
        <v>5335</v>
      </c>
      <c r="BA110" s="96" t="n">
        <v>12431</v>
      </c>
      <c r="BB110" s="96" t="n">
        <v>3529</v>
      </c>
      <c r="BC110" s="96" t="n">
        <v>1156</v>
      </c>
      <c r="BD110" s="97">
        <f>AY110*INDEX(Régions!$AQ$2:$AQ$6,MATCH($B110,Régions!$A$2:$A$6,0))</f>
        <v/>
      </c>
      <c r="BE110" s="97">
        <f>AZ110*INDEX(Régions!$AR$2:$AR$6,MATCH($B110,Régions!$A$2:$A$6,0))</f>
        <v/>
      </c>
      <c r="BF110" s="97">
        <f>BA110*INDEX(Régions!$AS$2:$AS$6,MATCH($B110,Régions!$A$2:$A$6,0))</f>
        <v/>
      </c>
      <c r="BG110" s="97">
        <f>BB110*INDEX(Régions!$AT$2:$AT$6,MATCH($B110,Régions!$A$2:$A$6,0))</f>
        <v/>
      </c>
      <c r="BH110" s="97">
        <f>U110</f>
        <v/>
      </c>
      <c r="BI110" s="97">
        <f>BC110*INDEX(Régions!$AU$2:$AU$6,MATCH($B110,Régions!$A$2:$A$6,0))</f>
        <v/>
      </c>
      <c r="BJ110" s="97">
        <f>INDEX({"CAQ","PLQ","QS","PQ","PCQ","Autre"},MATCH(MAX(BD110:BI110),BD110:BI110,0))</f>
        <v/>
      </c>
    </row>
    <row r="111" ht="15" customHeight="1" s="60">
      <c r="A111" s="94" t="inlineStr">
        <is>
          <t>Sainte-Rose</t>
        </is>
      </c>
      <c r="B111" s="94" t="inlineStr">
        <is>
          <t>Banlieue de Montréal</t>
        </is>
      </c>
      <c r="C111" s="95" t="inlineStr">
        <is>
          <t>CAQ</t>
        </is>
      </c>
      <c r="D111" s="96" t="n">
        <v>14091</v>
      </c>
      <c r="E111" s="96" t="n">
        <v>8778</v>
      </c>
      <c r="F111" s="96" t="n">
        <v>5243</v>
      </c>
      <c r="G111" s="96" t="n">
        <v>4536</v>
      </c>
      <c r="H111" s="96" t="n">
        <v>3429</v>
      </c>
      <c r="I111" s="96" t="n">
        <v>523</v>
      </c>
      <c r="J111" s="97">
        <f>SUM(D111:I111)</f>
        <v/>
      </c>
      <c r="K111" s="98">
        <f>IFERROR(D111/J111,0)</f>
        <v/>
      </c>
      <c r="L111" s="98">
        <f>IFERROR(E111/J111,0)</f>
        <v/>
      </c>
      <c r="M111" s="98">
        <f>IFERROR(F111/J111,0)</f>
        <v/>
      </c>
      <c r="N111" s="98">
        <f>IFERROR(G111/J111,0)</f>
        <v/>
      </c>
      <c r="O111" s="98">
        <f>IFERROR(H111/J111,0)</f>
        <v/>
      </c>
      <c r="P111" s="98">
        <f>IFERROR(I111/J111,0)</f>
        <v/>
      </c>
      <c r="Q111" s="97">
        <f>D111*INDEX(Régions!$T$2:$T$6,MATCH($B111,Régions!$A$2:$A$6,0))</f>
        <v/>
      </c>
      <c r="R111" s="97">
        <f>E111*INDEX(Régions!$U$2:$U$6,MATCH($B111,Régions!$A$2:$A$6,0))</f>
        <v/>
      </c>
      <c r="S111" s="97">
        <f>F111*INDEX(Régions!$V$2:$V$6,MATCH($B111,Régions!$A$2:$A$6,0))</f>
        <v/>
      </c>
      <c r="T111" s="97">
        <f>G111*INDEX(Régions!$W$2:$W$6,MATCH($B111,Régions!$A$2:$A$6,0))</f>
        <v/>
      </c>
      <c r="U111" s="97">
        <f>H111*INDEX(Régions!$X$2:$X$6,MATCH($B111,Régions!$A$2:$A$6,0))</f>
        <v/>
      </c>
      <c r="V111" s="97">
        <f>I111*INDEX(Régions!$Y$2:$Y$6,MATCH($B111,Régions!$A$2:$A$6,0))</f>
        <v/>
      </c>
      <c r="W111" s="97">
        <f>Q111+(AU111/100)*J111*Régions!$O$2</f>
        <v/>
      </c>
      <c r="X111" s="97">
        <f>R111+(AV111/100)*J111*Régions!$O$2</f>
        <v/>
      </c>
      <c r="Y111" s="97">
        <f>S111+(AW111/100)*J111*Régions!$O$2</f>
        <v/>
      </c>
      <c r="Z111" s="97">
        <f>T111+(AX111/100)*J111*Régions!$O$2</f>
        <v/>
      </c>
      <c r="AA111" s="97">
        <f>U111</f>
        <v/>
      </c>
      <c r="AB111" s="97">
        <f>V111</f>
        <v/>
      </c>
      <c r="AC111" s="97">
        <f>D111*INDEX(Régions!$Z$2:$Z$6,MATCH($B111,Régions!$A$2:$A$6,0))</f>
        <v/>
      </c>
      <c r="AD111" s="97">
        <f>E111*INDEX(Régions!$AA$2:$AA$6,MATCH($B111,Régions!$A$2:$A$6,0))</f>
        <v/>
      </c>
      <c r="AE111" s="97">
        <f>F111*INDEX(Régions!$AB$2:$AB$6,MATCH($B111,Régions!$A$2:$A$6,0))</f>
        <v/>
      </c>
      <c r="AF111" s="97">
        <f>G111*INDEX(Régions!$AC$2:$AC$6,MATCH($B111,Régions!$A$2:$A$6,0))</f>
        <v/>
      </c>
      <c r="AG111" s="97">
        <f>H111*INDEX(Régions!$AD$2:$AD$6,MATCH($B111,Régions!$A$2:$A$6,0))</f>
        <v/>
      </c>
      <c r="AH111" s="97">
        <f>I111*INDEX(Régions!$AE$2:$AE$6,MATCH($B111,Régions!$A$2:$A$6,0))</f>
        <v/>
      </c>
      <c r="AI111" s="97">
        <f>D111*INDEX(Régions!$AF$2:$AF$6,MATCH($B111,Régions!$A$2:$A$6,0))</f>
        <v/>
      </c>
      <c r="AJ111" s="97">
        <f>E111*INDEX(Régions!$AG$2:$AG$6,MATCH($B111,Régions!$A$2:$A$6,0))</f>
        <v/>
      </c>
      <c r="AK111" s="97">
        <f>F111*INDEX(Régions!$AH$2:$AH$6,MATCH($B111,Régions!$A$2:$A$6,0))</f>
        <v/>
      </c>
      <c r="AL111" s="97">
        <f>G111*INDEX(Régions!$AI$2:$AI$6,MATCH($B111,Régions!$A$2:$A$6,0))</f>
        <v/>
      </c>
      <c r="AM111" s="97">
        <f>H111*INDEX(Régions!$AJ$2:$AJ$6,MATCH($B111,Régions!$A$2:$A$6,0))</f>
        <v/>
      </c>
      <c r="AN111" s="97">
        <f>I111*INDEX(Régions!$AK$2:$AK$6,MATCH($B111,Régions!$A$2:$A$6,0))</f>
        <v/>
      </c>
      <c r="AO111" s="99">
        <f>INDEX({"CAQ","PLQ","QS","PQ","PCQ","Autre"},MATCH(MAX(Q111:V111),Q111:V111,0))</f>
        <v/>
      </c>
      <c r="AP111" s="99">
        <f>INDEX({"CAQ","PLQ","QS","PQ","PCQ","Autre"},MATCH(MAX(W111:AB111),W111:AB111,0))</f>
        <v/>
      </c>
      <c r="AQ111" s="99">
        <f>INDEX({"CAQ","PLQ","QS","PQ","PCQ","Autre"},MATCH(MAX(AC111:AH111),AC111:AH111,0))</f>
        <v/>
      </c>
      <c r="AR111" s="99">
        <f>INDEX({"CAQ","PLQ","QS","PQ","PCQ","Autre"},MATCH(MAX(AI111:AN111),AI111:AN111,0))</f>
        <v/>
      </c>
      <c r="AS111" s="100">
        <f>(MAX(K111:P111)-LARGE(K111:P111,2))*100</f>
        <v/>
      </c>
      <c r="AT111" s="101">
        <f>IF(AS111&lt;5,"Oui","Non")</f>
        <v/>
      </c>
      <c r="AU111" s="102" t="n">
        <v>-1.47</v>
      </c>
      <c r="AV111" s="102" t="n">
        <v>0.767</v>
      </c>
      <c r="AW111" s="102" t="n">
        <v>1.141</v>
      </c>
      <c r="AX111" s="102" t="n">
        <v>0.896</v>
      </c>
      <c r="AY111" s="96" t="n">
        <v>13491</v>
      </c>
      <c r="AZ111" s="96" t="n">
        <v>11029</v>
      </c>
      <c r="BA111" s="96" t="n">
        <v>5082</v>
      </c>
      <c r="BB111" s="96" t="n">
        <v>5309</v>
      </c>
      <c r="BC111" s="96" t="n">
        <v>1706</v>
      </c>
      <c r="BD111" s="97">
        <f>AY111*INDEX(Régions!$AQ$2:$AQ$6,MATCH($B111,Régions!$A$2:$A$6,0))</f>
        <v/>
      </c>
      <c r="BE111" s="97">
        <f>AZ111*INDEX(Régions!$AR$2:$AR$6,MATCH($B111,Régions!$A$2:$A$6,0))</f>
        <v/>
      </c>
      <c r="BF111" s="97">
        <f>BA111*INDEX(Régions!$AS$2:$AS$6,MATCH($B111,Régions!$A$2:$A$6,0))</f>
        <v/>
      </c>
      <c r="BG111" s="97">
        <f>BB111*INDEX(Régions!$AT$2:$AT$6,MATCH($B111,Régions!$A$2:$A$6,0))</f>
        <v/>
      </c>
      <c r="BH111" s="97">
        <f>U111</f>
        <v/>
      </c>
      <c r="BI111" s="97">
        <f>BC111*INDEX(Régions!$AU$2:$AU$6,MATCH($B111,Régions!$A$2:$A$6,0))</f>
        <v/>
      </c>
      <c r="BJ111" s="97">
        <f>INDEX({"CAQ","PLQ","QS","PQ","PCQ","Autre"},MATCH(MAX(BD111:BI111),BD111:BI111,0))</f>
        <v/>
      </c>
    </row>
    <row r="112" ht="15" customHeight="1" s="60">
      <c r="A112" s="94" t="inlineStr">
        <is>
          <t>Sanguinet</t>
        </is>
      </c>
      <c r="B112" s="94" t="inlineStr">
        <is>
          <t>Banlieue de Montréal</t>
        </is>
      </c>
      <c r="C112" s="95" t="inlineStr">
        <is>
          <t>CAQ</t>
        </is>
      </c>
      <c r="D112" s="96" t="n">
        <v>14616</v>
      </c>
      <c r="E112" s="96" t="n">
        <v>2955</v>
      </c>
      <c r="F112" s="96" t="n">
        <v>3927</v>
      </c>
      <c r="G112" s="96" t="n">
        <v>4883</v>
      </c>
      <c r="H112" s="96" t="n">
        <v>3165</v>
      </c>
      <c r="I112" s="96" t="n">
        <v>414</v>
      </c>
      <c r="J112" s="97">
        <f>SUM(D112:I112)</f>
        <v/>
      </c>
      <c r="K112" s="98">
        <f>IFERROR(D112/J112,0)</f>
        <v/>
      </c>
      <c r="L112" s="98">
        <f>IFERROR(E112/J112,0)</f>
        <v/>
      </c>
      <c r="M112" s="98">
        <f>IFERROR(F112/J112,0)</f>
        <v/>
      </c>
      <c r="N112" s="98">
        <f>IFERROR(G112/J112,0)</f>
        <v/>
      </c>
      <c r="O112" s="98">
        <f>IFERROR(H112/J112,0)</f>
        <v/>
      </c>
      <c r="P112" s="98">
        <f>IFERROR(I112/J112,0)</f>
        <v/>
      </c>
      <c r="Q112" s="97">
        <f>D112*INDEX(Régions!$T$2:$T$6,MATCH($B112,Régions!$A$2:$A$6,0))</f>
        <v/>
      </c>
      <c r="R112" s="97">
        <f>E112*INDEX(Régions!$U$2:$U$6,MATCH($B112,Régions!$A$2:$A$6,0))</f>
        <v/>
      </c>
      <c r="S112" s="97">
        <f>F112*INDEX(Régions!$V$2:$V$6,MATCH($B112,Régions!$A$2:$A$6,0))</f>
        <v/>
      </c>
      <c r="T112" s="97">
        <f>G112*INDEX(Régions!$W$2:$W$6,MATCH($B112,Régions!$A$2:$A$6,0))</f>
        <v/>
      </c>
      <c r="U112" s="97">
        <f>H112*INDEX(Régions!$X$2:$X$6,MATCH($B112,Régions!$A$2:$A$6,0))</f>
        <v/>
      </c>
      <c r="V112" s="97">
        <f>I112*INDEX(Régions!$Y$2:$Y$6,MATCH($B112,Régions!$A$2:$A$6,0))</f>
        <v/>
      </c>
      <c r="W112" s="97">
        <f>Q112+(AU112/100)*J112*Régions!$O$2</f>
        <v/>
      </c>
      <c r="X112" s="97">
        <f>R112+(AV112/100)*J112*Régions!$O$2</f>
        <v/>
      </c>
      <c r="Y112" s="97">
        <f>S112+(AW112/100)*J112*Régions!$O$2</f>
        <v/>
      </c>
      <c r="Z112" s="97">
        <f>T112+(AX112/100)*J112*Régions!$O$2</f>
        <v/>
      </c>
      <c r="AA112" s="97">
        <f>U112</f>
        <v/>
      </c>
      <c r="AB112" s="97">
        <f>V112</f>
        <v/>
      </c>
      <c r="AC112" s="97">
        <f>D112*INDEX(Régions!$Z$2:$Z$6,MATCH($B112,Régions!$A$2:$A$6,0))</f>
        <v/>
      </c>
      <c r="AD112" s="97">
        <f>E112*INDEX(Régions!$AA$2:$AA$6,MATCH($B112,Régions!$A$2:$A$6,0))</f>
        <v/>
      </c>
      <c r="AE112" s="97">
        <f>F112*INDEX(Régions!$AB$2:$AB$6,MATCH($B112,Régions!$A$2:$A$6,0))</f>
        <v/>
      </c>
      <c r="AF112" s="97">
        <f>G112*INDEX(Régions!$AC$2:$AC$6,MATCH($B112,Régions!$A$2:$A$6,0))</f>
        <v/>
      </c>
      <c r="AG112" s="97">
        <f>H112*INDEX(Régions!$AD$2:$AD$6,MATCH($B112,Régions!$A$2:$A$6,0))</f>
        <v/>
      </c>
      <c r="AH112" s="97">
        <f>I112*INDEX(Régions!$AE$2:$AE$6,MATCH($B112,Régions!$A$2:$A$6,0))</f>
        <v/>
      </c>
      <c r="AI112" s="97">
        <f>D112*INDEX(Régions!$AF$2:$AF$6,MATCH($B112,Régions!$A$2:$A$6,0))</f>
        <v/>
      </c>
      <c r="AJ112" s="97">
        <f>E112*INDEX(Régions!$AG$2:$AG$6,MATCH($B112,Régions!$A$2:$A$6,0))</f>
        <v/>
      </c>
      <c r="AK112" s="97">
        <f>F112*INDEX(Régions!$AH$2:$AH$6,MATCH($B112,Régions!$A$2:$A$6,0))</f>
        <v/>
      </c>
      <c r="AL112" s="97">
        <f>G112*INDEX(Régions!$AI$2:$AI$6,MATCH($B112,Régions!$A$2:$A$6,0))</f>
        <v/>
      </c>
      <c r="AM112" s="97">
        <f>H112*INDEX(Régions!$AJ$2:$AJ$6,MATCH($B112,Régions!$A$2:$A$6,0))</f>
        <v/>
      </c>
      <c r="AN112" s="97">
        <f>I112*INDEX(Régions!$AK$2:$AK$6,MATCH($B112,Régions!$A$2:$A$6,0))</f>
        <v/>
      </c>
      <c r="AO112" s="99">
        <f>INDEX({"CAQ","PLQ","QS","PQ","PCQ","Autre"},MATCH(MAX(Q112:V112),Q112:V112,0))</f>
        <v/>
      </c>
      <c r="AP112" s="99">
        <f>INDEX({"CAQ","PLQ","QS","PQ","PCQ","Autre"},MATCH(MAX(W112:AB112),W112:AB112,0))</f>
        <v/>
      </c>
      <c r="AQ112" s="99">
        <f>INDEX({"CAQ","PLQ","QS","PQ","PCQ","Autre"},MATCH(MAX(AC112:AH112),AC112:AH112,0))</f>
        <v/>
      </c>
      <c r="AR112" s="99">
        <f>INDEX({"CAQ","PLQ","QS","PQ","PCQ","Autre"},MATCH(MAX(AI112:AN112),AI112:AN112,0))</f>
        <v/>
      </c>
      <c r="AS112" s="100">
        <f>(MAX(K112:P112)-LARGE(K112:P112,2))*100</f>
        <v/>
      </c>
      <c r="AT112" s="101">
        <f>IF(AS112&lt;5,"Oui","Non")</f>
        <v/>
      </c>
      <c r="AU112" s="102" t="n">
        <v>2.121</v>
      </c>
      <c r="AV112" s="102" t="n">
        <v>2.774</v>
      </c>
      <c r="AW112" s="102" t="n">
        <v>-0.914</v>
      </c>
      <c r="AX112" s="102" t="n">
        <v>-5.462</v>
      </c>
      <c r="AY112" s="96" t="n">
        <v>12993</v>
      </c>
      <c r="AZ112" s="96" t="n">
        <v>4176</v>
      </c>
      <c r="BA112" s="96" t="n">
        <v>4392</v>
      </c>
      <c r="BB112" s="96" t="n">
        <v>7389</v>
      </c>
      <c r="BC112" s="96" t="n">
        <v>893</v>
      </c>
      <c r="BD112" s="97">
        <f>AY112*INDEX(Régions!$AQ$2:$AQ$6,MATCH($B112,Régions!$A$2:$A$6,0))</f>
        <v/>
      </c>
      <c r="BE112" s="97">
        <f>AZ112*INDEX(Régions!$AR$2:$AR$6,MATCH($B112,Régions!$A$2:$A$6,0))</f>
        <v/>
      </c>
      <c r="BF112" s="97">
        <f>BA112*INDEX(Régions!$AS$2:$AS$6,MATCH($B112,Régions!$A$2:$A$6,0))</f>
        <v/>
      </c>
      <c r="BG112" s="97">
        <f>BB112*INDEX(Régions!$AT$2:$AT$6,MATCH($B112,Régions!$A$2:$A$6,0))</f>
        <v/>
      </c>
      <c r="BH112" s="97">
        <f>U112</f>
        <v/>
      </c>
      <c r="BI112" s="97">
        <f>BC112*INDEX(Régions!$AU$2:$AU$6,MATCH($B112,Régions!$A$2:$A$6,0))</f>
        <v/>
      </c>
      <c r="BJ112" s="97">
        <f>INDEX({"CAQ","PLQ","QS","PQ","PCQ","Autre"},MATCH(MAX(BD112:BI112),BD112:BI112,0))</f>
        <v/>
      </c>
    </row>
    <row r="113" ht="15" customHeight="1" s="60">
      <c r="A113" s="94" t="inlineStr">
        <is>
          <t>Sherbrooke</t>
        </is>
      </c>
      <c r="B113" s="94" t="inlineStr">
        <is>
          <t>Reste du Québec</t>
        </is>
      </c>
      <c r="C113" s="95" t="inlineStr">
        <is>
          <t>QS</t>
        </is>
      </c>
      <c r="D113" s="96" t="n">
        <v>13076</v>
      </c>
      <c r="E113" s="96" t="n">
        <v>2166</v>
      </c>
      <c r="F113" s="96" t="n">
        <v>15548</v>
      </c>
      <c r="G113" s="96" t="n">
        <v>3373</v>
      </c>
      <c r="H113" s="96" t="n">
        <v>2501</v>
      </c>
      <c r="I113" s="96" t="n">
        <v>434</v>
      </c>
      <c r="J113" s="97">
        <f>SUM(D113:I113)</f>
        <v/>
      </c>
      <c r="K113" s="98">
        <f>IFERROR(D113/J113,0)</f>
        <v/>
      </c>
      <c r="L113" s="98">
        <f>IFERROR(E113/J113,0)</f>
        <v/>
      </c>
      <c r="M113" s="98">
        <f>IFERROR(F113/J113,0)</f>
        <v/>
      </c>
      <c r="N113" s="98">
        <f>IFERROR(G113/J113,0)</f>
        <v/>
      </c>
      <c r="O113" s="98">
        <f>IFERROR(H113/J113,0)</f>
        <v/>
      </c>
      <c r="P113" s="98">
        <f>IFERROR(I113/J113,0)</f>
        <v/>
      </c>
      <c r="Q113" s="97">
        <f>D113*INDEX(Régions!$T$2:$T$6,MATCH($B113,Régions!$A$2:$A$6,0))</f>
        <v/>
      </c>
      <c r="R113" s="97">
        <f>E113*INDEX(Régions!$U$2:$U$6,MATCH($B113,Régions!$A$2:$A$6,0))</f>
        <v/>
      </c>
      <c r="S113" s="97">
        <f>F113*INDEX(Régions!$V$2:$V$6,MATCH($B113,Régions!$A$2:$A$6,0))</f>
        <v/>
      </c>
      <c r="T113" s="97">
        <f>G113*INDEX(Régions!$W$2:$W$6,MATCH($B113,Régions!$A$2:$A$6,0))</f>
        <v/>
      </c>
      <c r="U113" s="97">
        <f>H113*INDEX(Régions!$X$2:$X$6,MATCH($B113,Régions!$A$2:$A$6,0))</f>
        <v/>
      </c>
      <c r="V113" s="97">
        <f>I113*INDEX(Régions!$Y$2:$Y$6,MATCH($B113,Régions!$A$2:$A$6,0))</f>
        <v/>
      </c>
      <c r="W113" s="97">
        <f>Q113+(AU113/100)*J113*Régions!$O$2</f>
        <v/>
      </c>
      <c r="X113" s="97">
        <f>R113+(AV113/100)*J113*Régions!$O$2</f>
        <v/>
      </c>
      <c r="Y113" s="97">
        <f>S113+(AW113/100)*J113*Régions!$O$2</f>
        <v/>
      </c>
      <c r="Z113" s="97">
        <f>T113+(AX113/100)*J113*Régions!$O$2</f>
        <v/>
      </c>
      <c r="AA113" s="97">
        <f>U113</f>
        <v/>
      </c>
      <c r="AB113" s="97">
        <f>V113</f>
        <v/>
      </c>
      <c r="AC113" s="97">
        <f>D113*INDEX(Régions!$Z$2:$Z$6,MATCH($B113,Régions!$A$2:$A$6,0))</f>
        <v/>
      </c>
      <c r="AD113" s="97">
        <f>E113*INDEX(Régions!$AA$2:$AA$6,MATCH($B113,Régions!$A$2:$A$6,0))</f>
        <v/>
      </c>
      <c r="AE113" s="97">
        <f>F113*INDEX(Régions!$AB$2:$AB$6,MATCH($B113,Régions!$A$2:$A$6,0))</f>
        <v/>
      </c>
      <c r="AF113" s="97">
        <f>G113*INDEX(Régions!$AC$2:$AC$6,MATCH($B113,Régions!$A$2:$A$6,0))</f>
        <v/>
      </c>
      <c r="AG113" s="97">
        <f>H113*INDEX(Régions!$AD$2:$AD$6,MATCH($B113,Régions!$A$2:$A$6,0))</f>
        <v/>
      </c>
      <c r="AH113" s="97">
        <f>I113*INDEX(Régions!$AE$2:$AE$6,MATCH($B113,Régions!$A$2:$A$6,0))</f>
        <v/>
      </c>
      <c r="AI113" s="97">
        <f>D113*INDEX(Régions!$AF$2:$AF$6,MATCH($B113,Régions!$A$2:$A$6,0))</f>
        <v/>
      </c>
      <c r="AJ113" s="97">
        <f>E113*INDEX(Régions!$AG$2:$AG$6,MATCH($B113,Régions!$A$2:$A$6,0))</f>
        <v/>
      </c>
      <c r="AK113" s="97">
        <f>F113*INDEX(Régions!$AH$2:$AH$6,MATCH($B113,Régions!$A$2:$A$6,0))</f>
        <v/>
      </c>
      <c r="AL113" s="97">
        <f>G113*INDEX(Régions!$AI$2:$AI$6,MATCH($B113,Régions!$A$2:$A$6,0))</f>
        <v/>
      </c>
      <c r="AM113" s="97">
        <f>H113*INDEX(Régions!$AJ$2:$AJ$6,MATCH($B113,Régions!$A$2:$A$6,0))</f>
        <v/>
      </c>
      <c r="AN113" s="97">
        <f>I113*INDEX(Régions!$AK$2:$AK$6,MATCH($B113,Régions!$A$2:$A$6,0))</f>
        <v/>
      </c>
      <c r="AO113" s="99">
        <f>INDEX({"CAQ","PLQ","QS","PQ","PCQ","Autre"},MATCH(MAX(Q113:V113),Q113:V113,0))</f>
        <v/>
      </c>
      <c r="AP113" s="99">
        <f>INDEX({"CAQ","PLQ","QS","PQ","PCQ","Autre"},MATCH(MAX(W113:AB113),W113:AB113,0))</f>
        <v/>
      </c>
      <c r="AQ113" s="99">
        <f>INDEX({"CAQ","PLQ","QS","PQ","PCQ","Autre"},MATCH(MAX(AC113:AH113),AC113:AH113,0))</f>
        <v/>
      </c>
      <c r="AR113" s="99">
        <f>INDEX({"CAQ","PLQ","QS","PQ","PCQ","Autre"},MATCH(MAX(AI113:AN113),AI113:AN113,0))</f>
        <v/>
      </c>
      <c r="AS113" s="100">
        <f>(MAX(K113:P113)-LARGE(K113:P113,2))*100</f>
        <v/>
      </c>
      <c r="AT113" s="101">
        <f>IF(AS113&lt;5,"Oui","Non")</f>
        <v/>
      </c>
      <c r="AU113" s="102" t="n">
        <v>5.911</v>
      </c>
      <c r="AV113" s="102" t="n">
        <v>-6.083</v>
      </c>
      <c r="AW113" s="102" t="n">
        <v>8.625</v>
      </c>
      <c r="AX113" s="102" t="n">
        <v>-1.518</v>
      </c>
      <c r="AY113" s="96" t="n">
        <v>8403</v>
      </c>
      <c r="AZ113" s="96" t="n">
        <v>8865</v>
      </c>
      <c r="BA113" s="96" t="n">
        <v>12315</v>
      </c>
      <c r="BB113" s="96" t="n">
        <v>5244</v>
      </c>
      <c r="BC113" s="96" t="n">
        <v>1105</v>
      </c>
      <c r="BD113" s="97">
        <f>AY113*INDEX(Régions!$AQ$2:$AQ$6,MATCH($B113,Régions!$A$2:$A$6,0))</f>
        <v/>
      </c>
      <c r="BE113" s="97">
        <f>AZ113*INDEX(Régions!$AR$2:$AR$6,MATCH($B113,Régions!$A$2:$A$6,0))</f>
        <v/>
      </c>
      <c r="BF113" s="97">
        <f>BA113*INDEX(Régions!$AS$2:$AS$6,MATCH($B113,Régions!$A$2:$A$6,0))</f>
        <v/>
      </c>
      <c r="BG113" s="97">
        <f>BB113*INDEX(Régions!$AT$2:$AT$6,MATCH($B113,Régions!$A$2:$A$6,0))</f>
        <v/>
      </c>
      <c r="BH113" s="97">
        <f>U113</f>
        <v/>
      </c>
      <c r="BI113" s="97">
        <f>BC113*INDEX(Régions!$AU$2:$AU$6,MATCH($B113,Régions!$A$2:$A$6,0))</f>
        <v/>
      </c>
      <c r="BJ113" s="97">
        <f>INDEX({"CAQ","PLQ","QS","PQ","PCQ","Autre"},MATCH(MAX(BD113:BI113),BD113:BI113,0))</f>
        <v/>
      </c>
    </row>
    <row r="114" ht="15" customHeight="1" s="60">
      <c r="A114" s="94" t="inlineStr">
        <is>
          <t>Soulanges</t>
        </is>
      </c>
      <c r="B114" s="94" t="inlineStr">
        <is>
          <t>Banlieue de Montréal</t>
        </is>
      </c>
      <c r="C114" s="95" t="inlineStr">
        <is>
          <t>CAQ</t>
        </is>
      </c>
      <c r="D114" s="96" t="n">
        <v>15875</v>
      </c>
      <c r="E114" s="96" t="n">
        <v>8357</v>
      </c>
      <c r="F114" s="96" t="n">
        <v>4050</v>
      </c>
      <c r="G114" s="96" t="n">
        <v>3823</v>
      </c>
      <c r="H114" s="96" t="n">
        <v>4695</v>
      </c>
      <c r="I114" s="96" t="n">
        <v>752</v>
      </c>
      <c r="J114" s="97">
        <f>SUM(D114:I114)</f>
        <v/>
      </c>
      <c r="K114" s="98">
        <f>IFERROR(D114/J114,0)</f>
        <v/>
      </c>
      <c r="L114" s="98">
        <f>IFERROR(E114/J114,0)</f>
        <v/>
      </c>
      <c r="M114" s="98">
        <f>IFERROR(F114/J114,0)</f>
        <v/>
      </c>
      <c r="N114" s="98">
        <f>IFERROR(G114/J114,0)</f>
        <v/>
      </c>
      <c r="O114" s="98">
        <f>IFERROR(H114/J114,0)</f>
        <v/>
      </c>
      <c r="P114" s="98">
        <f>IFERROR(I114/J114,0)</f>
        <v/>
      </c>
      <c r="Q114" s="97">
        <f>D114*INDEX(Régions!$T$2:$T$6,MATCH($B114,Régions!$A$2:$A$6,0))</f>
        <v/>
      </c>
      <c r="R114" s="97">
        <f>E114*INDEX(Régions!$U$2:$U$6,MATCH($B114,Régions!$A$2:$A$6,0))</f>
        <v/>
      </c>
      <c r="S114" s="97">
        <f>F114*INDEX(Régions!$V$2:$V$6,MATCH($B114,Régions!$A$2:$A$6,0))</f>
        <v/>
      </c>
      <c r="T114" s="97">
        <f>G114*INDEX(Régions!$W$2:$W$6,MATCH($B114,Régions!$A$2:$A$6,0))</f>
        <v/>
      </c>
      <c r="U114" s="97">
        <f>H114*INDEX(Régions!$X$2:$X$6,MATCH($B114,Régions!$A$2:$A$6,0))</f>
        <v/>
      </c>
      <c r="V114" s="97">
        <f>I114*INDEX(Régions!$Y$2:$Y$6,MATCH($B114,Régions!$A$2:$A$6,0))</f>
        <v/>
      </c>
      <c r="W114" s="97">
        <f>Q114+(AU114/100)*J114*Régions!$O$2</f>
        <v/>
      </c>
      <c r="X114" s="97">
        <f>R114+(AV114/100)*J114*Régions!$O$2</f>
        <v/>
      </c>
      <c r="Y114" s="97">
        <f>S114+(AW114/100)*J114*Régions!$O$2</f>
        <v/>
      </c>
      <c r="Z114" s="97">
        <f>T114+(AX114/100)*J114*Régions!$O$2</f>
        <v/>
      </c>
      <c r="AA114" s="97">
        <f>U114</f>
        <v/>
      </c>
      <c r="AB114" s="97">
        <f>V114</f>
        <v/>
      </c>
      <c r="AC114" s="97">
        <f>D114*INDEX(Régions!$Z$2:$Z$6,MATCH($B114,Régions!$A$2:$A$6,0))</f>
        <v/>
      </c>
      <c r="AD114" s="97">
        <f>E114*INDEX(Régions!$AA$2:$AA$6,MATCH($B114,Régions!$A$2:$A$6,0))</f>
        <v/>
      </c>
      <c r="AE114" s="97">
        <f>F114*INDEX(Régions!$AB$2:$AB$6,MATCH($B114,Régions!$A$2:$A$6,0))</f>
        <v/>
      </c>
      <c r="AF114" s="97">
        <f>G114*INDEX(Régions!$AC$2:$AC$6,MATCH($B114,Régions!$A$2:$A$6,0))</f>
        <v/>
      </c>
      <c r="AG114" s="97">
        <f>H114*INDEX(Régions!$AD$2:$AD$6,MATCH($B114,Régions!$A$2:$A$6,0))</f>
        <v/>
      </c>
      <c r="AH114" s="97">
        <f>I114*INDEX(Régions!$AE$2:$AE$6,MATCH($B114,Régions!$A$2:$A$6,0))</f>
        <v/>
      </c>
      <c r="AI114" s="97">
        <f>D114*INDEX(Régions!$AF$2:$AF$6,MATCH($B114,Régions!$A$2:$A$6,0))</f>
        <v/>
      </c>
      <c r="AJ114" s="97">
        <f>E114*INDEX(Régions!$AG$2:$AG$6,MATCH($B114,Régions!$A$2:$A$6,0))</f>
        <v/>
      </c>
      <c r="AK114" s="97">
        <f>F114*INDEX(Régions!$AH$2:$AH$6,MATCH($B114,Régions!$A$2:$A$6,0))</f>
        <v/>
      </c>
      <c r="AL114" s="97">
        <f>G114*INDEX(Régions!$AI$2:$AI$6,MATCH($B114,Régions!$A$2:$A$6,0))</f>
        <v/>
      </c>
      <c r="AM114" s="97">
        <f>H114*INDEX(Régions!$AJ$2:$AJ$6,MATCH($B114,Régions!$A$2:$A$6,0))</f>
        <v/>
      </c>
      <c r="AN114" s="97">
        <f>I114*INDEX(Régions!$AK$2:$AK$6,MATCH($B114,Régions!$A$2:$A$6,0))</f>
        <v/>
      </c>
      <c r="AO114" s="99">
        <f>INDEX({"CAQ","PLQ","QS","PQ","PCQ","Autre"},MATCH(MAX(Q114:V114),Q114:V114,0))</f>
        <v/>
      </c>
      <c r="AP114" s="99">
        <f>INDEX({"CAQ","PLQ","QS","PQ","PCQ","Autre"},MATCH(MAX(W114:AB114),W114:AB114,0))</f>
        <v/>
      </c>
      <c r="AQ114" s="99">
        <f>INDEX({"CAQ","PLQ","QS","PQ","PCQ","Autre"},MATCH(MAX(AC114:AH114),AC114:AH114,0))</f>
        <v/>
      </c>
      <c r="AR114" s="99">
        <f>INDEX({"CAQ","PLQ","QS","PQ","PCQ","Autre"},MATCH(MAX(AI114:AN114),AI114:AN114,0))</f>
        <v/>
      </c>
      <c r="AS114" s="100">
        <f>(MAX(K114:P114)-LARGE(K114:P114,2))*100</f>
        <v/>
      </c>
      <c r="AT114" s="101">
        <f>IF(AS114&lt;5,"Oui","Non")</f>
        <v/>
      </c>
      <c r="AU114" s="102" t="n">
        <v>0.146</v>
      </c>
      <c r="AV114" s="102" t="n">
        <v>-4.796</v>
      </c>
      <c r="AW114" s="102" t="n">
        <v>-0.022</v>
      </c>
      <c r="AX114" s="102" t="n">
        <v>2.934</v>
      </c>
      <c r="AY114" s="96" t="n">
        <v>14222</v>
      </c>
      <c r="AZ114" s="96" t="n">
        <v>12381</v>
      </c>
      <c r="BA114" s="96" t="n">
        <v>4194</v>
      </c>
      <c r="BB114" s="96" t="n">
        <v>3737</v>
      </c>
      <c r="BC114" s="96" t="n">
        <v>1930</v>
      </c>
      <c r="BD114" s="97">
        <f>AY114*INDEX(Régions!$AQ$2:$AQ$6,MATCH($B114,Régions!$A$2:$A$6,0))</f>
        <v/>
      </c>
      <c r="BE114" s="97">
        <f>AZ114*INDEX(Régions!$AR$2:$AR$6,MATCH($B114,Régions!$A$2:$A$6,0))</f>
        <v/>
      </c>
      <c r="BF114" s="97">
        <f>BA114*INDEX(Régions!$AS$2:$AS$6,MATCH($B114,Régions!$A$2:$A$6,0))</f>
        <v/>
      </c>
      <c r="BG114" s="97">
        <f>BB114*INDEX(Régions!$AT$2:$AT$6,MATCH($B114,Régions!$A$2:$A$6,0))</f>
        <v/>
      </c>
      <c r="BH114" s="97">
        <f>U114</f>
        <v/>
      </c>
      <c r="BI114" s="97">
        <f>BC114*INDEX(Régions!$AU$2:$AU$6,MATCH($B114,Régions!$A$2:$A$6,0))</f>
        <v/>
      </c>
      <c r="BJ114" s="97">
        <f>INDEX({"CAQ","PLQ","QS","PQ","PCQ","Autre"},MATCH(MAX(BD114:BI114),BD114:BI114,0))</f>
        <v/>
      </c>
    </row>
    <row r="115" ht="15" customHeight="1" s="60">
      <c r="A115" s="94" t="inlineStr">
        <is>
          <t>Taillon</t>
        </is>
      </c>
      <c r="B115" s="94" t="inlineStr">
        <is>
          <t>Banlieue de Montréal</t>
        </is>
      </c>
      <c r="C115" s="95" t="inlineStr">
        <is>
          <t>CAQ</t>
        </is>
      </c>
      <c r="D115" s="96" t="n">
        <v>14635</v>
      </c>
      <c r="E115" s="96" t="n">
        <v>4096</v>
      </c>
      <c r="F115" s="96" t="n">
        <v>6663</v>
      </c>
      <c r="G115" s="96" t="n">
        <v>7160</v>
      </c>
      <c r="H115" s="96" t="n">
        <v>2280</v>
      </c>
      <c r="I115" s="96" t="n">
        <v>422</v>
      </c>
      <c r="J115" s="97">
        <f>SUM(D115:I115)</f>
        <v/>
      </c>
      <c r="K115" s="98">
        <f>IFERROR(D115/J115,0)</f>
        <v/>
      </c>
      <c r="L115" s="98">
        <f>IFERROR(E115/J115,0)</f>
        <v/>
      </c>
      <c r="M115" s="98">
        <f>IFERROR(F115/J115,0)</f>
        <v/>
      </c>
      <c r="N115" s="98">
        <f>IFERROR(G115/J115,0)</f>
        <v/>
      </c>
      <c r="O115" s="98">
        <f>IFERROR(H115/J115,0)</f>
        <v/>
      </c>
      <c r="P115" s="98">
        <f>IFERROR(I115/J115,0)</f>
        <v/>
      </c>
      <c r="Q115" s="97">
        <f>D115*INDEX(Régions!$T$2:$T$6,MATCH($B115,Régions!$A$2:$A$6,0))</f>
        <v/>
      </c>
      <c r="R115" s="97">
        <f>E115*INDEX(Régions!$U$2:$U$6,MATCH($B115,Régions!$A$2:$A$6,0))</f>
        <v/>
      </c>
      <c r="S115" s="97">
        <f>F115*INDEX(Régions!$V$2:$V$6,MATCH($B115,Régions!$A$2:$A$6,0))</f>
        <v/>
      </c>
      <c r="T115" s="97">
        <f>G115*INDEX(Régions!$W$2:$W$6,MATCH($B115,Régions!$A$2:$A$6,0))</f>
        <v/>
      </c>
      <c r="U115" s="97">
        <f>H115*INDEX(Régions!$X$2:$X$6,MATCH($B115,Régions!$A$2:$A$6,0))</f>
        <v/>
      </c>
      <c r="V115" s="97">
        <f>I115*INDEX(Régions!$Y$2:$Y$6,MATCH($B115,Régions!$A$2:$A$6,0))</f>
        <v/>
      </c>
      <c r="W115" s="97">
        <f>Q115+(AU115/100)*J115*Régions!$O$2</f>
        <v/>
      </c>
      <c r="X115" s="97">
        <f>R115+(AV115/100)*J115*Régions!$O$2</f>
        <v/>
      </c>
      <c r="Y115" s="97">
        <f>S115+(AW115/100)*J115*Régions!$O$2</f>
        <v/>
      </c>
      <c r="Z115" s="97">
        <f>T115+(AX115/100)*J115*Régions!$O$2</f>
        <v/>
      </c>
      <c r="AA115" s="97">
        <f>U115</f>
        <v/>
      </c>
      <c r="AB115" s="97">
        <f>V115</f>
        <v/>
      </c>
      <c r="AC115" s="97">
        <f>D115*INDEX(Régions!$Z$2:$Z$6,MATCH($B115,Régions!$A$2:$A$6,0))</f>
        <v/>
      </c>
      <c r="AD115" s="97">
        <f>E115*INDEX(Régions!$AA$2:$AA$6,MATCH($B115,Régions!$A$2:$A$6,0))</f>
        <v/>
      </c>
      <c r="AE115" s="97">
        <f>F115*INDEX(Régions!$AB$2:$AB$6,MATCH($B115,Régions!$A$2:$A$6,0))</f>
        <v/>
      </c>
      <c r="AF115" s="97">
        <f>G115*INDEX(Régions!$AC$2:$AC$6,MATCH($B115,Régions!$A$2:$A$6,0))</f>
        <v/>
      </c>
      <c r="AG115" s="97">
        <f>H115*INDEX(Régions!$AD$2:$AD$6,MATCH($B115,Régions!$A$2:$A$6,0))</f>
        <v/>
      </c>
      <c r="AH115" s="97">
        <f>I115*INDEX(Régions!$AE$2:$AE$6,MATCH($B115,Régions!$A$2:$A$6,0))</f>
        <v/>
      </c>
      <c r="AI115" s="97">
        <f>D115*INDEX(Régions!$AF$2:$AF$6,MATCH($B115,Régions!$A$2:$A$6,0))</f>
        <v/>
      </c>
      <c r="AJ115" s="97">
        <f>E115*INDEX(Régions!$AG$2:$AG$6,MATCH($B115,Régions!$A$2:$A$6,0))</f>
        <v/>
      </c>
      <c r="AK115" s="97">
        <f>F115*INDEX(Régions!$AH$2:$AH$6,MATCH($B115,Régions!$A$2:$A$6,0))</f>
        <v/>
      </c>
      <c r="AL115" s="97">
        <f>G115*INDEX(Régions!$AI$2:$AI$6,MATCH($B115,Régions!$A$2:$A$6,0))</f>
        <v/>
      </c>
      <c r="AM115" s="97">
        <f>H115*INDEX(Régions!$AJ$2:$AJ$6,MATCH($B115,Régions!$A$2:$A$6,0))</f>
        <v/>
      </c>
      <c r="AN115" s="97">
        <f>I115*INDEX(Régions!$AK$2:$AK$6,MATCH($B115,Régions!$A$2:$A$6,0))</f>
        <v/>
      </c>
      <c r="AO115" s="99">
        <f>INDEX({"CAQ","PLQ","QS","PQ","PCQ","Autre"},MATCH(MAX(Q115:V115),Q115:V115,0))</f>
        <v/>
      </c>
      <c r="AP115" s="99">
        <f>INDEX({"CAQ","PLQ","QS","PQ","PCQ","Autre"},MATCH(MAX(W115:AB115),W115:AB115,0))</f>
        <v/>
      </c>
      <c r="AQ115" s="99">
        <f>INDEX({"CAQ","PLQ","QS","PQ","PCQ","Autre"},MATCH(MAX(AC115:AH115),AC115:AH115,0))</f>
        <v/>
      </c>
      <c r="AR115" s="99">
        <f>INDEX({"CAQ","PLQ","QS","PQ","PCQ","Autre"},MATCH(MAX(AI115:AN115),AI115:AN115,0))</f>
        <v/>
      </c>
      <c r="AS115" s="100">
        <f>(MAX(K115:P115)-LARGE(K115:P115,2))*100</f>
        <v/>
      </c>
      <c r="AT115" s="101">
        <f>IF(AS115&lt;5,"Oui","Non")</f>
        <v/>
      </c>
      <c r="AU115" s="102" t="n">
        <v>4.626</v>
      </c>
      <c r="AV115" s="102" t="n">
        <v>1.783</v>
      </c>
      <c r="AW115" s="102" t="n">
        <v>1.914</v>
      </c>
      <c r="AX115" s="102" t="n">
        <v>-4.774</v>
      </c>
      <c r="AY115" s="96" t="n">
        <v>12186</v>
      </c>
      <c r="AZ115" s="96" t="n">
        <v>6042</v>
      </c>
      <c r="BA115" s="96" t="n">
        <v>6382</v>
      </c>
      <c r="BB115" s="96" t="n">
        <v>10138</v>
      </c>
      <c r="BC115" s="96" t="n">
        <v>1350</v>
      </c>
      <c r="BD115" s="97">
        <f>AY115*INDEX(Régions!$AQ$2:$AQ$6,MATCH($B115,Régions!$A$2:$A$6,0))</f>
        <v/>
      </c>
      <c r="BE115" s="97">
        <f>AZ115*INDEX(Régions!$AR$2:$AR$6,MATCH($B115,Régions!$A$2:$A$6,0))</f>
        <v/>
      </c>
      <c r="BF115" s="97">
        <f>BA115*INDEX(Régions!$AS$2:$AS$6,MATCH($B115,Régions!$A$2:$A$6,0))</f>
        <v/>
      </c>
      <c r="BG115" s="97">
        <f>BB115*INDEX(Régions!$AT$2:$AT$6,MATCH($B115,Régions!$A$2:$A$6,0))</f>
        <v/>
      </c>
      <c r="BH115" s="97">
        <f>U115</f>
        <v/>
      </c>
      <c r="BI115" s="97">
        <f>BC115*INDEX(Régions!$AU$2:$AU$6,MATCH($B115,Régions!$A$2:$A$6,0))</f>
        <v/>
      </c>
      <c r="BJ115" s="97">
        <f>INDEX({"CAQ","PLQ","QS","PQ","PCQ","Autre"},MATCH(MAX(BD115:BI115),BD115:BI115,0))</f>
        <v/>
      </c>
    </row>
    <row r="116" ht="15" customHeight="1" s="60">
      <c r="A116" s="94" t="inlineStr">
        <is>
          <t>Taschereau</t>
        </is>
      </c>
      <c r="B116" s="94" t="inlineStr">
        <is>
          <t>Québec RMR</t>
        </is>
      </c>
      <c r="C116" s="95" t="inlineStr">
        <is>
          <t>QS</t>
        </is>
      </c>
      <c r="D116" s="96" t="n">
        <v>7537</v>
      </c>
      <c r="E116" s="96" t="n">
        <v>2025</v>
      </c>
      <c r="F116" s="96" t="n">
        <v>13588</v>
      </c>
      <c r="G116" s="96" t="n">
        <v>7757</v>
      </c>
      <c r="H116" s="96" t="n">
        <v>3012</v>
      </c>
      <c r="I116" s="96" t="n">
        <v>451</v>
      </c>
      <c r="J116" s="97">
        <f>SUM(D116:I116)</f>
        <v/>
      </c>
      <c r="K116" s="98">
        <f>IFERROR(D116/J116,0)</f>
        <v/>
      </c>
      <c r="L116" s="98">
        <f>IFERROR(E116/J116,0)</f>
        <v/>
      </c>
      <c r="M116" s="98">
        <f>IFERROR(F116/J116,0)</f>
        <v/>
      </c>
      <c r="N116" s="98">
        <f>IFERROR(G116/J116,0)</f>
        <v/>
      </c>
      <c r="O116" s="98">
        <f>IFERROR(H116/J116,0)</f>
        <v/>
      </c>
      <c r="P116" s="98">
        <f>IFERROR(I116/J116,0)</f>
        <v/>
      </c>
      <c r="Q116" s="97">
        <f>D116*INDEX(Régions!$T$2:$T$6,MATCH($B116,Régions!$A$2:$A$6,0))</f>
        <v/>
      </c>
      <c r="R116" s="97">
        <f>E116*INDEX(Régions!$U$2:$U$6,MATCH($B116,Régions!$A$2:$A$6,0))</f>
        <v/>
      </c>
      <c r="S116" s="97">
        <f>F116*INDEX(Régions!$V$2:$V$6,MATCH($B116,Régions!$A$2:$A$6,0))</f>
        <v/>
      </c>
      <c r="T116" s="97">
        <f>G116*INDEX(Régions!$W$2:$W$6,MATCH($B116,Régions!$A$2:$A$6,0))</f>
        <v/>
      </c>
      <c r="U116" s="97">
        <f>H116*INDEX(Régions!$X$2:$X$6,MATCH($B116,Régions!$A$2:$A$6,0))</f>
        <v/>
      </c>
      <c r="V116" s="97">
        <f>I116*INDEX(Régions!$Y$2:$Y$6,MATCH($B116,Régions!$A$2:$A$6,0))</f>
        <v/>
      </c>
      <c r="W116" s="97">
        <f>Q116+(AU116/100)*J116*Régions!$O$2</f>
        <v/>
      </c>
      <c r="X116" s="97">
        <f>R116+(AV116/100)*J116*Régions!$O$2</f>
        <v/>
      </c>
      <c r="Y116" s="97">
        <f>S116+(AW116/100)*J116*Régions!$O$2</f>
        <v/>
      </c>
      <c r="Z116" s="97">
        <f>T116+(AX116/100)*J116*Régions!$O$2</f>
        <v/>
      </c>
      <c r="AA116" s="97">
        <f>U116</f>
        <v/>
      </c>
      <c r="AB116" s="97">
        <f>V116</f>
        <v/>
      </c>
      <c r="AC116" s="97">
        <f>D116*INDEX(Régions!$Z$2:$Z$6,MATCH($B116,Régions!$A$2:$A$6,0))</f>
        <v/>
      </c>
      <c r="AD116" s="97">
        <f>E116*INDEX(Régions!$AA$2:$AA$6,MATCH($B116,Régions!$A$2:$A$6,0))</f>
        <v/>
      </c>
      <c r="AE116" s="97">
        <f>F116*INDEX(Régions!$AB$2:$AB$6,MATCH($B116,Régions!$A$2:$A$6,0))</f>
        <v/>
      </c>
      <c r="AF116" s="97">
        <f>G116*INDEX(Régions!$AC$2:$AC$6,MATCH($B116,Régions!$A$2:$A$6,0))</f>
        <v/>
      </c>
      <c r="AG116" s="97">
        <f>H116*INDEX(Régions!$AD$2:$AD$6,MATCH($B116,Régions!$A$2:$A$6,0))</f>
        <v/>
      </c>
      <c r="AH116" s="97">
        <f>I116*INDEX(Régions!$AE$2:$AE$6,MATCH($B116,Régions!$A$2:$A$6,0))</f>
        <v/>
      </c>
      <c r="AI116" s="97">
        <f>D116*INDEX(Régions!$AF$2:$AF$6,MATCH($B116,Régions!$A$2:$A$6,0))</f>
        <v/>
      </c>
      <c r="AJ116" s="97">
        <f>E116*INDEX(Régions!$AG$2:$AG$6,MATCH($B116,Régions!$A$2:$A$6,0))</f>
        <v/>
      </c>
      <c r="AK116" s="97">
        <f>F116*INDEX(Régions!$AH$2:$AH$6,MATCH($B116,Régions!$A$2:$A$6,0))</f>
        <v/>
      </c>
      <c r="AL116" s="97">
        <f>G116*INDEX(Régions!$AI$2:$AI$6,MATCH($B116,Régions!$A$2:$A$6,0))</f>
        <v/>
      </c>
      <c r="AM116" s="97">
        <f>H116*INDEX(Régions!$AJ$2:$AJ$6,MATCH($B116,Régions!$A$2:$A$6,0))</f>
        <v/>
      </c>
      <c r="AN116" s="97">
        <f>I116*INDEX(Régions!$AK$2:$AK$6,MATCH($B116,Régions!$A$2:$A$6,0))</f>
        <v/>
      </c>
      <c r="AO116" s="99">
        <f>INDEX({"CAQ","PLQ","QS","PQ","PCQ","Autre"},MATCH(MAX(Q116:V116),Q116:V116,0))</f>
        <v/>
      </c>
      <c r="AP116" s="99">
        <f>INDEX({"CAQ","PLQ","QS","PQ","PCQ","Autre"},MATCH(MAX(W116:AB116),W116:AB116,0))</f>
        <v/>
      </c>
      <c r="AQ116" s="99">
        <f>INDEX({"CAQ","PLQ","QS","PQ","PCQ","Autre"},MATCH(MAX(AC116:AH116),AC116:AH116,0))</f>
        <v/>
      </c>
      <c r="AR116" s="99">
        <f>INDEX({"CAQ","PLQ","QS","PQ","PCQ","Autre"},MATCH(MAX(AI116:AN116),AI116:AN116,0))</f>
        <v/>
      </c>
      <c r="AS116" s="100">
        <f>(MAX(K116:P116)-LARGE(K116:P116,2))*100</f>
        <v/>
      </c>
      <c r="AT116" s="101">
        <f>IF(AS116&lt;5,"Oui","Non")</f>
        <v/>
      </c>
      <c r="AU116" s="102" t="n">
        <v>6.052</v>
      </c>
      <c r="AV116" s="102" t="n">
        <v>3.092</v>
      </c>
      <c r="AW116" s="102" t="n">
        <v>-2.544</v>
      </c>
      <c r="AX116" s="102" t="n">
        <v>2.978</v>
      </c>
      <c r="AY116" s="96" t="n">
        <v>6862</v>
      </c>
      <c r="AZ116" s="96" t="n">
        <v>6387</v>
      </c>
      <c r="BA116" s="96" t="n">
        <v>15373</v>
      </c>
      <c r="BB116" s="96" t="n">
        <v>6379</v>
      </c>
      <c r="BC116" s="96" t="n">
        <v>1156</v>
      </c>
      <c r="BD116" s="97">
        <f>AY116*INDEX(Régions!$AQ$2:$AQ$6,MATCH($B116,Régions!$A$2:$A$6,0))</f>
        <v/>
      </c>
      <c r="BE116" s="97">
        <f>AZ116*INDEX(Régions!$AR$2:$AR$6,MATCH($B116,Régions!$A$2:$A$6,0))</f>
        <v/>
      </c>
      <c r="BF116" s="97">
        <f>BA116*INDEX(Régions!$AS$2:$AS$6,MATCH($B116,Régions!$A$2:$A$6,0))</f>
        <v/>
      </c>
      <c r="BG116" s="97">
        <f>BB116*INDEX(Régions!$AT$2:$AT$6,MATCH($B116,Régions!$A$2:$A$6,0))</f>
        <v/>
      </c>
      <c r="BH116" s="97">
        <f>U116</f>
        <v/>
      </c>
      <c r="BI116" s="97">
        <f>BC116*INDEX(Régions!$AU$2:$AU$6,MATCH($B116,Régions!$A$2:$A$6,0))</f>
        <v/>
      </c>
      <c r="BJ116" s="97">
        <f>INDEX({"CAQ","PLQ","QS","PQ","PCQ","Autre"},MATCH(MAX(BD116:BI116),BD116:BI116,0))</f>
        <v/>
      </c>
    </row>
    <row r="117" ht="15" customHeight="1" s="60">
      <c r="A117" s="94" t="inlineStr">
        <is>
          <t>Terrebonne</t>
        </is>
      </c>
      <c r="B117" s="94" t="inlineStr">
        <is>
          <t>Banlieue de Montréal</t>
        </is>
      </c>
      <c r="C117" s="95" t="inlineStr">
        <is>
          <t>CAQ</t>
        </is>
      </c>
      <c r="D117" s="96" t="n">
        <v>18543</v>
      </c>
      <c r="E117" s="96" t="n">
        <v>3814</v>
      </c>
      <c r="F117" s="96" t="n">
        <v>4746</v>
      </c>
      <c r="G117" s="96" t="n">
        <v>7082</v>
      </c>
      <c r="H117" s="96" t="n">
        <v>2977</v>
      </c>
      <c r="I117" s="96" t="n">
        <v>344</v>
      </c>
      <c r="J117" s="97">
        <f>SUM(D117:I117)</f>
        <v/>
      </c>
      <c r="K117" s="98">
        <f>IFERROR(D117/J117,0)</f>
        <v/>
      </c>
      <c r="L117" s="98">
        <f>IFERROR(E117/J117,0)</f>
        <v/>
      </c>
      <c r="M117" s="98">
        <f>IFERROR(F117/J117,0)</f>
        <v/>
      </c>
      <c r="N117" s="98">
        <f>IFERROR(G117/J117,0)</f>
        <v/>
      </c>
      <c r="O117" s="98">
        <f>IFERROR(H117/J117,0)</f>
        <v/>
      </c>
      <c r="P117" s="98">
        <f>IFERROR(I117/J117,0)</f>
        <v/>
      </c>
      <c r="Q117" s="97">
        <f>D117*INDEX(Régions!$T$2:$T$6,MATCH($B117,Régions!$A$2:$A$6,0))</f>
        <v/>
      </c>
      <c r="R117" s="97">
        <f>E117*INDEX(Régions!$U$2:$U$6,MATCH($B117,Régions!$A$2:$A$6,0))</f>
        <v/>
      </c>
      <c r="S117" s="97">
        <f>F117*INDEX(Régions!$V$2:$V$6,MATCH($B117,Régions!$A$2:$A$6,0))</f>
        <v/>
      </c>
      <c r="T117" s="97">
        <f>G117*INDEX(Régions!$W$2:$W$6,MATCH($B117,Régions!$A$2:$A$6,0))</f>
        <v/>
      </c>
      <c r="U117" s="97">
        <f>H117*INDEX(Régions!$X$2:$X$6,MATCH($B117,Régions!$A$2:$A$6,0))</f>
        <v/>
      </c>
      <c r="V117" s="97">
        <f>I117*INDEX(Régions!$Y$2:$Y$6,MATCH($B117,Régions!$A$2:$A$6,0))</f>
        <v/>
      </c>
      <c r="W117" s="97">
        <f>Q117+(AU117/100)*J117*Régions!$O$2</f>
        <v/>
      </c>
      <c r="X117" s="97">
        <f>R117+(AV117/100)*J117*Régions!$O$2</f>
        <v/>
      </c>
      <c r="Y117" s="97">
        <f>S117+(AW117/100)*J117*Régions!$O$2</f>
        <v/>
      </c>
      <c r="Z117" s="97">
        <f>T117+(AX117/100)*J117*Régions!$O$2</f>
        <v/>
      </c>
      <c r="AA117" s="97">
        <f>U117</f>
        <v/>
      </c>
      <c r="AB117" s="97">
        <f>V117</f>
        <v/>
      </c>
      <c r="AC117" s="97">
        <f>D117*INDEX(Régions!$Z$2:$Z$6,MATCH($B117,Régions!$A$2:$A$6,0))</f>
        <v/>
      </c>
      <c r="AD117" s="97">
        <f>E117*INDEX(Régions!$AA$2:$AA$6,MATCH($B117,Régions!$A$2:$A$6,0))</f>
        <v/>
      </c>
      <c r="AE117" s="97">
        <f>F117*INDEX(Régions!$AB$2:$AB$6,MATCH($B117,Régions!$A$2:$A$6,0))</f>
        <v/>
      </c>
      <c r="AF117" s="97">
        <f>G117*INDEX(Régions!$AC$2:$AC$6,MATCH($B117,Régions!$A$2:$A$6,0))</f>
        <v/>
      </c>
      <c r="AG117" s="97">
        <f>H117*INDEX(Régions!$AD$2:$AD$6,MATCH($B117,Régions!$A$2:$A$6,0))</f>
        <v/>
      </c>
      <c r="AH117" s="97">
        <f>I117*INDEX(Régions!$AE$2:$AE$6,MATCH($B117,Régions!$A$2:$A$6,0))</f>
        <v/>
      </c>
      <c r="AI117" s="97">
        <f>D117*INDEX(Régions!$AF$2:$AF$6,MATCH($B117,Régions!$A$2:$A$6,0))</f>
        <v/>
      </c>
      <c r="AJ117" s="97">
        <f>E117*INDEX(Régions!$AG$2:$AG$6,MATCH($B117,Régions!$A$2:$A$6,0))</f>
        <v/>
      </c>
      <c r="AK117" s="97">
        <f>F117*INDEX(Régions!$AH$2:$AH$6,MATCH($B117,Régions!$A$2:$A$6,0))</f>
        <v/>
      </c>
      <c r="AL117" s="97">
        <f>G117*INDEX(Régions!$AI$2:$AI$6,MATCH($B117,Régions!$A$2:$A$6,0))</f>
        <v/>
      </c>
      <c r="AM117" s="97">
        <f>H117*INDEX(Régions!$AJ$2:$AJ$6,MATCH($B117,Régions!$A$2:$A$6,0))</f>
        <v/>
      </c>
      <c r="AN117" s="97">
        <f>I117*INDEX(Régions!$AK$2:$AK$6,MATCH($B117,Régions!$A$2:$A$6,0))</f>
        <v/>
      </c>
      <c r="AO117" s="99">
        <f>INDEX({"CAQ","PLQ","QS","PQ","PCQ","Autre"},MATCH(MAX(Q117:V117),Q117:V117,0))</f>
        <v/>
      </c>
      <c r="AP117" s="99">
        <f>INDEX({"CAQ","PLQ","QS","PQ","PCQ","Autre"},MATCH(MAX(W117:AB117),W117:AB117,0))</f>
        <v/>
      </c>
      <c r="AQ117" s="99">
        <f>INDEX({"CAQ","PLQ","QS","PQ","PCQ","Autre"},MATCH(MAX(AC117:AH117),AC117:AH117,0))</f>
        <v/>
      </c>
      <c r="AR117" s="99">
        <f>INDEX({"CAQ","PLQ","QS","PQ","PCQ","Autre"},MATCH(MAX(AI117:AN117),AI117:AN117,0))</f>
        <v/>
      </c>
      <c r="AS117" s="100">
        <f>(MAX(K117:P117)-LARGE(K117:P117,2))*100</f>
        <v/>
      </c>
      <c r="AT117" s="101">
        <f>IF(AS117&lt;5,"Oui","Non")</f>
        <v/>
      </c>
      <c r="AU117" s="102" t="n">
        <v>3.348</v>
      </c>
      <c r="AV117" s="102" t="n">
        <v>4.951</v>
      </c>
      <c r="AW117" s="102" t="n">
        <v>0.49</v>
      </c>
      <c r="AX117" s="102" t="n">
        <v>-7.606</v>
      </c>
      <c r="AY117" s="96" t="n">
        <v>15641</v>
      </c>
      <c r="AZ117" s="96" t="n">
        <v>4412</v>
      </c>
      <c r="BA117" s="96" t="n">
        <v>4681</v>
      </c>
      <c r="BB117" s="96" t="n">
        <v>10735</v>
      </c>
      <c r="BC117" s="96" t="n">
        <v>934</v>
      </c>
      <c r="BD117" s="97">
        <f>AY117*INDEX(Régions!$AQ$2:$AQ$6,MATCH($B117,Régions!$A$2:$A$6,0))</f>
        <v/>
      </c>
      <c r="BE117" s="97">
        <f>AZ117*INDEX(Régions!$AR$2:$AR$6,MATCH($B117,Régions!$A$2:$A$6,0))</f>
        <v/>
      </c>
      <c r="BF117" s="97">
        <f>BA117*INDEX(Régions!$AS$2:$AS$6,MATCH($B117,Régions!$A$2:$A$6,0))</f>
        <v/>
      </c>
      <c r="BG117" s="97">
        <f>BB117*INDEX(Régions!$AT$2:$AT$6,MATCH($B117,Régions!$A$2:$A$6,0))</f>
        <v/>
      </c>
      <c r="BH117" s="97">
        <f>U117</f>
        <v/>
      </c>
      <c r="BI117" s="97">
        <f>BC117*INDEX(Régions!$AU$2:$AU$6,MATCH($B117,Régions!$A$2:$A$6,0))</f>
        <v/>
      </c>
      <c r="BJ117" s="97">
        <f>INDEX({"CAQ","PLQ","QS","PQ","PCQ","Autre"},MATCH(MAX(BD117:BI117),BD117:BI117,0))</f>
        <v/>
      </c>
    </row>
    <row r="118" ht="15" customHeight="1" s="60">
      <c r="A118" s="94" t="inlineStr">
        <is>
          <t>Trois-Rivières</t>
        </is>
      </c>
      <c r="B118" s="94" t="inlineStr">
        <is>
          <t>Reste du Québec</t>
        </is>
      </c>
      <c r="C118" s="95" t="inlineStr">
        <is>
          <t>CAQ</t>
        </is>
      </c>
      <c r="D118" s="96" t="n">
        <v>18859</v>
      </c>
      <c r="E118" s="96" t="n">
        <v>2056</v>
      </c>
      <c r="F118" s="96" t="n">
        <v>6069</v>
      </c>
      <c r="G118" s="96" t="n">
        <v>5323</v>
      </c>
      <c r="H118" s="96" t="n">
        <v>4552</v>
      </c>
      <c r="I118" s="96" t="n">
        <v>256</v>
      </c>
      <c r="J118" s="97">
        <f>SUM(D118:I118)</f>
        <v/>
      </c>
      <c r="K118" s="98">
        <f>IFERROR(D118/J118,0)</f>
        <v/>
      </c>
      <c r="L118" s="98">
        <f>IFERROR(E118/J118,0)</f>
        <v/>
      </c>
      <c r="M118" s="98">
        <f>IFERROR(F118/J118,0)</f>
        <v/>
      </c>
      <c r="N118" s="98">
        <f>IFERROR(G118/J118,0)</f>
        <v/>
      </c>
      <c r="O118" s="98">
        <f>IFERROR(H118/J118,0)</f>
        <v/>
      </c>
      <c r="P118" s="98">
        <f>IFERROR(I118/J118,0)</f>
        <v/>
      </c>
      <c r="Q118" s="97">
        <f>D118*INDEX(Régions!$T$2:$T$6,MATCH($B118,Régions!$A$2:$A$6,0))</f>
        <v/>
      </c>
      <c r="R118" s="97">
        <f>E118*INDEX(Régions!$U$2:$U$6,MATCH($B118,Régions!$A$2:$A$6,0))</f>
        <v/>
      </c>
      <c r="S118" s="97">
        <f>F118*INDEX(Régions!$V$2:$V$6,MATCH($B118,Régions!$A$2:$A$6,0))</f>
        <v/>
      </c>
      <c r="T118" s="97">
        <f>G118*INDEX(Régions!$W$2:$W$6,MATCH($B118,Régions!$A$2:$A$6,0))</f>
        <v/>
      </c>
      <c r="U118" s="97">
        <f>H118*INDEX(Régions!$X$2:$X$6,MATCH($B118,Régions!$A$2:$A$6,0))</f>
        <v/>
      </c>
      <c r="V118" s="97">
        <f>I118*INDEX(Régions!$Y$2:$Y$6,MATCH($B118,Régions!$A$2:$A$6,0))</f>
        <v/>
      </c>
      <c r="W118" s="97">
        <f>Q118+(AU118/100)*J118*Régions!$O$2</f>
        <v/>
      </c>
      <c r="X118" s="97">
        <f>R118+(AV118/100)*J118*Régions!$O$2</f>
        <v/>
      </c>
      <c r="Y118" s="97">
        <f>S118+(AW118/100)*J118*Régions!$O$2</f>
        <v/>
      </c>
      <c r="Z118" s="97">
        <f>T118+(AX118/100)*J118*Régions!$O$2</f>
        <v/>
      </c>
      <c r="AA118" s="97">
        <f>U118</f>
        <v/>
      </c>
      <c r="AB118" s="97">
        <f>V118</f>
        <v/>
      </c>
      <c r="AC118" s="97">
        <f>D118*INDEX(Régions!$Z$2:$Z$6,MATCH($B118,Régions!$A$2:$A$6,0))</f>
        <v/>
      </c>
      <c r="AD118" s="97">
        <f>E118*INDEX(Régions!$AA$2:$AA$6,MATCH($B118,Régions!$A$2:$A$6,0))</f>
        <v/>
      </c>
      <c r="AE118" s="97">
        <f>F118*INDEX(Régions!$AB$2:$AB$6,MATCH($B118,Régions!$A$2:$A$6,0))</f>
        <v/>
      </c>
      <c r="AF118" s="97">
        <f>G118*INDEX(Régions!$AC$2:$AC$6,MATCH($B118,Régions!$A$2:$A$6,0))</f>
        <v/>
      </c>
      <c r="AG118" s="97">
        <f>H118*INDEX(Régions!$AD$2:$AD$6,MATCH($B118,Régions!$A$2:$A$6,0))</f>
        <v/>
      </c>
      <c r="AH118" s="97">
        <f>I118*INDEX(Régions!$AE$2:$AE$6,MATCH($B118,Régions!$A$2:$A$6,0))</f>
        <v/>
      </c>
      <c r="AI118" s="97">
        <f>D118*INDEX(Régions!$AF$2:$AF$6,MATCH($B118,Régions!$A$2:$A$6,0))</f>
        <v/>
      </c>
      <c r="AJ118" s="97">
        <f>E118*INDEX(Régions!$AG$2:$AG$6,MATCH($B118,Régions!$A$2:$A$6,0))</f>
        <v/>
      </c>
      <c r="AK118" s="97">
        <f>F118*INDEX(Régions!$AH$2:$AH$6,MATCH($B118,Régions!$A$2:$A$6,0))</f>
        <v/>
      </c>
      <c r="AL118" s="97">
        <f>G118*INDEX(Régions!$AI$2:$AI$6,MATCH($B118,Régions!$A$2:$A$6,0))</f>
        <v/>
      </c>
      <c r="AM118" s="97">
        <f>H118*INDEX(Régions!$AJ$2:$AJ$6,MATCH($B118,Régions!$A$2:$A$6,0))</f>
        <v/>
      </c>
      <c r="AN118" s="97">
        <f>I118*INDEX(Régions!$AK$2:$AK$6,MATCH($B118,Régions!$A$2:$A$6,0))</f>
        <v/>
      </c>
      <c r="AO118" s="99">
        <f>INDEX({"CAQ","PLQ","QS","PQ","PCQ","Autre"},MATCH(MAX(Q118:V118),Q118:V118,0))</f>
        <v/>
      </c>
      <c r="AP118" s="99">
        <f>INDEX({"CAQ","PLQ","QS","PQ","PCQ","Autre"},MATCH(MAX(W118:AB118),W118:AB118,0))</f>
        <v/>
      </c>
      <c r="AQ118" s="99">
        <f>INDEX({"CAQ","PLQ","QS","PQ","PCQ","Autre"},MATCH(MAX(AC118:AH118),AC118:AH118,0))</f>
        <v/>
      </c>
      <c r="AR118" s="99">
        <f>INDEX({"CAQ","PLQ","QS","PQ","PCQ","Autre"},MATCH(MAX(AI118:AN118),AI118:AN118,0))</f>
        <v/>
      </c>
      <c r="AS118" s="100">
        <f>(MAX(K118:P118)-LARGE(K118:P118,2))*100</f>
        <v/>
      </c>
      <c r="AT118" s="101">
        <f>IF(AS118&lt;5,"Oui","Non")</f>
        <v/>
      </c>
      <c r="AU118" s="102" t="n">
        <v>3.789</v>
      </c>
      <c r="AV118" s="102" t="n">
        <v>-4.554</v>
      </c>
      <c r="AW118" s="102" t="n">
        <v>0.154</v>
      </c>
      <c r="AX118" s="102" t="n">
        <v>2.891</v>
      </c>
      <c r="AY118" s="96" t="n">
        <v>15323</v>
      </c>
      <c r="AZ118" s="96" t="n">
        <v>8522</v>
      </c>
      <c r="BA118" s="96" t="n">
        <v>6411</v>
      </c>
      <c r="BB118" s="96" t="n">
        <v>5758</v>
      </c>
      <c r="BC118" s="96" t="n">
        <v>1292</v>
      </c>
      <c r="BD118" s="97">
        <f>AY118*INDEX(Régions!$AQ$2:$AQ$6,MATCH($B118,Régions!$A$2:$A$6,0))</f>
        <v/>
      </c>
      <c r="BE118" s="97">
        <f>AZ118*INDEX(Régions!$AR$2:$AR$6,MATCH($B118,Régions!$A$2:$A$6,0))</f>
        <v/>
      </c>
      <c r="BF118" s="97">
        <f>BA118*INDEX(Régions!$AS$2:$AS$6,MATCH($B118,Régions!$A$2:$A$6,0))</f>
        <v/>
      </c>
      <c r="BG118" s="97">
        <f>BB118*INDEX(Régions!$AT$2:$AT$6,MATCH($B118,Régions!$A$2:$A$6,0))</f>
        <v/>
      </c>
      <c r="BH118" s="97">
        <f>U118</f>
        <v/>
      </c>
      <c r="BI118" s="97">
        <f>BC118*INDEX(Régions!$AU$2:$AU$6,MATCH($B118,Régions!$A$2:$A$6,0))</f>
        <v/>
      </c>
      <c r="BJ118" s="97">
        <f>INDEX({"CAQ","PLQ","QS","PQ","PCQ","Autre"},MATCH(MAX(BD118:BI118),BD118:BI118,0))</f>
        <v/>
      </c>
    </row>
    <row r="119" ht="15" customHeight="1" s="60">
      <c r="A119" s="94" t="inlineStr">
        <is>
          <t>Ungava</t>
        </is>
      </c>
      <c r="B119" s="94" t="inlineStr">
        <is>
          <t>Reste du Québec</t>
        </is>
      </c>
      <c r="C119" s="95" t="inlineStr">
        <is>
          <t>CAQ</t>
        </is>
      </c>
      <c r="D119" s="96" t="n">
        <v>3132</v>
      </c>
      <c r="E119" s="96" t="n">
        <v>1571</v>
      </c>
      <c r="F119" s="96" t="n">
        <v>2092</v>
      </c>
      <c r="G119" s="96" t="n">
        <v>1084</v>
      </c>
      <c r="H119" s="96" t="n">
        <v>756</v>
      </c>
      <c r="I119" s="96" t="n">
        <v>0</v>
      </c>
      <c r="J119" s="97">
        <f>SUM(D119:I119)</f>
        <v/>
      </c>
      <c r="K119" s="98">
        <f>IFERROR(D119/J119,0)</f>
        <v/>
      </c>
      <c r="L119" s="98">
        <f>IFERROR(E119/J119,0)</f>
        <v/>
      </c>
      <c r="M119" s="98">
        <f>IFERROR(F119/J119,0)</f>
        <v/>
      </c>
      <c r="N119" s="98">
        <f>IFERROR(G119/J119,0)</f>
        <v/>
      </c>
      <c r="O119" s="98">
        <f>IFERROR(H119/J119,0)</f>
        <v/>
      </c>
      <c r="P119" s="98">
        <f>IFERROR(I119/J119,0)</f>
        <v/>
      </c>
      <c r="Q119" s="97">
        <f>D119*INDEX(Régions!$T$2:$T$6,MATCH($B119,Régions!$A$2:$A$6,0))</f>
        <v/>
      </c>
      <c r="R119" s="97">
        <f>E119*INDEX(Régions!$U$2:$U$6,MATCH($B119,Régions!$A$2:$A$6,0))</f>
        <v/>
      </c>
      <c r="S119" s="97">
        <f>F119*INDEX(Régions!$V$2:$V$6,MATCH($B119,Régions!$A$2:$A$6,0))</f>
        <v/>
      </c>
      <c r="T119" s="97">
        <f>G119*INDEX(Régions!$W$2:$W$6,MATCH($B119,Régions!$A$2:$A$6,0))</f>
        <v/>
      </c>
      <c r="U119" s="97">
        <f>H119*INDEX(Régions!$X$2:$X$6,MATCH($B119,Régions!$A$2:$A$6,0))</f>
        <v/>
      </c>
      <c r="V119" s="97">
        <f>I119*INDEX(Régions!$Y$2:$Y$6,MATCH($B119,Régions!$A$2:$A$6,0))</f>
        <v/>
      </c>
      <c r="W119" s="97">
        <f>Q119+(AU119/100)*J119*Régions!$O$2</f>
        <v/>
      </c>
      <c r="X119" s="97">
        <f>R119+(AV119/100)*J119*Régions!$O$2</f>
        <v/>
      </c>
      <c r="Y119" s="97">
        <f>S119+(AW119/100)*J119*Régions!$O$2</f>
        <v/>
      </c>
      <c r="Z119" s="97">
        <f>T119+(AX119/100)*J119*Régions!$O$2</f>
        <v/>
      </c>
      <c r="AA119" s="97">
        <f>U119</f>
        <v/>
      </c>
      <c r="AB119" s="97">
        <f>V119</f>
        <v/>
      </c>
      <c r="AC119" s="97">
        <f>D119*INDEX(Régions!$Z$2:$Z$6,MATCH($B119,Régions!$A$2:$A$6,0))</f>
        <v/>
      </c>
      <c r="AD119" s="97">
        <f>E119*INDEX(Régions!$AA$2:$AA$6,MATCH($B119,Régions!$A$2:$A$6,0))</f>
        <v/>
      </c>
      <c r="AE119" s="97">
        <f>F119*INDEX(Régions!$AB$2:$AB$6,MATCH($B119,Régions!$A$2:$A$6,0))</f>
        <v/>
      </c>
      <c r="AF119" s="97">
        <f>G119*INDEX(Régions!$AC$2:$AC$6,MATCH($B119,Régions!$A$2:$A$6,0))</f>
        <v/>
      </c>
      <c r="AG119" s="97">
        <f>H119*INDEX(Régions!$AD$2:$AD$6,MATCH($B119,Régions!$A$2:$A$6,0))</f>
        <v/>
      </c>
      <c r="AH119" s="97">
        <f>I119*INDEX(Régions!$AE$2:$AE$6,MATCH($B119,Régions!$A$2:$A$6,0))</f>
        <v/>
      </c>
      <c r="AI119" s="97">
        <f>D119*INDEX(Régions!$AF$2:$AF$6,MATCH($B119,Régions!$A$2:$A$6,0))</f>
        <v/>
      </c>
      <c r="AJ119" s="97">
        <f>E119*INDEX(Régions!$AG$2:$AG$6,MATCH($B119,Régions!$A$2:$A$6,0))</f>
        <v/>
      </c>
      <c r="AK119" s="97">
        <f>F119*INDEX(Régions!$AH$2:$AH$6,MATCH($B119,Régions!$A$2:$A$6,0))</f>
        <v/>
      </c>
      <c r="AL119" s="97">
        <f>G119*INDEX(Régions!$AI$2:$AI$6,MATCH($B119,Régions!$A$2:$A$6,0))</f>
        <v/>
      </c>
      <c r="AM119" s="97">
        <f>H119*INDEX(Régions!$AJ$2:$AJ$6,MATCH($B119,Régions!$A$2:$A$6,0))</f>
        <v/>
      </c>
      <c r="AN119" s="97">
        <f>I119*INDEX(Régions!$AK$2:$AK$6,MATCH($B119,Régions!$A$2:$A$6,0))</f>
        <v/>
      </c>
      <c r="AO119" s="99">
        <f>INDEX({"CAQ","PLQ","QS","PQ","PCQ","Autre"},MATCH(MAX(Q119:V119),Q119:V119,0))</f>
        <v/>
      </c>
      <c r="AP119" s="99">
        <f>INDEX({"CAQ","PLQ","QS","PQ","PCQ","Autre"},MATCH(MAX(W119:AB119),W119:AB119,0))</f>
        <v/>
      </c>
      <c r="AQ119" s="99">
        <f>INDEX({"CAQ","PLQ","QS","PQ","PCQ","Autre"},MATCH(MAX(AC119:AH119),AC119:AH119,0))</f>
        <v/>
      </c>
      <c r="AR119" s="99">
        <f>INDEX({"CAQ","PLQ","QS","PQ","PCQ","Autre"},MATCH(MAX(AI119:AN119),AI119:AN119,0))</f>
        <v/>
      </c>
      <c r="AS119" s="100">
        <f>(MAX(K119:P119)-LARGE(K119:P119,2))*100</f>
        <v/>
      </c>
      <c r="AT119" s="101">
        <f>IF(AS119&lt;5,"Oui","Non")</f>
        <v/>
      </c>
      <c r="AU119" s="102" t="n">
        <v>3.815</v>
      </c>
      <c r="AV119" s="102" t="n">
        <v>6.025</v>
      </c>
      <c r="AW119" s="102" t="n">
        <v>8.68</v>
      </c>
      <c r="AX119" s="102" t="n">
        <v>-9.432</v>
      </c>
      <c r="AY119" s="96" t="n">
        <v>2270</v>
      </c>
      <c r="AZ119" s="96" t="n">
        <v>2134</v>
      </c>
      <c r="BA119" s="96" t="n">
        <v>1416</v>
      </c>
      <c r="BB119" s="96" t="n">
        <v>2224</v>
      </c>
      <c r="BC119" s="96" t="n">
        <v>520</v>
      </c>
      <c r="BD119" s="97">
        <f>AY119*INDEX(Régions!$AQ$2:$AQ$6,MATCH($B119,Régions!$A$2:$A$6,0))</f>
        <v/>
      </c>
      <c r="BE119" s="97">
        <f>AZ119*INDEX(Régions!$AR$2:$AR$6,MATCH($B119,Régions!$A$2:$A$6,0))</f>
        <v/>
      </c>
      <c r="BF119" s="97">
        <f>BA119*INDEX(Régions!$AS$2:$AS$6,MATCH($B119,Régions!$A$2:$A$6,0))</f>
        <v/>
      </c>
      <c r="BG119" s="97">
        <f>BB119*INDEX(Régions!$AT$2:$AT$6,MATCH($B119,Régions!$A$2:$A$6,0))</f>
        <v/>
      </c>
      <c r="BH119" s="97">
        <f>U119</f>
        <v/>
      </c>
      <c r="BI119" s="97">
        <f>BC119*INDEX(Régions!$AU$2:$AU$6,MATCH($B119,Régions!$A$2:$A$6,0))</f>
        <v/>
      </c>
      <c r="BJ119" s="97">
        <f>INDEX({"CAQ","PLQ","QS","PQ","PCQ","Autre"},MATCH(MAX(BD119:BI119),BD119:BI119,0))</f>
        <v/>
      </c>
    </row>
    <row r="120" ht="15" customHeight="1" s="60">
      <c r="A120" s="94" t="inlineStr">
        <is>
          <t>Vachon</t>
        </is>
      </c>
      <c r="B120" s="94" t="inlineStr">
        <is>
          <t>Reste du Québec</t>
        </is>
      </c>
      <c r="C120" s="95" t="inlineStr">
        <is>
          <t>CAQ</t>
        </is>
      </c>
      <c r="D120" s="96" t="n">
        <v>15984</v>
      </c>
      <c r="E120" s="96" t="n">
        <v>5718</v>
      </c>
      <c r="F120" s="96" t="n">
        <v>5343</v>
      </c>
      <c r="G120" s="96" t="n">
        <v>4757</v>
      </c>
      <c r="H120" s="96" t="n">
        <v>3166</v>
      </c>
      <c r="I120" s="96" t="n">
        <v>621</v>
      </c>
      <c r="J120" s="97">
        <f>SUM(D120:I120)</f>
        <v/>
      </c>
      <c r="K120" s="98">
        <f>IFERROR(D120/J120,0)</f>
        <v/>
      </c>
      <c r="L120" s="98">
        <f>IFERROR(E120/J120,0)</f>
        <v/>
      </c>
      <c r="M120" s="98">
        <f>IFERROR(F120/J120,0)</f>
        <v/>
      </c>
      <c r="N120" s="98">
        <f>IFERROR(G120/J120,0)</f>
        <v/>
      </c>
      <c r="O120" s="98">
        <f>IFERROR(H120/J120,0)</f>
        <v/>
      </c>
      <c r="P120" s="98">
        <f>IFERROR(I120/J120,0)</f>
        <v/>
      </c>
      <c r="Q120" s="97">
        <f>D120*INDEX(Régions!$T$2:$T$6,MATCH($B120,Régions!$A$2:$A$6,0))</f>
        <v/>
      </c>
      <c r="R120" s="97">
        <f>E120*INDEX(Régions!$U$2:$U$6,MATCH($B120,Régions!$A$2:$A$6,0))</f>
        <v/>
      </c>
      <c r="S120" s="97">
        <f>F120*INDEX(Régions!$V$2:$V$6,MATCH($B120,Régions!$A$2:$A$6,0))</f>
        <v/>
      </c>
      <c r="T120" s="97">
        <f>G120*INDEX(Régions!$W$2:$W$6,MATCH($B120,Régions!$A$2:$A$6,0))</f>
        <v/>
      </c>
      <c r="U120" s="97">
        <f>H120*INDEX(Régions!$X$2:$X$6,MATCH($B120,Régions!$A$2:$A$6,0))</f>
        <v/>
      </c>
      <c r="V120" s="97">
        <f>I120*INDEX(Régions!$Y$2:$Y$6,MATCH($B120,Régions!$A$2:$A$6,0))</f>
        <v/>
      </c>
      <c r="W120" s="97">
        <f>Q120+(AU120/100)*J120*Régions!$O$2</f>
        <v/>
      </c>
      <c r="X120" s="97">
        <f>R120+(AV120/100)*J120*Régions!$O$2</f>
        <v/>
      </c>
      <c r="Y120" s="97">
        <f>S120+(AW120/100)*J120*Régions!$O$2</f>
        <v/>
      </c>
      <c r="Z120" s="97">
        <f>T120+(AX120/100)*J120*Régions!$O$2</f>
        <v/>
      </c>
      <c r="AA120" s="97">
        <f>U120</f>
        <v/>
      </c>
      <c r="AB120" s="97">
        <f>V120</f>
        <v/>
      </c>
      <c r="AC120" s="97">
        <f>D120*INDEX(Régions!$Z$2:$Z$6,MATCH($B120,Régions!$A$2:$A$6,0))</f>
        <v/>
      </c>
      <c r="AD120" s="97">
        <f>E120*INDEX(Régions!$AA$2:$AA$6,MATCH($B120,Régions!$A$2:$A$6,0))</f>
        <v/>
      </c>
      <c r="AE120" s="97">
        <f>F120*INDEX(Régions!$AB$2:$AB$6,MATCH($B120,Régions!$A$2:$A$6,0))</f>
        <v/>
      </c>
      <c r="AF120" s="97">
        <f>G120*INDEX(Régions!$AC$2:$AC$6,MATCH($B120,Régions!$A$2:$A$6,0))</f>
        <v/>
      </c>
      <c r="AG120" s="97">
        <f>H120*INDEX(Régions!$AD$2:$AD$6,MATCH($B120,Régions!$A$2:$A$6,0))</f>
        <v/>
      </c>
      <c r="AH120" s="97">
        <f>I120*INDEX(Régions!$AE$2:$AE$6,MATCH($B120,Régions!$A$2:$A$6,0))</f>
        <v/>
      </c>
      <c r="AI120" s="97">
        <f>D120*INDEX(Régions!$AF$2:$AF$6,MATCH($B120,Régions!$A$2:$A$6,0))</f>
        <v/>
      </c>
      <c r="AJ120" s="97">
        <f>E120*INDEX(Régions!$AG$2:$AG$6,MATCH($B120,Régions!$A$2:$A$6,0))</f>
        <v/>
      </c>
      <c r="AK120" s="97">
        <f>F120*INDEX(Régions!$AH$2:$AH$6,MATCH($B120,Régions!$A$2:$A$6,0))</f>
        <v/>
      </c>
      <c r="AL120" s="97">
        <f>G120*INDEX(Régions!$AI$2:$AI$6,MATCH($B120,Régions!$A$2:$A$6,0))</f>
        <v/>
      </c>
      <c r="AM120" s="97">
        <f>H120*INDEX(Régions!$AJ$2:$AJ$6,MATCH($B120,Régions!$A$2:$A$6,0))</f>
        <v/>
      </c>
      <c r="AN120" s="97">
        <f>I120*INDEX(Régions!$AK$2:$AK$6,MATCH($B120,Régions!$A$2:$A$6,0))</f>
        <v/>
      </c>
      <c r="AO120" s="99">
        <f>INDEX({"CAQ","PLQ","QS","PQ","PCQ","Autre"},MATCH(MAX(Q120:V120),Q120:V120,0))</f>
        <v/>
      </c>
      <c r="AP120" s="99">
        <f>INDEX({"CAQ","PLQ","QS","PQ","PCQ","Autre"},MATCH(MAX(W120:AB120),W120:AB120,0))</f>
        <v/>
      </c>
      <c r="AQ120" s="99">
        <f>INDEX({"CAQ","PLQ","QS","PQ","PCQ","Autre"},MATCH(MAX(AC120:AH120),AC120:AH120,0))</f>
        <v/>
      </c>
      <c r="AR120" s="99">
        <f>INDEX({"CAQ","PLQ","QS","PQ","PCQ","Autre"},MATCH(MAX(AI120:AN120),AI120:AN120,0))</f>
        <v/>
      </c>
      <c r="AS120" s="100">
        <f>(MAX(K120:P120)-LARGE(K120:P120,2))*100</f>
        <v/>
      </c>
      <c r="AT120" s="101">
        <f>IF(AS120&lt;5,"Oui","Non")</f>
        <v/>
      </c>
      <c r="AU120" s="102" t="n">
        <v>-4.648</v>
      </c>
      <c r="AV120" s="102" t="n">
        <v>7.783</v>
      </c>
      <c r="AW120" s="102" t="n">
        <v>1.503</v>
      </c>
      <c r="AX120" s="102" t="n">
        <v>0.308</v>
      </c>
      <c r="AY120" s="96" t="n">
        <v>15625</v>
      </c>
      <c r="AZ120" s="96" t="n">
        <v>7536</v>
      </c>
      <c r="BA120" s="96" t="n">
        <v>5194</v>
      </c>
      <c r="BB120" s="96" t="n">
        <v>6106</v>
      </c>
      <c r="BC120" s="96" t="n">
        <v>1367</v>
      </c>
      <c r="BD120" s="97">
        <f>AY120*INDEX(Régions!$AQ$2:$AQ$6,MATCH($B120,Régions!$A$2:$A$6,0))</f>
        <v/>
      </c>
      <c r="BE120" s="97">
        <f>AZ120*INDEX(Régions!$AR$2:$AR$6,MATCH($B120,Régions!$A$2:$A$6,0))</f>
        <v/>
      </c>
      <c r="BF120" s="97">
        <f>BA120*INDEX(Régions!$AS$2:$AS$6,MATCH($B120,Régions!$A$2:$A$6,0))</f>
        <v/>
      </c>
      <c r="BG120" s="97">
        <f>BB120*INDEX(Régions!$AT$2:$AT$6,MATCH($B120,Régions!$A$2:$A$6,0))</f>
        <v/>
      </c>
      <c r="BH120" s="97">
        <f>U120</f>
        <v/>
      </c>
      <c r="BI120" s="97">
        <f>BC120*INDEX(Régions!$AU$2:$AU$6,MATCH($B120,Régions!$A$2:$A$6,0))</f>
        <v/>
      </c>
      <c r="BJ120" s="97">
        <f>INDEX({"CAQ","PLQ","QS","PQ","PCQ","Autre"},MATCH(MAX(BD120:BI120),BD120:BI120,0))</f>
        <v/>
      </c>
    </row>
    <row r="121" ht="15" customHeight="1" s="60">
      <c r="A121" s="94" t="inlineStr">
        <is>
          <t>Vanier-Les Rivières</t>
        </is>
      </c>
      <c r="B121" s="94" t="inlineStr">
        <is>
          <t>Québec RMR</t>
        </is>
      </c>
      <c r="C121" s="95" t="inlineStr">
        <is>
          <t>CAQ</t>
        </is>
      </c>
      <c r="D121" s="96" t="n">
        <v>19276</v>
      </c>
      <c r="E121" s="96" t="n">
        <v>2556</v>
      </c>
      <c r="F121" s="96" t="n">
        <v>4943</v>
      </c>
      <c r="G121" s="96" t="n">
        <v>5317</v>
      </c>
      <c r="H121" s="96" t="n">
        <v>7940</v>
      </c>
      <c r="I121" s="96" t="n">
        <v>645</v>
      </c>
      <c r="J121" s="97">
        <f>SUM(D121:I121)</f>
        <v/>
      </c>
      <c r="K121" s="98">
        <f>IFERROR(D121/J121,0)</f>
        <v/>
      </c>
      <c r="L121" s="98">
        <f>IFERROR(E121/J121,0)</f>
        <v/>
      </c>
      <c r="M121" s="98">
        <f>IFERROR(F121/J121,0)</f>
        <v/>
      </c>
      <c r="N121" s="98">
        <f>IFERROR(G121/J121,0)</f>
        <v/>
      </c>
      <c r="O121" s="98">
        <f>IFERROR(H121/J121,0)</f>
        <v/>
      </c>
      <c r="P121" s="98">
        <f>IFERROR(I121/J121,0)</f>
        <v/>
      </c>
      <c r="Q121" s="97">
        <f>D121*INDEX(Régions!$T$2:$T$6,MATCH($B121,Régions!$A$2:$A$6,0))</f>
        <v/>
      </c>
      <c r="R121" s="97">
        <f>E121*INDEX(Régions!$U$2:$U$6,MATCH($B121,Régions!$A$2:$A$6,0))</f>
        <v/>
      </c>
      <c r="S121" s="97">
        <f>F121*INDEX(Régions!$V$2:$V$6,MATCH($B121,Régions!$A$2:$A$6,0))</f>
        <v/>
      </c>
      <c r="T121" s="97">
        <f>G121*INDEX(Régions!$W$2:$W$6,MATCH($B121,Régions!$A$2:$A$6,0))</f>
        <v/>
      </c>
      <c r="U121" s="97">
        <f>H121*INDEX(Régions!$X$2:$X$6,MATCH($B121,Régions!$A$2:$A$6,0))</f>
        <v/>
      </c>
      <c r="V121" s="97">
        <f>I121*INDEX(Régions!$Y$2:$Y$6,MATCH($B121,Régions!$A$2:$A$6,0))</f>
        <v/>
      </c>
      <c r="W121" s="97">
        <f>Q121+(AU121/100)*J121*Régions!$O$2</f>
        <v/>
      </c>
      <c r="X121" s="97">
        <f>R121+(AV121/100)*J121*Régions!$O$2</f>
        <v/>
      </c>
      <c r="Y121" s="97">
        <f>S121+(AW121/100)*J121*Régions!$O$2</f>
        <v/>
      </c>
      <c r="Z121" s="97">
        <f>T121+(AX121/100)*J121*Régions!$O$2</f>
        <v/>
      </c>
      <c r="AA121" s="97">
        <f>U121</f>
        <v/>
      </c>
      <c r="AB121" s="97">
        <f>V121</f>
        <v/>
      </c>
      <c r="AC121" s="97">
        <f>D121*INDEX(Régions!$Z$2:$Z$6,MATCH($B121,Régions!$A$2:$A$6,0))</f>
        <v/>
      </c>
      <c r="AD121" s="97">
        <f>E121*INDEX(Régions!$AA$2:$AA$6,MATCH($B121,Régions!$A$2:$A$6,0))</f>
        <v/>
      </c>
      <c r="AE121" s="97">
        <f>F121*INDEX(Régions!$AB$2:$AB$6,MATCH($B121,Régions!$A$2:$A$6,0))</f>
        <v/>
      </c>
      <c r="AF121" s="97">
        <f>G121*INDEX(Régions!$AC$2:$AC$6,MATCH($B121,Régions!$A$2:$A$6,0))</f>
        <v/>
      </c>
      <c r="AG121" s="97">
        <f>H121*INDEX(Régions!$AD$2:$AD$6,MATCH($B121,Régions!$A$2:$A$6,0))</f>
        <v/>
      </c>
      <c r="AH121" s="97">
        <f>I121*INDEX(Régions!$AE$2:$AE$6,MATCH($B121,Régions!$A$2:$A$6,0))</f>
        <v/>
      </c>
      <c r="AI121" s="97">
        <f>D121*INDEX(Régions!$AF$2:$AF$6,MATCH($B121,Régions!$A$2:$A$6,0))</f>
        <v/>
      </c>
      <c r="AJ121" s="97">
        <f>E121*INDEX(Régions!$AG$2:$AG$6,MATCH($B121,Régions!$A$2:$A$6,0))</f>
        <v/>
      </c>
      <c r="AK121" s="97">
        <f>F121*INDEX(Régions!$AH$2:$AH$6,MATCH($B121,Régions!$A$2:$A$6,0))</f>
        <v/>
      </c>
      <c r="AL121" s="97">
        <f>G121*INDEX(Régions!$AI$2:$AI$6,MATCH($B121,Régions!$A$2:$A$6,0))</f>
        <v/>
      </c>
      <c r="AM121" s="97">
        <f>H121*INDEX(Régions!$AJ$2:$AJ$6,MATCH($B121,Régions!$A$2:$A$6,0))</f>
        <v/>
      </c>
      <c r="AN121" s="97">
        <f>I121*INDEX(Régions!$AK$2:$AK$6,MATCH($B121,Régions!$A$2:$A$6,0))</f>
        <v/>
      </c>
      <c r="AO121" s="99">
        <f>INDEX({"CAQ","PLQ","QS","PQ","PCQ","Autre"},MATCH(MAX(Q121:V121),Q121:V121,0))</f>
        <v/>
      </c>
      <c r="AP121" s="99">
        <f>INDEX({"CAQ","PLQ","QS","PQ","PCQ","Autre"},MATCH(MAX(W121:AB121),W121:AB121,0))</f>
        <v/>
      </c>
      <c r="AQ121" s="99">
        <f>INDEX({"CAQ","PLQ","QS","PQ","PCQ","Autre"},MATCH(MAX(AC121:AH121),AC121:AH121,0))</f>
        <v/>
      </c>
      <c r="AR121" s="99">
        <f>INDEX({"CAQ","PLQ","QS","PQ","PCQ","Autre"},MATCH(MAX(AI121:AN121),AI121:AN121,0))</f>
        <v/>
      </c>
      <c r="AS121" s="100">
        <f>(MAX(K121:P121)-LARGE(K121:P121,2))*100</f>
        <v/>
      </c>
      <c r="AT121" s="101">
        <f>IF(AS121&lt;5,"Oui","Non")</f>
        <v/>
      </c>
      <c r="AU121" s="102" t="n">
        <v>5.386</v>
      </c>
      <c r="AV121" s="102" t="n">
        <v>-4.408</v>
      </c>
      <c r="AW121" s="102" t="n">
        <v>0.379</v>
      </c>
      <c r="AX121" s="102" t="n">
        <v>1.177</v>
      </c>
      <c r="AY121" s="96" t="n">
        <v>16919</v>
      </c>
      <c r="AZ121" s="96" t="n">
        <v>9587</v>
      </c>
      <c r="BA121" s="96" t="n">
        <v>4581</v>
      </c>
      <c r="BB121" s="96" t="n">
        <v>3731</v>
      </c>
      <c r="BC121" s="96" t="n">
        <v>2693</v>
      </c>
      <c r="BD121" s="97">
        <f>AY121*INDEX(Régions!$AQ$2:$AQ$6,MATCH($B121,Régions!$A$2:$A$6,0))</f>
        <v/>
      </c>
      <c r="BE121" s="97">
        <f>AZ121*INDEX(Régions!$AR$2:$AR$6,MATCH($B121,Régions!$A$2:$A$6,0))</f>
        <v/>
      </c>
      <c r="BF121" s="97">
        <f>BA121*INDEX(Régions!$AS$2:$AS$6,MATCH($B121,Régions!$A$2:$A$6,0))</f>
        <v/>
      </c>
      <c r="BG121" s="97">
        <f>BB121*INDEX(Régions!$AT$2:$AT$6,MATCH($B121,Régions!$A$2:$A$6,0))</f>
        <v/>
      </c>
      <c r="BH121" s="97">
        <f>U121</f>
        <v/>
      </c>
      <c r="BI121" s="97">
        <f>BC121*INDEX(Régions!$AU$2:$AU$6,MATCH($B121,Régions!$A$2:$A$6,0))</f>
        <v/>
      </c>
      <c r="BJ121" s="97">
        <f>INDEX({"CAQ","PLQ","QS","PQ","PCQ","Autre"},MATCH(MAX(BD121:BI121),BD121:BI121,0))</f>
        <v/>
      </c>
    </row>
    <row r="122" ht="15" customHeight="1" s="60">
      <c r="A122" s="94" t="inlineStr">
        <is>
          <t>Vaudreuil</t>
        </is>
      </c>
      <c r="B122" s="94" t="inlineStr">
        <is>
          <t>Banlieue de Montréal</t>
        </is>
      </c>
      <c r="C122" s="95" t="inlineStr">
        <is>
          <t>PLQ</t>
        </is>
      </c>
      <c r="D122" s="96" t="n">
        <v>12599</v>
      </c>
      <c r="E122" s="96" t="n">
        <v>13156</v>
      </c>
      <c r="F122" s="96" t="n">
        <v>3549</v>
      </c>
      <c r="G122" s="96" t="n">
        <v>2959</v>
      </c>
      <c r="H122" s="96" t="n">
        <v>5167</v>
      </c>
      <c r="I122" s="96" t="n">
        <v>1013</v>
      </c>
      <c r="J122" s="97">
        <f>SUM(D122:I122)</f>
        <v/>
      </c>
      <c r="K122" s="98">
        <f>IFERROR(D122/J122,0)</f>
        <v/>
      </c>
      <c r="L122" s="98">
        <f>IFERROR(E122/J122,0)</f>
        <v/>
      </c>
      <c r="M122" s="98">
        <f>IFERROR(F122/J122,0)</f>
        <v/>
      </c>
      <c r="N122" s="98">
        <f>IFERROR(G122/J122,0)</f>
        <v/>
      </c>
      <c r="O122" s="98">
        <f>IFERROR(H122/J122,0)</f>
        <v/>
      </c>
      <c r="P122" s="98">
        <f>IFERROR(I122/J122,0)</f>
        <v/>
      </c>
      <c r="Q122" s="97">
        <f>D122*INDEX(Régions!$T$2:$T$6,MATCH($B122,Régions!$A$2:$A$6,0))</f>
        <v/>
      </c>
      <c r="R122" s="97">
        <f>E122*INDEX(Régions!$U$2:$U$6,MATCH($B122,Régions!$A$2:$A$6,0))</f>
        <v/>
      </c>
      <c r="S122" s="97">
        <f>F122*INDEX(Régions!$V$2:$V$6,MATCH($B122,Régions!$A$2:$A$6,0))</f>
        <v/>
      </c>
      <c r="T122" s="97">
        <f>G122*INDEX(Régions!$W$2:$W$6,MATCH($B122,Régions!$A$2:$A$6,0))</f>
        <v/>
      </c>
      <c r="U122" s="97">
        <f>H122*INDEX(Régions!$X$2:$X$6,MATCH($B122,Régions!$A$2:$A$6,0))</f>
        <v/>
      </c>
      <c r="V122" s="97">
        <f>I122*INDEX(Régions!$Y$2:$Y$6,MATCH($B122,Régions!$A$2:$A$6,0))</f>
        <v/>
      </c>
      <c r="W122" s="97">
        <f>Q122+(AU122/100)*J122*Régions!$O$2</f>
        <v/>
      </c>
      <c r="X122" s="97">
        <f>R122+(AV122/100)*J122*Régions!$O$2</f>
        <v/>
      </c>
      <c r="Y122" s="97">
        <f>S122+(AW122/100)*J122*Régions!$O$2</f>
        <v/>
      </c>
      <c r="Z122" s="97">
        <f>T122+(AX122/100)*J122*Régions!$O$2</f>
        <v/>
      </c>
      <c r="AA122" s="97">
        <f>U122</f>
        <v/>
      </c>
      <c r="AB122" s="97">
        <f>V122</f>
        <v/>
      </c>
      <c r="AC122" s="97">
        <f>D122*INDEX(Régions!$Z$2:$Z$6,MATCH($B122,Régions!$A$2:$A$6,0))</f>
        <v/>
      </c>
      <c r="AD122" s="97">
        <f>E122*INDEX(Régions!$AA$2:$AA$6,MATCH($B122,Régions!$A$2:$A$6,0))</f>
        <v/>
      </c>
      <c r="AE122" s="97">
        <f>F122*INDEX(Régions!$AB$2:$AB$6,MATCH($B122,Régions!$A$2:$A$6,0))</f>
        <v/>
      </c>
      <c r="AF122" s="97">
        <f>G122*INDEX(Régions!$AC$2:$AC$6,MATCH($B122,Régions!$A$2:$A$6,0))</f>
        <v/>
      </c>
      <c r="AG122" s="97">
        <f>H122*INDEX(Régions!$AD$2:$AD$6,MATCH($B122,Régions!$A$2:$A$6,0))</f>
        <v/>
      </c>
      <c r="AH122" s="97">
        <f>I122*INDEX(Régions!$AE$2:$AE$6,MATCH($B122,Régions!$A$2:$A$6,0))</f>
        <v/>
      </c>
      <c r="AI122" s="97">
        <f>D122*INDEX(Régions!$AF$2:$AF$6,MATCH($B122,Régions!$A$2:$A$6,0))</f>
        <v/>
      </c>
      <c r="AJ122" s="97">
        <f>E122*INDEX(Régions!$AG$2:$AG$6,MATCH($B122,Régions!$A$2:$A$6,0))</f>
        <v/>
      </c>
      <c r="AK122" s="97">
        <f>F122*INDEX(Régions!$AH$2:$AH$6,MATCH($B122,Régions!$A$2:$A$6,0))</f>
        <v/>
      </c>
      <c r="AL122" s="97">
        <f>G122*INDEX(Régions!$AI$2:$AI$6,MATCH($B122,Régions!$A$2:$A$6,0))</f>
        <v/>
      </c>
      <c r="AM122" s="97">
        <f>H122*INDEX(Régions!$AJ$2:$AJ$6,MATCH($B122,Régions!$A$2:$A$6,0))</f>
        <v/>
      </c>
      <c r="AN122" s="97">
        <f>I122*INDEX(Régions!$AK$2:$AK$6,MATCH($B122,Régions!$A$2:$A$6,0))</f>
        <v/>
      </c>
      <c r="AO122" s="99">
        <f>INDEX({"CAQ","PLQ","QS","PQ","PCQ","Autre"},MATCH(MAX(Q122:V122),Q122:V122,0))</f>
        <v/>
      </c>
      <c r="AP122" s="99">
        <f>INDEX({"CAQ","PLQ","QS","PQ","PCQ","Autre"},MATCH(MAX(W122:AB122),W122:AB122,0))</f>
        <v/>
      </c>
      <c r="AQ122" s="99">
        <f>INDEX({"CAQ","PLQ","QS","PQ","PCQ","Autre"},MATCH(MAX(AC122:AH122),AC122:AH122,0))</f>
        <v/>
      </c>
      <c r="AR122" s="99">
        <f>INDEX({"CAQ","PLQ","QS","PQ","PCQ","Autre"},MATCH(MAX(AI122:AN122),AI122:AN122,0))</f>
        <v/>
      </c>
      <c r="AS122" s="100">
        <f>(MAX(K122:P122)-LARGE(K122:P122,2))*100</f>
        <v/>
      </c>
      <c r="AT122" s="101">
        <f>IF(AS122&lt;5,"Oui","Non")</f>
        <v/>
      </c>
      <c r="AU122" s="102" t="n">
        <v>-2.986</v>
      </c>
      <c r="AV122" s="102" t="n">
        <v>1.202</v>
      </c>
      <c r="AW122" s="102" t="n">
        <v>-0.12</v>
      </c>
      <c r="AX122" s="102" t="n">
        <v>0.647</v>
      </c>
      <c r="AY122" s="96" t="n">
        <v>11967</v>
      </c>
      <c r="AZ122" s="96" t="n">
        <v>14640</v>
      </c>
      <c r="BA122" s="96" t="n">
        <v>3684</v>
      </c>
      <c r="BB122" s="96" t="n">
        <v>3686</v>
      </c>
      <c r="BC122" s="96" t="n">
        <v>2694</v>
      </c>
      <c r="BD122" s="97">
        <f>AY122*INDEX(Régions!$AQ$2:$AQ$6,MATCH($B122,Régions!$A$2:$A$6,0))</f>
        <v/>
      </c>
      <c r="BE122" s="97">
        <f>AZ122*INDEX(Régions!$AR$2:$AR$6,MATCH($B122,Régions!$A$2:$A$6,0))</f>
        <v/>
      </c>
      <c r="BF122" s="97">
        <f>BA122*INDEX(Régions!$AS$2:$AS$6,MATCH($B122,Régions!$A$2:$A$6,0))</f>
        <v/>
      </c>
      <c r="BG122" s="97">
        <f>BB122*INDEX(Régions!$AT$2:$AT$6,MATCH($B122,Régions!$A$2:$A$6,0))</f>
        <v/>
      </c>
      <c r="BH122" s="97">
        <f>U122</f>
        <v/>
      </c>
      <c r="BI122" s="97">
        <f>BC122*INDEX(Régions!$AU$2:$AU$6,MATCH($B122,Régions!$A$2:$A$6,0))</f>
        <v/>
      </c>
      <c r="BJ122" s="97">
        <f>INDEX({"CAQ","PLQ","QS","PQ","PCQ","Autre"},MATCH(MAX(BD122:BI122),BD122:BI122,0))</f>
        <v/>
      </c>
    </row>
    <row r="123" ht="15" customHeight="1" s="60">
      <c r="A123" s="94" t="inlineStr">
        <is>
          <t>Verchères</t>
        </is>
      </c>
      <c r="B123" s="94" t="inlineStr">
        <is>
          <t>Banlieue de Montréal</t>
        </is>
      </c>
      <c r="C123" s="95" t="inlineStr">
        <is>
          <t>CAQ</t>
        </is>
      </c>
      <c r="D123" s="96" t="n">
        <v>20822</v>
      </c>
      <c r="E123" s="96" t="n">
        <v>2144</v>
      </c>
      <c r="F123" s="96" t="n">
        <v>5863</v>
      </c>
      <c r="G123" s="96" t="n">
        <v>8410</v>
      </c>
      <c r="H123" s="96" t="n">
        <v>2875</v>
      </c>
      <c r="I123" s="96" t="n">
        <v>489</v>
      </c>
      <c r="J123" s="97">
        <f>SUM(D123:I123)</f>
        <v/>
      </c>
      <c r="K123" s="98">
        <f>IFERROR(D123/J123,0)</f>
        <v/>
      </c>
      <c r="L123" s="98">
        <f>IFERROR(E123/J123,0)</f>
        <v/>
      </c>
      <c r="M123" s="98">
        <f>IFERROR(F123/J123,0)</f>
        <v/>
      </c>
      <c r="N123" s="98">
        <f>IFERROR(G123/J123,0)</f>
        <v/>
      </c>
      <c r="O123" s="98">
        <f>IFERROR(H123/J123,0)</f>
        <v/>
      </c>
      <c r="P123" s="98">
        <f>IFERROR(I123/J123,0)</f>
        <v/>
      </c>
      <c r="Q123" s="97">
        <f>D123*INDEX(Régions!$T$2:$T$6,MATCH($B123,Régions!$A$2:$A$6,0))</f>
        <v/>
      </c>
      <c r="R123" s="97">
        <f>E123*INDEX(Régions!$U$2:$U$6,MATCH($B123,Régions!$A$2:$A$6,0))</f>
        <v/>
      </c>
      <c r="S123" s="97">
        <f>F123*INDEX(Régions!$V$2:$V$6,MATCH($B123,Régions!$A$2:$A$6,0))</f>
        <v/>
      </c>
      <c r="T123" s="97">
        <f>G123*INDEX(Régions!$W$2:$W$6,MATCH($B123,Régions!$A$2:$A$6,0))</f>
        <v/>
      </c>
      <c r="U123" s="97">
        <f>H123*INDEX(Régions!$X$2:$X$6,MATCH($B123,Régions!$A$2:$A$6,0))</f>
        <v/>
      </c>
      <c r="V123" s="97">
        <f>I123*INDEX(Régions!$Y$2:$Y$6,MATCH($B123,Régions!$A$2:$A$6,0))</f>
        <v/>
      </c>
      <c r="W123" s="97">
        <f>Q123+(AU123/100)*J123*Régions!$O$2</f>
        <v/>
      </c>
      <c r="X123" s="97">
        <f>R123+(AV123/100)*J123*Régions!$O$2</f>
        <v/>
      </c>
      <c r="Y123" s="97">
        <f>S123+(AW123/100)*J123*Régions!$O$2</f>
        <v/>
      </c>
      <c r="Z123" s="97">
        <f>T123+(AX123/100)*J123*Régions!$O$2</f>
        <v/>
      </c>
      <c r="AA123" s="97">
        <f>U123</f>
        <v/>
      </c>
      <c r="AB123" s="97">
        <f>V123</f>
        <v/>
      </c>
      <c r="AC123" s="97">
        <f>D123*INDEX(Régions!$Z$2:$Z$6,MATCH($B123,Régions!$A$2:$A$6,0))</f>
        <v/>
      </c>
      <c r="AD123" s="97">
        <f>E123*INDEX(Régions!$AA$2:$AA$6,MATCH($B123,Régions!$A$2:$A$6,0))</f>
        <v/>
      </c>
      <c r="AE123" s="97">
        <f>F123*INDEX(Régions!$AB$2:$AB$6,MATCH($B123,Régions!$A$2:$A$6,0))</f>
        <v/>
      </c>
      <c r="AF123" s="97">
        <f>G123*INDEX(Régions!$AC$2:$AC$6,MATCH($B123,Régions!$A$2:$A$6,0))</f>
        <v/>
      </c>
      <c r="AG123" s="97">
        <f>H123*INDEX(Régions!$AD$2:$AD$6,MATCH($B123,Régions!$A$2:$A$6,0))</f>
        <v/>
      </c>
      <c r="AH123" s="97">
        <f>I123*INDEX(Régions!$AE$2:$AE$6,MATCH($B123,Régions!$A$2:$A$6,0))</f>
        <v/>
      </c>
      <c r="AI123" s="97">
        <f>D123*INDEX(Régions!$AF$2:$AF$6,MATCH($B123,Régions!$A$2:$A$6,0))</f>
        <v/>
      </c>
      <c r="AJ123" s="97">
        <f>E123*INDEX(Régions!$AG$2:$AG$6,MATCH($B123,Régions!$A$2:$A$6,0))</f>
        <v/>
      </c>
      <c r="AK123" s="97">
        <f>F123*INDEX(Régions!$AH$2:$AH$6,MATCH($B123,Régions!$A$2:$A$6,0))</f>
        <v/>
      </c>
      <c r="AL123" s="97">
        <f>G123*INDEX(Régions!$AI$2:$AI$6,MATCH($B123,Régions!$A$2:$A$6,0))</f>
        <v/>
      </c>
      <c r="AM123" s="97">
        <f>H123*INDEX(Régions!$AJ$2:$AJ$6,MATCH($B123,Régions!$A$2:$A$6,0))</f>
        <v/>
      </c>
      <c r="AN123" s="97">
        <f>I123*INDEX(Régions!$AK$2:$AK$6,MATCH($B123,Régions!$A$2:$A$6,0))</f>
        <v/>
      </c>
      <c r="AO123" s="99">
        <f>INDEX({"CAQ","PLQ","QS","PQ","PCQ","Autre"},MATCH(MAX(Q123:V123),Q123:V123,0))</f>
        <v/>
      </c>
      <c r="AP123" s="99">
        <f>INDEX({"CAQ","PLQ","QS","PQ","PCQ","Autre"},MATCH(MAX(W123:AB123),W123:AB123,0))</f>
        <v/>
      </c>
      <c r="AQ123" s="99">
        <f>INDEX({"CAQ","PLQ","QS","PQ","PCQ","Autre"},MATCH(MAX(AC123:AH123),AC123:AH123,0))</f>
        <v/>
      </c>
      <c r="AR123" s="99">
        <f>INDEX({"CAQ","PLQ","QS","PQ","PCQ","Autre"},MATCH(MAX(AI123:AN123),AI123:AN123,0))</f>
        <v/>
      </c>
      <c r="AS123" s="100">
        <f>(MAX(K123:P123)-LARGE(K123:P123,2))*100</f>
        <v/>
      </c>
      <c r="AT123" s="101">
        <f>IF(AS123&lt;5,"Oui","Non")</f>
        <v/>
      </c>
      <c r="AU123" s="102" t="n">
        <v>10.665</v>
      </c>
      <c r="AV123" s="102" t="n">
        <v>3.357</v>
      </c>
      <c r="AW123" s="102" t="n">
        <v>0.371</v>
      </c>
      <c r="AX123" s="102" t="n">
        <v>-11.949</v>
      </c>
      <c r="AY123" s="96" t="n">
        <v>15023</v>
      </c>
      <c r="AZ123" s="96" t="n">
        <v>3537</v>
      </c>
      <c r="BA123" s="96" t="n">
        <v>5916</v>
      </c>
      <c r="BB123" s="96" t="n">
        <v>14291</v>
      </c>
      <c r="BC123" s="96" t="n">
        <v>1306</v>
      </c>
      <c r="BD123" s="97">
        <f>AY123*INDEX(Régions!$AQ$2:$AQ$6,MATCH($B123,Régions!$A$2:$A$6,0))</f>
        <v/>
      </c>
      <c r="BE123" s="97">
        <f>AZ123*INDEX(Régions!$AR$2:$AR$6,MATCH($B123,Régions!$A$2:$A$6,0))</f>
        <v/>
      </c>
      <c r="BF123" s="97">
        <f>BA123*INDEX(Régions!$AS$2:$AS$6,MATCH($B123,Régions!$A$2:$A$6,0))</f>
        <v/>
      </c>
      <c r="BG123" s="97">
        <f>BB123*INDEX(Régions!$AT$2:$AT$6,MATCH($B123,Régions!$A$2:$A$6,0))</f>
        <v/>
      </c>
      <c r="BH123" s="97">
        <f>U123</f>
        <v/>
      </c>
      <c r="BI123" s="97">
        <f>BC123*INDEX(Régions!$AU$2:$AU$6,MATCH($B123,Régions!$A$2:$A$6,0))</f>
        <v/>
      </c>
      <c r="BJ123" s="97">
        <f>INDEX({"CAQ","PLQ","QS","PQ","PCQ","Autre"},MATCH(MAX(BD123:BI123),BD123:BI123,0))</f>
        <v/>
      </c>
    </row>
    <row r="124" ht="15" customHeight="1" s="60">
      <c r="A124" s="94" t="inlineStr">
        <is>
          <t>Verdun</t>
        </is>
      </c>
      <c r="B124" s="94" t="inlineStr">
        <is>
          <t>Île de Montréal</t>
        </is>
      </c>
      <c r="C124" s="95" t="inlineStr">
        <is>
          <t>QS</t>
        </is>
      </c>
      <c r="D124" s="96" t="n">
        <v>7150</v>
      </c>
      <c r="E124" s="96" t="n">
        <v>9101</v>
      </c>
      <c r="F124" s="96" t="n">
        <v>9562</v>
      </c>
      <c r="G124" s="96" t="n">
        <v>2591</v>
      </c>
      <c r="H124" s="96" t="n">
        <v>1965</v>
      </c>
      <c r="I124" s="96" t="n">
        <v>724</v>
      </c>
      <c r="J124" s="97">
        <f>SUM(D124:I124)</f>
        <v/>
      </c>
      <c r="K124" s="98">
        <f>IFERROR(D124/J124,0)</f>
        <v/>
      </c>
      <c r="L124" s="98">
        <f>IFERROR(E124/J124,0)</f>
        <v/>
      </c>
      <c r="M124" s="98">
        <f>IFERROR(F124/J124,0)</f>
        <v/>
      </c>
      <c r="N124" s="98">
        <f>IFERROR(G124/J124,0)</f>
        <v/>
      </c>
      <c r="O124" s="98">
        <f>IFERROR(H124/J124,0)</f>
        <v/>
      </c>
      <c r="P124" s="98">
        <f>IFERROR(I124/J124,0)</f>
        <v/>
      </c>
      <c r="Q124" s="97">
        <f>D124*INDEX(Régions!$T$2:$T$6,MATCH($B124,Régions!$A$2:$A$6,0))</f>
        <v/>
      </c>
      <c r="R124" s="97">
        <f>E124*INDEX(Régions!$U$2:$U$6,MATCH($B124,Régions!$A$2:$A$6,0))</f>
        <v/>
      </c>
      <c r="S124" s="97">
        <f>F124*INDEX(Régions!$V$2:$V$6,MATCH($B124,Régions!$A$2:$A$6,0))</f>
        <v/>
      </c>
      <c r="T124" s="97">
        <f>G124*INDEX(Régions!$W$2:$W$6,MATCH($B124,Régions!$A$2:$A$6,0))</f>
        <v/>
      </c>
      <c r="U124" s="97">
        <f>H124*INDEX(Régions!$X$2:$X$6,MATCH($B124,Régions!$A$2:$A$6,0))</f>
        <v/>
      </c>
      <c r="V124" s="97">
        <f>I124*INDEX(Régions!$Y$2:$Y$6,MATCH($B124,Régions!$A$2:$A$6,0))</f>
        <v/>
      </c>
      <c r="W124" s="97">
        <f>Q124+(AU124/100)*J124*Régions!$O$2</f>
        <v/>
      </c>
      <c r="X124" s="97">
        <f>R124+(AV124/100)*J124*Régions!$O$2</f>
        <v/>
      </c>
      <c r="Y124" s="97">
        <f>S124+(AW124/100)*J124*Régions!$O$2</f>
        <v/>
      </c>
      <c r="Z124" s="97">
        <f>T124+(AX124/100)*J124*Régions!$O$2</f>
        <v/>
      </c>
      <c r="AA124" s="97">
        <f>U124</f>
        <v/>
      </c>
      <c r="AB124" s="97">
        <f>V124</f>
        <v/>
      </c>
      <c r="AC124" s="97">
        <f>D124*INDEX(Régions!$Z$2:$Z$6,MATCH($B124,Régions!$A$2:$A$6,0))</f>
        <v/>
      </c>
      <c r="AD124" s="97">
        <f>E124*INDEX(Régions!$AA$2:$AA$6,MATCH($B124,Régions!$A$2:$A$6,0))</f>
        <v/>
      </c>
      <c r="AE124" s="97">
        <f>F124*INDEX(Régions!$AB$2:$AB$6,MATCH($B124,Régions!$A$2:$A$6,0))</f>
        <v/>
      </c>
      <c r="AF124" s="97">
        <f>G124*INDEX(Régions!$AC$2:$AC$6,MATCH($B124,Régions!$A$2:$A$6,0))</f>
        <v/>
      </c>
      <c r="AG124" s="97">
        <f>H124*INDEX(Régions!$AD$2:$AD$6,MATCH($B124,Régions!$A$2:$A$6,0))</f>
        <v/>
      </c>
      <c r="AH124" s="97">
        <f>I124*INDEX(Régions!$AE$2:$AE$6,MATCH($B124,Régions!$A$2:$A$6,0))</f>
        <v/>
      </c>
      <c r="AI124" s="97">
        <f>D124*INDEX(Régions!$AF$2:$AF$6,MATCH($B124,Régions!$A$2:$A$6,0))</f>
        <v/>
      </c>
      <c r="AJ124" s="97">
        <f>E124*INDEX(Régions!$AG$2:$AG$6,MATCH($B124,Régions!$A$2:$A$6,0))</f>
        <v/>
      </c>
      <c r="AK124" s="97">
        <f>F124*INDEX(Régions!$AH$2:$AH$6,MATCH($B124,Régions!$A$2:$A$6,0))</f>
        <v/>
      </c>
      <c r="AL124" s="97">
        <f>G124*INDEX(Régions!$AI$2:$AI$6,MATCH($B124,Régions!$A$2:$A$6,0))</f>
        <v/>
      </c>
      <c r="AM124" s="97">
        <f>H124*INDEX(Régions!$AJ$2:$AJ$6,MATCH($B124,Régions!$A$2:$A$6,0))</f>
        <v/>
      </c>
      <c r="AN124" s="97">
        <f>I124*INDEX(Régions!$AK$2:$AK$6,MATCH($B124,Régions!$A$2:$A$6,0))</f>
        <v/>
      </c>
      <c r="AO124" s="99">
        <f>INDEX({"CAQ","PLQ","QS","PQ","PCQ","Autre"},MATCH(MAX(Q124:V124),Q124:V124,0))</f>
        <v/>
      </c>
      <c r="AP124" s="99">
        <f>INDEX({"CAQ","PLQ","QS","PQ","PCQ","Autre"},MATCH(MAX(W124:AB124),W124:AB124,0))</f>
        <v/>
      </c>
      <c r="AQ124" s="99">
        <f>INDEX({"CAQ","PLQ","QS","PQ","PCQ","Autre"},MATCH(MAX(AC124:AH124),AC124:AH124,0))</f>
        <v/>
      </c>
      <c r="AR124" s="99">
        <f>INDEX({"CAQ","PLQ","QS","PQ","PCQ","Autre"},MATCH(MAX(AI124:AN124),AI124:AN124,0))</f>
        <v/>
      </c>
      <c r="AS124" s="100">
        <f>(MAX(K124:P124)-LARGE(K124:P124,2))*100</f>
        <v/>
      </c>
      <c r="AT124" s="101">
        <f>IF(AS124&lt;5,"Oui","Non")</f>
        <v/>
      </c>
      <c r="AU124" s="102" t="n">
        <v>0.512</v>
      </c>
      <c r="AV124" s="102" t="n">
        <v>2.596</v>
      </c>
      <c r="AW124" s="102" t="n">
        <v>6.055</v>
      </c>
      <c r="AX124" s="102" t="n">
        <v>-3.134</v>
      </c>
      <c r="AY124" s="96" t="n">
        <v>6343</v>
      </c>
      <c r="AZ124" s="96" t="n">
        <v>11054</v>
      </c>
      <c r="BA124" s="96" t="n">
        <v>7457</v>
      </c>
      <c r="BB124" s="96" t="n">
        <v>3929</v>
      </c>
      <c r="BC124" s="96" t="n">
        <v>2347</v>
      </c>
      <c r="BD124" s="97">
        <f>AY124*INDEX(Régions!$AQ$2:$AQ$6,MATCH($B124,Régions!$A$2:$A$6,0))</f>
        <v/>
      </c>
      <c r="BE124" s="97">
        <f>AZ124*INDEX(Régions!$AR$2:$AR$6,MATCH($B124,Régions!$A$2:$A$6,0))</f>
        <v/>
      </c>
      <c r="BF124" s="97">
        <f>BA124*INDEX(Régions!$AS$2:$AS$6,MATCH($B124,Régions!$A$2:$A$6,0))</f>
        <v/>
      </c>
      <c r="BG124" s="97">
        <f>BB124*INDEX(Régions!$AT$2:$AT$6,MATCH($B124,Régions!$A$2:$A$6,0))</f>
        <v/>
      </c>
      <c r="BH124" s="97">
        <f>U124</f>
        <v/>
      </c>
      <c r="BI124" s="97">
        <f>BC124*INDEX(Régions!$AU$2:$AU$6,MATCH($B124,Régions!$A$2:$A$6,0))</f>
        <v/>
      </c>
      <c r="BJ124" s="97">
        <f>INDEX({"CAQ","PLQ","QS","PQ","PCQ","Autre"},MATCH(MAX(BD124:BI124),BD124:BI124,0))</f>
        <v/>
      </c>
    </row>
    <row r="125" ht="15" customHeight="1" s="60">
      <c r="A125" s="94" t="inlineStr">
        <is>
          <t>Viau</t>
        </is>
      </c>
      <c r="B125" s="94" t="inlineStr">
        <is>
          <t>Île de Montréal</t>
        </is>
      </c>
      <c r="C125" s="95" t="inlineStr">
        <is>
          <t>PLQ</t>
        </is>
      </c>
      <c r="D125" s="96" t="n">
        <v>3202</v>
      </c>
      <c r="E125" s="96" t="n">
        <v>8050</v>
      </c>
      <c r="F125" s="96" t="n">
        <v>6421</v>
      </c>
      <c r="G125" s="96" t="n">
        <v>1599</v>
      </c>
      <c r="H125" s="96" t="n">
        <v>1294</v>
      </c>
      <c r="I125" s="96" t="n">
        <v>522</v>
      </c>
      <c r="J125" s="97">
        <f>SUM(D125:I125)</f>
        <v/>
      </c>
      <c r="K125" s="98">
        <f>IFERROR(D125/J125,0)</f>
        <v/>
      </c>
      <c r="L125" s="98">
        <f>IFERROR(E125/J125,0)</f>
        <v/>
      </c>
      <c r="M125" s="98">
        <f>IFERROR(F125/J125,0)</f>
        <v/>
      </c>
      <c r="N125" s="98">
        <f>IFERROR(G125/J125,0)</f>
        <v/>
      </c>
      <c r="O125" s="98">
        <f>IFERROR(H125/J125,0)</f>
        <v/>
      </c>
      <c r="P125" s="98">
        <f>IFERROR(I125/J125,0)</f>
        <v/>
      </c>
      <c r="Q125" s="97">
        <f>D125*INDEX(Régions!$T$2:$T$6,MATCH($B125,Régions!$A$2:$A$6,0))</f>
        <v/>
      </c>
      <c r="R125" s="97">
        <f>E125*INDEX(Régions!$U$2:$U$6,MATCH($B125,Régions!$A$2:$A$6,0))</f>
        <v/>
      </c>
      <c r="S125" s="97">
        <f>F125*INDEX(Régions!$V$2:$V$6,MATCH($B125,Régions!$A$2:$A$6,0))</f>
        <v/>
      </c>
      <c r="T125" s="97">
        <f>G125*INDEX(Régions!$W$2:$W$6,MATCH($B125,Régions!$A$2:$A$6,0))</f>
        <v/>
      </c>
      <c r="U125" s="97">
        <f>H125*INDEX(Régions!$X$2:$X$6,MATCH($B125,Régions!$A$2:$A$6,0))</f>
        <v/>
      </c>
      <c r="V125" s="97">
        <f>I125*INDEX(Régions!$Y$2:$Y$6,MATCH($B125,Régions!$A$2:$A$6,0))</f>
        <v/>
      </c>
      <c r="W125" s="97">
        <f>Q125+(AU125/100)*J125*Régions!$O$2</f>
        <v/>
      </c>
      <c r="X125" s="97">
        <f>R125+(AV125/100)*J125*Régions!$O$2</f>
        <v/>
      </c>
      <c r="Y125" s="97">
        <f>S125+(AW125/100)*J125*Régions!$O$2</f>
        <v/>
      </c>
      <c r="Z125" s="97">
        <f>T125+(AX125/100)*J125*Régions!$O$2</f>
        <v/>
      </c>
      <c r="AA125" s="97">
        <f>U125</f>
        <v/>
      </c>
      <c r="AB125" s="97">
        <f>V125</f>
        <v/>
      </c>
      <c r="AC125" s="97">
        <f>D125*INDEX(Régions!$Z$2:$Z$6,MATCH($B125,Régions!$A$2:$A$6,0))</f>
        <v/>
      </c>
      <c r="AD125" s="97">
        <f>E125*INDEX(Régions!$AA$2:$AA$6,MATCH($B125,Régions!$A$2:$A$6,0))</f>
        <v/>
      </c>
      <c r="AE125" s="97">
        <f>F125*INDEX(Régions!$AB$2:$AB$6,MATCH($B125,Régions!$A$2:$A$6,0))</f>
        <v/>
      </c>
      <c r="AF125" s="97">
        <f>G125*INDEX(Régions!$AC$2:$AC$6,MATCH($B125,Régions!$A$2:$A$6,0))</f>
        <v/>
      </c>
      <c r="AG125" s="97">
        <f>H125*INDEX(Régions!$AD$2:$AD$6,MATCH($B125,Régions!$A$2:$A$6,0))</f>
        <v/>
      </c>
      <c r="AH125" s="97">
        <f>I125*INDEX(Régions!$AE$2:$AE$6,MATCH($B125,Régions!$A$2:$A$6,0))</f>
        <v/>
      </c>
      <c r="AI125" s="97">
        <f>D125*INDEX(Régions!$AF$2:$AF$6,MATCH($B125,Régions!$A$2:$A$6,0))</f>
        <v/>
      </c>
      <c r="AJ125" s="97">
        <f>E125*INDEX(Régions!$AG$2:$AG$6,MATCH($B125,Régions!$A$2:$A$6,0))</f>
        <v/>
      </c>
      <c r="AK125" s="97">
        <f>F125*INDEX(Régions!$AH$2:$AH$6,MATCH($B125,Régions!$A$2:$A$6,0))</f>
        <v/>
      </c>
      <c r="AL125" s="97">
        <f>G125*INDEX(Régions!$AI$2:$AI$6,MATCH($B125,Régions!$A$2:$A$6,0))</f>
        <v/>
      </c>
      <c r="AM125" s="97">
        <f>H125*INDEX(Régions!$AJ$2:$AJ$6,MATCH($B125,Régions!$A$2:$A$6,0))</f>
        <v/>
      </c>
      <c r="AN125" s="97">
        <f>I125*INDEX(Régions!$AK$2:$AK$6,MATCH($B125,Régions!$A$2:$A$6,0))</f>
        <v/>
      </c>
      <c r="AO125" s="99">
        <f>INDEX({"CAQ","PLQ","QS","PQ","PCQ","Autre"},MATCH(MAX(Q125:V125),Q125:V125,0))</f>
        <v/>
      </c>
      <c r="AP125" s="99">
        <f>INDEX({"CAQ","PLQ","QS","PQ","PCQ","Autre"},MATCH(MAX(W125:AB125),W125:AB125,0))</f>
        <v/>
      </c>
      <c r="AQ125" s="99">
        <f>INDEX({"CAQ","PLQ","QS","PQ","PCQ","Autre"},MATCH(MAX(AC125:AH125),AC125:AH125,0))</f>
        <v/>
      </c>
      <c r="AR125" s="99">
        <f>INDEX({"CAQ","PLQ","QS","PQ","PCQ","Autre"},MATCH(MAX(AI125:AN125),AI125:AN125,0))</f>
        <v/>
      </c>
      <c r="AS125" s="100">
        <f>(MAX(K125:P125)-LARGE(K125:P125,2))*100</f>
        <v/>
      </c>
      <c r="AT125" s="101">
        <f>IF(AS125&lt;5,"Oui","Non")</f>
        <v/>
      </c>
      <c r="AU125" s="102" t="n">
        <v>-2.652</v>
      </c>
      <c r="AV125" s="102" t="n">
        <v>0.381</v>
      </c>
      <c r="AW125" s="102" t="n">
        <v>5.368</v>
      </c>
      <c r="AX125" s="102" t="n">
        <v>0.422</v>
      </c>
      <c r="AY125" s="96" t="n">
        <v>3412</v>
      </c>
      <c r="AZ125" s="96" t="n">
        <v>10115</v>
      </c>
      <c r="BA125" s="96" t="n">
        <v>5280</v>
      </c>
      <c r="BB125" s="96" t="n">
        <v>1804</v>
      </c>
      <c r="BC125" s="96" t="n">
        <v>1084</v>
      </c>
      <c r="BD125" s="97">
        <f>AY125*INDEX(Régions!$AQ$2:$AQ$6,MATCH($B125,Régions!$A$2:$A$6,0))</f>
        <v/>
      </c>
      <c r="BE125" s="97">
        <f>AZ125*INDEX(Régions!$AR$2:$AR$6,MATCH($B125,Régions!$A$2:$A$6,0))</f>
        <v/>
      </c>
      <c r="BF125" s="97">
        <f>BA125*INDEX(Régions!$AS$2:$AS$6,MATCH($B125,Régions!$A$2:$A$6,0))</f>
        <v/>
      </c>
      <c r="BG125" s="97">
        <f>BB125*INDEX(Régions!$AT$2:$AT$6,MATCH($B125,Régions!$A$2:$A$6,0))</f>
        <v/>
      </c>
      <c r="BH125" s="97">
        <f>U125</f>
        <v/>
      </c>
      <c r="BI125" s="97">
        <f>BC125*INDEX(Régions!$AU$2:$AU$6,MATCH($B125,Régions!$A$2:$A$6,0))</f>
        <v/>
      </c>
      <c r="BJ125" s="97">
        <f>INDEX({"CAQ","PLQ","QS","PQ","PCQ","Autre"},MATCH(MAX(BD125:BI125),BD125:BI125,0))</f>
        <v/>
      </c>
    </row>
    <row r="126" ht="15" customHeight="1" s="60">
      <c r="A126" s="94" t="inlineStr">
        <is>
          <t>Vimont-Auteuil</t>
        </is>
      </c>
      <c r="B126" s="94" t="inlineStr">
        <is>
          <t>Banlieue de Montréal</t>
        </is>
      </c>
      <c r="C126" s="95" t="inlineStr">
        <is>
          <t>CAQ</t>
        </is>
      </c>
      <c r="D126" s="96" t="n">
        <v>10957</v>
      </c>
      <c r="E126" s="96" t="n">
        <v>9541</v>
      </c>
      <c r="F126" s="96" t="n">
        <v>3669</v>
      </c>
      <c r="G126" s="96" t="n">
        <v>3379</v>
      </c>
      <c r="H126" s="96" t="n">
        <v>4118</v>
      </c>
      <c r="I126" s="96" t="n">
        <v>301</v>
      </c>
      <c r="J126" s="97">
        <f>SUM(D126:I126)</f>
        <v/>
      </c>
      <c r="K126" s="98">
        <f>IFERROR(D126/J126,0)</f>
        <v/>
      </c>
      <c r="L126" s="98">
        <f>IFERROR(E126/J126,0)</f>
        <v/>
      </c>
      <c r="M126" s="98">
        <f>IFERROR(F126/J126,0)</f>
        <v/>
      </c>
      <c r="N126" s="98">
        <f>IFERROR(G126/J126,0)</f>
        <v/>
      </c>
      <c r="O126" s="98">
        <f>IFERROR(H126/J126,0)</f>
        <v/>
      </c>
      <c r="P126" s="98">
        <f>IFERROR(I126/J126,0)</f>
        <v/>
      </c>
      <c r="Q126" s="97">
        <f>D126*INDEX(Régions!$T$2:$T$6,MATCH($B126,Régions!$A$2:$A$6,0))</f>
        <v/>
      </c>
      <c r="R126" s="97">
        <f>E126*INDEX(Régions!$U$2:$U$6,MATCH($B126,Régions!$A$2:$A$6,0))</f>
        <v/>
      </c>
      <c r="S126" s="97">
        <f>F126*INDEX(Régions!$V$2:$V$6,MATCH($B126,Régions!$A$2:$A$6,0))</f>
        <v/>
      </c>
      <c r="T126" s="97">
        <f>G126*INDEX(Régions!$W$2:$W$6,MATCH($B126,Régions!$A$2:$A$6,0))</f>
        <v/>
      </c>
      <c r="U126" s="97">
        <f>H126*INDEX(Régions!$X$2:$X$6,MATCH($B126,Régions!$A$2:$A$6,0))</f>
        <v/>
      </c>
      <c r="V126" s="97">
        <f>I126*INDEX(Régions!$Y$2:$Y$6,MATCH($B126,Régions!$A$2:$A$6,0))</f>
        <v/>
      </c>
      <c r="W126" s="97">
        <f>Q126+(AU126/100)*J126*Régions!$O$2</f>
        <v/>
      </c>
      <c r="X126" s="97">
        <f>R126+(AV126/100)*J126*Régions!$O$2</f>
        <v/>
      </c>
      <c r="Y126" s="97">
        <f>S126+(AW126/100)*J126*Régions!$O$2</f>
        <v/>
      </c>
      <c r="Z126" s="97">
        <f>T126+(AX126/100)*J126*Régions!$O$2</f>
        <v/>
      </c>
      <c r="AA126" s="97">
        <f>U126</f>
        <v/>
      </c>
      <c r="AB126" s="97">
        <f>V126</f>
        <v/>
      </c>
      <c r="AC126" s="97">
        <f>D126*INDEX(Régions!$Z$2:$Z$6,MATCH($B126,Régions!$A$2:$A$6,0))</f>
        <v/>
      </c>
      <c r="AD126" s="97">
        <f>E126*INDEX(Régions!$AA$2:$AA$6,MATCH($B126,Régions!$A$2:$A$6,0))</f>
        <v/>
      </c>
      <c r="AE126" s="97">
        <f>F126*INDEX(Régions!$AB$2:$AB$6,MATCH($B126,Régions!$A$2:$A$6,0))</f>
        <v/>
      </c>
      <c r="AF126" s="97">
        <f>G126*INDEX(Régions!$AC$2:$AC$6,MATCH($B126,Régions!$A$2:$A$6,0))</f>
        <v/>
      </c>
      <c r="AG126" s="97">
        <f>H126*INDEX(Régions!$AD$2:$AD$6,MATCH($B126,Régions!$A$2:$A$6,0))</f>
        <v/>
      </c>
      <c r="AH126" s="97">
        <f>I126*INDEX(Régions!$AE$2:$AE$6,MATCH($B126,Régions!$A$2:$A$6,0))</f>
        <v/>
      </c>
      <c r="AI126" s="97">
        <f>D126*INDEX(Régions!$AF$2:$AF$6,MATCH($B126,Régions!$A$2:$A$6,0))</f>
        <v/>
      </c>
      <c r="AJ126" s="97">
        <f>E126*INDEX(Régions!$AG$2:$AG$6,MATCH($B126,Régions!$A$2:$A$6,0))</f>
        <v/>
      </c>
      <c r="AK126" s="97">
        <f>F126*INDEX(Régions!$AH$2:$AH$6,MATCH($B126,Régions!$A$2:$A$6,0))</f>
        <v/>
      </c>
      <c r="AL126" s="97">
        <f>G126*INDEX(Régions!$AI$2:$AI$6,MATCH($B126,Régions!$A$2:$A$6,0))</f>
        <v/>
      </c>
      <c r="AM126" s="97">
        <f>H126*INDEX(Régions!$AJ$2:$AJ$6,MATCH($B126,Régions!$A$2:$A$6,0))</f>
        <v/>
      </c>
      <c r="AN126" s="97">
        <f>I126*INDEX(Régions!$AK$2:$AK$6,MATCH($B126,Régions!$A$2:$A$6,0))</f>
        <v/>
      </c>
      <c r="AO126" s="99">
        <f>INDEX({"CAQ","PLQ","QS","PQ","PCQ","Autre"},MATCH(MAX(Q126:V126),Q126:V126,0))</f>
        <v/>
      </c>
      <c r="AP126" s="99">
        <f>INDEX({"CAQ","PLQ","QS","PQ","PCQ","Autre"},MATCH(MAX(W126:AB126),W126:AB126,0))</f>
        <v/>
      </c>
      <c r="AQ126" s="99">
        <f>INDEX({"CAQ","PLQ","QS","PQ","PCQ","Autre"},MATCH(MAX(AC126:AH126),AC126:AH126,0))</f>
        <v/>
      </c>
      <c r="AR126" s="99">
        <f>INDEX({"CAQ","PLQ","QS","PQ","PCQ","Autre"},MATCH(MAX(AI126:AN126),AI126:AN126,0))</f>
        <v/>
      </c>
      <c r="AS126" s="100">
        <f>(MAX(K126:P126)-LARGE(K126:P126,2))*100</f>
        <v/>
      </c>
      <c r="AT126" s="101">
        <f>IF(AS126&lt;5,"Oui","Non")</f>
        <v/>
      </c>
      <c r="AU126" s="102" t="n">
        <v>-3.721</v>
      </c>
      <c r="AV126" s="102" t="n">
        <v>0.066</v>
      </c>
      <c r="AW126" s="102" t="n">
        <v>0.657</v>
      </c>
      <c r="AX126" s="102" t="n">
        <v>1.183</v>
      </c>
      <c r="AY126" s="96" t="n">
        <v>10907</v>
      </c>
      <c r="AZ126" s="96" t="n">
        <v>11474</v>
      </c>
      <c r="BA126" s="96" t="n">
        <v>3602</v>
      </c>
      <c r="BB126" s="96" t="n">
        <v>3875</v>
      </c>
      <c r="BC126" s="96" t="n">
        <v>1419</v>
      </c>
      <c r="BD126" s="97">
        <f>AY126*INDEX(Régions!$AQ$2:$AQ$6,MATCH($B126,Régions!$A$2:$A$6,0))</f>
        <v/>
      </c>
      <c r="BE126" s="97">
        <f>AZ126*INDEX(Régions!$AR$2:$AR$6,MATCH($B126,Régions!$A$2:$A$6,0))</f>
        <v/>
      </c>
      <c r="BF126" s="97">
        <f>BA126*INDEX(Régions!$AS$2:$AS$6,MATCH($B126,Régions!$A$2:$A$6,0))</f>
        <v/>
      </c>
      <c r="BG126" s="97">
        <f>BB126*INDEX(Régions!$AT$2:$AT$6,MATCH($B126,Régions!$A$2:$A$6,0))</f>
        <v/>
      </c>
      <c r="BH126" s="97">
        <f>U126</f>
        <v/>
      </c>
      <c r="BI126" s="97">
        <f>BC126*INDEX(Régions!$AU$2:$AU$6,MATCH($B126,Régions!$A$2:$A$6,0))</f>
        <v/>
      </c>
      <c r="BJ126" s="97">
        <f>INDEX({"CAQ","PLQ","QS","PQ","PCQ","Autre"},MATCH(MAX(BD126:BI126),BD126:BI126,0))</f>
        <v/>
      </c>
    </row>
    <row r="127">
      <c r="A127" s="94" t="inlineStr">
        <is>
          <t>Westmount–Saint-Louis</t>
        </is>
      </c>
      <c r="B127" s="94" t="inlineStr">
        <is>
          <t>Île de Montréal</t>
        </is>
      </c>
      <c r="C127" s="95" t="inlineStr">
        <is>
          <t>PLQ</t>
        </is>
      </c>
      <c r="D127" s="96" t="n">
        <v>2112</v>
      </c>
      <c r="E127" s="96" t="n">
        <v>10576</v>
      </c>
      <c r="F127" s="96" t="n">
        <v>2687</v>
      </c>
      <c r="G127" s="96" t="n">
        <v>1267</v>
      </c>
      <c r="H127" s="96" t="n">
        <v>2959</v>
      </c>
      <c r="I127" s="96" t="n">
        <v>1351</v>
      </c>
      <c r="J127" s="97">
        <f>SUM(D127:I127)</f>
        <v/>
      </c>
      <c r="K127" s="98">
        <f>IFERROR(D127/J127,0)</f>
        <v/>
      </c>
      <c r="L127" s="98">
        <f>IFERROR(E127/J127,0)</f>
        <v/>
      </c>
      <c r="M127" s="98">
        <f>IFERROR(F127/J127,0)</f>
        <v/>
      </c>
      <c r="N127" s="98">
        <f>IFERROR(G127/J127,0)</f>
        <v/>
      </c>
      <c r="O127" s="98">
        <f>IFERROR(H127/J127,0)</f>
        <v/>
      </c>
      <c r="P127" s="98">
        <f>IFERROR(I127/J127,0)</f>
        <v/>
      </c>
      <c r="Q127" s="97">
        <f>D127*INDEX(Régions!$T$2:$T$6,MATCH($B127,Régions!$A$2:$A$6,0))</f>
        <v/>
      </c>
      <c r="R127" s="97">
        <f>E127*INDEX(Régions!$U$2:$U$6,MATCH($B127,Régions!$A$2:$A$6,0))</f>
        <v/>
      </c>
      <c r="S127" s="97">
        <f>F127*INDEX(Régions!$V$2:$V$6,MATCH($B127,Régions!$A$2:$A$6,0))</f>
        <v/>
      </c>
      <c r="T127" s="97">
        <f>G127*INDEX(Régions!$W$2:$W$6,MATCH($B127,Régions!$A$2:$A$6,0))</f>
        <v/>
      </c>
      <c r="U127" s="97">
        <f>H127*INDEX(Régions!$X$2:$X$6,MATCH($B127,Régions!$A$2:$A$6,0))</f>
        <v/>
      </c>
      <c r="V127" s="97">
        <f>I127*INDEX(Régions!$Y$2:$Y$6,MATCH($B127,Régions!$A$2:$A$6,0))</f>
        <v/>
      </c>
      <c r="W127" s="97">
        <f>Q127+(AU127/100)*J127*Régions!$O$2</f>
        <v/>
      </c>
      <c r="X127" s="97">
        <f>R127+(AV127/100)*J127*Régions!$O$2</f>
        <v/>
      </c>
      <c r="Y127" s="97">
        <f>S127+(AW127/100)*J127*Régions!$O$2</f>
        <v/>
      </c>
      <c r="Z127" s="97">
        <f>T127+(AX127/100)*J127*Régions!$O$2</f>
        <v/>
      </c>
      <c r="AA127" s="97">
        <f>U127</f>
        <v/>
      </c>
      <c r="AB127" s="97">
        <f>V127</f>
        <v/>
      </c>
      <c r="AC127" s="97">
        <f>D127*INDEX(Régions!$Z$2:$Z$6,MATCH($B127,Régions!$A$2:$A$6,0))</f>
        <v/>
      </c>
      <c r="AD127" s="97">
        <f>E127*INDEX(Régions!$AA$2:$AA$6,MATCH($B127,Régions!$A$2:$A$6,0))</f>
        <v/>
      </c>
      <c r="AE127" s="97">
        <f>F127*INDEX(Régions!$AB$2:$AB$6,MATCH($B127,Régions!$A$2:$A$6,0))</f>
        <v/>
      </c>
      <c r="AF127" s="97">
        <f>G127*INDEX(Régions!$AC$2:$AC$6,MATCH($B127,Régions!$A$2:$A$6,0))</f>
        <v/>
      </c>
      <c r="AG127" s="97">
        <f>H127*INDEX(Régions!$AD$2:$AD$6,MATCH($B127,Régions!$A$2:$A$6,0))</f>
        <v/>
      </c>
      <c r="AH127" s="97">
        <f>I127*INDEX(Régions!$AE$2:$AE$6,MATCH($B127,Régions!$A$2:$A$6,0))</f>
        <v/>
      </c>
      <c r="AI127" s="97">
        <f>D127*INDEX(Régions!$AF$2:$AF$6,MATCH($B127,Régions!$A$2:$A$6,0))</f>
        <v/>
      </c>
      <c r="AJ127" s="97">
        <f>E127*INDEX(Régions!$AG$2:$AG$6,MATCH($B127,Régions!$A$2:$A$6,0))</f>
        <v/>
      </c>
      <c r="AK127" s="97">
        <f>F127*INDEX(Régions!$AH$2:$AH$6,MATCH($B127,Régions!$A$2:$A$6,0))</f>
        <v/>
      </c>
      <c r="AL127" s="97">
        <f>G127*INDEX(Régions!$AI$2:$AI$6,MATCH($B127,Régions!$A$2:$A$6,0))</f>
        <v/>
      </c>
      <c r="AM127" s="97">
        <f>H127*INDEX(Régions!$AJ$2:$AJ$6,MATCH($B127,Régions!$A$2:$A$6,0))</f>
        <v/>
      </c>
      <c r="AN127" s="97">
        <f>I127*INDEX(Régions!$AK$2:$AK$6,MATCH($B127,Régions!$A$2:$A$6,0))</f>
        <v/>
      </c>
      <c r="AO127" s="99">
        <f>INDEX({"CAQ","PLQ","QS","PQ","PCQ","Autre"},MATCH(MAX(Q127:V127),Q127:V127,0))</f>
        <v/>
      </c>
      <c r="AP127" s="99">
        <f>INDEX({"CAQ","PLQ","QS","PQ","PCQ","Autre"},MATCH(MAX(W127:AB127),W127:AB127,0))</f>
        <v/>
      </c>
      <c r="AQ127" s="99">
        <f>INDEX({"CAQ","PLQ","QS","PQ","PCQ","Autre"},MATCH(MAX(AC127:AH127),AC127:AH127,0))</f>
        <v/>
      </c>
      <c r="AR127" s="99">
        <f>INDEX({"CAQ","PLQ","QS","PQ","PCQ","Autre"},MATCH(MAX(AI127:AN127),AI127:AN127,0))</f>
        <v/>
      </c>
      <c r="AS127" s="100">
        <f>(MAX(K127:P127)-LARGE(K127:P127,2))*100</f>
        <v/>
      </c>
      <c r="AT127" s="101">
        <f>IF(AS127&lt;5,"Oui","Non")</f>
        <v/>
      </c>
      <c r="AU127" s="102" t="n">
        <v>-1.704</v>
      </c>
      <c r="AV127" s="102" t="n">
        <v>-7.402</v>
      </c>
      <c r="AW127" s="102" t="n">
        <v>1.826</v>
      </c>
      <c r="AX127" s="102" t="n">
        <v>2.134</v>
      </c>
      <c r="AY127" s="96" t="n">
        <v>2110</v>
      </c>
      <c r="AZ127" s="96" t="n">
        <v>14547</v>
      </c>
      <c r="BA127" s="96" t="n">
        <v>2236</v>
      </c>
      <c r="BB127" s="96" t="n">
        <v>1105</v>
      </c>
      <c r="BC127" s="96" t="n">
        <v>1807</v>
      </c>
      <c r="BD127" s="97">
        <f>AY127*INDEX(Régions!$AQ$2:$AQ$6,MATCH($B127,Régions!$A$2:$A$6,0))</f>
        <v/>
      </c>
      <c r="BE127" s="97">
        <f>AZ127*INDEX(Régions!$AR$2:$AR$6,MATCH($B127,Régions!$A$2:$A$6,0))</f>
        <v/>
      </c>
      <c r="BF127" s="97">
        <f>BA127*INDEX(Régions!$AS$2:$AS$6,MATCH($B127,Régions!$A$2:$A$6,0))</f>
        <v/>
      </c>
      <c r="BG127" s="97">
        <f>BB127*INDEX(Régions!$AT$2:$AT$6,MATCH($B127,Régions!$A$2:$A$6,0))</f>
        <v/>
      </c>
      <c r="BH127" s="97">
        <f>U127</f>
        <v/>
      </c>
      <c r="BI127" s="97">
        <f>BC127*INDEX(Régions!$AU$2:$AU$6,MATCH($B127,Régions!$A$2:$A$6,0))</f>
        <v/>
      </c>
      <c r="BJ127" s="97">
        <f>INDEX({"CAQ","PLQ","QS","PQ","PCQ","Autre"},MATCH(MAX(BD127:BI127),BD127:BI127,0))</f>
        <v/>
      </c>
    </row>
    <row r="128">
      <c r="A128" s="94" t="inlineStr">
        <is>
          <t>Îles-de-la-Madeleine</t>
        </is>
      </c>
      <c r="B128" s="94" t="inlineStr">
        <is>
          <t>Reste du Québec</t>
        </is>
      </c>
      <c r="C128" s="95" t="inlineStr">
        <is>
          <t>PQ</t>
        </is>
      </c>
      <c r="D128" s="96" t="n">
        <v>3338</v>
      </c>
      <c r="E128" s="96" t="n">
        <v>606</v>
      </c>
      <c r="F128" s="96" t="n">
        <v>450</v>
      </c>
      <c r="G128" s="96" t="n">
        <v>3877</v>
      </c>
      <c r="H128" s="96" t="n">
        <v>93</v>
      </c>
      <c r="I128" s="96" t="n">
        <v>0</v>
      </c>
      <c r="J128" s="97">
        <f>SUM(D128:I128)</f>
        <v/>
      </c>
      <c r="K128" s="98">
        <f>IFERROR(D128/J128,0)</f>
        <v/>
      </c>
      <c r="L128" s="98">
        <f>IFERROR(E128/J128,0)</f>
        <v/>
      </c>
      <c r="M128" s="98">
        <f>IFERROR(F128/J128,0)</f>
        <v/>
      </c>
      <c r="N128" s="98">
        <f>IFERROR(G128/J128,0)</f>
        <v/>
      </c>
      <c r="O128" s="98">
        <f>IFERROR(H128/J128,0)</f>
        <v/>
      </c>
      <c r="P128" s="98">
        <f>IFERROR(I128/J128,0)</f>
        <v/>
      </c>
      <c r="Q128" s="97">
        <f>D128*INDEX(Régions!$T$2:$T$6,MATCH($B128,Régions!$A$2:$A$6,0))</f>
        <v/>
      </c>
      <c r="R128" s="97">
        <f>E128*INDEX(Régions!$U$2:$U$6,MATCH($B128,Régions!$A$2:$A$6,0))</f>
        <v/>
      </c>
      <c r="S128" s="97">
        <f>F128*INDEX(Régions!$V$2:$V$6,MATCH($B128,Régions!$A$2:$A$6,0))</f>
        <v/>
      </c>
      <c r="T128" s="97">
        <f>G128*INDEX(Régions!$W$2:$W$6,MATCH($B128,Régions!$A$2:$A$6,0))</f>
        <v/>
      </c>
      <c r="U128" s="97">
        <f>H128*INDEX(Régions!$X$2:$X$6,MATCH($B128,Régions!$A$2:$A$6,0))</f>
        <v/>
      </c>
      <c r="V128" s="97">
        <f>I128*INDEX(Régions!$Y$2:$Y$6,MATCH($B128,Régions!$A$2:$A$6,0))</f>
        <v/>
      </c>
      <c r="W128" s="97">
        <f>Q128+(AU128/100)*J128*Régions!$O$2</f>
        <v/>
      </c>
      <c r="X128" s="97">
        <f>R128+(AV128/100)*J128*Régions!$O$2</f>
        <v/>
      </c>
      <c r="Y128" s="97">
        <f>S128+(AW128/100)*J128*Régions!$O$2</f>
        <v/>
      </c>
      <c r="Z128" s="97">
        <f>T128+(AX128/100)*J128*Régions!$O$2</f>
        <v/>
      </c>
      <c r="AA128" s="97">
        <f>U128</f>
        <v/>
      </c>
      <c r="AB128" s="97">
        <f>V128</f>
        <v/>
      </c>
      <c r="AC128" s="97">
        <f>D128*INDEX(Régions!$Z$2:$Z$6,MATCH($B128,Régions!$A$2:$A$6,0))</f>
        <v/>
      </c>
      <c r="AD128" s="97">
        <f>E128*INDEX(Régions!$AA$2:$AA$6,MATCH($B128,Régions!$A$2:$A$6,0))</f>
        <v/>
      </c>
      <c r="AE128" s="97">
        <f>F128*INDEX(Régions!$AB$2:$AB$6,MATCH($B128,Régions!$A$2:$A$6,0))</f>
        <v/>
      </c>
      <c r="AF128" s="97">
        <f>G128*INDEX(Régions!$AC$2:$AC$6,MATCH($B128,Régions!$A$2:$A$6,0))</f>
        <v/>
      </c>
      <c r="AG128" s="97">
        <f>H128*INDEX(Régions!$AD$2:$AD$6,MATCH($B128,Régions!$A$2:$A$6,0))</f>
        <v/>
      </c>
      <c r="AH128" s="97">
        <f>I128*INDEX(Régions!$AE$2:$AE$6,MATCH($B128,Régions!$A$2:$A$6,0))</f>
        <v/>
      </c>
      <c r="AI128" s="97">
        <f>D128*INDEX(Régions!$AF$2:$AF$6,MATCH($B128,Régions!$A$2:$A$6,0))</f>
        <v/>
      </c>
      <c r="AJ128" s="97">
        <f>E128*INDEX(Régions!$AG$2:$AG$6,MATCH($B128,Régions!$A$2:$A$6,0))</f>
        <v/>
      </c>
      <c r="AK128" s="97">
        <f>F128*INDEX(Régions!$AH$2:$AH$6,MATCH($B128,Régions!$A$2:$A$6,0))</f>
        <v/>
      </c>
      <c r="AL128" s="97">
        <f>G128*INDEX(Régions!$AI$2:$AI$6,MATCH($B128,Régions!$A$2:$A$6,0))</f>
        <v/>
      </c>
      <c r="AM128" s="97">
        <f>H128*INDEX(Régions!$AJ$2:$AJ$6,MATCH($B128,Régions!$A$2:$A$6,0))</f>
        <v/>
      </c>
      <c r="AN128" s="97">
        <f>I128*INDEX(Régions!$AK$2:$AK$6,MATCH($B128,Régions!$A$2:$A$6,0))</f>
        <v/>
      </c>
      <c r="AO128" s="99">
        <f>INDEX({"CAQ","PLQ","QS","PQ","PCQ","Autre"},MATCH(MAX(Q128:V128),Q128:V128,0))</f>
        <v/>
      </c>
      <c r="AP128" s="99">
        <f>INDEX({"CAQ","PLQ","QS","PQ","PCQ","Autre"},MATCH(MAX(W128:AB128),W128:AB128,0))</f>
        <v/>
      </c>
      <c r="AQ128" s="99">
        <f>INDEX({"CAQ","PLQ","QS","PQ","PCQ","Autre"},MATCH(MAX(AC128:AH128),AC128:AH128,0))</f>
        <v/>
      </c>
      <c r="AR128" s="99">
        <f>INDEX({"CAQ","PLQ","QS","PQ","PCQ","Autre"},MATCH(MAX(AI128:AN128),AI128:AN128,0))</f>
        <v/>
      </c>
      <c r="AS128" s="100">
        <f>(MAX(K128:P128)-LARGE(K128:P128,2))*100</f>
        <v/>
      </c>
      <c r="AT128" s="101">
        <f>IF(AS128&lt;5,"Oui","Non")</f>
        <v/>
      </c>
      <c r="AU128" s="102" t="n">
        <v>24.62</v>
      </c>
      <c r="AV128" s="102" t="n">
        <v>-18.461</v>
      </c>
      <c r="AW128" s="102" t="n">
        <v>-7.184</v>
      </c>
      <c r="AX128" s="102" t="n">
        <v>11.685</v>
      </c>
      <c r="AY128" s="96" t="n">
        <v>714</v>
      </c>
      <c r="AZ128" s="96" t="n">
        <v>2940</v>
      </c>
      <c r="BA128" s="96" t="n">
        <v>1036</v>
      </c>
      <c r="BB128" s="96" t="n">
        <v>2955</v>
      </c>
      <c r="BC128" s="96" t="n">
        <v>0</v>
      </c>
      <c r="BD128" s="97">
        <f>AY128*INDEX(Régions!$AQ$2:$AQ$6,MATCH($B128,Régions!$A$2:$A$6,0))</f>
        <v/>
      </c>
      <c r="BE128" s="97">
        <f>AZ128*INDEX(Régions!$AR$2:$AR$6,MATCH($B128,Régions!$A$2:$A$6,0))</f>
        <v/>
      </c>
      <c r="BF128" s="97">
        <f>BA128*INDEX(Régions!$AS$2:$AS$6,MATCH($B128,Régions!$A$2:$A$6,0))</f>
        <v/>
      </c>
      <c r="BG128" s="97">
        <f>BB128*INDEX(Régions!$AT$2:$AT$6,MATCH($B128,Régions!$A$2:$A$6,0))</f>
        <v/>
      </c>
      <c r="BH128" s="97">
        <f>U128</f>
        <v/>
      </c>
      <c r="BI128" s="97">
        <f>BC128*INDEX(Régions!$AU$2:$AU$6,MATCH($B128,Régions!$A$2:$A$6,0))</f>
        <v/>
      </c>
      <c r="BJ128" s="97">
        <f>INDEX({"CAQ","PLQ","QS","PQ","PCQ","Autre"},MATCH(MAX(BD128:BI128),BD128:BI128,0))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U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59" min="1" max="1"/>
    <col width="12" customWidth="1" style="59" min="2" max="26"/>
  </cols>
  <sheetData>
    <row r="1" ht="30" customHeight="1" s="60">
      <c r="A1" s="84" t="inlineStr">
        <is>
          <t>Région</t>
        </is>
      </c>
      <c r="B1" s="84" t="inlineStr">
        <is>
          <t>Réf. CAQ%</t>
        </is>
      </c>
      <c r="C1" s="84" t="inlineStr">
        <is>
          <t>Réf. PLQ%</t>
        </is>
      </c>
      <c r="D1" s="84" t="inlineStr">
        <is>
          <t>Réf. QS%</t>
        </is>
      </c>
      <c r="E1" s="84" t="inlineStr">
        <is>
          <t>Réf. PQ%</t>
        </is>
      </c>
      <c r="F1" s="84" t="inlineStr">
        <is>
          <t>Réf. PCQ%</t>
        </is>
      </c>
      <c r="G1" s="84" t="inlineStr">
        <is>
          <t>Réf. Autre%</t>
        </is>
      </c>
      <c r="H1" s="84" t="inlineStr">
        <is>
          <t>Sond. CAQ</t>
        </is>
      </c>
      <c r="I1" s="84" t="inlineStr">
        <is>
          <t>Sond. PLQ</t>
        </is>
      </c>
      <c r="J1" s="84" t="inlineStr">
        <is>
          <t>Sond. QS</t>
        </is>
      </c>
      <c r="K1" s="84" t="inlineStr">
        <is>
          <t>Sond. PQ</t>
        </is>
      </c>
      <c r="L1" s="84" t="inlineStr">
        <is>
          <t>Sond. PCQ</t>
        </is>
      </c>
      <c r="M1" s="84" t="inlineStr">
        <is>
          <t>Sond. Autre</t>
        </is>
      </c>
      <c r="N1" s="84" t="inlineStr">
        <is>
          <t>Marge (pp)</t>
        </is>
      </c>
      <c r="O1" s="84" t="inlineStr">
        <is>
          <t>Facteur inertie</t>
        </is>
      </c>
      <c r="P1" s="84" t="n"/>
      <c r="Q1" s="84" t="n"/>
      <c r="R1" s="84" t="n"/>
      <c r="S1" s="84" t="n"/>
      <c r="T1" s="84" t="inlineStr">
        <is>
          <t>SwA CAQ</t>
        </is>
      </c>
      <c r="U1" s="84" t="inlineStr">
        <is>
          <t>SwA PLQ</t>
        </is>
      </c>
      <c r="V1" s="84" t="inlineStr">
        <is>
          <t>SwA QS</t>
        </is>
      </c>
      <c r="W1" s="84" t="inlineStr">
        <is>
          <t>SwA PQ</t>
        </is>
      </c>
      <c r="X1" s="84" t="inlineStr">
        <is>
          <t>SwA PCQ</t>
        </is>
      </c>
      <c r="Y1" s="84" t="inlineStr">
        <is>
          <t>SwA Autre</t>
        </is>
      </c>
      <c r="Z1" s="84" t="inlineStr">
        <is>
          <t>SwC CAQ</t>
        </is>
      </c>
      <c r="AA1" s="84" t="inlineStr">
        <is>
          <t>SwC PLQ</t>
        </is>
      </c>
      <c r="AB1" s="84" t="inlineStr">
        <is>
          <t>SwC QS</t>
        </is>
      </c>
      <c r="AC1" s="84" t="inlineStr">
        <is>
          <t>SwC PQ</t>
        </is>
      </c>
      <c r="AD1" s="84" t="inlineStr">
        <is>
          <t>SwC PCQ</t>
        </is>
      </c>
      <c r="AE1" s="84" t="inlineStr">
        <is>
          <t>SwC Autre</t>
        </is>
      </c>
      <c r="AF1" s="84" t="inlineStr">
        <is>
          <t>SwD CAQ</t>
        </is>
      </c>
      <c r="AG1" s="84" t="inlineStr">
        <is>
          <t>SwD PLQ</t>
        </is>
      </c>
      <c r="AH1" s="84" t="inlineStr">
        <is>
          <t>SwD QS</t>
        </is>
      </c>
      <c r="AI1" s="84" t="inlineStr">
        <is>
          <t>SwD PQ</t>
        </is>
      </c>
      <c r="AJ1" s="84" t="inlineStr">
        <is>
          <t>SwD PCQ</t>
        </is>
      </c>
      <c r="AK1" s="84" t="inlineStr">
        <is>
          <t>SwD Autre</t>
        </is>
      </c>
      <c r="AL1" s="84" t="inlineStr">
        <is>
          <t>Réf18 CAQ%</t>
        </is>
      </c>
      <c r="AM1" s="84" t="inlineStr">
        <is>
          <t>Réf18 PLQ%</t>
        </is>
      </c>
      <c r="AN1" s="84" t="inlineStr">
        <is>
          <t>Réf18 QS%</t>
        </is>
      </c>
      <c r="AO1" s="84" t="inlineStr">
        <is>
          <t>Réf18 PQ%</t>
        </is>
      </c>
      <c r="AP1" s="84" t="inlineStr">
        <is>
          <t>Réf18 Autre%</t>
        </is>
      </c>
      <c r="AQ1" s="84" t="inlineStr">
        <is>
          <t>SwE CAQ</t>
        </is>
      </c>
      <c r="AR1" s="84" t="inlineStr">
        <is>
          <t>SwE PLQ</t>
        </is>
      </c>
      <c r="AS1" s="84" t="inlineStr">
        <is>
          <t>SwE QS</t>
        </is>
      </c>
      <c r="AT1" s="84" t="inlineStr">
        <is>
          <t>SwE PQ</t>
        </is>
      </c>
      <c r="AU1" s="84" t="inlineStr">
        <is>
          <t>SwE Autre</t>
        </is>
      </c>
    </row>
    <row r="2" ht="15" customHeight="1" s="60">
      <c r="A2" s="81" t="inlineStr">
        <is>
          <t>Montréal RMR</t>
        </is>
      </c>
      <c r="B2" s="103" t="n">
        <v>36.26</v>
      </c>
      <c r="C2" s="103" t="n">
        <v>21.22</v>
      </c>
      <c r="D2" s="103" t="n">
        <v>16.83</v>
      </c>
      <c r="E2" s="103" t="n">
        <v>13.61</v>
      </c>
      <c r="F2" s="103" t="n">
        <v>10.17</v>
      </c>
      <c r="G2" s="103" t="n">
        <v>1.92</v>
      </c>
      <c r="H2" s="104" t="n">
        <v>24.2</v>
      </c>
      <c r="I2" s="104" t="n">
        <v>25.6</v>
      </c>
      <c r="J2" s="104" t="n">
        <v>8.199999999999999</v>
      </c>
      <c r="K2" s="104" t="n">
        <v>29.3</v>
      </c>
      <c r="L2" s="104" t="n">
        <v>11.9</v>
      </c>
      <c r="M2" s="104" t="n">
        <v>0.8</v>
      </c>
      <c r="N2" s="105" t="n">
        <v>2.9</v>
      </c>
      <c r="O2" s="105" t="n">
        <v>0.5</v>
      </c>
      <c r="T2" s="106">
        <f>IFERROR(H2/B2,1)</f>
        <v/>
      </c>
      <c r="U2" s="106">
        <f>IFERROR(I2/C2,1)</f>
        <v/>
      </c>
      <c r="V2" s="106">
        <f>IFERROR(J2/D2,1)</f>
        <v/>
      </c>
      <c r="W2" s="106">
        <f>IFERROR(K2/E2,1)</f>
        <v/>
      </c>
      <c r="X2" s="106">
        <f>IFERROR(L2/F2,1)</f>
        <v/>
      </c>
      <c r="Y2" s="106">
        <f>IFERROR(M2/G2,1)</f>
        <v/>
      </c>
      <c r="Z2" s="106">
        <f>IFERROR((H2+$N$2)/B2,1)</f>
        <v/>
      </c>
      <c r="AA2" s="106">
        <f>IFERROR((I2+$N$2)/C2,1)</f>
        <v/>
      </c>
      <c r="AB2" s="106">
        <f>IFERROR((J2+$N$2)/D2,1)</f>
        <v/>
      </c>
      <c r="AC2" s="106">
        <f>IFERROR((K2+$N$2)/E2,1)</f>
        <v/>
      </c>
      <c r="AD2" s="106">
        <f>IFERROR((L2+$N$2)/F2,1)</f>
        <v/>
      </c>
      <c r="AE2" s="106">
        <f>IFERROR((M2+$N$2)/G2,1)</f>
        <v/>
      </c>
      <c r="AF2" s="106">
        <f>IFERROR(MAX((H2-$N$2),0)/B2,1)</f>
        <v/>
      </c>
      <c r="AG2" s="106">
        <f>IFERROR(MAX((I2-$N$2),0)/C2,1)</f>
        <v/>
      </c>
      <c r="AH2" s="106">
        <f>IFERROR(MAX((J2-$N$2),0)/D2,1)</f>
        <v/>
      </c>
      <c r="AI2" s="106">
        <f>IFERROR(MAX((K2-$N$2),0)/E2,1)</f>
        <v/>
      </c>
      <c r="AJ2" s="106">
        <f>IFERROR(MAX((L2-$N$2),0)/F2,1)</f>
        <v/>
      </c>
      <c r="AK2" s="106">
        <f>IFERROR(MAX((M2-$N$2),0)/G2,1)</f>
        <v/>
      </c>
    </row>
    <row r="3" ht="15" customHeight="1" s="60">
      <c r="A3" s="81" t="inlineStr">
        <is>
          <t>Île de Montréal</t>
        </is>
      </c>
      <c r="B3" s="103" t="n">
        <v>20.01</v>
      </c>
      <c r="C3" s="103" t="n">
        <v>34.06</v>
      </c>
      <c r="D3" s="103" t="n">
        <v>22.15</v>
      </c>
      <c r="E3" s="103" t="n">
        <v>10.67</v>
      </c>
      <c r="F3" s="103" t="n">
        <v>9.970000000000001</v>
      </c>
      <c r="G3" s="103" t="n">
        <v>3.13</v>
      </c>
      <c r="H3" s="104" t="n">
        <v>10.4</v>
      </c>
      <c r="I3" s="104" t="n">
        <v>34.5</v>
      </c>
      <c r="J3" s="104" t="n">
        <v>14</v>
      </c>
      <c r="K3" s="104" t="n">
        <v>26.6</v>
      </c>
      <c r="L3" s="104" t="n">
        <v>14.2</v>
      </c>
      <c r="M3" s="104" t="n">
        <v>0.3</v>
      </c>
      <c r="N3" s="107" t="inlineStr">
        <is>
          <t>← modifier ici</t>
        </is>
      </c>
      <c r="O3" s="107" t="inlineStr">
        <is>
          <t>← modifier ici</t>
        </is>
      </c>
      <c r="T3" s="106">
        <f>IFERROR(H3/B3,1)</f>
        <v/>
      </c>
      <c r="U3" s="106">
        <f>IFERROR(I3/C3,1)</f>
        <v/>
      </c>
      <c r="V3" s="106">
        <f>IFERROR(J3/D3,1)</f>
        <v/>
      </c>
      <c r="W3" s="106">
        <f>IFERROR(K3/E3,1)</f>
        <v/>
      </c>
      <c r="X3" s="106">
        <f>IFERROR(L3/F3,1)</f>
        <v/>
      </c>
      <c r="Y3" s="106">
        <f>IFERROR(M3/G3,1)</f>
        <v/>
      </c>
      <c r="Z3" s="106">
        <f>IFERROR((H3+$N$2)/B3,1)</f>
        <v/>
      </c>
      <c r="AA3" s="106">
        <f>IFERROR((I3+$N$2)/C3,1)</f>
        <v/>
      </c>
      <c r="AB3" s="106">
        <f>IFERROR((J3+$N$2)/D3,1)</f>
        <v/>
      </c>
      <c r="AC3" s="106">
        <f>IFERROR((K3+$N$2)/E3,1)</f>
        <v/>
      </c>
      <c r="AD3" s="106">
        <f>IFERROR((L3+$N$2)/F3,1)</f>
        <v/>
      </c>
      <c r="AE3" s="106">
        <f>IFERROR((M3+$N$2)/G3,1)</f>
        <v/>
      </c>
      <c r="AF3" s="106">
        <f>IFERROR(MAX((H3-$N$2),0)/B3,1)</f>
        <v/>
      </c>
      <c r="AG3" s="106">
        <f>IFERROR(MAX((I3-$N$2),0)/C3,1)</f>
        <v/>
      </c>
      <c r="AH3" s="106">
        <f>IFERROR(MAX((J3-$N$2),0)/D3,1)</f>
        <v/>
      </c>
      <c r="AI3" s="106">
        <f>IFERROR(MAX((K3-$N$2),0)/E3,1)</f>
        <v/>
      </c>
      <c r="AJ3" s="106">
        <f>IFERROR(MAX((L3-$N$2),0)/F3,1)</f>
        <v/>
      </c>
      <c r="AK3" s="106">
        <f>IFERROR(MAX((M3-$N$2),0)/G3,1)</f>
        <v/>
      </c>
      <c r="AL3" s="103" t="n">
        <v>18.01</v>
      </c>
      <c r="AM3" s="103" t="n">
        <v>42.46</v>
      </c>
      <c r="AN3" s="103" t="n">
        <v>21.66</v>
      </c>
      <c r="AO3" s="103" t="n">
        <v>11.91</v>
      </c>
      <c r="AP3" s="103" t="n">
        <v>5.96</v>
      </c>
      <c r="AQ3" s="106">
        <f>IFERROR(H3/AL3,1)</f>
        <v/>
      </c>
      <c r="AR3" s="106">
        <f>IFERROR(I3/AM3,1)</f>
        <v/>
      </c>
      <c r="AS3" s="106">
        <f>IFERROR(J3/AN3,1)</f>
        <v/>
      </c>
      <c r="AT3" s="106">
        <f>IFERROR(K3/AO3,1)</f>
        <v/>
      </c>
      <c r="AU3" s="106">
        <f>IFERROR(M3/AP3,1)</f>
        <v/>
      </c>
    </row>
    <row r="4" ht="15" customHeight="1" s="60">
      <c r="A4" s="81" t="inlineStr">
        <is>
          <t>Banlieue de Montréal</t>
        </is>
      </c>
      <c r="B4" s="103" t="n">
        <v>45.27</v>
      </c>
      <c r="C4" s="103" t="n">
        <v>14.09</v>
      </c>
      <c r="D4" s="103" t="n">
        <v>13.88</v>
      </c>
      <c r="E4" s="103" t="n">
        <v>15.24</v>
      </c>
      <c r="F4" s="103" t="n">
        <v>10.28</v>
      </c>
      <c r="G4" s="103" t="n">
        <v>1.24</v>
      </c>
      <c r="H4" s="104" t="n">
        <v>33.4</v>
      </c>
      <c r="I4" s="104" t="n">
        <v>19.6</v>
      </c>
      <c r="J4" s="104" t="n">
        <v>4.4</v>
      </c>
      <c r="K4" s="104" t="n">
        <v>31.2</v>
      </c>
      <c r="L4" s="104" t="n">
        <v>10.3</v>
      </c>
      <c r="M4" s="104" t="n">
        <v>1.1</v>
      </c>
      <c r="T4" s="106">
        <f>IFERROR(H4/B4,1)</f>
        <v/>
      </c>
      <c r="U4" s="106">
        <f>IFERROR(I4/C4,1)</f>
        <v/>
      </c>
      <c r="V4" s="106">
        <f>IFERROR(J4/D4,1)</f>
        <v/>
      </c>
      <c r="W4" s="106">
        <f>IFERROR(K4/E4,1)</f>
        <v/>
      </c>
      <c r="X4" s="106">
        <f>IFERROR(L4/F4,1)</f>
        <v/>
      </c>
      <c r="Y4" s="106">
        <f>IFERROR(M4/G4,1)</f>
        <v/>
      </c>
      <c r="Z4" s="106">
        <f>IFERROR((H4+$N$2)/B4,1)</f>
        <v/>
      </c>
      <c r="AA4" s="106">
        <f>IFERROR((I4+$N$2)/C4,1)</f>
        <v/>
      </c>
      <c r="AB4" s="106">
        <f>IFERROR((J4+$N$2)/D4,1)</f>
        <v/>
      </c>
      <c r="AC4" s="106">
        <f>IFERROR((K4+$N$2)/E4,1)</f>
        <v/>
      </c>
      <c r="AD4" s="106">
        <f>IFERROR((L4+$N$2)/F4,1)</f>
        <v/>
      </c>
      <c r="AE4" s="106">
        <f>IFERROR((M4+$N$2)/G4,1)</f>
        <v/>
      </c>
      <c r="AF4" s="106">
        <f>IFERROR(MAX((H4-$N$2),0)/B4,1)</f>
        <v/>
      </c>
      <c r="AG4" s="106">
        <f>IFERROR(MAX((I4-$N$2),0)/C4,1)</f>
        <v/>
      </c>
      <c r="AH4" s="106">
        <f>IFERROR(MAX((J4-$N$2),0)/D4,1)</f>
        <v/>
      </c>
      <c r="AI4" s="106">
        <f>IFERROR(MAX((K4-$N$2),0)/E4,1)</f>
        <v/>
      </c>
      <c r="AJ4" s="106">
        <f>IFERROR(MAX((L4-$N$2),0)/F4,1)</f>
        <v/>
      </c>
      <c r="AK4" s="106">
        <f>IFERROR(MAX((M4-$N$2),0)/G4,1)</f>
        <v/>
      </c>
      <c r="AL4" s="103" t="n">
        <v>42.09</v>
      </c>
      <c r="AM4" s="103" t="n">
        <v>20.94</v>
      </c>
      <c r="AN4" s="103" t="n">
        <v>14.6</v>
      </c>
      <c r="AO4" s="103" t="n">
        <v>18.31</v>
      </c>
      <c r="AP4" s="103" t="n">
        <v>4.06</v>
      </c>
      <c r="AQ4" s="106">
        <f>IFERROR(H4/AL4,1)</f>
        <v/>
      </c>
      <c r="AR4" s="106">
        <f>IFERROR(I4/AM4,1)</f>
        <v/>
      </c>
      <c r="AS4" s="106">
        <f>IFERROR(J4/AN4,1)</f>
        <v/>
      </c>
      <c r="AT4" s="106">
        <f>IFERROR(K4/AO4,1)</f>
        <v/>
      </c>
      <c r="AU4" s="106">
        <f>IFERROR(M4/AP4,1)</f>
        <v/>
      </c>
    </row>
    <row r="5" ht="15" customHeight="1" s="60">
      <c r="A5" s="81" t="inlineStr">
        <is>
          <t>Québec RMR</t>
        </is>
      </c>
      <c r="B5" s="103" t="n">
        <v>43.15</v>
      </c>
      <c r="C5" s="103" t="n">
        <v>5.84</v>
      </c>
      <c r="D5" s="103" t="n">
        <v>15.27</v>
      </c>
      <c r="E5" s="103" t="n">
        <v>13.27</v>
      </c>
      <c r="F5" s="103" t="n">
        <v>21.42</v>
      </c>
      <c r="G5" s="103" t="n">
        <v>1.06</v>
      </c>
      <c r="H5" s="104" t="n">
        <v>24.4</v>
      </c>
      <c r="I5" s="104" t="n">
        <v>8.800000000000001</v>
      </c>
      <c r="J5" s="104" t="n">
        <v>9.300000000000001</v>
      </c>
      <c r="K5" s="104" t="n">
        <v>25.8</v>
      </c>
      <c r="L5" s="104" t="n">
        <v>31.6</v>
      </c>
      <c r="M5" s="104" t="n">
        <v>0</v>
      </c>
      <c r="T5" s="106">
        <f>IFERROR(H5/B5,1)</f>
        <v/>
      </c>
      <c r="U5" s="106">
        <f>IFERROR(I5/C5,1)</f>
        <v/>
      </c>
      <c r="V5" s="106">
        <f>IFERROR(J5/D5,1)</f>
        <v/>
      </c>
      <c r="W5" s="106">
        <f>IFERROR(K5/E5,1)</f>
        <v/>
      </c>
      <c r="X5" s="106">
        <f>IFERROR(L5/F5,1)</f>
        <v/>
      </c>
      <c r="Y5" s="106">
        <f>IFERROR(M5/G5,1)</f>
        <v/>
      </c>
      <c r="Z5" s="106">
        <f>IFERROR((H5+$N$2)/B5,1)</f>
        <v/>
      </c>
      <c r="AA5" s="106">
        <f>IFERROR((I5+$N$2)/C5,1)</f>
        <v/>
      </c>
      <c r="AB5" s="106">
        <f>IFERROR((J5+$N$2)/D5,1)</f>
        <v/>
      </c>
      <c r="AC5" s="106">
        <f>IFERROR((K5+$N$2)/E5,1)</f>
        <v/>
      </c>
      <c r="AD5" s="106">
        <f>IFERROR((L5+$N$2)/F5,1)</f>
        <v/>
      </c>
      <c r="AE5" s="106">
        <f>IFERROR((M5+$N$2)/G5,1)</f>
        <v/>
      </c>
      <c r="AF5" s="106">
        <f>IFERROR(MAX((H5-$N$2),0)/B5,1)</f>
        <v/>
      </c>
      <c r="AG5" s="106">
        <f>IFERROR(MAX((I5-$N$2),0)/C5,1)</f>
        <v/>
      </c>
      <c r="AH5" s="106">
        <f>IFERROR(MAX((J5-$N$2),0)/D5,1)</f>
        <v/>
      </c>
      <c r="AI5" s="106">
        <f>IFERROR(MAX((K5-$N$2),0)/E5,1)</f>
        <v/>
      </c>
      <c r="AJ5" s="106">
        <f>IFERROR(MAX((L5-$N$2),0)/F5,1)</f>
        <v/>
      </c>
      <c r="AK5" s="106">
        <f>IFERROR(MAX((M5-$N$2),0)/G5,1)</f>
        <v/>
      </c>
      <c r="AL5" s="103" t="n">
        <v>45.85</v>
      </c>
      <c r="AM5" s="103" t="n">
        <v>20.75</v>
      </c>
      <c r="AN5" s="103" t="n">
        <v>16.04</v>
      </c>
      <c r="AO5" s="103" t="n">
        <v>11.4</v>
      </c>
      <c r="AP5" s="103" t="n">
        <v>5.96</v>
      </c>
      <c r="AQ5" s="106">
        <f>IFERROR(H5/AL5,1)</f>
        <v/>
      </c>
      <c r="AR5" s="106">
        <f>IFERROR(I5/AM5,1)</f>
        <v/>
      </c>
      <c r="AS5" s="106">
        <f>IFERROR(J5/AN5,1)</f>
        <v/>
      </c>
      <c r="AT5" s="106">
        <f>IFERROR(K5/AO5,1)</f>
        <v/>
      </c>
      <c r="AU5" s="106">
        <f>IFERROR(M5/AP5,1)</f>
        <v/>
      </c>
    </row>
    <row r="6" ht="15" customHeight="1" s="60">
      <c r="A6" s="81" t="inlineStr">
        <is>
          <t>Reste du Québec</t>
        </is>
      </c>
      <c r="B6" s="103" t="n">
        <v>47.4</v>
      </c>
      <c r="C6" s="103" t="n">
        <v>6.99</v>
      </c>
      <c r="D6" s="103" t="n">
        <v>13.35</v>
      </c>
      <c r="E6" s="103" t="n">
        <v>16.59</v>
      </c>
      <c r="F6" s="103" t="n">
        <v>14.96</v>
      </c>
      <c r="G6" s="103" t="n">
        <v>0.71</v>
      </c>
      <c r="H6" s="104" t="n">
        <v>24.3</v>
      </c>
      <c r="I6" s="104" t="n">
        <v>18.4</v>
      </c>
      <c r="J6" s="104" t="n">
        <v>11.6</v>
      </c>
      <c r="K6" s="104" t="n">
        <v>28.1</v>
      </c>
      <c r="L6" s="104" t="n">
        <v>17.3</v>
      </c>
      <c r="M6" s="104" t="n">
        <v>0.2</v>
      </c>
      <c r="T6" s="106">
        <f>IFERROR(H6/B6,1)</f>
        <v/>
      </c>
      <c r="U6" s="106">
        <f>IFERROR(I6/C6,1)</f>
        <v/>
      </c>
      <c r="V6" s="106">
        <f>IFERROR(J6/D6,1)</f>
        <v/>
      </c>
      <c r="W6" s="106">
        <f>IFERROR(K6/E6,1)</f>
        <v/>
      </c>
      <c r="X6" s="106">
        <f>IFERROR(L6/F6,1)</f>
        <v/>
      </c>
      <c r="Y6" s="106">
        <f>IFERROR(M6/G6,1)</f>
        <v/>
      </c>
      <c r="Z6" s="106">
        <f>IFERROR((H6+$N$2)/B6,1)</f>
        <v/>
      </c>
      <c r="AA6" s="106">
        <f>IFERROR((I6+$N$2)/C6,1)</f>
        <v/>
      </c>
      <c r="AB6" s="106">
        <f>IFERROR((J6+$N$2)/D6,1)</f>
        <v/>
      </c>
      <c r="AC6" s="106">
        <f>IFERROR((K6+$N$2)/E6,1)</f>
        <v/>
      </c>
      <c r="AD6" s="106">
        <f>IFERROR((L6+$N$2)/F6,1)</f>
        <v/>
      </c>
      <c r="AE6" s="106">
        <f>IFERROR((M6+$N$2)/G6,1)</f>
        <v/>
      </c>
      <c r="AF6" s="106">
        <f>IFERROR(MAX((H6-$N$2),0)/B6,1)</f>
        <v/>
      </c>
      <c r="AG6" s="106">
        <f>IFERROR(MAX((I6-$N$2),0)/C6,1)</f>
        <v/>
      </c>
      <c r="AH6" s="106">
        <f>IFERROR(MAX((J6-$N$2),0)/D6,1)</f>
        <v/>
      </c>
      <c r="AI6" s="106">
        <f>IFERROR(MAX((K6-$N$2),0)/E6,1)</f>
        <v/>
      </c>
      <c r="AJ6" s="106">
        <f>IFERROR(MAX((L6-$N$2),0)/F6,1)</f>
        <v/>
      </c>
      <c r="AK6" s="106">
        <f>IFERROR(MAX((M6-$N$2),0)/G6,1)</f>
        <v/>
      </c>
      <c r="AL6" s="103" t="n">
        <v>41.18</v>
      </c>
      <c r="AM6" s="103" t="n">
        <v>19.79</v>
      </c>
      <c r="AN6" s="103" t="n">
        <v>14.38</v>
      </c>
      <c r="AO6" s="103" t="n">
        <v>20.78</v>
      </c>
      <c r="AP6" s="103" t="n">
        <v>3.87</v>
      </c>
      <c r="AQ6" s="106">
        <f>IFERROR(H6/AL6,1)</f>
        <v/>
      </c>
      <c r="AR6" s="106">
        <f>IFERROR(I6/AM6,1)</f>
        <v/>
      </c>
      <c r="AS6" s="106">
        <f>IFERROR(J6/AN6,1)</f>
        <v/>
      </c>
      <c r="AT6" s="106">
        <f>IFERROR(K6/AO6,1)</f>
        <v/>
      </c>
      <c r="AU6" s="106">
        <f>IFERROR(M6/AP6,1)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59" min="1" max="1"/>
    <col width="80" customWidth="1" style="59" min="2" max="2"/>
  </cols>
  <sheetData>
    <row r="1" ht="15" customHeight="1" s="60">
      <c r="A1" s="63" t="inlineStr">
        <is>
          <t>Paramètre</t>
        </is>
      </c>
      <c r="B1" s="63" t="inlineStr">
        <is>
          <t>Description</t>
        </is>
      </c>
    </row>
    <row r="2" ht="27.75" customHeight="1" s="60">
      <c r="A2" s="64" t="inlineStr">
        <is>
          <t>Modèle QC127 v4.0</t>
        </is>
      </c>
      <c r="B2" s="108" t="inlineStr">
        <is>
          <t>Projection électorale québécoise – 127 circonscriptions (nouvelle carte 2026), 4 scénarios</t>
        </is>
      </c>
    </row>
    <row r="3" ht="27.75" customHeight="1" s="60">
      <c r="A3" s="64" t="inlineStr">
        <is>
          <t>Sondage</t>
        </is>
      </c>
      <c r="B3" s="108" t="inlineStr">
        <is>
          <t>Pallas Data, 29 août 2026, électeurs décidés et enclins (n=1108, IVR téléphonique). Marge ≈ ±2,9pp (globale, 19 fois sur 20). Répartition régionale utilisée telle que publiée par la firme (Île MTL, Banlieue MTL, Québec RMR, Reste du Québec); Montréal RMR affiché à titre d'agrégat synthétique seulement, non utilisé dans les formules de swing (celles-ci matchent uniquement les 4 régions détaillées).</t>
        </is>
      </c>
    </row>
    <row r="4" ht="27.75" customHeight="1" s="60">
      <c r="A4" s="64" t="inlineStr">
        <is>
          <t>Source 2022</t>
        </is>
      </c>
      <c r="B4" s="108" t="inlineStr">
        <is>
          <t>DGEQ, Rapport officiel du scrutin, élections générales 2022-10-03.</t>
        </is>
      </c>
    </row>
    <row r="5" ht="27.75" customHeight="1" s="60">
      <c r="A5" s="64" t="inlineStr">
        <is>
          <t>Source 2018</t>
        </is>
      </c>
      <c r="B5" s="108" t="inlineStr">
        <is>
          <t>DGEQ, Rapport officiel du scrutin, élections générales 2018-10-01. Bourget (2018) → Camille-Laurin (2022).</t>
        </is>
      </c>
    </row>
    <row r="6" ht="27.75" customHeight="1" s="60"/>
    <row r="7" ht="27.75" customHeight="1" s="60">
      <c r="A7" s="64" t="inlineStr">
        <is>
          <t>Redécoupage 2026</t>
        </is>
      </c>
      <c r="B7" s="108" t="inlineStr">
        <is>
          <t>Carte 2022/2018 (125 circ.) recalculée sur les 127 nouvelles circonscriptions par pondération géographique : chaque section de vote 2026 (16 951, avec limites officielles et électeurs 2026) est superposée aux anciennes circonscriptions (shapefiles DGEQ 2022 et 2017) ; les votes de chaque ancienne circonscription sont redistribués au prorata de la surface/électorat qui tombe dans chaque nouvelle circonscription, puis ré-agrégés. Estimation par pondération géographique, PAS un recomptage officiel bureau-de-vote par bureau-de-vote — à traiter comme approximation, surtout dans les circonscriptions aux limites modifiées.</t>
        </is>
      </c>
    </row>
    <row r="8" ht="27.75" customHeight="1" s="60">
      <c r="A8" s="64" t="inlineStr">
        <is>
          <t>Scénario A</t>
        </is>
      </c>
      <c r="B8" s="108" t="inlineStr">
        <is>
          <t>Swing proportionnel régional : votes_projetés = votes_2022 × (sondage_région / réf_2022_région).</t>
        </is>
      </c>
    </row>
    <row r="9" ht="27.75" customHeight="1" s="60">
      <c r="A9" s="64" t="inlineStr">
        <is>
          <t>Scénario B</t>
        </is>
      </c>
      <c r="B9" s="108" t="inlineStr">
        <is>
          <t>Inertie locale : Scén. A + (résidu_local/100 × total_votes × facteur_inertie). Résidu = Δ_circ – Δ_région (2018→2022). Facteur Régions!O2.</t>
        </is>
      </c>
    </row>
    <row r="10" ht="27.75" customHeight="1" s="60">
      <c r="A10" s="64" t="inlineStr">
        <is>
          <t>Scén. C/D</t>
        </is>
      </c>
      <c r="B10" s="108" t="inlineStr">
        <is>
          <t>Fourchette : sondage ± marge d'erreur (Régions!N2 = 2,9pp, Pallas Data 29 août 2026). Montre la plage plausible de sièges.</t>
        </is>
      </c>
    </row>
    <row r="11" ht="27.75" customHeight="1" s="60"/>
    <row r="12" ht="27.75" customHeight="1" s="60">
      <c r="A12" s="64" t="inlineStr">
        <is>
          <t>Scénario E (base 2018)</t>
        </is>
      </c>
      <c r="B12" s="108" t="inlineStr">
        <is>
          <t>Même sondage que A-D, mais swing calculé par rapport aux résultats RÉELS de 2018 (recalculés sur la carte 127) plutôt que 2022, pour tester la sensibilité du modèle à l'hypothèse que 2022 ait été un résultat anormal (effet pandémie). PCQ n'existait pas en 2018 : sa projection reste basée sur 2022 (comme au scénario A). La colonne 'Autre' regroupe des candidats différents d'une élection à l'autre — à interpréter avec prudence. Aucun facteur d'inertie locale n'est appliqué ici (le résidu 2018→2022 n'a plus de sens quand 2018 EST la base).</t>
        </is>
      </c>
    </row>
    <row r="13">
      <c r="A13" s="64" t="inlineStr">
        <is>
          <t>Limites</t>
        </is>
      </c>
      <c r="B13" s="108" t="inlineStr">
        <is>
          <t>Modèle déterministe. Pas de régression vers la moyenne. Pas d'effets candidat-vedette. Résidus 2018→2022 peuvent ne pas se répéter.</t>
        </is>
      </c>
    </row>
    <row r="14">
      <c r="A14" s="64" t="inlineStr">
        <is>
          <t>Pour actualiser</t>
        </is>
      </c>
      <c r="B14" s="108" t="inlineStr">
        <is>
          <t>1) Entrer sondages régionaux dans Régions!H2:M6  2) Ajuster marge en N2  3) Ajuster facteur inertie en O2  4) Lire Sièges.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2026-06-16T18:01:06Z</dcterms:created>
  <dcterms:modified xmlns:dcterms="http://purl.org/dc/terms/" xmlns:xsi="http://www.w3.org/2001/XMLSchema-instance" xsi:type="dcterms:W3CDTF">2026-09-01T01:51:01Z</dcterms:modified>
  <cp:revision>0</cp:revision>
</cp:coreProperties>
</file>