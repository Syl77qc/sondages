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èges" sheetId="1" state="visible" r:id="rId3"/>
    <sheet name="Modèle" sheetId="2" state="visible" r:id="rId4"/>
    <sheet name="Régions" sheetId="3" state="visible" r:id="rId5"/>
    <sheet name="Méthodologi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<sst xmlns="http://schemas.openxmlformats.org/spreadsheetml/2006/main" count="508" uniqueCount="256">
  <si>
    <t xml:space="preserve">MODÈLE VIVANT QC125 – PROJECTIONS ÉLECTORALES v3.0</t>
  </si>
  <si>
    <t xml:space="preserve">Synopsis Recherche / La Presse, 24-26 août 2026 | Source: DGEQ 2022 + 2018 | Seuil majorité: 63 sièges</t>
  </si>
  <si>
    <t xml:space="preserve">Scénario</t>
  </si>
  <si>
    <t xml:space="preserve">CAQ</t>
  </si>
  <si>
    <t xml:space="preserve">PLQ</t>
  </si>
  <si>
    <t xml:space="preserve">QS</t>
  </si>
  <si>
    <t xml:space="preserve">PQ</t>
  </si>
  <si>
    <t xml:space="preserve">PCQ</t>
  </si>
  <si>
    <t xml:space="preserve">Autre</t>
  </si>
  <si>
    <t xml:space="preserve">Majorité?</t>
  </si>
  <si>
    <t xml:space="preserve">Référence 2022 (DGEQ)</t>
  </si>
  <si>
    <t xml:space="preserve">Scén. A – Swing proportionnel</t>
  </si>
  <si>
    <t xml:space="preserve">Scén. B – A + Inertie locale</t>
  </si>
  <si>
    <t xml:space="preserve">Scén. C – Fourchette haute (+3,5pp)</t>
  </si>
  <si>
    <t xml:space="preserve">Scén. D – Fourchette basse (–3,5pp)</t>
  </si>
  <si>
    <t xml:space="preserve">Fourchette min (C vs D)</t>
  </si>
  <si>
    <t xml:space="preserve">Fourchette max (C vs D)</t>
  </si>
  <si>
    <t xml:space="preserve">Bascules potentielles (marge &lt;5%pt):</t>
  </si>
  <si>
    <t xml:space="preserve">LÉGENDE | A: swing proportionnel (sondage/réf 2022) | B: A + inertie locale 2018→2022 (facteur 0,5) | C/D: fourchette ±3,5pp sur le sondage | Zone bleue Régions!H2:M6 = sondage à mettre à jour | Paramètres: Régions!N2 (marge d'erreur), O2 (facteur inertie)</t>
  </si>
  <si>
    <t xml:space="preserve">Circonscription</t>
  </si>
  <si>
    <t xml:space="preserve">Région</t>
  </si>
  <si>
    <t xml:space="preserve">Vainqueur 2022</t>
  </si>
  <si>
    <t xml:space="preserve">CAQ 2022</t>
  </si>
  <si>
    <t xml:space="preserve">PLQ 2022</t>
  </si>
  <si>
    <t xml:space="preserve">QS 2022</t>
  </si>
  <si>
    <t xml:space="preserve">PQ 2022</t>
  </si>
  <si>
    <t xml:space="preserve">PCQ 2022</t>
  </si>
  <si>
    <t xml:space="preserve">Autre 2022</t>
  </si>
  <si>
    <t xml:space="preserve">Total</t>
  </si>
  <si>
    <t xml:space="preserve">% CAQ</t>
  </si>
  <si>
    <t xml:space="preserve">% PLQ</t>
  </si>
  <si>
    <t xml:space="preserve">% QS</t>
  </si>
  <si>
    <t xml:space="preserve">% PQ</t>
  </si>
  <si>
    <t xml:space="preserve">% PCQ</t>
  </si>
  <si>
    <t xml:space="preserve">% Autre</t>
  </si>
  <si>
    <t xml:space="preserve">A-CAQ</t>
  </si>
  <si>
    <t xml:space="preserve">A-PLQ</t>
  </si>
  <si>
    <t xml:space="preserve">A-QS</t>
  </si>
  <si>
    <t xml:space="preserve">A-PQ</t>
  </si>
  <si>
    <t xml:space="preserve">A-PCQ</t>
  </si>
  <si>
    <t xml:space="preserve">A-Autre</t>
  </si>
  <si>
    <t xml:space="preserve">B-CAQ</t>
  </si>
  <si>
    <t xml:space="preserve">B-PLQ</t>
  </si>
  <si>
    <t xml:space="preserve">B-QS</t>
  </si>
  <si>
    <t xml:space="preserve">B-PQ</t>
  </si>
  <si>
    <t xml:space="preserve">B-PCQ</t>
  </si>
  <si>
    <t xml:space="preserve">B-Autre</t>
  </si>
  <si>
    <t xml:space="preserve">C-CAQ</t>
  </si>
  <si>
    <t xml:space="preserve">C-PLQ</t>
  </si>
  <si>
    <t xml:space="preserve">C-QS</t>
  </si>
  <si>
    <t xml:space="preserve">C-PQ</t>
  </si>
  <si>
    <t xml:space="preserve">C-PCQ</t>
  </si>
  <si>
    <t xml:space="preserve">C-Autre</t>
  </si>
  <si>
    <t xml:space="preserve">D-CAQ</t>
  </si>
  <si>
    <t xml:space="preserve">D-PLQ</t>
  </si>
  <si>
    <t xml:space="preserve">D-QS</t>
  </si>
  <si>
    <t xml:space="preserve">D-PQ</t>
  </si>
  <si>
    <t xml:space="preserve">D-PCQ</t>
  </si>
  <si>
    <t xml:space="preserve">D-Autre</t>
  </si>
  <si>
    <t xml:space="preserve">Vainq. A</t>
  </si>
  <si>
    <t xml:space="preserve">Vainq. B</t>
  </si>
  <si>
    <t xml:space="preserve">Vainq. C</t>
  </si>
  <si>
    <t xml:space="preserve">Vainq. D</t>
  </si>
  <si>
    <t xml:space="preserve">Marge 2022</t>
  </si>
  <si>
    <t xml:space="preserve">Bascule</t>
  </si>
  <si>
    <t xml:space="preserve">Résidu CAQ</t>
  </si>
  <si>
    <t xml:space="preserve">Résidu PLQ</t>
  </si>
  <si>
    <t xml:space="preserve">Résidu QS</t>
  </si>
  <si>
    <t xml:space="preserve">Résidu PQ</t>
  </si>
  <si>
    <t xml:space="preserve">Abitibi-Est</t>
  </si>
  <si>
    <t xml:space="preserve">Reste du Québec</t>
  </si>
  <si>
    <t xml:space="preserve">Abitibi-Ouest</t>
  </si>
  <si>
    <t xml:space="preserve">Acadie</t>
  </si>
  <si>
    <t xml:space="preserve">Île de Montréal</t>
  </si>
  <si>
    <t xml:space="preserve">Anjou-Louis-Riel</t>
  </si>
  <si>
    <t xml:space="preserve">Argenteuil</t>
  </si>
  <si>
    <t xml:space="preserve">Arthabaska</t>
  </si>
  <si>
    <t xml:space="preserve">Beauce-Nord</t>
  </si>
  <si>
    <t xml:space="preserve">Beauce-Sud</t>
  </si>
  <si>
    <t xml:space="preserve">Beauharnois</t>
  </si>
  <si>
    <t xml:space="preserve">Banlieue de Montréal</t>
  </si>
  <si>
    <t xml:space="preserve">Bellechasse</t>
  </si>
  <si>
    <t xml:space="preserve">Berthier</t>
  </si>
  <si>
    <t xml:space="preserve">Bertrand</t>
  </si>
  <si>
    <t xml:space="preserve">Blainville</t>
  </si>
  <si>
    <t xml:space="preserve">Bonaventure</t>
  </si>
  <si>
    <t xml:space="preserve">Borduas</t>
  </si>
  <si>
    <t xml:space="preserve">Bourassa-Sauvé</t>
  </si>
  <si>
    <t xml:space="preserve">Brome-Missisquoi</t>
  </si>
  <si>
    <t xml:space="preserve">Camille-Laurin</t>
  </si>
  <si>
    <t xml:space="preserve">Chambly</t>
  </si>
  <si>
    <t xml:space="preserve">Champlain</t>
  </si>
  <si>
    <t xml:space="preserve">Chapleau</t>
  </si>
  <si>
    <t xml:space="preserve">Charlesbourg</t>
  </si>
  <si>
    <t xml:space="preserve">Québec RMR</t>
  </si>
  <si>
    <t xml:space="preserve">Charlevoix-Côte-de-Beaupré</t>
  </si>
  <si>
    <t xml:space="preserve">Châteauguay</t>
  </si>
  <si>
    <t xml:space="preserve">Chauveau</t>
  </si>
  <si>
    <t xml:space="preserve">Chicoutimi</t>
  </si>
  <si>
    <t xml:space="preserve">Chomedey</t>
  </si>
  <si>
    <t xml:space="preserve">Chutes-de-la-Chaudière</t>
  </si>
  <si>
    <t xml:space="preserve">Côte-du-Sud</t>
  </si>
  <si>
    <t xml:space="preserve">D'Arcy-McGee</t>
  </si>
  <si>
    <t xml:space="preserve">Deux-Montagnes</t>
  </si>
  <si>
    <t xml:space="preserve">Drummond-Bois-Francs</t>
  </si>
  <si>
    <t xml:space="preserve">Dubuc</t>
  </si>
  <si>
    <t xml:space="preserve">Duplessis</t>
  </si>
  <si>
    <t xml:space="preserve">Fabre</t>
  </si>
  <si>
    <t xml:space="preserve">Gaspé</t>
  </si>
  <si>
    <t xml:space="preserve">Gatineau</t>
  </si>
  <si>
    <t xml:space="preserve">Gouin</t>
  </si>
  <si>
    <t xml:space="preserve">Granby</t>
  </si>
  <si>
    <t xml:space="preserve">Groulx</t>
  </si>
  <si>
    <t xml:space="preserve">Hochelaga-Maisonneuve</t>
  </si>
  <si>
    <t xml:space="preserve">Hull</t>
  </si>
  <si>
    <t xml:space="preserve">Huntingdon</t>
  </si>
  <si>
    <t xml:space="preserve">Iberville</t>
  </si>
  <si>
    <t xml:space="preserve">Îles-de-la-Madeleine</t>
  </si>
  <si>
    <t xml:space="preserve">Jacques-Cartier</t>
  </si>
  <si>
    <t xml:space="preserve">Jean-Lesage</t>
  </si>
  <si>
    <t xml:space="preserve">Jeanne-Mance-Viger</t>
  </si>
  <si>
    <t xml:space="preserve">Jean-Talon</t>
  </si>
  <si>
    <t xml:space="preserve">Johnson</t>
  </si>
  <si>
    <t xml:space="preserve">Joliette</t>
  </si>
  <si>
    <t xml:space="preserve">Jonquière</t>
  </si>
  <si>
    <t xml:space="preserve">Labelle</t>
  </si>
  <si>
    <t xml:space="preserve">Lac-Saint-Jean</t>
  </si>
  <si>
    <t xml:space="preserve">LaFontaine</t>
  </si>
  <si>
    <t xml:space="preserve">La Peltrie</t>
  </si>
  <si>
    <t xml:space="preserve">La Pinière</t>
  </si>
  <si>
    <t xml:space="preserve">Laporte</t>
  </si>
  <si>
    <t xml:space="preserve">La Prairie</t>
  </si>
  <si>
    <t xml:space="preserve">L'Assomption</t>
  </si>
  <si>
    <t xml:space="preserve">Laurier-Dorion</t>
  </si>
  <si>
    <t xml:space="preserve">Laval-des-Rapides</t>
  </si>
  <si>
    <t xml:space="preserve">Laviolette-Saint-Maurice</t>
  </si>
  <si>
    <t xml:space="preserve">Les Plaines</t>
  </si>
  <si>
    <t xml:space="preserve">Lévis</t>
  </si>
  <si>
    <t xml:space="preserve">Lotbinière-Frontenac</t>
  </si>
  <si>
    <t xml:space="preserve">Louis-Hébert</t>
  </si>
  <si>
    <t xml:space="preserve">Marguerite-Bourgeoys</t>
  </si>
  <si>
    <t xml:space="preserve">Marie-Victorin</t>
  </si>
  <si>
    <t xml:space="preserve">Marquette</t>
  </si>
  <si>
    <t xml:space="preserve">Maskinongé</t>
  </si>
  <si>
    <t xml:space="preserve">Masson</t>
  </si>
  <si>
    <t xml:space="preserve">Matane-Matapédia</t>
  </si>
  <si>
    <t xml:space="preserve">Maurice-Richard</t>
  </si>
  <si>
    <t xml:space="preserve">Mégantic</t>
  </si>
  <si>
    <t xml:space="preserve">Mercier</t>
  </si>
  <si>
    <t xml:space="preserve">Mille-Îles</t>
  </si>
  <si>
    <t xml:space="preserve">Mirabel</t>
  </si>
  <si>
    <t xml:space="preserve">Montarville</t>
  </si>
  <si>
    <t xml:space="preserve">Montmorency</t>
  </si>
  <si>
    <t xml:space="preserve">Mont-Royal-Outremont</t>
  </si>
  <si>
    <t xml:space="preserve">Nelligan</t>
  </si>
  <si>
    <t xml:space="preserve">Nicolet-Bécancour</t>
  </si>
  <si>
    <t xml:space="preserve">Notre-Dame-de-Grâce</t>
  </si>
  <si>
    <t xml:space="preserve">Orford</t>
  </si>
  <si>
    <t xml:space="preserve">Papineau</t>
  </si>
  <si>
    <t xml:space="preserve">Pointe-aux-Trembles</t>
  </si>
  <si>
    <t xml:space="preserve">Pontiac</t>
  </si>
  <si>
    <t xml:space="preserve">Portneuf</t>
  </si>
  <si>
    <t xml:space="preserve">Prévost</t>
  </si>
  <si>
    <t xml:space="preserve">René-Lévesque</t>
  </si>
  <si>
    <t xml:space="preserve">Repentigny</t>
  </si>
  <si>
    <t xml:space="preserve">Richelieu</t>
  </si>
  <si>
    <t xml:space="preserve">Richmond</t>
  </si>
  <si>
    <t xml:space="preserve">Rimouski</t>
  </si>
  <si>
    <t xml:space="preserve">Rivière-du-Loup-Témiscouata</t>
  </si>
  <si>
    <t xml:space="preserve">Robert-Baldwin</t>
  </si>
  <si>
    <t xml:space="preserve">Roberval</t>
  </si>
  <si>
    <t xml:space="preserve">Rosemont</t>
  </si>
  <si>
    <t xml:space="preserve">Rousseau</t>
  </si>
  <si>
    <t xml:space="preserve">Rouyn-Noranda-Témiscamingue</t>
  </si>
  <si>
    <t xml:space="preserve">Saint-François</t>
  </si>
  <si>
    <t xml:space="preserve">Saint-Henri-Sainte-Anne</t>
  </si>
  <si>
    <t xml:space="preserve">Saint-Hyacinthe</t>
  </si>
  <si>
    <t xml:space="preserve">Saint-Jean</t>
  </si>
  <si>
    <t xml:space="preserve">Saint-Jérôme</t>
  </si>
  <si>
    <t xml:space="preserve">Saint-Laurent</t>
  </si>
  <si>
    <t xml:space="preserve">Sainte-Marie-Saint-Jacques</t>
  </si>
  <si>
    <t xml:space="preserve">Sainte-Rose</t>
  </si>
  <si>
    <t xml:space="preserve">Sanguinet</t>
  </si>
  <si>
    <t xml:space="preserve">Sherbrooke</t>
  </si>
  <si>
    <t xml:space="preserve">Soulanges</t>
  </si>
  <si>
    <t xml:space="preserve">Taillon</t>
  </si>
  <si>
    <t xml:space="preserve">Taschereau</t>
  </si>
  <si>
    <t xml:space="preserve">Terrebonne</t>
  </si>
  <si>
    <t xml:space="preserve">Trois-Rivières</t>
  </si>
  <si>
    <t xml:space="preserve">Ungava</t>
  </si>
  <si>
    <t xml:space="preserve">Vachon</t>
  </si>
  <si>
    <t xml:space="preserve">Vanier-Les Rivières</t>
  </si>
  <si>
    <t xml:space="preserve">Vaudreuil</t>
  </si>
  <si>
    <t xml:space="preserve">Verchères</t>
  </si>
  <si>
    <t xml:space="preserve">Verdun</t>
  </si>
  <si>
    <t xml:space="preserve">Viau</t>
  </si>
  <si>
    <t xml:space="preserve">Vimont</t>
  </si>
  <si>
    <t xml:space="preserve">Westmount-Saint-Louis</t>
  </si>
  <si>
    <t xml:space="preserve">Réf. CAQ%</t>
  </si>
  <si>
    <t xml:space="preserve">Réf. PLQ%</t>
  </si>
  <si>
    <t xml:space="preserve">Réf. QS%</t>
  </si>
  <si>
    <t xml:space="preserve">Réf. PQ%</t>
  </si>
  <si>
    <t xml:space="preserve">Réf. PCQ%</t>
  </si>
  <si>
    <t xml:space="preserve">Réf. Autre%</t>
  </si>
  <si>
    <t xml:space="preserve">Sond. CAQ</t>
  </si>
  <si>
    <t xml:space="preserve">Sond. PLQ</t>
  </si>
  <si>
    <t xml:space="preserve">Sond. QS</t>
  </si>
  <si>
    <t xml:space="preserve">Sond. PQ</t>
  </si>
  <si>
    <t xml:space="preserve">Sond. PCQ</t>
  </si>
  <si>
    <t xml:space="preserve">Sond. Autre</t>
  </si>
  <si>
    <t xml:space="preserve">Marge (pp)</t>
  </si>
  <si>
    <t xml:space="preserve">Facteur inertie</t>
  </si>
  <si>
    <t xml:space="preserve">SwA CAQ</t>
  </si>
  <si>
    <t xml:space="preserve">SwA PLQ</t>
  </si>
  <si>
    <t xml:space="preserve">SwA QS</t>
  </si>
  <si>
    <t xml:space="preserve">SwA PQ</t>
  </si>
  <si>
    <t xml:space="preserve">SwA PCQ</t>
  </si>
  <si>
    <t xml:space="preserve">SwA Autre</t>
  </si>
  <si>
    <t xml:space="preserve">SwC CAQ</t>
  </si>
  <si>
    <t xml:space="preserve">SwC PLQ</t>
  </si>
  <si>
    <t xml:space="preserve">SwC QS</t>
  </si>
  <si>
    <t xml:space="preserve">SwC PQ</t>
  </si>
  <si>
    <t xml:space="preserve">SwC PCQ</t>
  </si>
  <si>
    <t xml:space="preserve">SwC Autre</t>
  </si>
  <si>
    <t xml:space="preserve">SwD CAQ</t>
  </si>
  <si>
    <t xml:space="preserve">SwD PLQ</t>
  </si>
  <si>
    <t xml:space="preserve">SwD QS</t>
  </si>
  <si>
    <t xml:space="preserve">SwD PQ</t>
  </si>
  <si>
    <t xml:space="preserve">SwD PCQ</t>
  </si>
  <si>
    <t xml:space="preserve">SwD Autre</t>
  </si>
  <si>
    <t xml:space="preserve">Montréal RMR</t>
  </si>
  <si>
    <t xml:space="preserve">← modifier ici</t>
  </si>
  <si>
    <t xml:space="preserve">Paramètre</t>
  </si>
  <si>
    <t xml:space="preserve">Description</t>
  </si>
  <si>
    <t xml:space="preserve">Modèle QC125 v3.0</t>
  </si>
  <si>
    <t xml:space="preserve">Projection électorale québécoise – 125 circonscriptions, 4 scénarios</t>
  </si>
  <si>
    <t xml:space="preserve">Sondage</t>
  </si>
  <si>
    <t xml:space="preserve">Synopsis Recherche / La Presse, 24-26 août 2026, après répartition (n=867). Marge ≈ ±3,3pp. Île MTL (n=213, ±6,7pp), Banlieue (n=204, ±6,9pp), QC RMR (n=155, ±7,9pp ⚠️), Ailleurs QC (n=295, ±5,7pp). MTL RMR = agrégat pondéré île+banlieue. ATTENTION: CAQ +15pp en QC RMR vs vague précédente — dépasse la MOE mais reste à surveiller.</t>
  </si>
  <si>
    <t xml:space="preserve">Source 2022</t>
  </si>
  <si>
    <t xml:space="preserve">DGEQ, Rapport officiel du scrutin, élections générales 2022-10-03.</t>
  </si>
  <si>
    <t xml:space="preserve">Source 2018</t>
  </si>
  <si>
    <t xml:space="preserve">DGEQ, Rapport officiel du scrutin, élections générales 2018-10-01. Bourget (2018) → Camille-Laurin (2022).</t>
  </si>
  <si>
    <t xml:space="preserve">Régions</t>
  </si>
  <si>
    <t xml:space="preserve">Île de Montréal (28 circs), Banlieue MTL (39), Québec RMR (13), Reste du QC (45). Montréal RMR = agrégat île+banlieue, données sondage uniquement.</t>
  </si>
  <si>
    <t xml:space="preserve">Scénario A</t>
  </si>
  <si>
    <t xml:space="preserve">Swing proportionnel régional : votes_projetés = votes_2022 × (sondage_région / réf_2022_région).</t>
  </si>
  <si>
    <t xml:space="preserve">Scénario B</t>
  </si>
  <si>
    <t xml:space="preserve">Inertie locale : Scén. A + (résidu_local/100 × total_votes × facteur_inertie). Résidu = Δ_circ – Δ_région (2018→2022). Facteur Régions!O2.</t>
  </si>
  <si>
    <t xml:space="preserve">Scén. C/D</t>
  </si>
  <si>
    <t xml:space="preserve">Fourchette : sondage ± marge d'erreur (Régions!N2, défaut 3,5 pp). Montre la plage plausible de sièges.</t>
  </si>
  <si>
    <t xml:space="preserve">Résidus (AU:AX)</t>
  </si>
  <si>
    <t xml:space="preserve">CAQ/PLQ/QS/PQ uniquement. PCQ exclue (nouveau parti 2022). Stdev résidu CAQ ≈ 8 pp. Camille-Laurin calculé sur Bourget (2018).</t>
  </si>
  <si>
    <t xml:space="preserve">Limites</t>
  </si>
  <si>
    <t xml:space="preserve">Modèle déterministe. Pas de régression vers la moyenne. Pas d'effets candidat-vedette. Résidus 2018→2022 peuvent ne pas se répéter.</t>
  </si>
  <si>
    <t xml:space="preserve">Pour actualiser</t>
  </si>
  <si>
    <t xml:space="preserve">1) Entrer sondages régionaux dans Régions!H2:M6  2) Ajuster marge en N2  3) Ajuster facteur inertie en O2  4) Lire Sièges.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</si>
</sst>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General"/>
    <numFmt numFmtId="167" formatCode="#,##0"/>
    <numFmt numFmtId="168" formatCode="0.0%"/>
    <numFmt numFmtId="169" formatCode="0.0"/>
    <numFmt numFmtId="170" formatCode="0.000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sz val="10"/>
      <color rgb="FF595959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97D"/>
        <bgColor rgb="FF2F5496"/>
      </patternFill>
    </fill>
    <fill>
      <patternFill patternType="solid">
        <fgColor rgb="FFF2F2F2"/>
        <bgColor rgb="FFF7F7F7"/>
      </patternFill>
    </fill>
    <fill>
      <patternFill patternType="solid">
        <fgColor rgb="FFC6EFCE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CCE5FF"/>
      </patternFill>
    </fill>
    <fill>
      <patternFill patternType="solid">
        <fgColor rgb="FFFFC7CE"/>
        <bgColor rgb="FFE2EFDA"/>
      </patternFill>
    </fill>
    <fill>
      <patternFill patternType="solid">
        <fgColor rgb="FF9DC3E6"/>
        <bgColor rgb="FFBDD7EE"/>
      </patternFill>
    </fill>
    <fill>
      <patternFill patternType="solid">
        <fgColor rgb="FF2F5496"/>
        <bgColor rgb="FF1F497D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F7F7F7"/>
        <bgColor rgb="FFF2F2F2"/>
      </patternFill>
    </fill>
    <fill>
      <patternFill patternType="solid">
        <fgColor rgb="FFCCE5FF"/>
        <bgColor rgb="FFBDD7EE"/>
      </patternFill>
    </fill>
    <fill>
      <patternFill patternType="solid">
        <fgColor rgb="FFFFFF99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7F7F7"/>
      <rgbColor rgb="FFCCE5FF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DC3E6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6" t="n">
        <f aca="false">COUNTIF(Modèle!$C$2:$C$126,"CAQ")</f>
        <v>90</v>
      </c>
      <c r="C5" s="6" t="n">
        <f aca="false">COUNTIF(Modèle!$C$2:$C$126,"PLQ")</f>
        <v>21</v>
      </c>
      <c r="D5" s="6" t="n">
        <f aca="false">COUNTIF(Modèle!$C$2:$C$126,"QS")</f>
        <v>11</v>
      </c>
      <c r="E5" s="6" t="n">
        <f aca="false">COUNTIF(Modèle!$C$2:$C$126,"PQ")</f>
        <v>3</v>
      </c>
      <c r="F5" s="6" t="n">
        <f aca="false">COUNTIF(Modèle!$C$2:$C$126,"PCQ")</f>
        <v>0</v>
      </c>
      <c r="G5" s="6" t="n">
        <f aca="false">COUNTIF(Modèle!$C$2:$C$126,"Autre")</f>
        <v>0</v>
      </c>
      <c r="H5" s="7" t="str">
        <f aca="false">IF(MAX(B5:G5)&gt;=63,"OUI ✓","non")</f>
        <v>OUI ✓</v>
      </c>
    </row>
    <row r="6" customFormat="false" ht="15" hidden="false" customHeight="true" outlineLevel="0" collapsed="false">
      <c r="A6" s="8" t="s">
        <v>11</v>
      </c>
      <c r="B6" s="9" t="n">
        <f aca="false">COUNTIF(Modèle!$AO$2:$AO$126,"CAQ")</f>
        <v>46</v>
      </c>
      <c r="C6" s="9" t="n">
        <f aca="false">COUNTIF(Modèle!$AO$2:$AO$126,"PLQ")</f>
        <v>35</v>
      </c>
      <c r="D6" s="9" t="n">
        <f aca="false">COUNTIF(Modèle!$AO$2:$AO$126,"QS")</f>
        <v>6</v>
      </c>
      <c r="E6" s="9" t="n">
        <f aca="false">COUNTIF(Modèle!$AO$2:$AO$126,"PQ")</f>
        <v>34</v>
      </c>
      <c r="F6" s="9" t="n">
        <f aca="false">COUNTIF(Modèle!$AO$2:$AO$126,"PCQ")</f>
        <v>4</v>
      </c>
      <c r="G6" s="9" t="n">
        <f aca="false">COUNTIF(Modèle!$AO$2:$AO$126,"Autre")</f>
        <v>0</v>
      </c>
      <c r="H6" s="10" t="str">
        <f aca="false">IF(MAX(B6:G6)&gt;=63,"OUI ✓","non")</f>
        <v>non</v>
      </c>
    </row>
    <row r="7" customFormat="false" ht="15" hidden="false" customHeight="true" outlineLevel="0" collapsed="false">
      <c r="A7" s="11" t="s">
        <v>12</v>
      </c>
      <c r="B7" s="12" t="n">
        <f aca="false">COUNTIF(Modèle!$AP$2:$AP$126,"CAQ")</f>
        <v>46</v>
      </c>
      <c r="C7" s="12" t="n">
        <f aca="false">COUNTIF(Modèle!$AP$2:$AP$126,"PLQ")</f>
        <v>35</v>
      </c>
      <c r="D7" s="12" t="n">
        <f aca="false">COUNTIF(Modèle!$AP$2:$AP$126,"QS")</f>
        <v>6</v>
      </c>
      <c r="E7" s="12" t="n">
        <f aca="false">COUNTIF(Modèle!$AP$2:$AP$126,"PQ")</f>
        <v>31</v>
      </c>
      <c r="F7" s="12" t="n">
        <f aca="false">COUNTIF(Modèle!$AP$2:$AP$126,"PCQ")</f>
        <v>7</v>
      </c>
      <c r="G7" s="12" t="n">
        <f aca="false">COUNTIF(Modèle!$AP$2:$AP$126,"Autre")</f>
        <v>0</v>
      </c>
      <c r="H7" s="13" t="str">
        <f aca="false">IF(MAX(B7:G7)&gt;=63,"OUI ✓","non")</f>
        <v>non</v>
      </c>
    </row>
    <row r="8" customFormat="false" ht="15" hidden="false" customHeight="true" outlineLevel="0" collapsed="false">
      <c r="A8" s="14" t="s">
        <v>13</v>
      </c>
      <c r="B8" s="15" t="n">
        <f aca="false">COUNTIF(Modèle!$AQ$2:$AQ$126,"CAQ")</f>
        <v>45</v>
      </c>
      <c r="C8" s="15" t="n">
        <f aca="false">COUNTIF(Modèle!$AQ$2:$AQ$126,"PLQ")</f>
        <v>35</v>
      </c>
      <c r="D8" s="15" t="n">
        <f aca="false">COUNTIF(Modèle!$AQ$2:$AQ$126,"QS")</f>
        <v>6</v>
      </c>
      <c r="E8" s="15" t="n">
        <f aca="false">COUNTIF(Modèle!$AQ$2:$AQ$126,"PQ")</f>
        <v>34</v>
      </c>
      <c r="F8" s="15" t="n">
        <f aca="false">COUNTIF(Modèle!$AQ$2:$AQ$126,"PCQ")</f>
        <v>5</v>
      </c>
      <c r="G8" s="15" t="n">
        <f aca="false">COUNTIF(Modèle!$AQ$2:$AQ$126,"Autre")</f>
        <v>0</v>
      </c>
      <c r="H8" s="16" t="str">
        <f aca="false">IF(MAX(B8:G8)&gt;=63,"OUI ✓","non")</f>
        <v>non</v>
      </c>
    </row>
    <row r="9" customFormat="false" ht="15" hidden="false" customHeight="true" outlineLevel="0" collapsed="false">
      <c r="A9" s="17" t="s">
        <v>14</v>
      </c>
      <c r="B9" s="18" t="n">
        <f aca="false">COUNTIF(Modèle!$AR$2:$AR$126,"CAQ")</f>
        <v>46</v>
      </c>
      <c r="C9" s="18" t="n">
        <f aca="false">COUNTIF(Modèle!$AR$2:$AR$126,"PLQ")</f>
        <v>35</v>
      </c>
      <c r="D9" s="18" t="n">
        <f aca="false">COUNTIF(Modèle!$AR$2:$AR$126,"QS")</f>
        <v>5</v>
      </c>
      <c r="E9" s="18" t="n">
        <f aca="false">COUNTIF(Modèle!$AR$2:$AR$126,"PQ")</f>
        <v>35</v>
      </c>
      <c r="F9" s="18" t="n">
        <f aca="false">COUNTIF(Modèle!$AR$2:$AR$126,"PCQ")</f>
        <v>4</v>
      </c>
      <c r="G9" s="18" t="n">
        <f aca="false">COUNTIF(Modèle!$AR$2:$AR$126,"Autre")</f>
        <v>0</v>
      </c>
      <c r="H9" s="19" t="str">
        <f aca="false">IF(MAX(B9:G9)&gt;=63,"OUI ✓","non")</f>
        <v>non</v>
      </c>
    </row>
    <row r="11" customFormat="false" ht="15" hidden="false" customHeight="true" outlineLevel="0" collapsed="false">
      <c r="A11" s="20" t="s">
        <v>15</v>
      </c>
      <c r="B11" s="21" t="n">
        <f aca="false">MIN(B8,B9)</f>
        <v>45</v>
      </c>
      <c r="C11" s="21" t="n">
        <f aca="false">MIN(C8,C9)</f>
        <v>35</v>
      </c>
      <c r="D11" s="21" t="n">
        <f aca="false">MIN(D8,D9)</f>
        <v>5</v>
      </c>
      <c r="E11" s="21" t="n">
        <f aca="false">MIN(E8,E9)</f>
        <v>34</v>
      </c>
      <c r="F11" s="21" t="n">
        <f aca="false">MIN(F8,F9)</f>
        <v>4</v>
      </c>
      <c r="G11" s="21" t="n">
        <f aca="false">MIN(G8,G9)</f>
        <v>0</v>
      </c>
    </row>
    <row r="12" customFormat="false" ht="15" hidden="false" customHeight="true" outlineLevel="0" collapsed="false">
      <c r="A12" s="20" t="s">
        <v>16</v>
      </c>
      <c r="B12" s="21" t="n">
        <f aca="false">MAX(B8,B9)</f>
        <v>46</v>
      </c>
      <c r="C12" s="21" t="n">
        <f aca="false">MAX(C8,C9)</f>
        <v>35</v>
      </c>
      <c r="D12" s="21" t="n">
        <f aca="false">MAX(D8,D9)</f>
        <v>6</v>
      </c>
      <c r="E12" s="21" t="n">
        <f aca="false">MAX(E8,E9)</f>
        <v>35</v>
      </c>
      <c r="F12" s="21" t="n">
        <f aca="false">MAX(F8,F9)</f>
        <v>5</v>
      </c>
      <c r="G12" s="21" t="n">
        <f aca="false">MAX(G8,G9)</f>
        <v>0</v>
      </c>
    </row>
    <row r="14" customFormat="false" ht="15" hidden="false" customHeight="true" outlineLevel="0" collapsed="false">
      <c r="A14" s="22" t="s">
        <v>17</v>
      </c>
      <c r="B14" s="23" t="n">
        <f aca="false">COUNTIF(Modèle!AT2:AT126,"Oui")</f>
        <v>10</v>
      </c>
    </row>
    <row r="16" customFormat="false" ht="15" hidden="false" customHeight="true" outlineLevel="0" collapsed="false">
      <c r="A16" s="24" t="s">
        <v>18</v>
      </c>
      <c r="B16" s="24"/>
      <c r="C16" s="24"/>
      <c r="D16" s="24"/>
      <c r="E16" s="24"/>
      <c r="F16" s="24"/>
      <c r="G16" s="24"/>
      <c r="H16" s="24"/>
    </row>
    <row r="17" customFormat="false" ht="1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</row>
    <row r="18" customFormat="false" ht="15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</row>
  </sheetData>
  <mergeCells count="3">
    <mergeCell ref="A1:H1"/>
    <mergeCell ref="A2:H2"/>
    <mergeCell ref="A16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0" min="4" style="1" width="10"/>
  </cols>
  <sheetData>
    <row r="1" customFormat="false" ht="34.5" hidden="false" customHeight="true" outlineLevel="0" collapsed="false">
      <c r="A1" s="25" t="s">
        <v>19</v>
      </c>
      <c r="B1" s="25" t="s">
        <v>20</v>
      </c>
      <c r="C1" s="25" t="s">
        <v>21</v>
      </c>
      <c r="D1" s="26" t="s">
        <v>22</v>
      </c>
      <c r="E1" s="26" t="s">
        <v>23</v>
      </c>
      <c r="F1" s="26" t="s">
        <v>24</v>
      </c>
      <c r="G1" s="26" t="s">
        <v>25</v>
      </c>
      <c r="H1" s="26" t="s">
        <v>26</v>
      </c>
      <c r="I1" s="26" t="s">
        <v>27</v>
      </c>
      <c r="J1" s="26" t="s">
        <v>28</v>
      </c>
      <c r="K1" s="27" t="s">
        <v>29</v>
      </c>
      <c r="L1" s="27" t="s">
        <v>30</v>
      </c>
      <c r="M1" s="27" t="s">
        <v>31</v>
      </c>
      <c r="N1" s="27" t="s">
        <v>32</v>
      </c>
      <c r="O1" s="27" t="s">
        <v>33</v>
      </c>
      <c r="P1" s="27" t="s">
        <v>34</v>
      </c>
      <c r="Q1" s="28" t="s">
        <v>35</v>
      </c>
      <c r="R1" s="28" t="s">
        <v>36</v>
      </c>
      <c r="S1" s="28" t="s">
        <v>37</v>
      </c>
      <c r="T1" s="28" t="s">
        <v>38</v>
      </c>
      <c r="U1" s="28" t="s">
        <v>39</v>
      </c>
      <c r="V1" s="28" t="s">
        <v>40</v>
      </c>
      <c r="W1" s="29" t="s">
        <v>41</v>
      </c>
      <c r="X1" s="29" t="s">
        <v>42</v>
      </c>
      <c r="Y1" s="29" t="s">
        <v>43</v>
      </c>
      <c r="Z1" s="29" t="s">
        <v>44</v>
      </c>
      <c r="AA1" s="29" t="s">
        <v>45</v>
      </c>
      <c r="AB1" s="29" t="s">
        <v>46</v>
      </c>
      <c r="AC1" s="30" t="s">
        <v>47</v>
      </c>
      <c r="AD1" s="30" t="s">
        <v>48</v>
      </c>
      <c r="AE1" s="30" t="s">
        <v>49</v>
      </c>
      <c r="AF1" s="30" t="s">
        <v>50</v>
      </c>
      <c r="AG1" s="30" t="s">
        <v>51</v>
      </c>
      <c r="AH1" s="30" t="s">
        <v>52</v>
      </c>
      <c r="AI1" s="31" t="s">
        <v>53</v>
      </c>
      <c r="AJ1" s="31" t="s">
        <v>54</v>
      </c>
      <c r="AK1" s="31" t="s">
        <v>55</v>
      </c>
      <c r="AL1" s="31" t="s">
        <v>56</v>
      </c>
      <c r="AM1" s="31" t="s">
        <v>57</v>
      </c>
      <c r="AN1" s="31" t="s">
        <v>58</v>
      </c>
      <c r="AO1" s="32" t="s">
        <v>59</v>
      </c>
      <c r="AP1" s="32" t="s">
        <v>60</v>
      </c>
      <c r="AQ1" s="32" t="s">
        <v>61</v>
      </c>
      <c r="AR1" s="32" t="s">
        <v>62</v>
      </c>
      <c r="AS1" s="33" t="s">
        <v>63</v>
      </c>
      <c r="AT1" s="33" t="s">
        <v>64</v>
      </c>
      <c r="AU1" s="34" t="s">
        <v>65</v>
      </c>
      <c r="AV1" s="34" t="s">
        <v>66</v>
      </c>
      <c r="AW1" s="34" t="s">
        <v>67</v>
      </c>
      <c r="AX1" s="34" t="s">
        <v>68</v>
      </c>
    </row>
    <row r="2" customFormat="false" ht="15" hidden="false" customHeight="true" outlineLevel="0" collapsed="false">
      <c r="A2" s="35" t="s">
        <v>69</v>
      </c>
      <c r="B2" s="35" t="s">
        <v>70</v>
      </c>
      <c r="C2" s="36" t="s">
        <v>3</v>
      </c>
      <c r="D2" s="37" t="n">
        <v>9762</v>
      </c>
      <c r="E2" s="37" t="n">
        <v>3044</v>
      </c>
      <c r="F2" s="37" t="n">
        <v>2838</v>
      </c>
      <c r="G2" s="37" t="n">
        <v>2565</v>
      </c>
      <c r="H2" s="37" t="n">
        <v>2486</v>
      </c>
      <c r="I2" s="37" t="n">
        <v>0</v>
      </c>
      <c r="J2" s="38" t="n">
        <f aca="false">SUM(D2:I2)</f>
        <v>20695</v>
      </c>
      <c r="K2" s="39" t="n">
        <f aca="false">IFERROR(D2/J2,0)</f>
        <v>0.4717081420633</v>
      </c>
      <c r="L2" s="39" t="n">
        <f aca="false">IFERROR(E2/J2,0)</f>
        <v>0.14708866876057</v>
      </c>
      <c r="M2" s="39" t="n">
        <f aca="false">IFERROR(F2/J2,0)</f>
        <v>0.137134573568495</v>
      </c>
      <c r="N2" s="39" t="n">
        <f aca="false">IFERROR(G2/J2,0)</f>
        <v>0.123942981396473</v>
      </c>
      <c r="O2" s="39" t="n">
        <f aca="false">IFERROR(H2/J2,0)</f>
        <v>0.120125634211162</v>
      </c>
      <c r="P2" s="39" t="n">
        <f aca="false">IFERROR(I2/J2,0)</f>
        <v>0</v>
      </c>
      <c r="Q2" s="38" t="n">
        <f aca="false">D2*INDEX(Régions!$T$2:$T$6,MATCH($B2,Régions!$A$2:$A$6,0))</f>
        <v>5766.58227848101</v>
      </c>
      <c r="R2" s="38" t="n">
        <f aca="false">E2*INDEX(Régions!$U$2:$U$6,MATCH($B2,Régions!$A$2:$A$6,0))</f>
        <v>6967.66809728183</v>
      </c>
      <c r="S2" s="38" t="n">
        <f aca="false">F2*INDEX(Régions!$V$2:$V$6,MATCH($B2,Régions!$A$2:$A$6,0))</f>
        <v>1700.67415730337</v>
      </c>
      <c r="T2" s="38" t="n">
        <f aca="false">G2*INDEX(Régions!$W$2:$W$6,MATCH($B2,Régions!$A$2:$A$6,0))</f>
        <v>4483.72513562387</v>
      </c>
      <c r="U2" s="38" t="n">
        <f aca="false">H2*INDEX(Régions!$X$2:$X$6,MATCH($B2,Régions!$A$2:$A$6,0))</f>
        <v>2825</v>
      </c>
      <c r="V2" s="38" t="n">
        <f aca="false">I2*INDEX(Régions!$Y$2:$Y$6,MATCH($B2,Régions!$A$2:$A$6,0))</f>
        <v>0</v>
      </c>
      <c r="W2" s="38" t="n">
        <f aca="false">Q2+(AU2/100)*J2*Régions!$O$2</f>
        <v>5584.25932848101</v>
      </c>
      <c r="X2" s="38" t="n">
        <f aca="false">R2+(AV2/100)*J2*Régions!$O$2</f>
        <v>7871.72917228183</v>
      </c>
      <c r="Y2" s="38" t="n">
        <f aca="false">S2+(AW2/100)*J2*Régions!$O$2</f>
        <v>1607.33970730337</v>
      </c>
      <c r="Z2" s="38" t="n">
        <f aca="false">T2+(AX2/100)*J2*Régions!$O$2</f>
        <v>4185.82061062387</v>
      </c>
      <c r="AA2" s="38" t="n">
        <f aca="false">U2</f>
        <v>2825</v>
      </c>
      <c r="AB2" s="38" t="n">
        <f aca="false">V2</f>
        <v>0</v>
      </c>
      <c r="AC2" s="38" t="n">
        <f aca="false">D2*INDEX(Régions!$Z$2:$Z$6,MATCH($B2,Régions!$A$2:$A$6,0))</f>
        <v>6446.21518987342</v>
      </c>
      <c r="AD2" s="38" t="n">
        <f aca="false">E2*INDEX(Régions!$AA$2:$AA$6,MATCH($B2,Régions!$A$2:$A$6,0))</f>
        <v>8404.74964234621</v>
      </c>
      <c r="AE2" s="38" t="n">
        <f aca="false">F2*INDEX(Régions!$AB$2:$AB$6,MATCH($B2,Régions!$A$2:$A$6,0))</f>
        <v>2402.20224719101</v>
      </c>
      <c r="AF2" s="38" t="n">
        <f aca="false">G2*INDEX(Régions!$AC$2:$AC$6,MATCH($B2,Régions!$A$2:$A$6,0))</f>
        <v>4993.94213381555</v>
      </c>
      <c r="AG2" s="38" t="n">
        <f aca="false">H2*INDEX(Régions!$AD$2:$AD$6,MATCH($B2,Régions!$A$2:$A$6,0))</f>
        <v>3373.38235294118</v>
      </c>
      <c r="AH2" s="38" t="n">
        <f aca="false">I2*INDEX(Régions!$AE$2:$AE$6,MATCH($B2,Régions!$A$2:$A$6,0))</f>
        <v>0</v>
      </c>
      <c r="AI2" s="38" t="n">
        <f aca="false">D2*INDEX(Régions!$AF$2:$AF$6,MATCH($B2,Régions!$A$2:$A$6,0))</f>
        <v>5086.94936708861</v>
      </c>
      <c r="AJ2" s="38" t="n">
        <f aca="false">E2*INDEX(Régions!$AG$2:$AG$6,MATCH($B2,Régions!$A$2:$A$6,0))</f>
        <v>5530.58655221745</v>
      </c>
      <c r="AK2" s="38" t="n">
        <f aca="false">F2*INDEX(Régions!$AH$2:$AH$6,MATCH($B2,Régions!$A$2:$A$6,0))</f>
        <v>999.14606741573</v>
      </c>
      <c r="AL2" s="38" t="n">
        <f aca="false">G2*INDEX(Régions!$AI$2:$AI$6,MATCH($B2,Régions!$A$2:$A$6,0))</f>
        <v>3973.50813743219</v>
      </c>
      <c r="AM2" s="38" t="n">
        <f aca="false">H2*INDEX(Régions!$AJ$2:$AJ$6,MATCH($B2,Régions!$A$2:$A$6,0))</f>
        <v>2276.61764705882</v>
      </c>
      <c r="AN2" s="38" t="n">
        <f aca="false">I2*INDEX(Régions!$AK$2:$AK$6,MATCH($B2,Régions!$A$2:$A$6,0))</f>
        <v>0</v>
      </c>
      <c r="AO2" s="40" t="str">
        <f aca="false">INDEX({"CAQ","PLQ","QS","PQ","PCQ","Autre"},MATCH(MAX(Q2:V2),Q2:V2,0))</f>
        <v>PLQ</v>
      </c>
      <c r="AP2" s="40" t="str">
        <f aca="false">INDEX({"CAQ","PLQ","QS","PQ","PCQ","Autre"},MATCH(MAX(W2:AB2),W2:AB2,0))</f>
        <v>PLQ</v>
      </c>
      <c r="AQ2" s="40" t="str">
        <f aca="false">INDEX({"CAQ","PLQ","QS","PQ","PCQ","Autre"},MATCH(MAX(AC2:AH2),AC2:AH2,0))</f>
        <v>PLQ</v>
      </c>
      <c r="AR2" s="40" t="str">
        <f aca="false">INDEX({"CAQ","PLQ","QS","PQ","PCQ","Autre"},MATCH(MAX(AI2:AN2),AI2:AN2,0))</f>
        <v>PLQ</v>
      </c>
      <c r="AS2" s="41" t="n">
        <f aca="false">(MAX(K2:P2)-LARGE(K2:P2,2))*100</f>
        <v>32.461947330273</v>
      </c>
      <c r="AT2" s="42" t="str">
        <f aca="false">IF(AS2&lt;5,"Oui","Non")</f>
        <v>Non</v>
      </c>
      <c r="AU2" s="43" t="n">
        <v>-1.762</v>
      </c>
      <c r="AV2" s="43" t="n">
        <v>8.737</v>
      </c>
      <c r="AW2" s="43" t="n">
        <v>-0.902</v>
      </c>
      <c r="AX2" s="43" t="n">
        <v>-2.879</v>
      </c>
    </row>
    <row r="3" customFormat="false" ht="15" hidden="false" customHeight="true" outlineLevel="0" collapsed="false">
      <c r="A3" s="44" t="s">
        <v>71</v>
      </c>
      <c r="B3" s="44" t="s">
        <v>70</v>
      </c>
      <c r="C3" s="45" t="s">
        <v>3</v>
      </c>
      <c r="D3" s="46" t="n">
        <v>10399</v>
      </c>
      <c r="E3" s="46" t="n">
        <v>1153</v>
      </c>
      <c r="F3" s="46" t="n">
        <v>3623</v>
      </c>
      <c r="G3" s="46" t="n">
        <v>4619</v>
      </c>
      <c r="H3" s="46" t="n">
        <v>2293</v>
      </c>
      <c r="I3" s="46" t="n">
        <v>159</v>
      </c>
      <c r="J3" s="47" t="n">
        <f aca="false">SUM(D3:I3)</f>
        <v>22246</v>
      </c>
      <c r="K3" s="48" t="n">
        <f aca="false">IFERROR(D3/J3,0)</f>
        <v>0.467454823339027</v>
      </c>
      <c r="L3" s="48" t="n">
        <f aca="false">IFERROR(E3/J3,0)</f>
        <v>0.0518295423896431</v>
      </c>
      <c r="M3" s="48" t="n">
        <f aca="false">IFERROR(F3/J3,0)</f>
        <v>0.16286073900926</v>
      </c>
      <c r="N3" s="48" t="n">
        <f aca="false">IFERROR(G3/J3,0)</f>
        <v>0.20763283286883</v>
      </c>
      <c r="O3" s="48" t="n">
        <f aca="false">IFERROR(H3/J3,0)</f>
        <v>0.103074710060236</v>
      </c>
      <c r="P3" s="48" t="n">
        <f aca="false">IFERROR(I3/J3,0)</f>
        <v>0.00714735233300369</v>
      </c>
      <c r="Q3" s="47" t="n">
        <f aca="false">D3*INDEX(Régions!$T$2:$T$6,MATCH($B3,Régions!$A$2:$A$6,0))</f>
        <v>6142.86919831224</v>
      </c>
      <c r="R3" s="47" t="n">
        <f aca="false">E3*INDEX(Régions!$U$2:$U$6,MATCH($B3,Régions!$A$2:$A$6,0))</f>
        <v>2639.19885550787</v>
      </c>
      <c r="S3" s="47" t="n">
        <f aca="false">F3*INDEX(Régions!$V$2:$V$6,MATCH($B3,Régions!$A$2:$A$6,0))</f>
        <v>2171.0861423221</v>
      </c>
      <c r="T3" s="47" t="n">
        <f aca="false">G3*INDEX(Régions!$W$2:$W$6,MATCH($B3,Régions!$A$2:$A$6,0))</f>
        <v>8074.20132610006</v>
      </c>
      <c r="U3" s="47" t="n">
        <f aca="false">H3*INDEX(Régions!$X$2:$X$6,MATCH($B3,Régions!$A$2:$A$6,0))</f>
        <v>2605.68181818182</v>
      </c>
      <c r="V3" s="47" t="n">
        <f aca="false">I3*INDEX(Régions!$Y$2:$Y$6,MATCH($B3,Régions!$A$2:$A$6,0))</f>
        <v>223.943661971831</v>
      </c>
      <c r="W3" s="47" t="n">
        <f aca="false">Q3+(AU3/100)*J3*Régions!$O$2</f>
        <v>6855.96472831224</v>
      </c>
      <c r="X3" s="47" t="n">
        <f aca="false">R3+(AV3/100)*J3*Régions!$O$2</f>
        <v>3378.98958550787</v>
      </c>
      <c r="Y3" s="47" t="n">
        <f aca="false">S3+(AW3/100)*J3*Régions!$O$2</f>
        <v>2252.9514223221</v>
      </c>
      <c r="Z3" s="47" t="n">
        <f aca="false">T3+(AX3/100)*J3*Régions!$O$2</f>
        <v>7152.77200610006</v>
      </c>
      <c r="AA3" s="47" t="n">
        <f aca="false">U3</f>
        <v>2605.68181818182</v>
      </c>
      <c r="AB3" s="47" t="n">
        <f aca="false">V3</f>
        <v>223.943661971831</v>
      </c>
      <c r="AC3" s="47" t="n">
        <f aca="false">D3*INDEX(Régions!$Z$2:$Z$6,MATCH($B3,Régions!$A$2:$A$6,0))</f>
        <v>6866.85021097046</v>
      </c>
      <c r="AD3" s="47" t="n">
        <f aca="false">E3*INDEX(Régions!$AA$2:$AA$6,MATCH($B3,Régions!$A$2:$A$6,0))</f>
        <v>3183.53361945637</v>
      </c>
      <c r="AE3" s="47" t="n">
        <f aca="false">F3*INDEX(Régions!$AB$2:$AB$6,MATCH($B3,Régions!$A$2:$A$6,0))</f>
        <v>3066.65917602996</v>
      </c>
      <c r="AF3" s="47" t="n">
        <f aca="false">G3*INDEX(Régions!$AC$2:$AC$6,MATCH($B3,Régions!$A$2:$A$6,0))</f>
        <v>8992.98975286317</v>
      </c>
      <c r="AG3" s="47" t="n">
        <f aca="false">H3*INDEX(Régions!$AD$2:$AD$6,MATCH($B3,Régions!$A$2:$A$6,0))</f>
        <v>3111.49064171123</v>
      </c>
      <c r="AH3" s="47" t="n">
        <f aca="false">I3*INDEX(Régions!$AE$2:$AE$6,MATCH($B3,Régions!$A$2:$A$6,0))</f>
        <v>962.957746478873</v>
      </c>
      <c r="AI3" s="47" t="n">
        <f aca="false">D3*INDEX(Régions!$AF$2:$AF$6,MATCH($B3,Régions!$A$2:$A$6,0))</f>
        <v>5418.88818565401</v>
      </c>
      <c r="AJ3" s="47" t="n">
        <f aca="false">E3*INDEX(Régions!$AG$2:$AG$6,MATCH($B3,Régions!$A$2:$A$6,0))</f>
        <v>2094.86409155937</v>
      </c>
      <c r="AK3" s="47" t="n">
        <f aca="false">F3*INDEX(Régions!$AH$2:$AH$6,MATCH($B3,Régions!$A$2:$A$6,0))</f>
        <v>1275.51310861423</v>
      </c>
      <c r="AL3" s="47" t="n">
        <f aca="false">G3*INDEX(Régions!$AI$2:$AI$6,MATCH($B3,Régions!$A$2:$A$6,0))</f>
        <v>7155.41289933695</v>
      </c>
      <c r="AM3" s="47" t="n">
        <f aca="false">H3*INDEX(Régions!$AJ$2:$AJ$6,MATCH($B3,Régions!$A$2:$A$6,0))</f>
        <v>2099.87299465241</v>
      </c>
      <c r="AN3" s="47" t="n">
        <f aca="false">I3*INDEX(Régions!$AK$2:$AK$6,MATCH($B3,Régions!$A$2:$A$6,0))</f>
        <v>0</v>
      </c>
      <c r="AO3" s="49" t="str">
        <f aca="false">INDEX({"CAQ","PLQ","QS","PQ","PCQ","Autre"},MATCH(MAX(Q3:V3),Q3:V3,0))</f>
        <v>PQ</v>
      </c>
      <c r="AP3" s="49" t="str">
        <f aca="false">INDEX({"CAQ","PLQ","QS","PQ","PCQ","Autre"},MATCH(MAX(W3:AB3),W3:AB3,0))</f>
        <v>PQ</v>
      </c>
      <c r="AQ3" s="49" t="str">
        <f aca="false">INDEX({"CAQ","PLQ","QS","PQ","PCQ","Autre"},MATCH(MAX(AC3:AH3),AC3:AH3,0))</f>
        <v>PQ</v>
      </c>
      <c r="AR3" s="49" t="str">
        <f aca="false">INDEX({"CAQ","PLQ","QS","PQ","PCQ","Autre"},MATCH(MAX(AI3:AN3),AI3:AN3,0))</f>
        <v>PQ</v>
      </c>
      <c r="AS3" s="50" t="n">
        <f aca="false">(MAX(K3:P3)-LARGE(K3:P3,2))*100</f>
        <v>25.9821990470197</v>
      </c>
      <c r="AT3" s="51" t="str">
        <f aca="false">IF(AS3&lt;5,"Oui","Non")</f>
        <v>Non</v>
      </c>
      <c r="AU3" s="52" t="n">
        <v>6.411</v>
      </c>
      <c r="AV3" s="52" t="n">
        <v>6.651</v>
      </c>
      <c r="AW3" s="52" t="n">
        <v>0.736</v>
      </c>
      <c r="AX3" s="52" t="n">
        <v>-8.284</v>
      </c>
    </row>
    <row r="4" customFormat="false" ht="15" hidden="false" customHeight="true" outlineLevel="0" collapsed="false">
      <c r="A4" s="35" t="s">
        <v>72</v>
      </c>
      <c r="B4" s="35" t="s">
        <v>73</v>
      </c>
      <c r="C4" s="36" t="s">
        <v>4</v>
      </c>
      <c r="D4" s="37" t="n">
        <v>4446</v>
      </c>
      <c r="E4" s="37" t="n">
        <v>10981</v>
      </c>
      <c r="F4" s="37" t="n">
        <v>4468</v>
      </c>
      <c r="G4" s="37" t="n">
        <v>2565</v>
      </c>
      <c r="H4" s="37" t="n">
        <v>2955</v>
      </c>
      <c r="I4" s="37" t="n">
        <v>569</v>
      </c>
      <c r="J4" s="38" t="n">
        <f aca="false">SUM(D4:I4)</f>
        <v>25984</v>
      </c>
      <c r="K4" s="39" t="n">
        <f aca="false">IFERROR(D4/J4,0)</f>
        <v>0.171105295566502</v>
      </c>
      <c r="L4" s="39" t="n">
        <f aca="false">IFERROR(E4/J4,0)</f>
        <v>0.422606219211823</v>
      </c>
      <c r="M4" s="39" t="n">
        <f aca="false">IFERROR(F4/J4,0)</f>
        <v>0.17195197044335</v>
      </c>
      <c r="N4" s="39" t="n">
        <f aca="false">IFERROR(G4/J4,0)</f>
        <v>0.0987145935960591</v>
      </c>
      <c r="O4" s="39" t="n">
        <f aca="false">IFERROR(H4/J4,0)</f>
        <v>0.113723830049261</v>
      </c>
      <c r="P4" s="39" t="n">
        <f aca="false">IFERROR(I4/J4,0)</f>
        <v>0.0218980911330049</v>
      </c>
      <c r="Q4" s="38" t="n">
        <f aca="false">D4*INDEX(Régions!$T$2:$T$6,MATCH($B4,Régions!$A$2:$A$6,0))</f>
        <v>3332.8335832084</v>
      </c>
      <c r="R4" s="38" t="n">
        <f aca="false">E4*INDEX(Régions!$U$2:$U$6,MATCH($B4,Régions!$A$2:$A$6,0))</f>
        <v>10961.6559013506</v>
      </c>
      <c r="S4" s="38" t="n">
        <f aca="false">F4*INDEX(Régions!$V$2:$V$6,MATCH($B4,Régions!$A$2:$A$6,0))</f>
        <v>3429.16478555305</v>
      </c>
      <c r="T4" s="38" t="n">
        <f aca="false">G4*INDEX(Régions!$W$2:$W$6,MATCH($B4,Régions!$A$2:$A$6,0))</f>
        <v>5769.44704779756</v>
      </c>
      <c r="U4" s="38" t="n">
        <f aca="false">H4*INDEX(Régions!$X$2:$X$6,MATCH($B4,Régions!$A$2:$A$6,0))</f>
        <v>2371.11334002006</v>
      </c>
      <c r="V4" s="38" t="n">
        <f aca="false">I4*INDEX(Régions!$Y$2:$Y$6,MATCH($B4,Régions!$A$2:$A$6,0))</f>
        <v>363.578274760383</v>
      </c>
      <c r="W4" s="38" t="n">
        <f aca="false">Q4+(AU4/100)*J4*Régions!$O$2</f>
        <v>3136.1347032084</v>
      </c>
      <c r="X4" s="38" t="n">
        <f aca="false">R4+(AV4/100)*J4*Régions!$O$2</f>
        <v>10562.9314213506</v>
      </c>
      <c r="Y4" s="38" t="n">
        <f aca="false">S4+(AW4/100)*J4*Régions!$O$2</f>
        <v>3816.71614555305</v>
      </c>
      <c r="Z4" s="38" t="n">
        <f aca="false">T4+(AX4/100)*J4*Régions!$O$2</f>
        <v>6044.22784779756</v>
      </c>
      <c r="AA4" s="38" t="n">
        <f aca="false">U4</f>
        <v>2371.11334002006</v>
      </c>
      <c r="AB4" s="38" t="n">
        <f aca="false">V4</f>
        <v>363.578274760383</v>
      </c>
      <c r="AC4" s="38" t="n">
        <f aca="false">D4*INDEX(Régions!$Z$2:$Z$6,MATCH($B4,Régions!$A$2:$A$6,0))</f>
        <v>4066.05697151424</v>
      </c>
      <c r="AD4" s="38" t="n">
        <f aca="false">E4*INDEX(Régions!$AA$2:$AA$6,MATCH($B4,Régions!$A$2:$A$6,0))</f>
        <v>12025.5813270699</v>
      </c>
      <c r="AE4" s="38" t="n">
        <f aca="false">F4*INDEX(Régions!$AB$2:$AB$6,MATCH($B4,Régions!$A$2:$A$6,0))</f>
        <v>4094.82618510158</v>
      </c>
      <c r="AF4" s="38" t="n">
        <f aca="false">G4*INDEX(Régions!$AC$2:$AC$6,MATCH($B4,Régions!$A$2:$A$6,0))</f>
        <v>6562.74601686973</v>
      </c>
      <c r="AG4" s="38" t="n">
        <f aca="false">H4*INDEX(Régions!$AD$2:$AD$6,MATCH($B4,Régions!$A$2:$A$6,0))</f>
        <v>3349.19759277833</v>
      </c>
      <c r="AH4" s="38" t="n">
        <f aca="false">I4*INDEX(Régions!$AE$2:$AE$6,MATCH($B4,Régions!$A$2:$A$6,0))</f>
        <v>963.482428115016</v>
      </c>
      <c r="AI4" s="38" t="n">
        <f aca="false">D4*INDEX(Régions!$AF$2:$AF$6,MATCH($B4,Régions!$A$2:$A$6,0))</f>
        <v>2599.61019490255</v>
      </c>
      <c r="AJ4" s="38" t="n">
        <f aca="false">E4*INDEX(Régions!$AG$2:$AG$6,MATCH($B4,Régions!$A$2:$A$6,0))</f>
        <v>9897.73047563124</v>
      </c>
      <c r="AK4" s="38" t="n">
        <f aca="false">F4*INDEX(Régions!$AH$2:$AH$6,MATCH($B4,Régions!$A$2:$A$6,0))</f>
        <v>2763.50338600451</v>
      </c>
      <c r="AL4" s="38" t="n">
        <f aca="false">G4*INDEX(Régions!$AI$2:$AI$6,MATCH($B4,Régions!$A$2:$A$6,0))</f>
        <v>4976.1480787254</v>
      </c>
      <c r="AM4" s="38" t="n">
        <f aca="false">H4*INDEX(Régions!$AJ$2:$AJ$6,MATCH($B4,Régions!$A$2:$A$6,0))</f>
        <v>1393.02908726179</v>
      </c>
      <c r="AN4" s="38" t="n">
        <f aca="false">I4*INDEX(Régions!$AK$2:$AK$6,MATCH($B4,Régions!$A$2:$A$6,0))</f>
        <v>0</v>
      </c>
      <c r="AO4" s="40" t="str">
        <f aca="false">INDEX({"CAQ","PLQ","QS","PQ","PCQ","Autre"},MATCH(MAX(Q4:V4),Q4:V4,0))</f>
        <v>PLQ</v>
      </c>
      <c r="AP4" s="40" t="str">
        <f aca="false">INDEX({"CAQ","PLQ","QS","PQ","PCQ","Autre"},MATCH(MAX(W4:AB4),W4:AB4,0))</f>
        <v>PLQ</v>
      </c>
      <c r="AQ4" s="40" t="str">
        <f aca="false">INDEX({"CAQ","PLQ","QS","PQ","PCQ","Autre"},MATCH(MAX(AC4:AH4),AC4:AH4,0))</f>
        <v>PLQ</v>
      </c>
      <c r="AR4" s="40" t="str">
        <f aca="false">INDEX({"CAQ","PLQ","QS","PQ","PCQ","Autre"},MATCH(MAX(AI4:AN4),AI4:AN4,0))</f>
        <v>PLQ</v>
      </c>
      <c r="AS4" s="41" t="n">
        <f aca="false">(MAX(K4:P4)-LARGE(K4:P4,2))*100</f>
        <v>25.0654248768473</v>
      </c>
      <c r="AT4" s="42" t="str">
        <f aca="false">IF(AS4&lt;5,"Oui","Non")</f>
        <v>Non</v>
      </c>
      <c r="AU4" s="43" t="n">
        <v>-1.514</v>
      </c>
      <c r="AV4" s="43" t="n">
        <v>-3.069</v>
      </c>
      <c r="AW4" s="43" t="n">
        <v>2.983</v>
      </c>
      <c r="AX4" s="43" t="n">
        <v>2.115</v>
      </c>
    </row>
    <row r="5" customFormat="false" ht="15" hidden="false" customHeight="true" outlineLevel="0" collapsed="false">
      <c r="A5" s="44" t="s">
        <v>74</v>
      </c>
      <c r="B5" s="44" t="s">
        <v>73</v>
      </c>
      <c r="C5" s="45" t="s">
        <v>3</v>
      </c>
      <c r="D5" s="46" t="n">
        <v>9376</v>
      </c>
      <c r="E5" s="46" t="n">
        <v>8045</v>
      </c>
      <c r="F5" s="46" t="n">
        <v>3893</v>
      </c>
      <c r="G5" s="46" t="n">
        <v>2910</v>
      </c>
      <c r="H5" s="46" t="n">
        <v>1887</v>
      </c>
      <c r="I5" s="46" t="n">
        <v>252</v>
      </c>
      <c r="J5" s="47" t="n">
        <f aca="false">SUM(D5:I5)</f>
        <v>26363</v>
      </c>
      <c r="K5" s="48" t="n">
        <f aca="false">IFERROR(D5/J5,0)</f>
        <v>0.355649963964647</v>
      </c>
      <c r="L5" s="48" t="n">
        <f aca="false">IFERROR(E5/J5,0)</f>
        <v>0.305162538406099</v>
      </c>
      <c r="M5" s="48" t="n">
        <f aca="false">IFERROR(F5/J5,0)</f>
        <v>0.147669081667489</v>
      </c>
      <c r="N5" s="48" t="n">
        <f aca="false">IFERROR(G5/J5,0)</f>
        <v>0.110381974737321</v>
      </c>
      <c r="O5" s="48" t="n">
        <f aca="false">IFERROR(H5/J5,0)</f>
        <v>0.0715775898038918</v>
      </c>
      <c r="P5" s="48" t="n">
        <f aca="false">IFERROR(I5/J5,0)</f>
        <v>0.00955885142055153</v>
      </c>
      <c r="Q5" s="47" t="n">
        <f aca="false">D5*INDEX(Régions!$T$2:$T$6,MATCH($B5,Régions!$A$2:$A$6,0))</f>
        <v>7028.48575712144</v>
      </c>
      <c r="R5" s="47" t="n">
        <f aca="false">E5*INDEX(Régions!$U$2:$U$6,MATCH($B5,Régions!$A$2:$A$6,0))</f>
        <v>8030.82795067528</v>
      </c>
      <c r="S5" s="47" t="n">
        <f aca="false">F5*INDEX(Régions!$V$2:$V$6,MATCH($B5,Régions!$A$2:$A$6,0))</f>
        <v>2987.85553047404</v>
      </c>
      <c r="T5" s="47" t="n">
        <f aca="false">G5*INDEX(Régions!$W$2:$W$6,MATCH($B5,Régions!$A$2:$A$6,0))</f>
        <v>6545.45454545455</v>
      </c>
      <c r="U5" s="47" t="n">
        <f aca="false">H5*INDEX(Régions!$X$2:$X$6,MATCH($B5,Régions!$A$2:$A$6,0))</f>
        <v>1514.14242728185</v>
      </c>
      <c r="V5" s="47" t="n">
        <f aca="false">I5*INDEX(Régions!$Y$2:$Y$6,MATCH($B5,Régions!$A$2:$A$6,0))</f>
        <v>161.022364217252</v>
      </c>
      <c r="W5" s="47" t="n">
        <f aca="false">Q5+(AU5/100)*J5*Régions!$O$2</f>
        <v>7627.32130212144</v>
      </c>
      <c r="X5" s="47" t="n">
        <f aca="false">R5+(AV5/100)*J5*Régions!$O$2</f>
        <v>8020.54638067528</v>
      </c>
      <c r="Y5" s="47" t="n">
        <f aca="false">S5+(AW5/100)*J5*Régions!$O$2</f>
        <v>2958.06534047404</v>
      </c>
      <c r="Z5" s="47" t="n">
        <f aca="false">T5+(AX5/100)*J5*Régions!$O$2</f>
        <v>6227.64858045455</v>
      </c>
      <c r="AA5" s="47" t="n">
        <f aca="false">U5</f>
        <v>1514.14242728185</v>
      </c>
      <c r="AB5" s="47" t="n">
        <f aca="false">V5</f>
        <v>161.022364217252</v>
      </c>
      <c r="AC5" s="47" t="n">
        <f aca="false">D5*INDEX(Régions!$Z$2:$Z$6,MATCH($B5,Régions!$A$2:$A$6,0))</f>
        <v>8574.75262368816</v>
      </c>
      <c r="AD5" s="47" t="n">
        <f aca="false">E5*INDEX(Régions!$AA$2:$AA$6,MATCH($B5,Régions!$A$2:$A$6,0))</f>
        <v>8810.29066353494</v>
      </c>
      <c r="AE5" s="47" t="n">
        <f aca="false">F5*INDEX(Régions!$AB$2:$AB$6,MATCH($B5,Régions!$A$2:$A$6,0))</f>
        <v>3567.85101580136</v>
      </c>
      <c r="AF5" s="47" t="n">
        <f aca="false">G5*INDEX(Régions!$AC$2:$AC$6,MATCH($B5,Régions!$A$2:$A$6,0))</f>
        <v>7445.45454545455</v>
      </c>
      <c r="AG5" s="47" t="n">
        <f aca="false">H5*INDEX(Régions!$AD$2:$AD$6,MATCH($B5,Régions!$A$2:$A$6,0))</f>
        <v>2138.72617853561</v>
      </c>
      <c r="AH5" s="47" t="n">
        <f aca="false">I5*INDEX(Régions!$AE$2:$AE$6,MATCH($B5,Régions!$A$2:$A$6,0))</f>
        <v>426.709265175719</v>
      </c>
      <c r="AI5" s="47" t="n">
        <f aca="false">D5*INDEX(Régions!$AF$2:$AF$6,MATCH($B5,Régions!$A$2:$A$6,0))</f>
        <v>5482.21889055472</v>
      </c>
      <c r="AJ5" s="47" t="n">
        <f aca="false">E5*INDEX(Régions!$AG$2:$AG$6,MATCH($B5,Régions!$A$2:$A$6,0))</f>
        <v>7251.36523781562</v>
      </c>
      <c r="AK5" s="47" t="n">
        <f aca="false">F5*INDEX(Régions!$AH$2:$AH$6,MATCH($B5,Régions!$A$2:$A$6,0))</f>
        <v>2407.86004514673</v>
      </c>
      <c r="AL5" s="47" t="n">
        <f aca="false">G5*INDEX(Régions!$AI$2:$AI$6,MATCH($B5,Régions!$A$2:$A$6,0))</f>
        <v>5645.45454545455</v>
      </c>
      <c r="AM5" s="47" t="n">
        <f aca="false">H5*INDEX(Régions!$AJ$2:$AJ$6,MATCH($B5,Régions!$A$2:$A$6,0))</f>
        <v>889.558676028084</v>
      </c>
      <c r="AN5" s="47" t="n">
        <f aca="false">I5*INDEX(Régions!$AK$2:$AK$6,MATCH($B5,Régions!$A$2:$A$6,0))</f>
        <v>0</v>
      </c>
      <c r="AO5" s="49" t="str">
        <f aca="false">INDEX({"CAQ","PLQ","QS","PQ","PCQ","Autre"},MATCH(MAX(Q5:V5),Q5:V5,0))</f>
        <v>PLQ</v>
      </c>
      <c r="AP5" s="49" t="str">
        <f aca="false">INDEX({"CAQ","PLQ","QS","PQ","PCQ","Autre"},MATCH(MAX(W5:AB5),W5:AB5,0))</f>
        <v>PLQ</v>
      </c>
      <c r="AQ5" s="49" t="str">
        <f aca="false">INDEX({"CAQ","PLQ","QS","PQ","PCQ","Autre"},MATCH(MAX(AC5:AH5),AC5:AH5,0))</f>
        <v>PLQ</v>
      </c>
      <c r="AR5" s="49" t="str">
        <f aca="false">INDEX({"CAQ","PLQ","QS","PQ","PCQ","Autre"},MATCH(MAX(AI5:AN5),AI5:AN5,0))</f>
        <v>PLQ</v>
      </c>
      <c r="AS5" s="50" t="n">
        <f aca="false">(MAX(K5:P5)-LARGE(K5:P5,2))*100</f>
        <v>5.0487425558548</v>
      </c>
      <c r="AT5" s="51" t="str">
        <f aca="false">IF(AS5&lt;5,"Oui","Non")</f>
        <v>Non</v>
      </c>
      <c r="AU5" s="52" t="n">
        <v>4.543</v>
      </c>
      <c r="AV5" s="52" t="n">
        <v>-0.078</v>
      </c>
      <c r="AW5" s="52" t="n">
        <v>-0.226</v>
      </c>
      <c r="AX5" s="52" t="n">
        <v>-2.411</v>
      </c>
    </row>
    <row r="6" customFormat="false" ht="15" hidden="false" customHeight="true" outlineLevel="0" collapsed="false">
      <c r="A6" s="35" t="s">
        <v>75</v>
      </c>
      <c r="B6" s="35" t="s">
        <v>70</v>
      </c>
      <c r="C6" s="36" t="s">
        <v>3</v>
      </c>
      <c r="D6" s="37" t="n">
        <v>14725</v>
      </c>
      <c r="E6" s="37" t="n">
        <v>3325</v>
      </c>
      <c r="F6" s="37" t="n">
        <v>3523</v>
      </c>
      <c r="G6" s="37" t="n">
        <v>5291</v>
      </c>
      <c r="H6" s="37" t="n">
        <v>5243</v>
      </c>
      <c r="I6" s="37" t="n">
        <v>542</v>
      </c>
      <c r="J6" s="38" t="n">
        <f aca="false">SUM(D6:I6)</f>
        <v>32649</v>
      </c>
      <c r="K6" s="39" t="n">
        <f aca="false">IFERROR(D6/J6,0)</f>
        <v>0.451009219271647</v>
      </c>
      <c r="L6" s="39" t="n">
        <f aca="false">IFERROR(E6/J6,0)</f>
        <v>0.101840791448436</v>
      </c>
      <c r="M6" s="39" t="n">
        <f aca="false">IFERROR(F6/J6,0)</f>
        <v>0.107905295721155</v>
      </c>
      <c r="N6" s="39" t="n">
        <f aca="false">IFERROR(G6/J6,0)</f>
        <v>0.162057030843211</v>
      </c>
      <c r="O6" s="39" t="n">
        <f aca="false">IFERROR(H6/J6,0)</f>
        <v>0.160586847989219</v>
      </c>
      <c r="P6" s="39" t="n">
        <f aca="false">IFERROR(I6/J6,0)</f>
        <v>0.0166008147263316</v>
      </c>
      <c r="Q6" s="38" t="n">
        <f aca="false">D6*INDEX(Régions!$T$2:$T$6,MATCH($B6,Régions!$A$2:$A$6,0))</f>
        <v>8698.31223628692</v>
      </c>
      <c r="R6" s="38" t="n">
        <f aca="false">E6*INDEX(Régions!$U$2:$U$6,MATCH($B6,Régions!$A$2:$A$6,0))</f>
        <v>7610.87267525036</v>
      </c>
      <c r="S6" s="38" t="n">
        <f aca="false">F6*INDEX(Régions!$V$2:$V$6,MATCH($B6,Régions!$A$2:$A$6,0))</f>
        <v>2111.16104868914</v>
      </c>
      <c r="T6" s="38" t="n">
        <f aca="false">G6*INDEX(Régions!$W$2:$W$6,MATCH($B6,Régions!$A$2:$A$6,0))</f>
        <v>9248.88487040386</v>
      </c>
      <c r="U6" s="38" t="n">
        <f aca="false">H6*INDEX(Régions!$X$2:$X$6,MATCH($B6,Régions!$A$2:$A$6,0))</f>
        <v>5957.95454545455</v>
      </c>
      <c r="V6" s="38" t="n">
        <f aca="false">I6*INDEX(Régions!$Y$2:$Y$6,MATCH($B6,Régions!$A$2:$A$6,0))</f>
        <v>763.380281690141</v>
      </c>
      <c r="W6" s="38" t="n">
        <f aca="false">Q6+(AU6/100)*J6*Régions!$O$2</f>
        <v>8700.10793128692</v>
      </c>
      <c r="X6" s="38" t="n">
        <f aca="false">R6+(AV6/100)*J6*Régions!$O$2</f>
        <v>8517.37216025036</v>
      </c>
      <c r="Y6" s="38" t="n">
        <f aca="false">S6+(AW6/100)*J6*Régions!$O$2</f>
        <v>2055.82099368914</v>
      </c>
      <c r="Z6" s="38" t="n">
        <f aca="false">T6+(AX6/100)*J6*Régions!$O$2</f>
        <v>9130.69549040386</v>
      </c>
      <c r="AA6" s="38" t="n">
        <f aca="false">U6</f>
        <v>5957.95454545455</v>
      </c>
      <c r="AB6" s="38" t="n">
        <f aca="false">V6</f>
        <v>763.380281690141</v>
      </c>
      <c r="AC6" s="38" t="n">
        <f aca="false">D6*INDEX(Régions!$Z$2:$Z$6,MATCH($B6,Régions!$A$2:$A$6,0))</f>
        <v>9723.47046413502</v>
      </c>
      <c r="AD6" s="38" t="n">
        <f aca="false">E6*INDEX(Régions!$AA$2:$AA$6,MATCH($B6,Régions!$A$2:$A$6,0))</f>
        <v>9180.61516452075</v>
      </c>
      <c r="AE6" s="38" t="n">
        <f aca="false">F6*INDEX(Régions!$AB$2:$AB$6,MATCH($B6,Régions!$A$2:$A$6,0))</f>
        <v>2982.01498127341</v>
      </c>
      <c r="AF6" s="38" t="n">
        <f aca="false">G6*INDEX(Régions!$AC$2:$AC$6,MATCH($B6,Régions!$A$2:$A$6,0))</f>
        <v>10301.3441832429</v>
      </c>
      <c r="AG6" s="38" t="n">
        <f aca="false">H6*INDEX(Régions!$AD$2:$AD$6,MATCH($B6,Régions!$A$2:$A$6,0))</f>
        <v>7114.4986631016</v>
      </c>
      <c r="AH6" s="38" t="n">
        <f aca="false">I6*INDEX(Régions!$AE$2:$AE$6,MATCH($B6,Régions!$A$2:$A$6,0))</f>
        <v>3282.53521126761</v>
      </c>
      <c r="AI6" s="38" t="n">
        <f aca="false">D6*INDEX(Régions!$AF$2:$AF$6,MATCH($B6,Régions!$A$2:$A$6,0))</f>
        <v>7673.15400843882</v>
      </c>
      <c r="AJ6" s="38" t="n">
        <f aca="false">E6*INDEX(Régions!$AG$2:$AG$6,MATCH($B6,Régions!$A$2:$A$6,0))</f>
        <v>6041.13018597997</v>
      </c>
      <c r="AK6" s="38" t="n">
        <f aca="false">F6*INDEX(Régions!$AH$2:$AH$6,MATCH($B6,Régions!$A$2:$A$6,0))</f>
        <v>1240.30711610487</v>
      </c>
      <c r="AL6" s="38" t="n">
        <f aca="false">G6*INDEX(Régions!$AI$2:$AI$6,MATCH($B6,Régions!$A$2:$A$6,0))</f>
        <v>8196.4255575648</v>
      </c>
      <c r="AM6" s="38" t="n">
        <f aca="false">H6*INDEX(Régions!$AJ$2:$AJ$6,MATCH($B6,Régions!$A$2:$A$6,0))</f>
        <v>4801.41042780749</v>
      </c>
      <c r="AN6" s="38" t="n">
        <f aca="false">I6*INDEX(Régions!$AK$2:$AK$6,MATCH($B6,Régions!$A$2:$A$6,0))</f>
        <v>0</v>
      </c>
      <c r="AO6" s="40" t="str">
        <f aca="false">INDEX({"CAQ","PLQ","QS","PQ","PCQ","Autre"},MATCH(MAX(Q6:V6),Q6:V6,0))</f>
        <v>PQ</v>
      </c>
      <c r="AP6" s="40" t="str">
        <f aca="false">INDEX({"CAQ","PLQ","QS","PQ","PCQ","Autre"},MATCH(MAX(W6:AB6),W6:AB6,0))</f>
        <v>PQ</v>
      </c>
      <c r="AQ6" s="40" t="str">
        <f aca="false">INDEX({"CAQ","PLQ","QS","PQ","PCQ","Autre"},MATCH(MAX(AC6:AH6),AC6:AH6,0))</f>
        <v>PQ</v>
      </c>
      <c r="AR6" s="40" t="str">
        <f aca="false">INDEX({"CAQ","PLQ","QS","PQ","PCQ","Autre"},MATCH(MAX(AI6:AN6),AI6:AN6,0))</f>
        <v>PQ</v>
      </c>
      <c r="AS6" s="41" t="n">
        <f aca="false">(MAX(K6:P6)-LARGE(K6:P6,2))*100</f>
        <v>28.8952188428436</v>
      </c>
      <c r="AT6" s="42" t="str">
        <f aca="false">IF(AS6&lt;5,"Oui","Non")</f>
        <v>Non</v>
      </c>
      <c r="AU6" s="43" t="n">
        <v>0.011</v>
      </c>
      <c r="AV6" s="43" t="n">
        <v>5.553</v>
      </c>
      <c r="AW6" s="43" t="n">
        <v>-0.339</v>
      </c>
      <c r="AX6" s="43" t="n">
        <v>-0.724</v>
      </c>
    </row>
    <row r="7" customFormat="false" ht="15" hidden="false" customHeight="true" outlineLevel="0" collapsed="false">
      <c r="A7" s="44" t="s">
        <v>76</v>
      </c>
      <c r="B7" s="44" t="s">
        <v>70</v>
      </c>
      <c r="C7" s="45" t="s">
        <v>3</v>
      </c>
      <c r="D7" s="46" t="n">
        <v>23447</v>
      </c>
      <c r="E7" s="46" t="n">
        <v>1702</v>
      </c>
      <c r="F7" s="46" t="n">
        <v>4179</v>
      </c>
      <c r="G7" s="46" t="n">
        <v>4538</v>
      </c>
      <c r="H7" s="46" t="n">
        <v>11187</v>
      </c>
      <c r="I7" s="46" t="n">
        <v>256</v>
      </c>
      <c r="J7" s="47" t="n">
        <f aca="false">SUM(D7:I7)</f>
        <v>45309</v>
      </c>
      <c r="K7" s="48" t="n">
        <f aca="false">IFERROR(D7/J7,0)</f>
        <v>0.517491006201858</v>
      </c>
      <c r="L7" s="48" t="n">
        <f aca="false">IFERROR(E7/J7,0)</f>
        <v>0.0375642808272087</v>
      </c>
      <c r="M7" s="48" t="n">
        <f aca="false">IFERROR(F7/J7,0)</f>
        <v>0.0922333311262663</v>
      </c>
      <c r="N7" s="48" t="n">
        <f aca="false">IFERROR(G7/J7,0)</f>
        <v>0.100156701759032</v>
      </c>
      <c r="O7" s="48" t="n">
        <f aca="false">IFERROR(H7/J7,0)</f>
        <v>0.246904588492353</v>
      </c>
      <c r="P7" s="48" t="n">
        <f aca="false">IFERROR(I7/J7,0)</f>
        <v>0.00565009159328169</v>
      </c>
      <c r="Q7" s="47" t="n">
        <f aca="false">D7*INDEX(Régions!$T$2:$T$6,MATCH($B7,Régions!$A$2:$A$6,0))</f>
        <v>13850.5485232068</v>
      </c>
      <c r="R7" s="47" t="n">
        <f aca="false">E7*INDEX(Régions!$U$2:$U$6,MATCH($B7,Régions!$A$2:$A$6,0))</f>
        <v>3895.85121602289</v>
      </c>
      <c r="S7" s="47" t="n">
        <f aca="false">F7*INDEX(Régions!$V$2:$V$6,MATCH($B7,Régions!$A$2:$A$6,0))</f>
        <v>2504.26966292135</v>
      </c>
      <c r="T7" s="47" t="n">
        <f aca="false">G7*INDEX(Régions!$W$2:$W$6,MATCH($B7,Régions!$A$2:$A$6,0))</f>
        <v>7932.61000602773</v>
      </c>
      <c r="U7" s="47" t="n">
        <f aca="false">H7*INDEX(Régions!$X$2:$X$6,MATCH($B7,Régions!$A$2:$A$6,0))</f>
        <v>12712.5</v>
      </c>
      <c r="V7" s="47" t="n">
        <f aca="false">I7*INDEX(Régions!$Y$2:$Y$6,MATCH($B7,Régions!$A$2:$A$6,0))</f>
        <v>360.56338028169</v>
      </c>
      <c r="W7" s="47" t="n">
        <f aca="false">Q7+(AU7/100)*J7*Régions!$O$2</f>
        <v>10157.6384782068</v>
      </c>
      <c r="X7" s="47" t="n">
        <f aca="false">R7+(AV7/100)*J7*Régions!$O$2</f>
        <v>5070.26049602289</v>
      </c>
      <c r="Y7" s="47" t="n">
        <f aca="false">S7+(AW7/100)*J7*Régions!$O$2</f>
        <v>1980.95071292135</v>
      </c>
      <c r="Z7" s="47" t="n">
        <f aca="false">T7+(AX7/100)*J7*Régions!$O$2</f>
        <v>9026.36926602773</v>
      </c>
      <c r="AA7" s="47" t="n">
        <f aca="false">U7</f>
        <v>12712.5</v>
      </c>
      <c r="AB7" s="47" t="n">
        <f aca="false">V7</f>
        <v>360.56338028169</v>
      </c>
      <c r="AC7" s="47" t="n">
        <f aca="false">D7*INDEX(Régions!$Z$2:$Z$6,MATCH($B7,Régions!$A$2:$A$6,0))</f>
        <v>15482.9345991561</v>
      </c>
      <c r="AD7" s="47" t="n">
        <f aca="false">E7*INDEX(Régions!$AA$2:$AA$6,MATCH($B7,Régions!$A$2:$A$6,0))</f>
        <v>4699.37052932761</v>
      </c>
      <c r="AE7" s="47" t="n">
        <f aca="false">F7*INDEX(Régions!$AB$2:$AB$6,MATCH($B7,Régions!$A$2:$A$6,0))</f>
        <v>3537.28089887641</v>
      </c>
      <c r="AF7" s="47" t="n">
        <f aca="false">G7*INDEX(Régions!$AC$2:$AC$6,MATCH($B7,Régions!$A$2:$A$6,0))</f>
        <v>8835.28631705847</v>
      </c>
      <c r="AG7" s="47" t="n">
        <f aca="false">H7*INDEX(Régions!$AD$2:$AD$6,MATCH($B7,Régions!$A$2:$A$6,0))</f>
        <v>15180.2205882353</v>
      </c>
      <c r="AH7" s="47" t="n">
        <f aca="false">I7*INDEX(Régions!$AE$2:$AE$6,MATCH($B7,Régions!$A$2:$A$6,0))</f>
        <v>1550.42253521127</v>
      </c>
      <c r="AI7" s="47" t="n">
        <f aca="false">D7*INDEX(Régions!$AF$2:$AF$6,MATCH($B7,Régions!$A$2:$A$6,0))</f>
        <v>12218.1624472574</v>
      </c>
      <c r="AJ7" s="47" t="n">
        <f aca="false">E7*INDEX(Régions!$AG$2:$AG$6,MATCH($B7,Régions!$A$2:$A$6,0))</f>
        <v>3092.33190271817</v>
      </c>
      <c r="AK7" s="47" t="n">
        <f aca="false">F7*INDEX(Régions!$AH$2:$AH$6,MATCH($B7,Régions!$A$2:$A$6,0))</f>
        <v>1471.25842696629</v>
      </c>
      <c r="AL7" s="47" t="n">
        <f aca="false">G7*INDEX(Régions!$AI$2:$AI$6,MATCH($B7,Régions!$A$2:$A$6,0))</f>
        <v>7029.93369499699</v>
      </c>
      <c r="AM7" s="47" t="n">
        <f aca="false">H7*INDEX(Régions!$AJ$2:$AJ$6,MATCH($B7,Régions!$A$2:$A$6,0))</f>
        <v>10244.7794117647</v>
      </c>
      <c r="AN7" s="47" t="n">
        <f aca="false">I7*INDEX(Régions!$AK$2:$AK$6,MATCH($B7,Régions!$A$2:$A$6,0))</f>
        <v>0</v>
      </c>
      <c r="AO7" s="49" t="str">
        <f aca="false">INDEX({"CAQ","PLQ","QS","PQ","PCQ","Autre"},MATCH(MAX(Q7:V7),Q7:V7,0))</f>
        <v>CAQ</v>
      </c>
      <c r="AP7" s="49" t="str">
        <f aca="false">INDEX({"CAQ","PLQ","QS","PQ","PCQ","Autre"},MATCH(MAX(W7:AB7),W7:AB7,0))</f>
        <v>PCQ</v>
      </c>
      <c r="AQ7" s="49" t="str">
        <f aca="false">INDEX({"CAQ","PLQ","QS","PQ","PCQ","Autre"},MATCH(MAX(AC7:AH7),AC7:AH7,0))</f>
        <v>CAQ</v>
      </c>
      <c r="AR7" s="49" t="str">
        <f aca="false">INDEX({"CAQ","PLQ","QS","PQ","PCQ","Autre"},MATCH(MAX(AI7:AN7),AI7:AN7,0))</f>
        <v>CAQ</v>
      </c>
      <c r="AS7" s="50" t="n">
        <f aca="false">(MAX(K7:P7)-LARGE(K7:P7,2))*100</f>
        <v>27.0586417709506</v>
      </c>
      <c r="AT7" s="51" t="str">
        <f aca="false">IF(AS7&lt;5,"Oui","Non")</f>
        <v>Non</v>
      </c>
      <c r="AU7" s="52" t="n">
        <v>-16.301</v>
      </c>
      <c r="AV7" s="52" t="n">
        <v>5.184</v>
      </c>
      <c r="AW7" s="52" t="n">
        <v>-2.31</v>
      </c>
      <c r="AX7" s="52" t="n">
        <v>4.828</v>
      </c>
    </row>
    <row r="8" customFormat="false" ht="15" hidden="false" customHeight="true" outlineLevel="0" collapsed="false">
      <c r="A8" s="35" t="s">
        <v>77</v>
      </c>
      <c r="B8" s="35" t="s">
        <v>70</v>
      </c>
      <c r="C8" s="36" t="s">
        <v>3</v>
      </c>
      <c r="D8" s="37" t="n">
        <v>14590</v>
      </c>
      <c r="E8" s="37" t="n">
        <v>951</v>
      </c>
      <c r="F8" s="37" t="n">
        <v>1522</v>
      </c>
      <c r="G8" s="37" t="n">
        <v>1994</v>
      </c>
      <c r="H8" s="37" t="n">
        <v>14388</v>
      </c>
      <c r="I8" s="37" t="n">
        <v>146</v>
      </c>
      <c r="J8" s="38" t="n">
        <f aca="false">SUM(D8:I8)</f>
        <v>33591</v>
      </c>
      <c r="K8" s="39" t="n">
        <f aca="false">IFERROR(D8/J8,0)</f>
        <v>0.434342532225894</v>
      </c>
      <c r="L8" s="39" t="n">
        <f aca="false">IFERROR(E8/J8,0)</f>
        <v>0.0283111547736001</v>
      </c>
      <c r="M8" s="39" t="n">
        <f aca="false">IFERROR(F8/J8,0)</f>
        <v>0.0453097555892948</v>
      </c>
      <c r="N8" s="39" t="n">
        <f aca="false">IFERROR(G8/J8,0)</f>
        <v>0.0593611384001667</v>
      </c>
      <c r="O8" s="39" t="n">
        <f aca="false">IFERROR(H8/J8,0)</f>
        <v>0.428329016700902</v>
      </c>
      <c r="P8" s="39" t="n">
        <f aca="false">IFERROR(I8/J8,0)</f>
        <v>0.0043464023101426</v>
      </c>
      <c r="Q8" s="38" t="n">
        <f aca="false">D8*INDEX(Régions!$T$2:$T$6,MATCH($B8,Régions!$A$2:$A$6,0))</f>
        <v>8618.56540084388</v>
      </c>
      <c r="R8" s="38" t="n">
        <f aca="false">E8*INDEX(Régions!$U$2:$U$6,MATCH($B8,Régions!$A$2:$A$6,0))</f>
        <v>2176.82403433476</v>
      </c>
      <c r="S8" s="38" t="n">
        <f aca="false">F8*INDEX(Régions!$V$2:$V$6,MATCH($B8,Régions!$A$2:$A$6,0))</f>
        <v>912.059925093633</v>
      </c>
      <c r="T8" s="38" t="n">
        <f aca="false">G8*INDEX(Régions!$W$2:$W$6,MATCH($B8,Régions!$A$2:$A$6,0))</f>
        <v>3485.59373116335</v>
      </c>
      <c r="U8" s="38" t="n">
        <f aca="false">H8*INDEX(Régions!$X$2:$X$6,MATCH($B8,Régions!$A$2:$A$6,0))</f>
        <v>16350</v>
      </c>
      <c r="V8" s="38" t="n">
        <f aca="false">I8*INDEX(Régions!$Y$2:$Y$6,MATCH($B8,Régions!$A$2:$A$6,0))</f>
        <v>205.633802816901</v>
      </c>
      <c r="W8" s="38" t="n">
        <f aca="false">Q8+(AU8/100)*J8*Régions!$O$2</f>
        <v>3722.67715084388</v>
      </c>
      <c r="X8" s="38" t="n">
        <f aca="false">R8+(AV8/100)*J8*Régions!$O$2</f>
        <v>2168.09037433476</v>
      </c>
      <c r="Y8" s="38" t="n">
        <f aca="false">S8+(AW8/100)*J8*Régions!$O$2</f>
        <v>662.814705093633</v>
      </c>
      <c r="Z8" s="38" t="n">
        <f aca="false">T8+(AX8/100)*J8*Régions!$O$2</f>
        <v>4329.90351616335</v>
      </c>
      <c r="AA8" s="38" t="n">
        <f aca="false">U8</f>
        <v>16350</v>
      </c>
      <c r="AB8" s="38" t="n">
        <f aca="false">V8</f>
        <v>205.633802816901</v>
      </c>
      <c r="AC8" s="38" t="n">
        <f aca="false">D8*INDEX(Régions!$Z$2:$Z$6,MATCH($B8,Régions!$A$2:$A$6,0))</f>
        <v>9634.32489451477</v>
      </c>
      <c r="AD8" s="38" t="n">
        <f aca="false">E8*INDEX(Régions!$AA$2:$AA$6,MATCH($B8,Régions!$A$2:$A$6,0))</f>
        <v>2625.79399141631</v>
      </c>
      <c r="AE8" s="38" t="n">
        <f aca="false">F8*INDEX(Régions!$AB$2:$AB$6,MATCH($B8,Régions!$A$2:$A$6,0))</f>
        <v>1288.28464419476</v>
      </c>
      <c r="AF8" s="38" t="n">
        <f aca="false">G8*INDEX(Régions!$AC$2:$AC$6,MATCH($B8,Régions!$A$2:$A$6,0))</f>
        <v>3882.23025919228</v>
      </c>
      <c r="AG8" s="38" t="n">
        <f aca="false">H8*INDEX(Régions!$AD$2:$AD$6,MATCH($B8,Régions!$A$2:$A$6,0))</f>
        <v>19523.8235294118</v>
      </c>
      <c r="AH8" s="38" t="n">
        <f aca="false">I8*INDEX(Régions!$AE$2:$AE$6,MATCH($B8,Régions!$A$2:$A$6,0))</f>
        <v>884.225352112676</v>
      </c>
      <c r="AI8" s="38" t="n">
        <f aca="false">D8*INDEX(Régions!$AF$2:$AF$6,MATCH($B8,Régions!$A$2:$A$6,0))</f>
        <v>7602.805907173</v>
      </c>
      <c r="AJ8" s="38" t="n">
        <f aca="false">E8*INDEX(Régions!$AG$2:$AG$6,MATCH($B8,Régions!$A$2:$A$6,0))</f>
        <v>1727.85407725322</v>
      </c>
      <c r="AK8" s="38" t="n">
        <f aca="false">F8*INDEX(Régions!$AH$2:$AH$6,MATCH($B8,Régions!$A$2:$A$6,0))</f>
        <v>535.835205992509</v>
      </c>
      <c r="AL8" s="38" t="n">
        <f aca="false">G8*INDEX(Régions!$AI$2:$AI$6,MATCH($B8,Régions!$A$2:$A$6,0))</f>
        <v>3088.95720313442</v>
      </c>
      <c r="AM8" s="38" t="n">
        <f aca="false">H8*INDEX(Régions!$AJ$2:$AJ$6,MATCH($B8,Régions!$A$2:$A$6,0))</f>
        <v>13176.1764705882</v>
      </c>
      <c r="AN8" s="38" t="n">
        <f aca="false">I8*INDEX(Régions!$AK$2:$AK$6,MATCH($B8,Régions!$A$2:$A$6,0))</f>
        <v>0</v>
      </c>
      <c r="AO8" s="40" t="str">
        <f aca="false">INDEX({"CAQ","PLQ","QS","PQ","PCQ","Autre"},MATCH(MAX(Q8:V8),Q8:V8,0))</f>
        <v>PCQ</v>
      </c>
      <c r="AP8" s="40" t="str">
        <f aca="false">INDEX({"CAQ","PLQ","QS","PQ","PCQ","Autre"},MATCH(MAX(W8:AB8),W8:AB8,0))</f>
        <v>PCQ</v>
      </c>
      <c r="AQ8" s="40" t="str">
        <f aca="false">INDEX({"CAQ","PLQ","QS","PQ","PCQ","Autre"},MATCH(MAX(AC8:AH8),AC8:AH8,0))</f>
        <v>PCQ</v>
      </c>
      <c r="AR8" s="40" t="str">
        <f aca="false">INDEX({"CAQ","PLQ","QS","PQ","PCQ","Autre"},MATCH(MAX(AI8:AN8),AI8:AN8,0))</f>
        <v>PCQ</v>
      </c>
      <c r="AS8" s="41" t="n">
        <f aca="false">(MAX(K8:P8)-LARGE(K8:P8,2))*100</f>
        <v>0.601351552499185</v>
      </c>
      <c r="AT8" s="42" t="str">
        <f aca="false">IF(AS8&lt;5,"Oui","Non")</f>
        <v>Oui</v>
      </c>
      <c r="AU8" s="43" t="n">
        <v>-29.15</v>
      </c>
      <c r="AV8" s="43" t="n">
        <v>-0.052</v>
      </c>
      <c r="AW8" s="43" t="n">
        <v>-1.484</v>
      </c>
      <c r="AX8" s="43" t="n">
        <v>5.027</v>
      </c>
    </row>
    <row r="9" customFormat="false" ht="15" hidden="false" customHeight="true" outlineLevel="0" collapsed="false">
      <c r="A9" s="44" t="s">
        <v>78</v>
      </c>
      <c r="B9" s="44" t="s">
        <v>70</v>
      </c>
      <c r="C9" s="45" t="s">
        <v>3</v>
      </c>
      <c r="D9" s="46" t="n">
        <v>16615</v>
      </c>
      <c r="E9" s="46" t="n">
        <v>1057</v>
      </c>
      <c r="F9" s="46" t="n">
        <v>1623</v>
      </c>
      <c r="G9" s="46" t="n">
        <v>1505</v>
      </c>
      <c r="H9" s="46" t="n">
        <v>16187</v>
      </c>
      <c r="I9" s="46" t="n">
        <v>306</v>
      </c>
      <c r="J9" s="47" t="n">
        <f aca="false">SUM(D9:I9)</f>
        <v>37293</v>
      </c>
      <c r="K9" s="48" t="n">
        <f aca="false">IFERROR(D9/J9,0)</f>
        <v>0.445525970021184</v>
      </c>
      <c r="L9" s="48" t="n">
        <f aca="false">IFERROR(E9/J9,0)</f>
        <v>0.0283431206928914</v>
      </c>
      <c r="M9" s="48" t="n">
        <f aca="false">IFERROR(F9/J9,0)</f>
        <v>0.0435202316788674</v>
      </c>
      <c r="N9" s="48" t="n">
        <f aca="false">IFERROR(G9/J9,0)</f>
        <v>0.0403560989998123</v>
      </c>
      <c r="O9" s="48" t="n">
        <f aca="false">IFERROR(H9/J9,0)</f>
        <v>0.434049285388679</v>
      </c>
      <c r="P9" s="48" t="n">
        <f aca="false">IFERROR(I9/J9,0)</f>
        <v>0.00820529321856649</v>
      </c>
      <c r="Q9" s="47" t="n">
        <f aca="false">D9*INDEX(Régions!$T$2:$T$6,MATCH($B9,Régions!$A$2:$A$6,0))</f>
        <v>9814.76793248945</v>
      </c>
      <c r="R9" s="47" t="n">
        <f aca="false">E9*INDEX(Régions!$U$2:$U$6,MATCH($B9,Régions!$A$2:$A$6,0))</f>
        <v>2419.45636623748</v>
      </c>
      <c r="S9" s="47" t="n">
        <f aca="false">F9*INDEX(Régions!$V$2:$V$6,MATCH($B9,Régions!$A$2:$A$6,0))</f>
        <v>972.584269662921</v>
      </c>
      <c r="T9" s="47" t="n">
        <f aca="false">G9*INDEX(Régions!$W$2:$W$6,MATCH($B9,Régions!$A$2:$A$6,0))</f>
        <v>2630.80168776371</v>
      </c>
      <c r="U9" s="47" t="n">
        <f aca="false">H9*INDEX(Régions!$X$2:$X$6,MATCH($B9,Régions!$A$2:$A$6,0))</f>
        <v>18394.3181818182</v>
      </c>
      <c r="V9" s="47" t="n">
        <f aca="false">I9*INDEX(Régions!$Y$2:$Y$6,MATCH($B9,Régions!$A$2:$A$6,0))</f>
        <v>430.985915492958</v>
      </c>
      <c r="W9" s="47" t="n">
        <f aca="false">Q9+(AU9/100)*J9*Régions!$O$2</f>
        <v>5276.02336748945</v>
      </c>
      <c r="X9" s="47" t="n">
        <f aca="false">R9+(AV9/100)*J9*Régions!$O$2</f>
        <v>1446.48199623748</v>
      </c>
      <c r="Y9" s="47" t="n">
        <f aca="false">S9+(AW9/100)*J9*Régions!$O$2</f>
        <v>898.930594662921</v>
      </c>
      <c r="Z9" s="47" t="n">
        <f aca="false">T9+(AX9/100)*J9*Régions!$O$2</f>
        <v>3401.46153276371</v>
      </c>
      <c r="AA9" s="47" t="n">
        <f aca="false">U9</f>
        <v>18394.3181818182</v>
      </c>
      <c r="AB9" s="47" t="n">
        <f aca="false">V9</f>
        <v>430.985915492958</v>
      </c>
      <c r="AC9" s="47" t="n">
        <f aca="false">D9*INDEX(Régions!$Z$2:$Z$6,MATCH($B9,Régions!$A$2:$A$6,0))</f>
        <v>10971.5084388186</v>
      </c>
      <c r="AD9" s="47" t="n">
        <f aca="false">E9*INDEX(Régions!$AA$2:$AA$6,MATCH($B9,Régions!$A$2:$A$6,0))</f>
        <v>2918.46924177396</v>
      </c>
      <c r="AE9" s="47" t="n">
        <f aca="false">F9*INDEX(Régions!$AB$2:$AB$6,MATCH($B9,Régions!$A$2:$A$6,0))</f>
        <v>1373.77528089888</v>
      </c>
      <c r="AF9" s="47" t="n">
        <f aca="false">G9*INDEX(Régions!$AC$2:$AC$6,MATCH($B9,Régions!$A$2:$A$6,0))</f>
        <v>2930.16877637131</v>
      </c>
      <c r="AG9" s="47" t="n">
        <f aca="false">H9*INDEX(Régions!$AD$2:$AD$6,MATCH($B9,Régions!$A$2:$A$6,0))</f>
        <v>21964.9799465241</v>
      </c>
      <c r="AH9" s="47" t="n">
        <f aca="false">I9*INDEX(Régions!$AE$2:$AE$6,MATCH($B9,Régions!$A$2:$A$6,0))</f>
        <v>1853.23943661972</v>
      </c>
      <c r="AI9" s="47" t="n">
        <f aca="false">D9*INDEX(Régions!$AF$2:$AF$6,MATCH($B9,Régions!$A$2:$A$6,0))</f>
        <v>8658.02742616034</v>
      </c>
      <c r="AJ9" s="47" t="n">
        <f aca="false">E9*INDEX(Régions!$AG$2:$AG$6,MATCH($B9,Régions!$A$2:$A$6,0))</f>
        <v>1920.443490701</v>
      </c>
      <c r="AK9" s="47" t="n">
        <f aca="false">F9*INDEX(Régions!$AH$2:$AH$6,MATCH($B9,Régions!$A$2:$A$6,0))</f>
        <v>571.393258426966</v>
      </c>
      <c r="AL9" s="47" t="n">
        <f aca="false">G9*INDEX(Régions!$AI$2:$AI$6,MATCH($B9,Régions!$A$2:$A$6,0))</f>
        <v>2331.43459915612</v>
      </c>
      <c r="AM9" s="47" t="n">
        <f aca="false">H9*INDEX(Régions!$AJ$2:$AJ$6,MATCH($B9,Régions!$A$2:$A$6,0))</f>
        <v>14823.6564171123</v>
      </c>
      <c r="AN9" s="47" t="n">
        <f aca="false">I9*INDEX(Régions!$AK$2:$AK$6,MATCH($B9,Régions!$A$2:$A$6,0))</f>
        <v>0</v>
      </c>
      <c r="AO9" s="49" t="str">
        <f aca="false">INDEX({"CAQ","PLQ","QS","PQ","PCQ","Autre"},MATCH(MAX(Q9:V9),Q9:V9,0))</f>
        <v>PCQ</v>
      </c>
      <c r="AP9" s="49" t="str">
        <f aca="false">INDEX({"CAQ","PLQ","QS","PQ","PCQ","Autre"},MATCH(MAX(W9:AB9),W9:AB9,0))</f>
        <v>PCQ</v>
      </c>
      <c r="AQ9" s="49" t="str">
        <f aca="false">INDEX({"CAQ","PLQ","QS","PQ","PCQ","Autre"},MATCH(MAX(AC9:AH9),AC9:AH9,0))</f>
        <v>PCQ</v>
      </c>
      <c r="AR9" s="49" t="str">
        <f aca="false">INDEX({"CAQ","PLQ","QS","PQ","PCQ","Autre"},MATCH(MAX(AI9:AN9),AI9:AN9,0))</f>
        <v>PCQ</v>
      </c>
      <c r="AS9" s="50" t="n">
        <f aca="false">(MAX(K9:P9)-LARGE(K9:P9,2))*100</f>
        <v>1.14766846325048</v>
      </c>
      <c r="AT9" s="51" t="str">
        <f aca="false">IF(AS9&lt;5,"Oui","Non")</f>
        <v>Oui</v>
      </c>
      <c r="AU9" s="52" t="n">
        <v>-24.341</v>
      </c>
      <c r="AV9" s="52" t="n">
        <v>-5.218</v>
      </c>
      <c r="AW9" s="52" t="n">
        <v>-0.395</v>
      </c>
      <c r="AX9" s="52" t="n">
        <v>4.133</v>
      </c>
    </row>
    <row r="10" customFormat="false" ht="15" hidden="false" customHeight="true" outlineLevel="0" collapsed="false">
      <c r="A10" s="35" t="s">
        <v>79</v>
      </c>
      <c r="B10" s="35" t="s">
        <v>80</v>
      </c>
      <c r="C10" s="36" t="s">
        <v>3</v>
      </c>
      <c r="D10" s="37" t="n">
        <v>17882</v>
      </c>
      <c r="E10" s="37" t="n">
        <v>1940</v>
      </c>
      <c r="F10" s="37" t="n">
        <v>4299</v>
      </c>
      <c r="G10" s="37" t="n">
        <v>5640</v>
      </c>
      <c r="H10" s="37" t="n">
        <v>3112</v>
      </c>
      <c r="I10" s="37" t="n">
        <v>379</v>
      </c>
      <c r="J10" s="38" t="n">
        <f aca="false">SUM(D10:I10)</f>
        <v>33252</v>
      </c>
      <c r="K10" s="39" t="n">
        <f aca="false">IFERROR(D10/J10,0)</f>
        <v>0.537772164080356</v>
      </c>
      <c r="L10" s="39" t="n">
        <f aca="false">IFERROR(E10/J10,0)</f>
        <v>0.0583423553470468</v>
      </c>
      <c r="M10" s="39" t="n">
        <f aca="false">IFERROR(F10/J10,0)</f>
        <v>0.129285456513894</v>
      </c>
      <c r="N10" s="39" t="n">
        <f aca="false">IFERROR(G10/J10,0)</f>
        <v>0.169613857813064</v>
      </c>
      <c r="O10" s="39" t="n">
        <f aca="false">IFERROR(H10/J10,0)</f>
        <v>0.0935883555876338</v>
      </c>
      <c r="P10" s="39" t="n">
        <f aca="false">IFERROR(I10/J10,0)</f>
        <v>0.0113978106580055</v>
      </c>
      <c r="Q10" s="38" t="n">
        <f aca="false">D10*INDEX(Régions!$T$2:$T$6,MATCH($B10,Régions!$A$2:$A$6,0))</f>
        <v>12640.2474044621</v>
      </c>
      <c r="R10" s="38" t="n">
        <f aca="false">E10*INDEX(Régions!$U$2:$U$6,MATCH($B10,Régions!$A$2:$A$6,0))</f>
        <v>2478.35344215756</v>
      </c>
      <c r="S10" s="38" t="n">
        <f aca="false">F10*INDEX(Régions!$V$2:$V$6,MATCH($B10,Régions!$A$2:$A$6,0))</f>
        <v>2168.08357348703</v>
      </c>
      <c r="T10" s="38" t="n">
        <f aca="false">G10*INDEX(Régions!$W$2:$W$6,MATCH($B10,Régions!$A$2:$A$6,0))</f>
        <v>11102.3622047244</v>
      </c>
      <c r="U10" s="38" t="n">
        <f aca="false">H10*INDEX(Régions!$X$2:$X$6,MATCH($B10,Régions!$A$2:$A$6,0))</f>
        <v>3632.68482490272</v>
      </c>
      <c r="V10" s="38" t="n">
        <f aca="false">I10*INDEX(Régions!$Y$2:$Y$6,MATCH($B10,Régions!$A$2:$A$6,0))</f>
        <v>305.645161290323</v>
      </c>
      <c r="W10" s="38" t="n">
        <f aca="false">Q10+(AU10/100)*J10*Régions!$O$2</f>
        <v>13288.6614044621</v>
      </c>
      <c r="X10" s="38" t="n">
        <f aca="false">R10+(AV10/100)*J10*Régions!$O$2</f>
        <v>2480.01604215756</v>
      </c>
      <c r="Y10" s="38" t="n">
        <f aca="false">S10+(AW10/100)*J10*Régions!$O$2</f>
        <v>1932.32689348703</v>
      </c>
      <c r="Z10" s="38" t="n">
        <f aca="false">T10+(AX10/100)*J10*Régions!$O$2</f>
        <v>10790.1259247244</v>
      </c>
      <c r="AA10" s="38" t="n">
        <f aca="false">U10</f>
        <v>3632.68482490272</v>
      </c>
      <c r="AB10" s="38" t="n">
        <f aca="false">V10</f>
        <v>305.645161290323</v>
      </c>
      <c r="AC10" s="38" t="n">
        <f aca="false">D10*INDEX(Régions!$Z$2:$Z$6,MATCH($B10,Régions!$A$2:$A$6,0))</f>
        <v>13943.7729180473</v>
      </c>
      <c r="AD10" s="38" t="n">
        <f aca="false">E10*INDEX(Régions!$AA$2:$AA$6,MATCH($B10,Régions!$A$2:$A$6,0))</f>
        <v>2932.71823988644</v>
      </c>
      <c r="AE10" s="38" t="n">
        <f aca="false">F10*INDEX(Régions!$AB$2:$AB$6,MATCH($B10,Régions!$A$2:$A$6,0))</f>
        <v>3190.18011527378</v>
      </c>
      <c r="AF10" s="38" t="n">
        <f aca="false">G10*INDEX(Régions!$AC$2:$AC$6,MATCH($B10,Régions!$A$2:$A$6,0))</f>
        <v>12323.6220472441</v>
      </c>
      <c r="AG10" s="38" t="n">
        <f aca="false">H10*INDEX(Régions!$AD$2:$AD$6,MATCH($B10,Régions!$A$2:$A$6,0))</f>
        <v>4631.67315175097</v>
      </c>
      <c r="AH10" s="38" t="n">
        <f aca="false">I10*INDEX(Régions!$AE$2:$AE$6,MATCH($B10,Régions!$A$2:$A$6,0))</f>
        <v>1314.27419354839</v>
      </c>
      <c r="AI10" s="38" t="n">
        <f aca="false">D10*INDEX(Régions!$AF$2:$AF$6,MATCH($B10,Régions!$A$2:$A$6,0))</f>
        <v>11336.721890877</v>
      </c>
      <c r="AJ10" s="38" t="n">
        <f aca="false">E10*INDEX(Régions!$AG$2:$AG$6,MATCH($B10,Régions!$A$2:$A$6,0))</f>
        <v>2023.98864442867</v>
      </c>
      <c r="AK10" s="38" t="n">
        <f aca="false">F10*INDEX(Régions!$AH$2:$AH$6,MATCH($B10,Régions!$A$2:$A$6,0))</f>
        <v>1145.98703170029</v>
      </c>
      <c r="AL10" s="38" t="n">
        <f aca="false">G10*INDEX(Régions!$AI$2:$AI$6,MATCH($B10,Régions!$A$2:$A$6,0))</f>
        <v>9881.10236220473</v>
      </c>
      <c r="AM10" s="38" t="n">
        <f aca="false">H10*INDEX(Régions!$AJ$2:$AJ$6,MATCH($B10,Régions!$A$2:$A$6,0))</f>
        <v>2633.69649805448</v>
      </c>
      <c r="AN10" s="38" t="n">
        <f aca="false">I10*INDEX(Régions!$AK$2:$AK$6,MATCH($B10,Régions!$A$2:$A$6,0))</f>
        <v>0</v>
      </c>
      <c r="AO10" s="40" t="str">
        <f aca="false">INDEX({"CAQ","PLQ","QS","PQ","PCQ","Autre"},MATCH(MAX(Q10:V10),Q10:V10,0))</f>
        <v>CAQ</v>
      </c>
      <c r="AP10" s="40" t="str">
        <f aca="false">INDEX({"CAQ","PLQ","QS","PQ","PCQ","Autre"},MATCH(MAX(W10:AB10),W10:AB10,0))</f>
        <v>CAQ</v>
      </c>
      <c r="AQ10" s="40" t="str">
        <f aca="false">INDEX({"CAQ","PLQ","QS","PQ","PCQ","Autre"},MATCH(MAX(AC10:AH10),AC10:AH10,0))</f>
        <v>CAQ</v>
      </c>
      <c r="AR10" s="40" t="str">
        <f aca="false">INDEX({"CAQ","PLQ","QS","PQ","PCQ","Autre"},MATCH(MAX(AI10:AN10),AI10:AN10,0))</f>
        <v>CAQ</v>
      </c>
      <c r="AS10" s="41" t="n">
        <f aca="false">(MAX(K10:P10)-LARGE(K10:P10,2))*100</f>
        <v>36.8158306267292</v>
      </c>
      <c r="AT10" s="42" t="str">
        <f aca="false">IF(AS10&lt;5,"Oui","Non")</f>
        <v>Non</v>
      </c>
      <c r="AU10" s="43" t="n">
        <v>3.9</v>
      </c>
      <c r="AV10" s="43" t="n">
        <v>0.01</v>
      </c>
      <c r="AW10" s="43" t="n">
        <v>-1.418</v>
      </c>
      <c r="AX10" s="43" t="n">
        <v>-1.878</v>
      </c>
    </row>
    <row r="11" customFormat="false" ht="15" hidden="false" customHeight="true" outlineLevel="0" collapsed="false">
      <c r="A11" s="44" t="s">
        <v>81</v>
      </c>
      <c r="B11" s="44" t="s">
        <v>70</v>
      </c>
      <c r="C11" s="45" t="s">
        <v>3</v>
      </c>
      <c r="D11" s="46" t="n">
        <v>15065</v>
      </c>
      <c r="E11" s="46" t="n">
        <v>1360</v>
      </c>
      <c r="F11" s="46" t="n">
        <v>1988</v>
      </c>
      <c r="G11" s="46" t="n">
        <v>2908</v>
      </c>
      <c r="H11" s="46" t="n">
        <v>11612</v>
      </c>
      <c r="I11" s="46" t="n">
        <v>0</v>
      </c>
      <c r="J11" s="47" t="n">
        <f aca="false">SUM(D11:I11)</f>
        <v>32933</v>
      </c>
      <c r="K11" s="48" t="n">
        <f aca="false">IFERROR(D11/J11,0)</f>
        <v>0.457443901254061</v>
      </c>
      <c r="L11" s="48" t="n">
        <f aca="false">IFERROR(E11/J11,0)</f>
        <v>0.041295964534054</v>
      </c>
      <c r="M11" s="48" t="n">
        <f aca="false">IFERROR(F11/J11,0)</f>
        <v>0.0603649834512495</v>
      </c>
      <c r="N11" s="48" t="n">
        <f aca="false">IFERROR(G11/J11,0)</f>
        <v>0.0883004888713449</v>
      </c>
      <c r="O11" s="48" t="n">
        <f aca="false">IFERROR(H11/J11,0)</f>
        <v>0.35259466188929</v>
      </c>
      <c r="P11" s="48" t="n">
        <f aca="false">IFERROR(I11/J11,0)</f>
        <v>0</v>
      </c>
      <c r="Q11" s="47" t="n">
        <f aca="false">D11*INDEX(Régions!$T$2:$T$6,MATCH($B11,Régions!$A$2:$A$6,0))</f>
        <v>8899.15611814346</v>
      </c>
      <c r="R11" s="47" t="n">
        <f aca="false">E11*INDEX(Régions!$U$2:$U$6,MATCH($B11,Régions!$A$2:$A$6,0))</f>
        <v>3113.01859799714</v>
      </c>
      <c r="S11" s="47" t="n">
        <f aca="false">F11*INDEX(Régions!$V$2:$V$6,MATCH($B11,Régions!$A$2:$A$6,0))</f>
        <v>1191.31086142322</v>
      </c>
      <c r="T11" s="47" t="n">
        <f aca="false">G11*INDEX(Régions!$W$2:$W$6,MATCH($B11,Régions!$A$2:$A$6,0))</f>
        <v>5083.3031946956</v>
      </c>
      <c r="U11" s="47" t="n">
        <f aca="false">H11*INDEX(Régions!$X$2:$X$6,MATCH($B11,Régions!$A$2:$A$6,0))</f>
        <v>13195.4545454545</v>
      </c>
      <c r="V11" s="47" t="n">
        <f aca="false">I11*INDEX(Régions!$Y$2:$Y$6,MATCH($B11,Régions!$A$2:$A$6,0))</f>
        <v>0</v>
      </c>
      <c r="W11" s="47" t="n">
        <f aca="false">Q11+(AU11/100)*J11*Régions!$O$2</f>
        <v>6541.48264814346</v>
      </c>
      <c r="X11" s="47" t="n">
        <f aca="false">R11+(AV11/100)*J11*Régions!$O$2</f>
        <v>1424.70835299714</v>
      </c>
      <c r="Y11" s="47" t="n">
        <f aca="false">S11+(AW11/100)*J11*Régions!$O$2</f>
        <v>1121.32823642322</v>
      </c>
      <c r="Z11" s="47" t="n">
        <f aca="false">T11+(AX11/100)*J11*Régions!$O$2</f>
        <v>6035.2315596956</v>
      </c>
      <c r="AA11" s="47" t="n">
        <f aca="false">U11</f>
        <v>13195.4545454545</v>
      </c>
      <c r="AB11" s="47" t="n">
        <f aca="false">V11</f>
        <v>0</v>
      </c>
      <c r="AC11" s="47" t="n">
        <f aca="false">D11*INDEX(Régions!$Z$2:$Z$6,MATCH($B11,Régions!$A$2:$A$6,0))</f>
        <v>9947.98523206751</v>
      </c>
      <c r="AD11" s="47" t="n">
        <f aca="false">E11*INDEX(Régions!$AA$2:$AA$6,MATCH($B11,Régions!$A$2:$A$6,0))</f>
        <v>3755.07868383405</v>
      </c>
      <c r="AE11" s="47" t="n">
        <f aca="false">F11*INDEX(Régions!$AB$2:$AB$6,MATCH($B11,Régions!$A$2:$A$6,0))</f>
        <v>1682.7265917603</v>
      </c>
      <c r="AF11" s="47" t="n">
        <f aca="false">G11*INDEX(Régions!$AC$2:$AC$6,MATCH($B11,Régions!$A$2:$A$6,0))</f>
        <v>5661.74804098855</v>
      </c>
      <c r="AG11" s="47" t="n">
        <f aca="false">H11*INDEX(Régions!$AD$2:$AD$6,MATCH($B11,Régions!$A$2:$A$6,0))</f>
        <v>15756.9251336898</v>
      </c>
      <c r="AH11" s="47" t="n">
        <f aca="false">I11*INDEX(Régions!$AE$2:$AE$6,MATCH($B11,Régions!$A$2:$A$6,0))</f>
        <v>0</v>
      </c>
      <c r="AI11" s="47" t="n">
        <f aca="false">D11*INDEX(Régions!$AF$2:$AF$6,MATCH($B11,Régions!$A$2:$A$6,0))</f>
        <v>7850.32700421941</v>
      </c>
      <c r="AJ11" s="47" t="n">
        <f aca="false">E11*INDEX(Régions!$AG$2:$AG$6,MATCH($B11,Régions!$A$2:$A$6,0))</f>
        <v>2470.95851216023</v>
      </c>
      <c r="AK11" s="47" t="n">
        <f aca="false">F11*INDEX(Régions!$AH$2:$AH$6,MATCH($B11,Régions!$A$2:$A$6,0))</f>
        <v>699.895131086142</v>
      </c>
      <c r="AL11" s="47" t="n">
        <f aca="false">G11*INDEX(Régions!$AI$2:$AI$6,MATCH($B11,Régions!$A$2:$A$6,0))</f>
        <v>4504.85834840265</v>
      </c>
      <c r="AM11" s="47" t="n">
        <f aca="false">H11*INDEX(Régions!$AJ$2:$AJ$6,MATCH($B11,Régions!$A$2:$A$6,0))</f>
        <v>10633.9839572193</v>
      </c>
      <c r="AN11" s="47" t="n">
        <f aca="false">I11*INDEX(Régions!$AK$2:$AK$6,MATCH($B11,Régions!$A$2:$A$6,0))</f>
        <v>0</v>
      </c>
      <c r="AO11" s="49" t="str">
        <f aca="false">INDEX({"CAQ","PLQ","QS","PQ","PCQ","Autre"},MATCH(MAX(Q11:V11),Q11:V11,0))</f>
        <v>PCQ</v>
      </c>
      <c r="AP11" s="49" t="str">
        <f aca="false">INDEX({"CAQ","PLQ","QS","PQ","PCQ","Autre"},MATCH(MAX(W11:AB11),W11:AB11,0))</f>
        <v>PCQ</v>
      </c>
      <c r="AQ11" s="49" t="str">
        <f aca="false">INDEX({"CAQ","PLQ","QS","PQ","PCQ","Autre"},MATCH(MAX(AC11:AH11),AC11:AH11,0))</f>
        <v>PCQ</v>
      </c>
      <c r="AR11" s="49" t="str">
        <f aca="false">INDEX({"CAQ","PLQ","QS","PQ","PCQ","Autre"},MATCH(MAX(AI11:AN11),AI11:AN11,0))</f>
        <v>PCQ</v>
      </c>
      <c r="AS11" s="50" t="n">
        <f aca="false">(MAX(K11:P11)-LARGE(K11:P11,2))*100</f>
        <v>10.4849239364771</v>
      </c>
      <c r="AT11" s="51" t="str">
        <f aca="false">IF(AS11&lt;5,"Oui","Non")</f>
        <v>Non</v>
      </c>
      <c r="AU11" s="52" t="n">
        <v>-14.318</v>
      </c>
      <c r="AV11" s="52" t="n">
        <v>-10.253</v>
      </c>
      <c r="AW11" s="52" t="n">
        <v>-0.425</v>
      </c>
      <c r="AX11" s="52" t="n">
        <v>5.781</v>
      </c>
    </row>
    <row r="12" customFormat="false" ht="15" hidden="false" customHeight="true" outlineLevel="0" collapsed="false">
      <c r="A12" s="35" t="s">
        <v>82</v>
      </c>
      <c r="B12" s="35" t="s">
        <v>70</v>
      </c>
      <c r="C12" s="36" t="s">
        <v>3</v>
      </c>
      <c r="D12" s="37" t="n">
        <v>21256</v>
      </c>
      <c r="E12" s="37" t="n">
        <v>1064</v>
      </c>
      <c r="F12" s="37" t="n">
        <v>5877</v>
      </c>
      <c r="G12" s="37" t="n">
        <v>8682</v>
      </c>
      <c r="H12" s="37" t="n">
        <v>4585</v>
      </c>
      <c r="I12" s="37" t="n">
        <v>242</v>
      </c>
      <c r="J12" s="38" t="n">
        <f aca="false">SUM(D12:I12)</f>
        <v>41706</v>
      </c>
      <c r="K12" s="39" t="n">
        <f aca="false">IFERROR(D12/J12,0)</f>
        <v>0.509662878242939</v>
      </c>
      <c r="L12" s="39" t="n">
        <f aca="false">IFERROR(E12/J12,0)</f>
        <v>0.0255119167505874</v>
      </c>
      <c r="M12" s="39" t="n">
        <f aca="false">IFERROR(F12/J12,0)</f>
        <v>0.140914976262408</v>
      </c>
      <c r="N12" s="39" t="n">
        <f aca="false">IFERROR(G12/J12,0)</f>
        <v>0.208171486117105</v>
      </c>
      <c r="O12" s="39" t="n">
        <f aca="false">IFERROR(H12/J12,0)</f>
        <v>0.109936220208124</v>
      </c>
      <c r="P12" s="39" t="n">
        <f aca="false">IFERROR(I12/J12,0)</f>
        <v>0.00580252241883662</v>
      </c>
      <c r="Q12" s="38" t="n">
        <f aca="false">D12*INDEX(Régions!$T$2:$T$6,MATCH($B12,Régions!$A$2:$A$6,0))</f>
        <v>12556.2869198312</v>
      </c>
      <c r="R12" s="38" t="n">
        <f aca="false">E12*INDEX(Régions!$U$2:$U$6,MATCH($B12,Régions!$A$2:$A$6,0))</f>
        <v>2435.47925608011</v>
      </c>
      <c r="S12" s="38" t="n">
        <f aca="false">F12*INDEX(Régions!$V$2:$V$6,MATCH($B12,Régions!$A$2:$A$6,0))</f>
        <v>3521.79775280899</v>
      </c>
      <c r="T12" s="38" t="n">
        <f aca="false">G12*INDEX(Régions!$W$2:$W$6,MATCH($B12,Régions!$A$2:$A$6,0))</f>
        <v>15176.4918625678</v>
      </c>
      <c r="U12" s="38" t="n">
        <f aca="false">H12*INDEX(Régions!$X$2:$X$6,MATCH($B12,Régions!$A$2:$A$6,0))</f>
        <v>5210.22727272727</v>
      </c>
      <c r="V12" s="38" t="n">
        <f aca="false">I12*INDEX(Régions!$Y$2:$Y$6,MATCH($B12,Régions!$A$2:$A$6,0))</f>
        <v>340.845070422535</v>
      </c>
      <c r="W12" s="38" t="n">
        <f aca="false">Q12+(AU12/100)*J12*Régions!$O$2</f>
        <v>12477.2540498312</v>
      </c>
      <c r="X12" s="38" t="n">
        <f aca="false">R12+(AV12/100)*J12*Régions!$O$2</f>
        <v>4040.74319608011</v>
      </c>
      <c r="Y12" s="38" t="n">
        <f aca="false">S12+(AW12/100)*J12*Régions!$O$2</f>
        <v>3461.11552280899</v>
      </c>
      <c r="Z12" s="38" t="n">
        <f aca="false">T12+(AX12/100)*J12*Régions!$O$2</f>
        <v>14363.8504525678</v>
      </c>
      <c r="AA12" s="38" t="n">
        <f aca="false">U12</f>
        <v>5210.22727272727</v>
      </c>
      <c r="AB12" s="38" t="n">
        <f aca="false">V12</f>
        <v>340.845070422535</v>
      </c>
      <c r="AC12" s="38" t="n">
        <f aca="false">D12*INDEX(Régions!$Z$2:$Z$6,MATCH($B12,Régions!$A$2:$A$6,0))</f>
        <v>14036.135021097</v>
      </c>
      <c r="AD12" s="38" t="n">
        <f aca="false">E12*INDEX(Régions!$AA$2:$AA$6,MATCH($B12,Régions!$A$2:$A$6,0))</f>
        <v>2937.79685264664</v>
      </c>
      <c r="AE12" s="38" t="n">
        <f aca="false">F12*INDEX(Régions!$AB$2:$AB$6,MATCH($B12,Régions!$A$2:$A$6,0))</f>
        <v>4974.5393258427</v>
      </c>
      <c r="AF12" s="38" t="n">
        <f aca="false">G12*INDEX(Régions!$AC$2:$AC$6,MATCH($B12,Régions!$A$2:$A$6,0))</f>
        <v>16903.4719710669</v>
      </c>
      <c r="AG12" s="38" t="n">
        <f aca="false">H12*INDEX(Régions!$AD$2:$AD$6,MATCH($B12,Régions!$A$2:$A$6,0))</f>
        <v>6221.6243315508</v>
      </c>
      <c r="AH12" s="38" t="n">
        <f aca="false">I12*INDEX(Régions!$AE$2:$AE$6,MATCH($B12,Régions!$A$2:$A$6,0))</f>
        <v>1465.6338028169</v>
      </c>
      <c r="AI12" s="38" t="n">
        <f aca="false">D12*INDEX(Régions!$AF$2:$AF$6,MATCH($B12,Régions!$A$2:$A$6,0))</f>
        <v>11076.4388185654</v>
      </c>
      <c r="AJ12" s="38" t="n">
        <f aca="false">E12*INDEX(Régions!$AG$2:$AG$6,MATCH($B12,Régions!$A$2:$A$6,0))</f>
        <v>1933.16165951359</v>
      </c>
      <c r="AK12" s="38" t="n">
        <f aca="false">F12*INDEX(Régions!$AH$2:$AH$6,MATCH($B12,Régions!$A$2:$A$6,0))</f>
        <v>2069.05617977528</v>
      </c>
      <c r="AL12" s="38" t="n">
        <f aca="false">G12*INDEX(Régions!$AI$2:$AI$6,MATCH($B12,Régions!$A$2:$A$6,0))</f>
        <v>13449.5117540687</v>
      </c>
      <c r="AM12" s="38" t="n">
        <f aca="false">H12*INDEX(Régions!$AJ$2:$AJ$6,MATCH($B12,Régions!$A$2:$A$6,0))</f>
        <v>4198.83021390374</v>
      </c>
      <c r="AN12" s="38" t="n">
        <f aca="false">I12*INDEX(Régions!$AK$2:$AK$6,MATCH($B12,Régions!$A$2:$A$6,0))</f>
        <v>0</v>
      </c>
      <c r="AO12" s="40" t="str">
        <f aca="false">INDEX({"CAQ","PLQ","QS","PQ","PCQ","Autre"},MATCH(MAX(Q12:V12),Q12:V12,0))</f>
        <v>PQ</v>
      </c>
      <c r="AP12" s="40" t="str">
        <f aca="false">INDEX({"CAQ","PLQ","QS","PQ","PCQ","Autre"},MATCH(MAX(W12:AB12),W12:AB12,0))</f>
        <v>PQ</v>
      </c>
      <c r="AQ12" s="40" t="str">
        <f aca="false">INDEX({"CAQ","PLQ","QS","PQ","PCQ","Autre"},MATCH(MAX(AC12:AH12),AC12:AH12,0))</f>
        <v>PQ</v>
      </c>
      <c r="AR12" s="40" t="str">
        <f aca="false">INDEX({"CAQ","PLQ","QS","PQ","PCQ","Autre"},MATCH(MAX(AI12:AN12),AI12:AN12,0))</f>
        <v>PQ</v>
      </c>
      <c r="AS12" s="41" t="n">
        <f aca="false">(MAX(K12:P12)-LARGE(K12:P12,2))*100</f>
        <v>30.1491392125833</v>
      </c>
      <c r="AT12" s="42" t="str">
        <f aca="false">IF(AS12&lt;5,"Oui","Non")</f>
        <v>Non</v>
      </c>
      <c r="AU12" s="43" t="n">
        <v>-0.379</v>
      </c>
      <c r="AV12" s="43" t="n">
        <v>7.698</v>
      </c>
      <c r="AW12" s="43" t="n">
        <v>-0.291</v>
      </c>
      <c r="AX12" s="43" t="n">
        <v>-3.897</v>
      </c>
    </row>
    <row r="13" customFormat="false" ht="15" hidden="false" customHeight="true" outlineLevel="0" collapsed="false">
      <c r="A13" s="44" t="s">
        <v>83</v>
      </c>
      <c r="B13" s="44" t="s">
        <v>80</v>
      </c>
      <c r="C13" s="45" t="s">
        <v>3</v>
      </c>
      <c r="D13" s="46" t="n">
        <v>15927</v>
      </c>
      <c r="E13" s="46" t="n">
        <v>2115</v>
      </c>
      <c r="F13" s="46" t="n">
        <v>5682</v>
      </c>
      <c r="G13" s="46" t="n">
        <v>7259</v>
      </c>
      <c r="H13" s="46" t="n">
        <v>3444</v>
      </c>
      <c r="I13" s="46" t="n">
        <v>761</v>
      </c>
      <c r="J13" s="47" t="n">
        <f aca="false">SUM(D13:I13)</f>
        <v>35188</v>
      </c>
      <c r="K13" s="48" t="n">
        <f aca="false">IFERROR(D13/J13,0)</f>
        <v>0.452625895191543</v>
      </c>
      <c r="L13" s="48" t="n">
        <f aca="false">IFERROR(E13/J13,0)</f>
        <v>0.0601057178583608</v>
      </c>
      <c r="M13" s="48" t="n">
        <f aca="false">IFERROR(F13/J13,0)</f>
        <v>0.161475503012391</v>
      </c>
      <c r="N13" s="48" t="n">
        <f aca="false">IFERROR(G13/J13,0)</f>
        <v>0.206291917699216</v>
      </c>
      <c r="O13" s="48" t="n">
        <f aca="false">IFERROR(H13/J13,0)</f>
        <v>0.0978742753211322</v>
      </c>
      <c r="P13" s="48" t="n">
        <f aca="false">IFERROR(I13/J13,0)</f>
        <v>0.0216266909173582</v>
      </c>
      <c r="Q13" s="47" t="n">
        <f aca="false">D13*INDEX(Régions!$T$2:$T$6,MATCH($B13,Régions!$A$2:$A$6,0))</f>
        <v>11258.3167660702</v>
      </c>
      <c r="R13" s="47" t="n">
        <f aca="false">E13*INDEX(Régions!$U$2:$U$6,MATCH($B13,Régions!$A$2:$A$6,0))</f>
        <v>2701.91625266146</v>
      </c>
      <c r="S13" s="47" t="n">
        <f aca="false">F13*INDEX(Régions!$V$2:$V$6,MATCH($B13,Régions!$A$2:$A$6,0))</f>
        <v>2865.56195965418</v>
      </c>
      <c r="T13" s="47" t="n">
        <f aca="false">G13*INDEX(Régions!$W$2:$W$6,MATCH($B13,Régions!$A$2:$A$6,0))</f>
        <v>14289.3700787402</v>
      </c>
      <c r="U13" s="47" t="n">
        <f aca="false">H13*INDEX(Régions!$X$2:$X$6,MATCH($B13,Régions!$A$2:$A$6,0))</f>
        <v>4020.23346303502</v>
      </c>
      <c r="V13" s="47" t="n">
        <f aca="false">I13*INDEX(Régions!$Y$2:$Y$6,MATCH($B13,Régions!$A$2:$A$6,0))</f>
        <v>613.709677419355</v>
      </c>
      <c r="W13" s="47" t="n">
        <f aca="false">Q13+(AU13/100)*J13*Régions!$O$2</f>
        <v>11354.2040660702</v>
      </c>
      <c r="X13" s="47" t="n">
        <f aca="false">R13+(AV13/100)*J13*Régions!$O$2</f>
        <v>2615.00189266146</v>
      </c>
      <c r="Y13" s="47" t="n">
        <f aca="false">S13+(AW13/100)*J13*Régions!$O$2</f>
        <v>2642.64597965418</v>
      </c>
      <c r="Z13" s="47" t="n">
        <f aca="false">T13+(AX13/100)*J13*Régions!$O$2</f>
        <v>14330.5400387402</v>
      </c>
      <c r="AA13" s="47" t="n">
        <f aca="false">U13</f>
        <v>4020.23346303502</v>
      </c>
      <c r="AB13" s="47" t="n">
        <f aca="false">V13</f>
        <v>613.709677419355</v>
      </c>
      <c r="AC13" s="47" t="n">
        <f aca="false">D13*INDEX(Régions!$Z$2:$Z$6,MATCH($B13,Régions!$A$2:$A$6,0))</f>
        <v>12419.3306825712</v>
      </c>
      <c r="AD13" s="47" t="n">
        <f aca="false">E13*INDEX(Régions!$AA$2:$AA$6,MATCH($B13,Régions!$A$2:$A$6,0))</f>
        <v>3197.2675656494</v>
      </c>
      <c r="AE13" s="47" t="n">
        <f aca="false">F13*INDEX(Régions!$AB$2:$AB$6,MATCH($B13,Régions!$A$2:$A$6,0))</f>
        <v>4216.46974063401</v>
      </c>
      <c r="AF13" s="47" t="n">
        <f aca="false">G13*INDEX(Régions!$AC$2:$AC$6,MATCH($B13,Régions!$A$2:$A$6,0))</f>
        <v>15861.2007874016</v>
      </c>
      <c r="AG13" s="47" t="n">
        <f aca="false">H13*INDEX(Régions!$AD$2:$AD$6,MATCH($B13,Régions!$A$2:$A$6,0))</f>
        <v>5125.79766536965</v>
      </c>
      <c r="AH13" s="47" t="n">
        <f aca="false">I13*INDEX(Régions!$AE$2:$AE$6,MATCH($B13,Régions!$A$2:$A$6,0))</f>
        <v>2638.95161290323</v>
      </c>
      <c r="AI13" s="47" t="n">
        <f aca="false">D13*INDEX(Régions!$AF$2:$AF$6,MATCH($B13,Régions!$A$2:$A$6,0))</f>
        <v>10097.3028495693</v>
      </c>
      <c r="AJ13" s="47" t="n">
        <f aca="false">E13*INDEX(Régions!$AG$2:$AG$6,MATCH($B13,Régions!$A$2:$A$6,0))</f>
        <v>2206.56493967353</v>
      </c>
      <c r="AK13" s="47" t="n">
        <f aca="false">F13*INDEX(Régions!$AH$2:$AH$6,MATCH($B13,Régions!$A$2:$A$6,0))</f>
        <v>1514.65417867435</v>
      </c>
      <c r="AL13" s="47" t="n">
        <f aca="false">G13*INDEX(Régions!$AI$2:$AI$6,MATCH($B13,Régions!$A$2:$A$6,0))</f>
        <v>12717.5393700787</v>
      </c>
      <c r="AM13" s="47" t="n">
        <f aca="false">H13*INDEX(Régions!$AJ$2:$AJ$6,MATCH($B13,Régions!$A$2:$A$6,0))</f>
        <v>2914.66926070039</v>
      </c>
      <c r="AN13" s="47" t="n">
        <f aca="false">I13*INDEX(Régions!$AK$2:$AK$6,MATCH($B13,Régions!$A$2:$A$6,0))</f>
        <v>0</v>
      </c>
      <c r="AO13" s="49" t="str">
        <f aca="false">INDEX({"CAQ","PLQ","QS","PQ","PCQ","Autre"},MATCH(MAX(Q13:V13),Q13:V13,0))</f>
        <v>PQ</v>
      </c>
      <c r="AP13" s="49" t="str">
        <f aca="false">INDEX({"CAQ","PLQ","QS","PQ","PCQ","Autre"},MATCH(MAX(W13:AB13),W13:AB13,0))</f>
        <v>PQ</v>
      </c>
      <c r="AQ13" s="49" t="str">
        <f aca="false">INDEX({"CAQ","PLQ","QS","PQ","PCQ","Autre"},MATCH(MAX(AC13:AH13),AC13:AH13,0))</f>
        <v>PQ</v>
      </c>
      <c r="AR13" s="49" t="str">
        <f aca="false">INDEX({"CAQ","PLQ","QS","PQ","PCQ","Autre"},MATCH(MAX(AI13:AN13),AI13:AN13,0))</f>
        <v>PQ</v>
      </c>
      <c r="AS13" s="50" t="n">
        <f aca="false">(MAX(K13:P13)-LARGE(K13:P13,2))*100</f>
        <v>24.6333977492327</v>
      </c>
      <c r="AT13" s="51" t="str">
        <f aca="false">IF(AS13&lt;5,"Oui","Non")</f>
        <v>Non</v>
      </c>
      <c r="AU13" s="52" t="n">
        <v>0.545</v>
      </c>
      <c r="AV13" s="52" t="n">
        <v>-0.494</v>
      </c>
      <c r="AW13" s="52" t="n">
        <v>-1.267</v>
      </c>
      <c r="AX13" s="52" t="n">
        <v>0.234</v>
      </c>
    </row>
    <row r="14" customFormat="false" ht="15" hidden="false" customHeight="true" outlineLevel="0" collapsed="false">
      <c r="A14" s="35" t="s">
        <v>84</v>
      </c>
      <c r="B14" s="35" t="s">
        <v>80</v>
      </c>
      <c r="C14" s="36" t="s">
        <v>3</v>
      </c>
      <c r="D14" s="37" t="n">
        <v>21149</v>
      </c>
      <c r="E14" s="37" t="n">
        <v>4718</v>
      </c>
      <c r="F14" s="37" t="n">
        <v>5987</v>
      </c>
      <c r="G14" s="37" t="n">
        <v>6600</v>
      </c>
      <c r="H14" s="37" t="n">
        <v>4175</v>
      </c>
      <c r="I14" s="37" t="n">
        <v>140</v>
      </c>
      <c r="J14" s="38" t="n">
        <f aca="false">SUM(D14:I14)</f>
        <v>42769</v>
      </c>
      <c r="K14" s="39" t="n">
        <f aca="false">IFERROR(D14/J14,0)</f>
        <v>0.494493675325586</v>
      </c>
      <c r="L14" s="39" t="n">
        <f aca="false">IFERROR(E14/J14,0)</f>
        <v>0.110313544857256</v>
      </c>
      <c r="M14" s="39" t="n">
        <f aca="false">IFERROR(F14/J14,0)</f>
        <v>0.139984568262059</v>
      </c>
      <c r="N14" s="39" t="n">
        <f aca="false">IFERROR(G14/J14,0)</f>
        <v>0.154317379410321</v>
      </c>
      <c r="O14" s="39" t="n">
        <f aca="false">IFERROR(H14/J14,0)</f>
        <v>0.0976174331875891</v>
      </c>
      <c r="P14" s="39" t="n">
        <f aca="false">IFERROR(I14/J14,0)</f>
        <v>0.00327339895718862</v>
      </c>
      <c r="Q14" s="38" t="n">
        <f aca="false">D14*INDEX(Régions!$T$2:$T$6,MATCH($B14,Régions!$A$2:$A$6,0))</f>
        <v>14949.5913408438</v>
      </c>
      <c r="R14" s="38" t="n">
        <f aca="false">E14*INDEX(Régions!$U$2:$U$6,MATCH($B14,Régions!$A$2:$A$6,0))</f>
        <v>6027.25337118524</v>
      </c>
      <c r="S14" s="38" t="n">
        <f aca="false">F14*INDEX(Régions!$V$2:$V$6,MATCH($B14,Régions!$A$2:$A$6,0))</f>
        <v>3019.38040345821</v>
      </c>
      <c r="T14" s="38" t="n">
        <f aca="false">G14*INDEX(Régions!$W$2:$W$6,MATCH($B14,Régions!$A$2:$A$6,0))</f>
        <v>12992.125984252</v>
      </c>
      <c r="U14" s="38" t="n">
        <f aca="false">H14*INDEX(Régions!$X$2:$X$6,MATCH($B14,Régions!$A$2:$A$6,0))</f>
        <v>4873.54085603113</v>
      </c>
      <c r="V14" s="38" t="n">
        <f aca="false">I14*INDEX(Régions!$Y$2:$Y$6,MATCH($B14,Régions!$A$2:$A$6,0))</f>
        <v>112.903225806452</v>
      </c>
      <c r="W14" s="38" t="n">
        <f aca="false">Q14+(AU14/100)*J14*Régions!$O$2</f>
        <v>14522.5428758438</v>
      </c>
      <c r="X14" s="38" t="n">
        <f aca="false">R14+(AV14/100)*J14*Régions!$O$2</f>
        <v>5781.33162118524</v>
      </c>
      <c r="Y14" s="38" t="n">
        <f aca="false">S14+(AW14/100)*J14*Régions!$O$2</f>
        <v>2929.35165845821</v>
      </c>
      <c r="Z14" s="38" t="n">
        <f aca="false">T14+(AX14/100)*J14*Régions!$O$2</f>
        <v>14038.897259252</v>
      </c>
      <c r="AA14" s="38" t="n">
        <f aca="false">U14</f>
        <v>4873.54085603113</v>
      </c>
      <c r="AB14" s="38" t="n">
        <f aca="false">V14</f>
        <v>112.903225806452</v>
      </c>
      <c r="AC14" s="38" t="n">
        <f aca="false">D14*INDEX(Régions!$Z$2:$Z$6,MATCH($B14,Régions!$A$2:$A$6,0))</f>
        <v>16491.2679478683</v>
      </c>
      <c r="AD14" s="38" t="n">
        <f aca="false">E14*INDEX(Régions!$AA$2:$AA$6,MATCH($B14,Régions!$A$2:$A$6,0))</f>
        <v>7132.2498225692</v>
      </c>
      <c r="AE14" s="38" t="n">
        <f aca="false">F14*INDEX(Régions!$AB$2:$AB$6,MATCH($B14,Régions!$A$2:$A$6,0))</f>
        <v>4442.80259365994</v>
      </c>
      <c r="AF14" s="38" t="n">
        <f aca="false">G14*INDEX(Régions!$AC$2:$AC$6,MATCH($B14,Régions!$A$2:$A$6,0))</f>
        <v>14421.2598425197</v>
      </c>
      <c r="AG14" s="38" t="n">
        <f aca="false">H14*INDEX(Régions!$AD$2:$AD$6,MATCH($B14,Régions!$A$2:$A$6,0))</f>
        <v>6213.76459143969</v>
      </c>
      <c r="AH14" s="38" t="n">
        <f aca="false">I14*INDEX(Régions!$AE$2:$AE$6,MATCH($B14,Régions!$A$2:$A$6,0))</f>
        <v>485.483870967742</v>
      </c>
      <c r="AI14" s="38" t="n">
        <f aca="false">D14*INDEX(Régions!$AF$2:$AF$6,MATCH($B14,Régions!$A$2:$A$6,0))</f>
        <v>13407.9147338193</v>
      </c>
      <c r="AJ14" s="38" t="n">
        <f aca="false">E14*INDEX(Régions!$AG$2:$AG$6,MATCH($B14,Régions!$A$2:$A$6,0))</f>
        <v>4922.25691980128</v>
      </c>
      <c r="AK14" s="38" t="n">
        <f aca="false">F14*INDEX(Régions!$AH$2:$AH$6,MATCH($B14,Régions!$A$2:$A$6,0))</f>
        <v>1595.95821325648</v>
      </c>
      <c r="AL14" s="38" t="n">
        <f aca="false">G14*INDEX(Régions!$AI$2:$AI$6,MATCH($B14,Régions!$A$2:$A$6,0))</f>
        <v>11562.9921259843</v>
      </c>
      <c r="AM14" s="38" t="n">
        <f aca="false">H14*INDEX(Régions!$AJ$2:$AJ$6,MATCH($B14,Régions!$A$2:$A$6,0))</f>
        <v>3533.31712062257</v>
      </c>
      <c r="AN14" s="38" t="n">
        <f aca="false">I14*INDEX(Régions!$AK$2:$AK$6,MATCH($B14,Régions!$A$2:$A$6,0))</f>
        <v>0</v>
      </c>
      <c r="AO14" s="40" t="str">
        <f aca="false">INDEX({"CAQ","PLQ","QS","PQ","PCQ","Autre"},MATCH(MAX(Q14:V14),Q14:V14,0))</f>
        <v>CAQ</v>
      </c>
      <c r="AP14" s="40" t="str">
        <f aca="false">INDEX({"CAQ","PLQ","QS","PQ","PCQ","Autre"},MATCH(MAX(W14:AB14),W14:AB14,0))</f>
        <v>CAQ</v>
      </c>
      <c r="AQ14" s="40" t="str">
        <f aca="false">INDEX({"CAQ","PLQ","QS","PQ","PCQ","Autre"},MATCH(MAX(AC14:AH14),AC14:AH14,0))</f>
        <v>CAQ</v>
      </c>
      <c r="AR14" s="40" t="str">
        <f aca="false">INDEX({"CAQ","PLQ","QS","PQ","PCQ","Autre"},MATCH(MAX(AI14:AN14),AI14:AN14,0))</f>
        <v>CAQ</v>
      </c>
      <c r="AS14" s="41" t="n">
        <f aca="false">(MAX(K14:P14)-LARGE(K14:P14,2))*100</f>
        <v>34.0176295915266</v>
      </c>
      <c r="AT14" s="42" t="str">
        <f aca="false">IF(AS14&lt;5,"Oui","Non")</f>
        <v>Non</v>
      </c>
      <c r="AU14" s="43" t="n">
        <v>-1.997</v>
      </c>
      <c r="AV14" s="43" t="n">
        <v>-1.15</v>
      </c>
      <c r="AW14" s="43" t="n">
        <v>-0.421</v>
      </c>
      <c r="AX14" s="43" t="n">
        <v>4.895</v>
      </c>
    </row>
    <row r="15" customFormat="false" ht="15" hidden="false" customHeight="true" outlineLevel="0" collapsed="false">
      <c r="A15" s="44" t="s">
        <v>85</v>
      </c>
      <c r="B15" s="44" t="s">
        <v>70</v>
      </c>
      <c r="C15" s="45" t="s">
        <v>3</v>
      </c>
      <c r="D15" s="46" t="n">
        <v>9919</v>
      </c>
      <c r="E15" s="46" t="n">
        <v>1911</v>
      </c>
      <c r="F15" s="46" t="n">
        <v>2417</v>
      </c>
      <c r="G15" s="46" t="n">
        <v>6708</v>
      </c>
      <c r="H15" s="46" t="n">
        <v>1219</v>
      </c>
      <c r="I15" s="46" t="n">
        <v>139</v>
      </c>
      <c r="J15" s="47" t="n">
        <f aca="false">SUM(D15:I15)</f>
        <v>22313</v>
      </c>
      <c r="K15" s="48" t="n">
        <f aca="false">IFERROR(D15/J15,0)</f>
        <v>0.444539057948281</v>
      </c>
      <c r="L15" s="48" t="n">
        <f aca="false">IFERROR(E15/J15,0)</f>
        <v>0.0856451396047148</v>
      </c>
      <c r="M15" s="48" t="n">
        <f aca="false">IFERROR(F15/J15,0)</f>
        <v>0.108322502576973</v>
      </c>
      <c r="N15" s="48" t="n">
        <f aca="false">IFERROR(G15/J15,0)</f>
        <v>0.300631918612468</v>
      </c>
      <c r="O15" s="48" t="n">
        <f aca="false">IFERROR(H15/J15,0)</f>
        <v>0.0546318289786223</v>
      </c>
      <c r="P15" s="48" t="n">
        <f aca="false">IFERROR(I15/J15,0)</f>
        <v>0.00622955227894053</v>
      </c>
      <c r="Q15" s="47" t="n">
        <f aca="false">D15*INDEX(Régions!$T$2:$T$6,MATCH($B15,Régions!$A$2:$A$6,0))</f>
        <v>5859.32489451477</v>
      </c>
      <c r="R15" s="47" t="n">
        <f aca="false">E15*INDEX(Régions!$U$2:$U$6,MATCH($B15,Régions!$A$2:$A$6,0))</f>
        <v>4374.24892703863</v>
      </c>
      <c r="S15" s="47" t="n">
        <f aca="false">F15*INDEX(Régions!$V$2:$V$6,MATCH($B15,Régions!$A$2:$A$6,0))</f>
        <v>1448.38951310861</v>
      </c>
      <c r="T15" s="47" t="n">
        <f aca="false">G15*INDEX(Régions!$W$2:$W$6,MATCH($B15,Régions!$A$2:$A$6,0))</f>
        <v>11725.8589511754</v>
      </c>
      <c r="U15" s="47" t="n">
        <f aca="false">H15*INDEX(Régions!$X$2:$X$6,MATCH($B15,Régions!$A$2:$A$6,0))</f>
        <v>1385.22727272727</v>
      </c>
      <c r="V15" s="47" t="n">
        <f aca="false">I15*INDEX(Régions!$Y$2:$Y$6,MATCH($B15,Régions!$A$2:$A$6,0))</f>
        <v>195.774647887324</v>
      </c>
      <c r="W15" s="47" t="n">
        <f aca="false">Q15+(AU15/100)*J15*Régions!$O$2</f>
        <v>8339.97266951477</v>
      </c>
      <c r="X15" s="47" t="n">
        <f aca="false">R15+(AV15/100)*J15*Régions!$O$2</f>
        <v>3907.46096703863</v>
      </c>
      <c r="Y15" s="47" t="n">
        <f aca="false">S15+(AW15/100)*J15*Régions!$O$2</f>
        <v>1099.97201810861</v>
      </c>
      <c r="Z15" s="47" t="n">
        <f aca="false">T15+(AX15/100)*J15*Régions!$O$2</f>
        <v>11258.7362961754</v>
      </c>
      <c r="AA15" s="47" t="n">
        <f aca="false">U15</f>
        <v>1385.22727272727</v>
      </c>
      <c r="AB15" s="47" t="n">
        <f aca="false">V15</f>
        <v>195.774647887324</v>
      </c>
      <c r="AC15" s="47" t="n">
        <f aca="false">D15*INDEX(Régions!$Z$2:$Z$6,MATCH($B15,Régions!$A$2:$A$6,0))</f>
        <v>6549.88818565401</v>
      </c>
      <c r="AD15" s="47" t="n">
        <f aca="false">E15*INDEX(Régions!$AA$2:$AA$6,MATCH($B15,Régions!$A$2:$A$6,0))</f>
        <v>5276.43776824034</v>
      </c>
      <c r="AE15" s="47" t="n">
        <f aca="false">F15*INDEX(Régions!$AB$2:$AB$6,MATCH($B15,Régions!$A$2:$A$6,0))</f>
        <v>2045.85018726592</v>
      </c>
      <c r="AF15" s="47" t="n">
        <f aca="false">G15*INDEX(Régions!$AC$2:$AC$6,MATCH($B15,Régions!$A$2:$A$6,0))</f>
        <v>13060.1808318264</v>
      </c>
      <c r="AG15" s="47" t="n">
        <f aca="false">H15*INDEX(Régions!$AD$2:$AD$6,MATCH($B15,Régions!$A$2:$A$6,0))</f>
        <v>1654.1243315508</v>
      </c>
      <c r="AH15" s="47" t="n">
        <f aca="false">I15*INDEX(Régions!$AE$2:$AE$6,MATCH($B15,Régions!$A$2:$A$6,0))</f>
        <v>841.830985915493</v>
      </c>
      <c r="AI15" s="47" t="n">
        <f aca="false">D15*INDEX(Régions!$AF$2:$AF$6,MATCH($B15,Régions!$A$2:$A$6,0))</f>
        <v>5168.76160337553</v>
      </c>
      <c r="AJ15" s="47" t="n">
        <f aca="false">E15*INDEX(Régions!$AG$2:$AG$6,MATCH($B15,Régions!$A$2:$A$6,0))</f>
        <v>3472.06008583691</v>
      </c>
      <c r="AK15" s="47" t="n">
        <f aca="false">F15*INDEX(Régions!$AH$2:$AH$6,MATCH($B15,Régions!$A$2:$A$6,0))</f>
        <v>850.928838951311</v>
      </c>
      <c r="AL15" s="47" t="n">
        <f aca="false">G15*INDEX(Régions!$AI$2:$AI$6,MATCH($B15,Régions!$A$2:$A$6,0))</f>
        <v>10391.5370705244</v>
      </c>
      <c r="AM15" s="47" t="n">
        <f aca="false">H15*INDEX(Régions!$AJ$2:$AJ$6,MATCH($B15,Régions!$A$2:$A$6,0))</f>
        <v>1116.33021390374</v>
      </c>
      <c r="AN15" s="47" t="n">
        <f aca="false">I15*INDEX(Régions!$AK$2:$AK$6,MATCH($B15,Régions!$A$2:$A$6,0))</f>
        <v>0</v>
      </c>
      <c r="AO15" s="49" t="str">
        <f aca="false">INDEX({"CAQ","PLQ","QS","PQ","PCQ","Autre"},MATCH(MAX(Q15:V15),Q15:V15,0))</f>
        <v>PQ</v>
      </c>
      <c r="AP15" s="49" t="str">
        <f aca="false">INDEX({"CAQ","PLQ","QS","PQ","PCQ","Autre"},MATCH(MAX(W15:AB15),W15:AB15,0))</f>
        <v>PQ</v>
      </c>
      <c r="AQ15" s="49" t="str">
        <f aca="false">INDEX({"CAQ","PLQ","QS","PQ","PCQ","Autre"},MATCH(MAX(AC15:AH15),AC15:AH15,0))</f>
        <v>PQ</v>
      </c>
      <c r="AR15" s="49" t="str">
        <f aca="false">INDEX({"CAQ","PLQ","QS","PQ","PCQ","Autre"},MATCH(MAX(AI15:AN15),AI15:AN15,0))</f>
        <v>PQ</v>
      </c>
      <c r="AS15" s="50" t="n">
        <f aca="false">(MAX(K15:P15)-LARGE(K15:P15,2))*100</f>
        <v>14.3907139335813</v>
      </c>
      <c r="AT15" s="51" t="str">
        <f aca="false">IF(AS15&lt;5,"Oui","Non")</f>
        <v>Non</v>
      </c>
      <c r="AU15" s="52" t="n">
        <v>22.235</v>
      </c>
      <c r="AV15" s="52" t="n">
        <v>-4.184</v>
      </c>
      <c r="AW15" s="52" t="n">
        <v>-3.123</v>
      </c>
      <c r="AX15" s="52" t="n">
        <v>-4.187</v>
      </c>
    </row>
    <row r="16" customFormat="false" ht="15" hidden="false" customHeight="true" outlineLevel="0" collapsed="false">
      <c r="A16" s="35" t="s">
        <v>86</v>
      </c>
      <c r="B16" s="35" t="s">
        <v>80</v>
      </c>
      <c r="C16" s="36" t="s">
        <v>3</v>
      </c>
      <c r="D16" s="37" t="n">
        <v>22760</v>
      </c>
      <c r="E16" s="37" t="n">
        <v>2326</v>
      </c>
      <c r="F16" s="37" t="n">
        <v>6726</v>
      </c>
      <c r="G16" s="37" t="n">
        <v>8646</v>
      </c>
      <c r="H16" s="37" t="n">
        <v>3357</v>
      </c>
      <c r="I16" s="37" t="n">
        <v>614</v>
      </c>
      <c r="J16" s="38" t="n">
        <f aca="false">SUM(D16:I16)</f>
        <v>44429</v>
      </c>
      <c r="K16" s="39" t="n">
        <f aca="false">IFERROR(D16/J16,0)</f>
        <v>0.512278016610772</v>
      </c>
      <c r="L16" s="39" t="n">
        <f aca="false">IFERROR(E16/J16,0)</f>
        <v>0.0523531927344752</v>
      </c>
      <c r="M16" s="39" t="n">
        <f aca="false">IFERROR(F16/J16,0)</f>
        <v>0.1513876071935</v>
      </c>
      <c r="N16" s="39" t="n">
        <f aca="false">IFERROR(G16/J16,0)</f>
        <v>0.194602624411983</v>
      </c>
      <c r="O16" s="39" t="n">
        <f aca="false">IFERROR(H16/J16,0)</f>
        <v>0.0755587566679421</v>
      </c>
      <c r="P16" s="39" t="n">
        <f aca="false">IFERROR(I16/J16,0)</f>
        <v>0.0138198023813275</v>
      </c>
      <c r="Q16" s="38" t="n">
        <f aca="false">D16*INDEX(Régions!$T$2:$T$6,MATCH($B16,Régions!$A$2:$A$6,0))</f>
        <v>16088.3587364701</v>
      </c>
      <c r="R16" s="38" t="n">
        <f aca="false">E16*INDEX(Régions!$U$2:$U$6,MATCH($B16,Régions!$A$2:$A$6,0))</f>
        <v>2971.46912704045</v>
      </c>
      <c r="S16" s="38" t="n">
        <f aca="false">F16*INDEX(Régions!$V$2:$V$6,MATCH($B16,Régions!$A$2:$A$6,0))</f>
        <v>3392.07492795389</v>
      </c>
      <c r="T16" s="38" t="n">
        <f aca="false">G16*INDEX(Régions!$W$2:$W$6,MATCH($B16,Régions!$A$2:$A$6,0))</f>
        <v>17019.6850393701</v>
      </c>
      <c r="U16" s="38" t="n">
        <f aca="false">H16*INDEX(Régions!$X$2:$X$6,MATCH($B16,Régions!$A$2:$A$6,0))</f>
        <v>3918.67704280156</v>
      </c>
      <c r="V16" s="38" t="n">
        <f aca="false">I16*INDEX(Régions!$Y$2:$Y$6,MATCH($B16,Régions!$A$2:$A$6,0))</f>
        <v>495.161290322581</v>
      </c>
      <c r="W16" s="38" t="n">
        <f aca="false">Q16+(AU16/100)*J16*Régions!$O$2</f>
        <v>16149.2264664701</v>
      </c>
      <c r="X16" s="38" t="n">
        <f aca="false">R16+(AV16/100)*J16*Régions!$O$2</f>
        <v>3113.86407204045</v>
      </c>
      <c r="Y16" s="38" t="n">
        <f aca="false">S16+(AW16/100)*J16*Régions!$O$2</f>
        <v>3435.39320295389</v>
      </c>
      <c r="Z16" s="38" t="n">
        <f aca="false">T16+(AX16/100)*J16*Régions!$O$2</f>
        <v>17259.1573493701</v>
      </c>
      <c r="AA16" s="38" t="n">
        <f aca="false">U16</f>
        <v>3918.67704280156</v>
      </c>
      <c r="AB16" s="38" t="n">
        <f aca="false">V16</f>
        <v>495.161290322581</v>
      </c>
      <c r="AC16" s="38" t="n">
        <f aca="false">D16*INDEX(Régions!$Z$2:$Z$6,MATCH($B16,Régions!$A$2:$A$6,0))</f>
        <v>17747.4707311685</v>
      </c>
      <c r="AD16" s="38" t="n">
        <f aca="false">E16*INDEX(Régions!$AA$2:$AA$6,MATCH($B16,Régions!$A$2:$A$6,0))</f>
        <v>3516.23846699787</v>
      </c>
      <c r="AE16" s="38" t="n">
        <f aca="false">F16*INDEX(Régions!$AB$2:$AB$6,MATCH($B16,Régions!$A$2:$A$6,0))</f>
        <v>4991.19596541787</v>
      </c>
      <c r="AF16" s="38" t="n">
        <f aca="false">G16*INDEX(Régions!$AC$2:$AC$6,MATCH($B16,Régions!$A$2:$A$6,0))</f>
        <v>18891.8503937008</v>
      </c>
      <c r="AG16" s="38" t="n">
        <f aca="false">H16*INDEX(Régions!$AD$2:$AD$6,MATCH($B16,Régions!$A$2:$A$6,0))</f>
        <v>4996.31322957199</v>
      </c>
      <c r="AH16" s="38" t="n">
        <f aca="false">I16*INDEX(Régions!$AE$2:$AE$6,MATCH($B16,Régions!$A$2:$A$6,0))</f>
        <v>2129.1935483871</v>
      </c>
      <c r="AI16" s="38" t="n">
        <f aca="false">D16*INDEX(Régions!$AF$2:$AF$6,MATCH($B16,Régions!$A$2:$A$6,0))</f>
        <v>14429.2467417716</v>
      </c>
      <c r="AJ16" s="38" t="n">
        <f aca="false">E16*INDEX(Régions!$AG$2:$AG$6,MATCH($B16,Régions!$A$2:$A$6,0))</f>
        <v>2426.69978708304</v>
      </c>
      <c r="AK16" s="38" t="n">
        <f aca="false">F16*INDEX(Régions!$AH$2:$AH$6,MATCH($B16,Régions!$A$2:$A$6,0))</f>
        <v>1792.95389048991</v>
      </c>
      <c r="AL16" s="38" t="n">
        <f aca="false">G16*INDEX(Régions!$AI$2:$AI$6,MATCH($B16,Régions!$A$2:$A$6,0))</f>
        <v>15147.5196850394</v>
      </c>
      <c r="AM16" s="38" t="n">
        <f aca="false">H16*INDEX(Régions!$AJ$2:$AJ$6,MATCH($B16,Régions!$A$2:$A$6,0))</f>
        <v>2841.04085603113</v>
      </c>
      <c r="AN16" s="38" t="n">
        <f aca="false">I16*INDEX(Régions!$AK$2:$AK$6,MATCH($B16,Régions!$A$2:$A$6,0))</f>
        <v>0</v>
      </c>
      <c r="AO16" s="40" t="str">
        <f aca="false">INDEX({"CAQ","PLQ","QS","PQ","PCQ","Autre"},MATCH(MAX(Q16:V16),Q16:V16,0))</f>
        <v>PQ</v>
      </c>
      <c r="AP16" s="40" t="str">
        <f aca="false">INDEX({"CAQ","PLQ","QS","PQ","PCQ","Autre"},MATCH(MAX(W16:AB16),W16:AB16,0))</f>
        <v>PQ</v>
      </c>
      <c r="AQ16" s="40" t="str">
        <f aca="false">INDEX({"CAQ","PLQ","QS","PQ","PCQ","Autre"},MATCH(MAX(AC16:AH16),AC16:AH16,0))</f>
        <v>PQ</v>
      </c>
      <c r="AR16" s="40" t="str">
        <f aca="false">INDEX({"CAQ","PLQ","QS","PQ","PCQ","Autre"},MATCH(MAX(AI16:AN16),AI16:AN16,0))</f>
        <v>PQ</v>
      </c>
      <c r="AS16" s="41" t="n">
        <f aca="false">(MAX(K16:P16)-LARGE(K16:P16,2))*100</f>
        <v>31.7675392198789</v>
      </c>
      <c r="AT16" s="42" t="str">
        <f aca="false">IF(AS16&lt;5,"Oui","Non")</f>
        <v>Non</v>
      </c>
      <c r="AU16" s="43" t="n">
        <v>0.274</v>
      </c>
      <c r="AV16" s="43" t="n">
        <v>0.641</v>
      </c>
      <c r="AW16" s="43" t="n">
        <v>0.195</v>
      </c>
      <c r="AX16" s="43" t="n">
        <v>1.078</v>
      </c>
    </row>
    <row r="17" customFormat="false" ht="15" hidden="false" customHeight="true" outlineLevel="0" collapsed="false">
      <c r="A17" s="44" t="s">
        <v>87</v>
      </c>
      <c r="B17" s="44" t="s">
        <v>73</v>
      </c>
      <c r="C17" s="45" t="s">
        <v>4</v>
      </c>
      <c r="D17" s="46" t="n">
        <v>6049</v>
      </c>
      <c r="E17" s="46" t="n">
        <v>9704</v>
      </c>
      <c r="F17" s="46" t="n">
        <v>3737</v>
      </c>
      <c r="G17" s="46" t="n">
        <v>2101</v>
      </c>
      <c r="H17" s="46" t="n">
        <v>2161</v>
      </c>
      <c r="I17" s="46" t="n">
        <v>430</v>
      </c>
      <c r="J17" s="47" t="n">
        <f aca="false">SUM(D17:I17)</f>
        <v>24182</v>
      </c>
      <c r="K17" s="48" t="n">
        <f aca="false">IFERROR(D17/J17,0)</f>
        <v>0.250144735753867</v>
      </c>
      <c r="L17" s="48" t="n">
        <f aca="false">IFERROR(E17/J17,0)</f>
        <v>0.401290215863039</v>
      </c>
      <c r="M17" s="48" t="n">
        <f aca="false">IFERROR(F17/J17,0)</f>
        <v>0.154536432056902</v>
      </c>
      <c r="N17" s="48" t="n">
        <f aca="false">IFERROR(G17/J17,0)</f>
        <v>0.0868828053924407</v>
      </c>
      <c r="O17" s="48" t="n">
        <f aca="false">IFERROR(H17/J17,0)</f>
        <v>0.089363989744438</v>
      </c>
      <c r="P17" s="48" t="n">
        <f aca="false">IFERROR(I17/J17,0)</f>
        <v>0.0177818211893144</v>
      </c>
      <c r="Q17" s="47" t="n">
        <f aca="false">D17*INDEX(Régions!$T$2:$T$6,MATCH($B17,Régions!$A$2:$A$6,0))</f>
        <v>4534.48275862069</v>
      </c>
      <c r="R17" s="47" t="n">
        <f aca="false">E17*INDEX(Régions!$U$2:$U$6,MATCH($B17,Régions!$A$2:$A$6,0))</f>
        <v>9686.90546095126</v>
      </c>
      <c r="S17" s="47" t="n">
        <f aca="false">F17*INDEX(Régions!$V$2:$V$6,MATCH($B17,Régions!$A$2:$A$6,0))</f>
        <v>2868.12641083521</v>
      </c>
      <c r="T17" s="47" t="n">
        <f aca="false">G17*INDEX(Régions!$W$2:$W$6,MATCH($B17,Régions!$A$2:$A$6,0))</f>
        <v>4725.77319587629</v>
      </c>
      <c r="U17" s="47" t="n">
        <f aca="false">H17*INDEX(Régions!$X$2:$X$6,MATCH($B17,Régions!$A$2:$A$6,0))</f>
        <v>1734.00200601805</v>
      </c>
      <c r="V17" s="47" t="n">
        <f aca="false">I17*INDEX(Régions!$Y$2:$Y$6,MATCH($B17,Régions!$A$2:$A$6,0))</f>
        <v>274.760383386581</v>
      </c>
      <c r="W17" s="47" t="n">
        <f aca="false">Q17+(AU17/100)*J17*Régions!$O$2</f>
        <v>4465.20132862069</v>
      </c>
      <c r="X17" s="47" t="n">
        <f aca="false">R17+(AV17/100)*J17*Régions!$O$2</f>
        <v>9981.20040095126</v>
      </c>
      <c r="Y17" s="47" t="n">
        <f aca="false">S17+(AW17/100)*J17*Régions!$O$2</f>
        <v>2990.48733083521</v>
      </c>
      <c r="Z17" s="47" t="n">
        <f aca="false">T17+(AX17/100)*J17*Régions!$O$2</f>
        <v>4640.77346587629</v>
      </c>
      <c r="AA17" s="47" t="n">
        <f aca="false">U17</f>
        <v>1734.00200601805</v>
      </c>
      <c r="AB17" s="47" t="n">
        <f aca="false">V17</f>
        <v>274.760383386581</v>
      </c>
      <c r="AC17" s="47" t="n">
        <f aca="false">D17*INDEX(Régions!$Z$2:$Z$6,MATCH($B17,Régions!$A$2:$A$6,0))</f>
        <v>5532.06896551724</v>
      </c>
      <c r="AD17" s="47" t="n">
        <f aca="false">E17*INDEX(Régions!$AA$2:$AA$6,MATCH($B17,Régions!$A$2:$A$6,0))</f>
        <v>10627.1051086318</v>
      </c>
      <c r="AE17" s="47" t="n">
        <f aca="false">F17*INDEX(Régions!$AB$2:$AB$6,MATCH($B17,Régions!$A$2:$A$6,0))</f>
        <v>3424.88036117382</v>
      </c>
      <c r="AF17" s="47" t="n">
        <f aca="false">G17*INDEX(Régions!$AC$2:$AC$6,MATCH($B17,Régions!$A$2:$A$6,0))</f>
        <v>5375.56701030928</v>
      </c>
      <c r="AG17" s="47" t="n">
        <f aca="false">H17*INDEX(Régions!$AD$2:$AD$6,MATCH($B17,Régions!$A$2:$A$6,0))</f>
        <v>2449.2778335005</v>
      </c>
      <c r="AH17" s="47" t="n">
        <f aca="false">I17*INDEX(Régions!$AE$2:$AE$6,MATCH($B17,Régions!$A$2:$A$6,0))</f>
        <v>728.115015974441</v>
      </c>
      <c r="AI17" s="47" t="n">
        <f aca="false">D17*INDEX(Régions!$AF$2:$AF$6,MATCH($B17,Régions!$A$2:$A$6,0))</f>
        <v>3536.89655172414</v>
      </c>
      <c r="AJ17" s="47" t="n">
        <f aca="false">E17*INDEX(Régions!$AG$2:$AG$6,MATCH($B17,Régions!$A$2:$A$6,0))</f>
        <v>8746.7058132707</v>
      </c>
      <c r="AK17" s="47" t="n">
        <f aca="false">F17*INDEX(Régions!$AH$2:$AH$6,MATCH($B17,Régions!$A$2:$A$6,0))</f>
        <v>2311.37246049661</v>
      </c>
      <c r="AL17" s="47" t="n">
        <f aca="false">G17*INDEX(Régions!$AI$2:$AI$6,MATCH($B17,Régions!$A$2:$A$6,0))</f>
        <v>4075.9793814433</v>
      </c>
      <c r="AM17" s="47" t="n">
        <f aca="false">H17*INDEX(Régions!$AJ$2:$AJ$6,MATCH($B17,Régions!$A$2:$A$6,0))</f>
        <v>1018.72617853561</v>
      </c>
      <c r="AN17" s="47" t="n">
        <f aca="false">I17*INDEX(Régions!$AK$2:$AK$6,MATCH($B17,Régions!$A$2:$A$6,0))</f>
        <v>0</v>
      </c>
      <c r="AO17" s="49" t="str">
        <f aca="false">INDEX({"CAQ","PLQ","QS","PQ","PCQ","Autre"},MATCH(MAX(Q17:V17),Q17:V17,0))</f>
        <v>PLQ</v>
      </c>
      <c r="AP17" s="49" t="str">
        <f aca="false">INDEX({"CAQ","PLQ","QS","PQ","PCQ","Autre"},MATCH(MAX(W17:AB17),W17:AB17,0))</f>
        <v>PLQ</v>
      </c>
      <c r="AQ17" s="49" t="str">
        <f aca="false">INDEX({"CAQ","PLQ","QS","PQ","PCQ","Autre"},MATCH(MAX(AC17:AH17),AC17:AH17,0))</f>
        <v>PLQ</v>
      </c>
      <c r="AR17" s="49" t="str">
        <f aca="false">INDEX({"CAQ","PLQ","QS","PQ","PCQ","Autre"},MATCH(MAX(AI17:AN17),AI17:AN17,0))</f>
        <v>PLQ</v>
      </c>
      <c r="AS17" s="50" t="n">
        <f aca="false">(MAX(K17:P17)-LARGE(K17:P17,2))*100</f>
        <v>15.1145480109172</v>
      </c>
      <c r="AT17" s="51" t="str">
        <f aca="false">IF(AS17&lt;5,"Oui","Non")</f>
        <v>Non</v>
      </c>
      <c r="AU17" s="52" t="n">
        <v>-0.573</v>
      </c>
      <c r="AV17" s="52" t="n">
        <v>2.434</v>
      </c>
      <c r="AW17" s="52" t="n">
        <v>1.012</v>
      </c>
      <c r="AX17" s="52" t="n">
        <v>-0.703</v>
      </c>
    </row>
    <row r="18" customFormat="false" ht="15" hidden="false" customHeight="true" outlineLevel="0" collapsed="false">
      <c r="A18" s="35" t="s">
        <v>88</v>
      </c>
      <c r="B18" s="35" t="s">
        <v>80</v>
      </c>
      <c r="C18" s="36" t="s">
        <v>3</v>
      </c>
      <c r="D18" s="37" t="n">
        <v>20576</v>
      </c>
      <c r="E18" s="37" t="n">
        <v>5344</v>
      </c>
      <c r="F18" s="37" t="n">
        <v>7138</v>
      </c>
      <c r="G18" s="37" t="n">
        <v>5359</v>
      </c>
      <c r="H18" s="37" t="n">
        <v>5517</v>
      </c>
      <c r="I18" s="37" t="n">
        <v>922</v>
      </c>
      <c r="J18" s="38" t="n">
        <f aca="false">SUM(D18:I18)</f>
        <v>44856</v>
      </c>
      <c r="K18" s="39" t="n">
        <f aca="false">IFERROR(D18/J18,0)</f>
        <v>0.458712323880863</v>
      </c>
      <c r="L18" s="39" t="n">
        <f aca="false">IFERROR(E18/J18,0)</f>
        <v>0.119136793294097</v>
      </c>
      <c r="M18" s="39" t="n">
        <f aca="false">IFERROR(F18/J18,0)</f>
        <v>0.159131442839308</v>
      </c>
      <c r="N18" s="39" t="n">
        <f aca="false">IFERROR(G18/J18,0)</f>
        <v>0.119471196718388</v>
      </c>
      <c r="O18" s="39" t="n">
        <f aca="false">IFERROR(H18/J18,0)</f>
        <v>0.122993579454254</v>
      </c>
      <c r="P18" s="39" t="n">
        <f aca="false">IFERROR(I18/J18,0)</f>
        <v>0.0205546638130908</v>
      </c>
      <c r="Q18" s="38" t="n">
        <f aca="false">D18*INDEX(Régions!$T$2:$T$6,MATCH($B18,Régions!$A$2:$A$6,0))</f>
        <v>14544.554892865</v>
      </c>
      <c r="R18" s="38" t="n">
        <f aca="false">E18*INDEX(Régions!$U$2:$U$6,MATCH($B18,Régions!$A$2:$A$6,0))</f>
        <v>6826.96948190206</v>
      </c>
      <c r="S18" s="38" t="n">
        <f aca="false">F18*INDEX(Régions!$V$2:$V$6,MATCH($B18,Régions!$A$2:$A$6,0))</f>
        <v>3599.85590778098</v>
      </c>
      <c r="T18" s="38" t="n">
        <f aca="false">G18*INDEX(Régions!$W$2:$W$6,MATCH($B18,Régions!$A$2:$A$6,0))</f>
        <v>10549.2125984252</v>
      </c>
      <c r="U18" s="38" t="n">
        <f aca="false">H18*INDEX(Régions!$X$2:$X$6,MATCH($B18,Régions!$A$2:$A$6,0))</f>
        <v>6440.07782101167</v>
      </c>
      <c r="V18" s="38" t="n">
        <f aca="false">I18*INDEX(Régions!$Y$2:$Y$6,MATCH($B18,Régions!$A$2:$A$6,0))</f>
        <v>743.548387096774</v>
      </c>
      <c r="W18" s="38" t="n">
        <f aca="false">Q18+(AU18/100)*J18*Régions!$O$2</f>
        <v>14166.867372865</v>
      </c>
      <c r="X18" s="38" t="n">
        <f aca="false">R18+(AV18/100)*J18*Régions!$O$2</f>
        <v>5615.85748190206</v>
      </c>
      <c r="Y18" s="38" t="n">
        <f aca="false">S18+(AW18/100)*J18*Régions!$O$2</f>
        <v>3450.48542778098</v>
      </c>
      <c r="Z18" s="38" t="n">
        <f aca="false">T18+(AX18/100)*J18*Régions!$O$2</f>
        <v>11501.2811984252</v>
      </c>
      <c r="AA18" s="38" t="n">
        <f aca="false">U18</f>
        <v>6440.07782101167</v>
      </c>
      <c r="AB18" s="38" t="n">
        <f aca="false">V18</f>
        <v>743.548387096774</v>
      </c>
      <c r="AC18" s="38" t="n">
        <f aca="false">D18*INDEX(Régions!$Z$2:$Z$6,MATCH($B18,Régions!$A$2:$A$6,0))</f>
        <v>16044.4621161917</v>
      </c>
      <c r="AD18" s="38" t="n">
        <f aca="false">E18*INDEX(Régions!$AA$2:$AA$6,MATCH($B18,Régions!$A$2:$A$6,0))</f>
        <v>8078.5805535841</v>
      </c>
      <c r="AE18" s="38" t="n">
        <f aca="false">F18*INDEX(Régions!$AB$2:$AB$6,MATCH($B18,Régions!$A$2:$A$6,0))</f>
        <v>5296.93083573487</v>
      </c>
      <c r="AF18" s="38" t="n">
        <f aca="false">G18*INDEX(Régions!$AC$2:$AC$6,MATCH($B18,Régions!$A$2:$A$6,0))</f>
        <v>11709.625984252</v>
      </c>
      <c r="AG18" s="38" t="n">
        <f aca="false">H18*INDEX(Régions!$AD$2:$AD$6,MATCH($B18,Régions!$A$2:$A$6,0))</f>
        <v>8211.09922178988</v>
      </c>
      <c r="AH18" s="38" t="n">
        <f aca="false">I18*INDEX(Régions!$AE$2:$AE$6,MATCH($B18,Régions!$A$2:$A$6,0))</f>
        <v>3197.25806451613</v>
      </c>
      <c r="AI18" s="38" t="n">
        <f aca="false">D18*INDEX(Régions!$AF$2:$AF$6,MATCH($B18,Régions!$A$2:$A$6,0))</f>
        <v>13044.6476695383</v>
      </c>
      <c r="AJ18" s="38" t="n">
        <f aca="false">E18*INDEX(Régions!$AG$2:$AG$6,MATCH($B18,Régions!$A$2:$A$6,0))</f>
        <v>5575.35841022001</v>
      </c>
      <c r="AK18" s="38" t="n">
        <f aca="false">F18*INDEX(Régions!$AH$2:$AH$6,MATCH($B18,Régions!$A$2:$A$6,0))</f>
        <v>1902.78097982709</v>
      </c>
      <c r="AL18" s="38" t="n">
        <f aca="false">G18*INDEX(Régions!$AI$2:$AI$6,MATCH($B18,Régions!$A$2:$A$6,0))</f>
        <v>9388.79921259843</v>
      </c>
      <c r="AM18" s="38" t="n">
        <f aca="false">H18*INDEX(Régions!$AJ$2:$AJ$6,MATCH($B18,Régions!$A$2:$A$6,0))</f>
        <v>4669.05642023346</v>
      </c>
      <c r="AN18" s="38" t="n">
        <f aca="false">I18*INDEX(Régions!$AK$2:$AK$6,MATCH($B18,Régions!$A$2:$A$6,0))</f>
        <v>0</v>
      </c>
      <c r="AO18" s="40" t="str">
        <f aca="false">INDEX({"CAQ","PLQ","QS","PQ","PCQ","Autre"},MATCH(MAX(Q18:V18),Q18:V18,0))</f>
        <v>CAQ</v>
      </c>
      <c r="AP18" s="40" t="str">
        <f aca="false">INDEX({"CAQ","PLQ","QS","PQ","PCQ","Autre"},MATCH(MAX(W18:AB18),W18:AB18,0))</f>
        <v>CAQ</v>
      </c>
      <c r="AQ18" s="40" t="str">
        <f aca="false">INDEX({"CAQ","PLQ","QS","PQ","PCQ","Autre"},MATCH(MAX(AC18:AH18),AC18:AH18,0))</f>
        <v>CAQ</v>
      </c>
      <c r="AR18" s="40" t="str">
        <f aca="false">INDEX({"CAQ","PLQ","QS","PQ","PCQ","Autre"},MATCH(MAX(AI18:AN18),AI18:AN18,0))</f>
        <v>CAQ</v>
      </c>
      <c r="AS18" s="41" t="n">
        <f aca="false">(MAX(K18:P18)-LARGE(K18:P18,2))*100</f>
        <v>29.9580881041555</v>
      </c>
      <c r="AT18" s="42" t="str">
        <f aca="false">IF(AS18&lt;5,"Oui","Non")</f>
        <v>Non</v>
      </c>
      <c r="AU18" s="43" t="n">
        <v>-1.684</v>
      </c>
      <c r="AV18" s="43" t="n">
        <v>-5.4</v>
      </c>
      <c r="AW18" s="43" t="n">
        <v>-0.666</v>
      </c>
      <c r="AX18" s="43" t="n">
        <v>4.245</v>
      </c>
    </row>
    <row r="19" customFormat="false" ht="15" hidden="false" customHeight="true" outlineLevel="0" collapsed="false">
      <c r="A19" s="44" t="s">
        <v>89</v>
      </c>
      <c r="B19" s="44" t="s">
        <v>73</v>
      </c>
      <c r="C19" s="45" t="s">
        <v>6</v>
      </c>
      <c r="D19" s="46" t="n">
        <v>9165</v>
      </c>
      <c r="E19" s="46" t="n">
        <v>4724</v>
      </c>
      <c r="F19" s="46" t="n">
        <v>0</v>
      </c>
      <c r="G19" s="46" t="n">
        <v>11959</v>
      </c>
      <c r="H19" s="46" t="n">
        <v>1869</v>
      </c>
      <c r="I19" s="46" t="n">
        <v>973</v>
      </c>
      <c r="J19" s="47" t="n">
        <f aca="false">SUM(D19:I19)</f>
        <v>28690</v>
      </c>
      <c r="K19" s="48" t="n">
        <f aca="false">IFERROR(D19/J19,0)</f>
        <v>0.319449285465319</v>
      </c>
      <c r="L19" s="48" t="n">
        <f aca="false">IFERROR(E19/J19,0)</f>
        <v>0.164656674799582</v>
      </c>
      <c r="M19" s="48" t="n">
        <f aca="false">IFERROR(F19/J19,0)</f>
        <v>0</v>
      </c>
      <c r="N19" s="48" t="n">
        <f aca="false">IFERROR(G19/J19,0)</f>
        <v>0.416835134193099</v>
      </c>
      <c r="O19" s="48" t="n">
        <f aca="false">IFERROR(H19/J19,0)</f>
        <v>0.0651446497037295</v>
      </c>
      <c r="P19" s="48" t="n">
        <f aca="false">IFERROR(I19/J19,0)</f>
        <v>0.0339142558382712</v>
      </c>
      <c r="Q19" s="47" t="n">
        <f aca="false">D19*INDEX(Régions!$T$2:$T$6,MATCH($B19,Régions!$A$2:$A$6,0))</f>
        <v>6870.31484257871</v>
      </c>
      <c r="R19" s="47" t="n">
        <f aca="false">E19*INDEX(Régions!$U$2:$U$6,MATCH($B19,Régions!$A$2:$A$6,0))</f>
        <v>4715.67821491486</v>
      </c>
      <c r="S19" s="47" t="n">
        <f aca="false">F19*INDEX(Régions!$V$2:$V$6,MATCH($B19,Régions!$A$2:$A$6,0))</f>
        <v>0</v>
      </c>
      <c r="T19" s="47" t="n">
        <f aca="false">G19*INDEX(Régions!$W$2:$W$6,MATCH($B19,Régions!$A$2:$A$6,0))</f>
        <v>26899.3439550141</v>
      </c>
      <c r="U19" s="47" t="n">
        <f aca="false">H19*INDEX(Régions!$X$2:$X$6,MATCH($B19,Régions!$A$2:$A$6,0))</f>
        <v>1499.69909729188</v>
      </c>
      <c r="V19" s="47" t="n">
        <f aca="false">I19*INDEX(Régions!$Y$2:$Y$6,MATCH($B19,Régions!$A$2:$A$6,0))</f>
        <v>621.725239616613</v>
      </c>
      <c r="W19" s="47" t="n">
        <f aca="false">Q19+(AU19/100)*J19*Régions!$O$2</f>
        <v>7195.65944257871</v>
      </c>
      <c r="X19" s="47" t="n">
        <f aca="false">R19+(AV19/100)*J19*Régions!$O$2</f>
        <v>5584.41141491486</v>
      </c>
      <c r="Y19" s="47" t="n">
        <f aca="false">S19+(AW19/100)*J19*Régions!$O$2</f>
        <v>-3572.62225</v>
      </c>
      <c r="Z19" s="47" t="n">
        <f aca="false">T19+(AX19/100)*J19*Régions!$O$2</f>
        <v>29326.2310550141</v>
      </c>
      <c r="AA19" s="47" t="n">
        <f aca="false">U19</f>
        <v>1499.69909729188</v>
      </c>
      <c r="AB19" s="47" t="n">
        <f aca="false">V19</f>
        <v>621.725239616613</v>
      </c>
      <c r="AC19" s="47" t="n">
        <f aca="false">D19*INDEX(Régions!$Z$2:$Z$6,MATCH($B19,Régions!$A$2:$A$6,0))</f>
        <v>8381.78410794603</v>
      </c>
      <c r="AD19" s="47" t="n">
        <f aca="false">E19*INDEX(Régions!$AA$2:$AA$6,MATCH($B19,Régions!$A$2:$A$6,0))</f>
        <v>5173.37639459777</v>
      </c>
      <c r="AE19" s="47" t="n">
        <f aca="false">F19*INDEX(Régions!$AB$2:$AB$6,MATCH($B19,Régions!$A$2:$A$6,0))</f>
        <v>0</v>
      </c>
      <c r="AF19" s="47" t="n">
        <f aca="false">G19*INDEX(Régions!$AC$2:$AC$6,MATCH($B19,Régions!$A$2:$A$6,0))</f>
        <v>30598.0037488285</v>
      </c>
      <c r="AG19" s="47" t="n">
        <f aca="false">H19*INDEX(Régions!$AD$2:$AD$6,MATCH($B19,Régions!$A$2:$A$6,0))</f>
        <v>2118.32497492477</v>
      </c>
      <c r="AH19" s="47" t="n">
        <f aca="false">I19*INDEX(Régions!$AE$2:$AE$6,MATCH($B19,Régions!$A$2:$A$6,0))</f>
        <v>1647.57188498403</v>
      </c>
      <c r="AI19" s="47" t="n">
        <f aca="false">D19*INDEX(Régions!$AF$2:$AF$6,MATCH($B19,Régions!$A$2:$A$6,0))</f>
        <v>5358.84557721139</v>
      </c>
      <c r="AJ19" s="47" t="n">
        <f aca="false">E19*INDEX(Régions!$AG$2:$AG$6,MATCH($B19,Régions!$A$2:$A$6,0))</f>
        <v>4257.98003523194</v>
      </c>
      <c r="AK19" s="47" t="n">
        <f aca="false">F19*INDEX(Régions!$AH$2:$AH$6,MATCH($B19,Régions!$A$2:$A$6,0))</f>
        <v>0</v>
      </c>
      <c r="AL19" s="47" t="n">
        <f aca="false">G19*INDEX(Régions!$AI$2:$AI$6,MATCH($B19,Régions!$A$2:$A$6,0))</f>
        <v>23200.6841611996</v>
      </c>
      <c r="AM19" s="47" t="n">
        <f aca="false">H19*INDEX(Régions!$AJ$2:$AJ$6,MATCH($B19,Régions!$A$2:$A$6,0))</f>
        <v>881.073219658977</v>
      </c>
      <c r="AN19" s="47" t="n">
        <f aca="false">I19*INDEX(Régions!$AK$2:$AK$6,MATCH($B19,Régions!$A$2:$A$6,0))</f>
        <v>0</v>
      </c>
      <c r="AO19" s="49" t="str">
        <f aca="false">INDEX({"CAQ","PLQ","QS","PQ","PCQ","Autre"},MATCH(MAX(Q19:V19),Q19:V19,0))</f>
        <v>PQ</v>
      </c>
      <c r="AP19" s="49" t="str">
        <f aca="false">INDEX({"CAQ","PLQ","QS","PQ","PCQ","Autre"},MATCH(MAX(W19:AB19),W19:AB19,0))</f>
        <v>PQ</v>
      </c>
      <c r="AQ19" s="49" t="str">
        <f aca="false">INDEX({"CAQ","PLQ","QS","PQ","PCQ","Autre"},MATCH(MAX(AC19:AH19),AC19:AH19,0))</f>
        <v>PQ</v>
      </c>
      <c r="AR19" s="49" t="str">
        <f aca="false">INDEX({"CAQ","PLQ","QS","PQ","PCQ","Autre"},MATCH(MAX(AI19:AN19),AI19:AN19,0))</f>
        <v>PQ</v>
      </c>
      <c r="AS19" s="50" t="n">
        <f aca="false">(MAX(K19:P19)-LARGE(K19:P19,2))*100</f>
        <v>9.73858487277797</v>
      </c>
      <c r="AT19" s="51" t="str">
        <f aca="false">IF(AS19&lt;5,"Oui","Non")</f>
        <v>Non</v>
      </c>
      <c r="AU19" s="52" t="n">
        <v>2.268</v>
      </c>
      <c r="AV19" s="52" t="n">
        <v>6.056</v>
      </c>
      <c r="AW19" s="52" t="n">
        <v>-24.905</v>
      </c>
      <c r="AX19" s="52" t="n">
        <v>16.918</v>
      </c>
    </row>
    <row r="20" customFormat="false" ht="15" hidden="false" customHeight="true" outlineLevel="0" collapsed="false">
      <c r="A20" s="35" t="s">
        <v>90</v>
      </c>
      <c r="B20" s="35" t="s">
        <v>80</v>
      </c>
      <c r="C20" s="36" t="s">
        <v>3</v>
      </c>
      <c r="D20" s="37" t="n">
        <v>18500</v>
      </c>
      <c r="E20" s="37" t="n">
        <v>2997</v>
      </c>
      <c r="F20" s="37" t="n">
        <v>6250</v>
      </c>
      <c r="G20" s="37" t="n">
        <v>6831</v>
      </c>
      <c r="H20" s="37" t="n">
        <v>3181</v>
      </c>
      <c r="I20" s="37" t="n">
        <v>411</v>
      </c>
      <c r="J20" s="38" t="n">
        <f aca="false">SUM(D20:I20)</f>
        <v>38170</v>
      </c>
      <c r="K20" s="39" t="n">
        <f aca="false">IFERROR(D20/J20,0)</f>
        <v>0.484673827613309</v>
      </c>
      <c r="L20" s="39" t="n">
        <f aca="false">IFERROR(E20/J20,0)</f>
        <v>0.078517160073356</v>
      </c>
      <c r="M20" s="39" t="n">
        <f aca="false">IFERROR(F20/J20,0)</f>
        <v>0.163741157977469</v>
      </c>
      <c r="N20" s="39" t="n">
        <f aca="false">IFERROR(G20/J20,0)</f>
        <v>0.178962536023055</v>
      </c>
      <c r="O20" s="39" t="n">
        <f aca="false">IFERROR(H20/J20,0)</f>
        <v>0.0833376997642127</v>
      </c>
      <c r="P20" s="39" t="n">
        <f aca="false">IFERROR(I20/J20,0)</f>
        <v>0.0107676185485984</v>
      </c>
      <c r="Q20" s="38" t="n">
        <f aca="false">D20*INDEX(Régions!$T$2:$T$6,MATCH($B20,Régions!$A$2:$A$6,0))</f>
        <v>13077.0929975701</v>
      </c>
      <c r="R20" s="38" t="n">
        <f aca="false">E20*INDEX(Régions!$U$2:$U$6,MATCH($B20,Régions!$A$2:$A$6,0))</f>
        <v>3828.67281760114</v>
      </c>
      <c r="S20" s="38" t="n">
        <f aca="false">F20*INDEX(Régions!$V$2:$V$6,MATCH($B20,Régions!$A$2:$A$6,0))</f>
        <v>3152.01729106628</v>
      </c>
      <c r="T20" s="38" t="n">
        <f aca="false">G20*INDEX(Régions!$W$2:$W$6,MATCH($B20,Régions!$A$2:$A$6,0))</f>
        <v>13446.8503937008</v>
      </c>
      <c r="U20" s="38" t="n">
        <f aca="false">H20*INDEX(Régions!$X$2:$X$6,MATCH($B20,Régions!$A$2:$A$6,0))</f>
        <v>3713.22957198444</v>
      </c>
      <c r="V20" s="38" t="n">
        <f aca="false">I20*INDEX(Régions!$Y$2:$Y$6,MATCH($B20,Régions!$A$2:$A$6,0))</f>
        <v>331.451612903226</v>
      </c>
      <c r="W20" s="38" t="n">
        <f aca="false">Q20+(AU20/100)*J20*Régions!$O$2</f>
        <v>12129.7135975701</v>
      </c>
      <c r="X20" s="38" t="n">
        <f aca="false">R20+(AV20/100)*J20*Régions!$O$2</f>
        <v>4313.05011760114</v>
      </c>
      <c r="Y20" s="38" t="n">
        <f aca="false">S20+(AW20/100)*J20*Régions!$O$2</f>
        <v>3282.74954106628</v>
      </c>
      <c r="Z20" s="38" t="n">
        <f aca="false">T20+(AX20/100)*J20*Régions!$O$2</f>
        <v>14114.0619937008</v>
      </c>
      <c r="AA20" s="38" t="n">
        <f aca="false">U20</f>
        <v>3713.22957198444</v>
      </c>
      <c r="AB20" s="38" t="n">
        <f aca="false">V20</f>
        <v>331.451612903226</v>
      </c>
      <c r="AC20" s="38" t="n">
        <f aca="false">D20*INDEX(Régions!$Z$2:$Z$6,MATCH($B20,Régions!$A$2:$A$6,0))</f>
        <v>14425.6682129446</v>
      </c>
      <c r="AD20" s="38" t="n">
        <f aca="false">E20*INDEX(Régions!$AA$2:$AA$6,MATCH($B20,Régions!$A$2:$A$6,0))</f>
        <v>4530.59616749468</v>
      </c>
      <c r="AE20" s="38" t="n">
        <f aca="false">F20*INDEX(Régions!$AB$2:$AB$6,MATCH($B20,Régions!$A$2:$A$6,0))</f>
        <v>4637.96829971182</v>
      </c>
      <c r="AF20" s="38" t="n">
        <f aca="false">G20*INDEX(Régions!$AC$2:$AC$6,MATCH($B20,Régions!$A$2:$A$6,0))</f>
        <v>14926.0039370079</v>
      </c>
      <c r="AG20" s="38" t="n">
        <f aca="false">H20*INDEX(Régions!$AD$2:$AD$6,MATCH($B20,Régions!$A$2:$A$6,0))</f>
        <v>4734.36770428016</v>
      </c>
      <c r="AH20" s="38" t="n">
        <f aca="false">I20*INDEX(Régions!$AE$2:$AE$6,MATCH($B20,Régions!$A$2:$A$6,0))</f>
        <v>1425.24193548387</v>
      </c>
      <c r="AI20" s="38" t="n">
        <f aca="false">D20*INDEX(Régions!$AF$2:$AF$6,MATCH($B20,Régions!$A$2:$A$6,0))</f>
        <v>11728.5177821957</v>
      </c>
      <c r="AJ20" s="38" t="n">
        <f aca="false">E20*INDEX(Régions!$AG$2:$AG$6,MATCH($B20,Régions!$A$2:$A$6,0))</f>
        <v>3126.74946770759</v>
      </c>
      <c r="AK20" s="38" t="n">
        <f aca="false">F20*INDEX(Régions!$AH$2:$AH$6,MATCH($B20,Régions!$A$2:$A$6,0))</f>
        <v>1666.06628242075</v>
      </c>
      <c r="AL20" s="38" t="n">
        <f aca="false">G20*INDEX(Régions!$AI$2:$AI$6,MATCH($B20,Régions!$A$2:$A$6,0))</f>
        <v>11967.6968503937</v>
      </c>
      <c r="AM20" s="38" t="n">
        <f aca="false">H20*INDEX(Régions!$AJ$2:$AJ$6,MATCH($B20,Régions!$A$2:$A$6,0))</f>
        <v>2692.09143968872</v>
      </c>
      <c r="AN20" s="38" t="n">
        <f aca="false">I20*INDEX(Régions!$AK$2:$AK$6,MATCH($B20,Régions!$A$2:$A$6,0))</f>
        <v>0</v>
      </c>
      <c r="AO20" s="40" t="str">
        <f aca="false">INDEX({"CAQ","PLQ","QS","PQ","PCQ","Autre"},MATCH(MAX(Q20:V20),Q20:V20,0))</f>
        <v>PQ</v>
      </c>
      <c r="AP20" s="40" t="str">
        <f aca="false">INDEX({"CAQ","PLQ","QS","PQ","PCQ","Autre"},MATCH(MAX(W20:AB20),W20:AB20,0))</f>
        <v>PQ</v>
      </c>
      <c r="AQ20" s="40" t="str">
        <f aca="false">INDEX({"CAQ","PLQ","QS","PQ","PCQ","Autre"},MATCH(MAX(AC20:AH20),AC20:AH20,0))</f>
        <v>PQ</v>
      </c>
      <c r="AR20" s="40" t="str">
        <f aca="false">INDEX({"CAQ","PLQ","QS","PQ","PCQ","Autre"},MATCH(MAX(AI20:AN20),AI20:AN20,0))</f>
        <v>PQ</v>
      </c>
      <c r="AS20" s="41" t="n">
        <f aca="false">(MAX(K20:P20)-LARGE(K20:P20,2))*100</f>
        <v>30.5711291590254</v>
      </c>
      <c r="AT20" s="42" t="str">
        <f aca="false">IF(AS20&lt;5,"Oui","Non")</f>
        <v>Non</v>
      </c>
      <c r="AU20" s="43" t="n">
        <v>-4.964</v>
      </c>
      <c r="AV20" s="43" t="n">
        <v>2.538</v>
      </c>
      <c r="AW20" s="43" t="n">
        <v>0.685</v>
      </c>
      <c r="AX20" s="43" t="n">
        <v>3.496</v>
      </c>
    </row>
    <row r="21" customFormat="false" ht="15" hidden="false" customHeight="true" outlineLevel="0" collapsed="false">
      <c r="A21" s="44" t="s">
        <v>91</v>
      </c>
      <c r="B21" s="44" t="s">
        <v>70</v>
      </c>
      <c r="C21" s="45" t="s">
        <v>3</v>
      </c>
      <c r="D21" s="46" t="n">
        <v>23513</v>
      </c>
      <c r="E21" s="46" t="n">
        <v>2138</v>
      </c>
      <c r="F21" s="46" t="n">
        <v>3775</v>
      </c>
      <c r="G21" s="46" t="n">
        <v>5065</v>
      </c>
      <c r="H21" s="46" t="n">
        <v>7383</v>
      </c>
      <c r="I21" s="46" t="n">
        <v>194</v>
      </c>
      <c r="J21" s="47" t="n">
        <f aca="false">SUM(D21:I21)</f>
        <v>42068</v>
      </c>
      <c r="K21" s="48" t="n">
        <f aca="false">IFERROR(D21/J21,0)</f>
        <v>0.558928401635447</v>
      </c>
      <c r="L21" s="48" t="n">
        <f aca="false">IFERROR(E21/J21,0)</f>
        <v>0.0508224778929352</v>
      </c>
      <c r="M21" s="48" t="n">
        <f aca="false">IFERROR(F21/J21,0)</f>
        <v>0.0897356660644671</v>
      </c>
      <c r="N21" s="48" t="n">
        <f aca="false">IFERROR(G21/J21,0)</f>
        <v>0.120400304269278</v>
      </c>
      <c r="O21" s="48" t="n">
        <f aca="false">IFERROR(H21/J21,0)</f>
        <v>0.175501568888466</v>
      </c>
      <c r="P21" s="48" t="n">
        <f aca="false">IFERROR(I21/J21,0)</f>
        <v>0.00461158124940572</v>
      </c>
      <c r="Q21" s="47" t="n">
        <f aca="false">D21*INDEX(Régions!$T$2:$T$6,MATCH($B21,Régions!$A$2:$A$6,0))</f>
        <v>13889.5358649789</v>
      </c>
      <c r="R21" s="47" t="n">
        <f aca="false">E21*INDEX(Régions!$U$2:$U$6,MATCH($B21,Régions!$A$2:$A$6,0))</f>
        <v>4893.84835479256</v>
      </c>
      <c r="S21" s="47" t="n">
        <f aca="false">F21*INDEX(Régions!$V$2:$V$6,MATCH($B21,Régions!$A$2:$A$6,0))</f>
        <v>2262.1722846442</v>
      </c>
      <c r="T21" s="47" t="n">
        <f aca="false">G21*INDEX(Régions!$W$2:$W$6,MATCH($B21,Régions!$A$2:$A$6,0))</f>
        <v>8853.82760699216</v>
      </c>
      <c r="U21" s="47" t="n">
        <f aca="false">H21*INDEX(Régions!$X$2:$X$6,MATCH($B21,Régions!$A$2:$A$6,0))</f>
        <v>8389.77272727273</v>
      </c>
      <c r="V21" s="47" t="n">
        <f aca="false">I21*INDEX(Régions!$Y$2:$Y$6,MATCH($B21,Régions!$A$2:$A$6,0))</f>
        <v>273.239436619718</v>
      </c>
      <c r="W21" s="47" t="n">
        <f aca="false">Q21+(AU21/100)*J21*Régions!$O$2</f>
        <v>13430.1533049789</v>
      </c>
      <c r="X21" s="47" t="n">
        <f aca="false">R21+(AV21/100)*J21*Régions!$O$2</f>
        <v>4726.41771479256</v>
      </c>
      <c r="Y21" s="47" t="n">
        <f aca="false">S21+(AW21/100)*J21*Régions!$O$2</f>
        <v>1643.7726846442</v>
      </c>
      <c r="Z21" s="47" t="n">
        <f aca="false">T21+(AX21/100)*J21*Régions!$O$2</f>
        <v>9730.73506699216</v>
      </c>
      <c r="AA21" s="47" t="n">
        <f aca="false">U21</f>
        <v>8389.77272727273</v>
      </c>
      <c r="AB21" s="47" t="n">
        <f aca="false">V21</f>
        <v>273.239436619718</v>
      </c>
      <c r="AC21" s="47" t="n">
        <f aca="false">D21*INDEX(Régions!$Z$2:$Z$6,MATCH($B21,Régions!$A$2:$A$6,0))</f>
        <v>15526.5168776371</v>
      </c>
      <c r="AD21" s="47" t="n">
        <f aca="false">E21*INDEX(Régions!$AA$2:$AA$6,MATCH($B21,Régions!$A$2:$A$6,0))</f>
        <v>5903.20457796853</v>
      </c>
      <c r="AE21" s="47" t="n">
        <f aca="false">F21*INDEX(Régions!$AB$2:$AB$6,MATCH($B21,Régions!$A$2:$A$6,0))</f>
        <v>3195.31835205993</v>
      </c>
      <c r="AF21" s="47" t="n">
        <f aca="false">G21*INDEX(Régions!$AC$2:$AC$6,MATCH($B21,Régions!$A$2:$A$6,0))</f>
        <v>9861.33212778782</v>
      </c>
      <c r="AG21" s="47" t="n">
        <f aca="false">H21*INDEX(Régions!$AD$2:$AD$6,MATCH($B21,Régions!$A$2:$A$6,0))</f>
        <v>10018.3756684492</v>
      </c>
      <c r="AH21" s="47" t="n">
        <f aca="false">I21*INDEX(Régions!$AE$2:$AE$6,MATCH($B21,Régions!$A$2:$A$6,0))</f>
        <v>1174.92957746479</v>
      </c>
      <c r="AI21" s="47" t="n">
        <f aca="false">D21*INDEX(Régions!$AF$2:$AF$6,MATCH($B21,Régions!$A$2:$A$6,0))</f>
        <v>12252.5548523207</v>
      </c>
      <c r="AJ21" s="47" t="n">
        <f aca="false">E21*INDEX(Régions!$AG$2:$AG$6,MATCH($B21,Régions!$A$2:$A$6,0))</f>
        <v>3884.49213161659</v>
      </c>
      <c r="AK21" s="47" t="n">
        <f aca="false">F21*INDEX(Régions!$AH$2:$AH$6,MATCH($B21,Régions!$A$2:$A$6,0))</f>
        <v>1329.02621722846</v>
      </c>
      <c r="AL21" s="47" t="n">
        <f aca="false">G21*INDEX(Régions!$AI$2:$AI$6,MATCH($B21,Régions!$A$2:$A$6,0))</f>
        <v>7846.3230861965</v>
      </c>
      <c r="AM21" s="47" t="n">
        <f aca="false">H21*INDEX(Régions!$AJ$2:$AJ$6,MATCH($B21,Régions!$A$2:$A$6,0))</f>
        <v>6761.16978609626</v>
      </c>
      <c r="AN21" s="47" t="n">
        <f aca="false">I21*INDEX(Régions!$AK$2:$AK$6,MATCH($B21,Régions!$A$2:$A$6,0))</f>
        <v>0</v>
      </c>
      <c r="AO21" s="49" t="str">
        <f aca="false">INDEX({"CAQ","PLQ","QS","PQ","PCQ","Autre"},MATCH(MAX(Q21:V21),Q21:V21,0))</f>
        <v>CAQ</v>
      </c>
      <c r="AP21" s="49" t="str">
        <f aca="false">INDEX({"CAQ","PLQ","QS","PQ","PCQ","Autre"},MATCH(MAX(W21:AB21),W21:AB21,0))</f>
        <v>CAQ</v>
      </c>
      <c r="AQ21" s="49" t="str">
        <f aca="false">INDEX({"CAQ","PLQ","QS","PQ","PCQ","Autre"},MATCH(MAX(AC21:AH21),AC21:AH21,0))</f>
        <v>CAQ</v>
      </c>
      <c r="AR21" s="49" t="str">
        <f aca="false">INDEX({"CAQ","PLQ","QS","PQ","PCQ","Autre"},MATCH(MAX(AI21:AN21),AI21:AN21,0))</f>
        <v>CAQ</v>
      </c>
      <c r="AS21" s="50" t="n">
        <f aca="false">(MAX(K21:P21)-LARGE(K21:P21,2))*100</f>
        <v>38.3426832746981</v>
      </c>
      <c r="AT21" s="51" t="str">
        <f aca="false">IF(AS21&lt;5,"Oui","Non")</f>
        <v>Non</v>
      </c>
      <c r="AU21" s="52" t="n">
        <v>-2.184</v>
      </c>
      <c r="AV21" s="52" t="n">
        <v>-0.796</v>
      </c>
      <c r="AW21" s="52" t="n">
        <v>-2.94</v>
      </c>
      <c r="AX21" s="52" t="n">
        <v>4.169</v>
      </c>
    </row>
    <row r="22" customFormat="false" ht="15" hidden="false" customHeight="true" outlineLevel="0" collapsed="false">
      <c r="A22" s="35" t="s">
        <v>92</v>
      </c>
      <c r="B22" s="35" t="s">
        <v>73</v>
      </c>
      <c r="C22" s="36" t="s">
        <v>3</v>
      </c>
      <c r="D22" s="37" t="n">
        <v>16363</v>
      </c>
      <c r="E22" s="37" t="n">
        <v>4259</v>
      </c>
      <c r="F22" s="37" t="n">
        <v>4129</v>
      </c>
      <c r="G22" s="37" t="n">
        <v>3033</v>
      </c>
      <c r="H22" s="37" t="n">
        <v>3161</v>
      </c>
      <c r="I22" s="37" t="n">
        <v>339</v>
      </c>
      <c r="J22" s="38" t="n">
        <f aca="false">SUM(D22:I22)</f>
        <v>31284</v>
      </c>
      <c r="K22" s="39" t="n">
        <f aca="false">IFERROR(D22/J22,0)</f>
        <v>0.523046924945659</v>
      </c>
      <c r="L22" s="39" t="n">
        <f aca="false">IFERROR(E22/J22,0)</f>
        <v>0.136139879810766</v>
      </c>
      <c r="M22" s="39" t="n">
        <f aca="false">IFERROR(F22/J22,0)</f>
        <v>0.131984400971743</v>
      </c>
      <c r="N22" s="39" t="n">
        <f aca="false">IFERROR(G22/J22,0)</f>
        <v>0.0969505178365938</v>
      </c>
      <c r="O22" s="39" t="n">
        <f aca="false">IFERROR(H22/J22,0)</f>
        <v>0.10104206623194</v>
      </c>
      <c r="P22" s="39" t="n">
        <f aca="false">IFERROR(I22/J22,0)</f>
        <v>0.0108362102032988</v>
      </c>
      <c r="Q22" s="38" t="n">
        <f aca="false">D22*INDEX(Régions!$T$2:$T$6,MATCH($B22,Régions!$A$2:$A$6,0))</f>
        <v>12266.1169415292</v>
      </c>
      <c r="R22" s="38" t="n">
        <f aca="false">E22*INDEX(Régions!$U$2:$U$6,MATCH($B22,Régions!$A$2:$A$6,0))</f>
        <v>4251.49735760423</v>
      </c>
      <c r="S22" s="38" t="n">
        <f aca="false">F22*INDEX(Régions!$V$2:$V$6,MATCH($B22,Régions!$A$2:$A$6,0))</f>
        <v>3168.9841986456</v>
      </c>
      <c r="T22" s="38" t="n">
        <f aca="false">G22*INDEX(Régions!$W$2:$W$6,MATCH($B22,Régions!$A$2:$A$6,0))</f>
        <v>6822.11808809747</v>
      </c>
      <c r="U22" s="38" t="n">
        <f aca="false">H22*INDEX(Régions!$X$2:$X$6,MATCH($B22,Régions!$A$2:$A$6,0))</f>
        <v>2536.40922768305</v>
      </c>
      <c r="V22" s="38" t="n">
        <f aca="false">I22*INDEX(Régions!$Y$2:$Y$6,MATCH($B22,Régions!$A$2:$A$6,0))</f>
        <v>216.613418530351</v>
      </c>
      <c r="W22" s="38" t="n">
        <f aca="false">Q22+(AU22/100)*J22*Régions!$O$2</f>
        <v>13794.1839215292</v>
      </c>
      <c r="X22" s="38" t="n">
        <f aca="false">R22+(AV22/100)*J22*Régions!$O$2</f>
        <v>2610.80797760423</v>
      </c>
      <c r="Y22" s="38" t="n">
        <f aca="false">S22+(AW22/100)*J22*Régions!$O$2</f>
        <v>2680.6409586456</v>
      </c>
      <c r="Z22" s="38" t="n">
        <f aca="false">T22+(AX22/100)*J22*Régions!$O$2</f>
        <v>7118.53398809747</v>
      </c>
      <c r="AA22" s="38" t="n">
        <f aca="false">U22</f>
        <v>2536.40922768305</v>
      </c>
      <c r="AB22" s="38" t="n">
        <f aca="false">V22</f>
        <v>216.613418530351</v>
      </c>
      <c r="AC22" s="38" t="n">
        <f aca="false">D22*INDEX(Régions!$Z$2:$Z$6,MATCH($B22,Régions!$A$2:$A$6,0))</f>
        <v>14964.6626686657</v>
      </c>
      <c r="AD22" s="38" t="n">
        <f aca="false">E22*INDEX(Régions!$AA$2:$AA$6,MATCH($B22,Régions!$A$2:$A$6,0))</f>
        <v>4664.1426893717</v>
      </c>
      <c r="AE22" s="38" t="n">
        <f aca="false">F22*INDEX(Régions!$AB$2:$AB$6,MATCH($B22,Régions!$A$2:$A$6,0))</f>
        <v>3784.13995485327</v>
      </c>
      <c r="AF22" s="38" t="n">
        <f aca="false">G22*INDEX(Régions!$AC$2:$AC$6,MATCH($B22,Régions!$A$2:$A$6,0))</f>
        <v>7760.15932521087</v>
      </c>
      <c r="AG22" s="38" t="n">
        <f aca="false">H22*INDEX(Régions!$AD$2:$AD$6,MATCH($B22,Régions!$A$2:$A$6,0))</f>
        <v>3582.67803410231</v>
      </c>
      <c r="AH22" s="38" t="n">
        <f aca="false">I22*INDEX(Régions!$AE$2:$AE$6,MATCH($B22,Régions!$A$2:$A$6,0))</f>
        <v>574.025559105431</v>
      </c>
      <c r="AI22" s="38" t="n">
        <f aca="false">D22*INDEX(Régions!$AF$2:$AF$6,MATCH($B22,Régions!$A$2:$A$6,0))</f>
        <v>9567.5712143928</v>
      </c>
      <c r="AJ22" s="38" t="n">
        <f aca="false">E22*INDEX(Régions!$AG$2:$AG$6,MATCH($B22,Régions!$A$2:$A$6,0))</f>
        <v>3838.85202583676</v>
      </c>
      <c r="AK22" s="38" t="n">
        <f aca="false">F22*INDEX(Régions!$AH$2:$AH$6,MATCH($B22,Régions!$A$2:$A$6,0))</f>
        <v>2553.82844243792</v>
      </c>
      <c r="AL22" s="38" t="n">
        <f aca="false">G22*INDEX(Régions!$AI$2:$AI$6,MATCH($B22,Régions!$A$2:$A$6,0))</f>
        <v>5884.07685098407</v>
      </c>
      <c r="AM22" s="38" t="n">
        <f aca="false">H22*INDEX(Régions!$AJ$2:$AJ$6,MATCH($B22,Régions!$A$2:$A$6,0))</f>
        <v>1490.14042126379</v>
      </c>
      <c r="AN22" s="38" t="n">
        <f aca="false">I22*INDEX(Régions!$AK$2:$AK$6,MATCH($B22,Régions!$A$2:$A$6,0))</f>
        <v>0</v>
      </c>
      <c r="AO22" s="40" t="str">
        <f aca="false">INDEX({"CAQ","PLQ","QS","PQ","PCQ","Autre"},MATCH(MAX(Q22:V22),Q22:V22,0))</f>
        <v>CAQ</v>
      </c>
      <c r="AP22" s="40" t="str">
        <f aca="false">INDEX({"CAQ","PLQ","QS","PQ","PCQ","Autre"},MATCH(MAX(W22:AB22),W22:AB22,0))</f>
        <v>CAQ</v>
      </c>
      <c r="AQ22" s="40" t="str">
        <f aca="false">INDEX({"CAQ","PLQ","QS","PQ","PCQ","Autre"},MATCH(MAX(AC22:AH22),AC22:AH22,0))</f>
        <v>CAQ</v>
      </c>
      <c r="AR22" s="40" t="str">
        <f aca="false">INDEX({"CAQ","PLQ","QS","PQ","PCQ","Autre"},MATCH(MAX(AI22:AN22),AI22:AN22,0))</f>
        <v>CAQ</v>
      </c>
      <c r="AS22" s="41" t="n">
        <f aca="false">(MAX(K22:P22)-LARGE(K22:P22,2))*100</f>
        <v>38.6907045134893</v>
      </c>
      <c r="AT22" s="42" t="str">
        <f aca="false">IF(AS22&lt;5,"Oui","Non")</f>
        <v>Non</v>
      </c>
      <c r="AU22" s="43" t="n">
        <v>9.769</v>
      </c>
      <c r="AV22" s="43" t="n">
        <v>-10.489</v>
      </c>
      <c r="AW22" s="43" t="n">
        <v>-3.122</v>
      </c>
      <c r="AX22" s="43" t="n">
        <v>1.895</v>
      </c>
    </row>
    <row r="23" customFormat="false" ht="15" hidden="false" customHeight="true" outlineLevel="0" collapsed="false">
      <c r="A23" s="44" t="s">
        <v>93</v>
      </c>
      <c r="B23" s="44" t="s">
        <v>94</v>
      </c>
      <c r="C23" s="45" t="s">
        <v>3</v>
      </c>
      <c r="D23" s="46" t="n">
        <v>18921</v>
      </c>
      <c r="E23" s="46" t="n">
        <v>2518</v>
      </c>
      <c r="F23" s="46" t="n">
        <v>5486</v>
      </c>
      <c r="G23" s="46" t="n">
        <v>5967</v>
      </c>
      <c r="H23" s="46" t="n">
        <v>8564</v>
      </c>
      <c r="I23" s="46" t="n">
        <v>586</v>
      </c>
      <c r="J23" s="47" t="n">
        <f aca="false">SUM(D23:I23)</f>
        <v>42042</v>
      </c>
      <c r="K23" s="48" t="n">
        <f aca="false">IFERROR(D23/J23,0)</f>
        <v>0.45004995004995</v>
      </c>
      <c r="L23" s="48" t="n">
        <f aca="false">IFERROR(E23/J23,0)</f>
        <v>0.059892488463917</v>
      </c>
      <c r="M23" s="48" t="n">
        <f aca="false">IFERROR(F23/J23,0)</f>
        <v>0.130488559059988</v>
      </c>
      <c r="N23" s="48" t="n">
        <f aca="false">IFERROR(G23/J23,0)</f>
        <v>0.141929499072356</v>
      </c>
      <c r="O23" s="48" t="n">
        <f aca="false">IFERROR(H23/J23,0)</f>
        <v>0.203701060843918</v>
      </c>
      <c r="P23" s="48" t="n">
        <f aca="false">IFERROR(I23/J23,0)</f>
        <v>0.0139384425098711</v>
      </c>
      <c r="Q23" s="47" t="n">
        <f aca="false">D23*INDEX(Régions!$T$2:$T$6,MATCH($B23,Régions!$A$2:$A$6,0))</f>
        <v>15785.7705677868</v>
      </c>
      <c r="R23" s="47" t="n">
        <f aca="false">E23*INDEX(Régions!$U$2:$U$6,MATCH($B23,Régions!$A$2:$A$6,0))</f>
        <v>3018.15068493151</v>
      </c>
      <c r="S23" s="47" t="n">
        <f aca="false">F23*INDEX(Régions!$V$2:$V$6,MATCH($B23,Régions!$A$2:$A$6,0))</f>
        <v>2155.59921414538</v>
      </c>
      <c r="T23" s="47" t="n">
        <f aca="false">G23*INDEX(Régions!$W$2:$W$6,MATCH($B23,Régions!$A$2:$A$6,0))</f>
        <v>12590.5048982668</v>
      </c>
      <c r="U23" s="47" t="n">
        <f aca="false">H23*INDEX(Régions!$X$2:$X$6,MATCH($B23,Régions!$A$2:$A$6,0))</f>
        <v>8795.89169000934</v>
      </c>
      <c r="V23" s="47" t="n">
        <f aca="false">I23*INDEX(Régions!$Y$2:$Y$6,MATCH($B23,Régions!$A$2:$A$6,0))</f>
        <v>552.830188679245</v>
      </c>
      <c r="W23" s="47" t="n">
        <f aca="false">Q23+(AU23/100)*J23*Régions!$O$2</f>
        <v>15696.8517377868</v>
      </c>
      <c r="X23" s="47" t="n">
        <f aca="false">R23+(AV23/100)*J23*Régions!$O$2</f>
        <v>2695.05791493151</v>
      </c>
      <c r="Y23" s="47" t="n">
        <f aca="false">S23+(AW23/100)*J23*Régions!$O$2</f>
        <v>2218.45200414538</v>
      </c>
      <c r="Z23" s="47" t="n">
        <f aca="false">T23+(AX23/100)*J23*Régions!$O$2</f>
        <v>12717.8921582668</v>
      </c>
      <c r="AA23" s="47" t="n">
        <f aca="false">U23</f>
        <v>8795.89169000934</v>
      </c>
      <c r="AB23" s="47" t="n">
        <f aca="false">V23</f>
        <v>552.830188679245</v>
      </c>
      <c r="AC23" s="47" t="n">
        <f aca="false">D23*INDEX(Régions!$Z$2:$Z$6,MATCH($B23,Régions!$A$2:$A$6,0))</f>
        <v>17232.7995365006</v>
      </c>
      <c r="AD23" s="47" t="n">
        <f aca="false">E23*INDEX(Régions!$AA$2:$AA$6,MATCH($B23,Régions!$A$2:$A$6,0))</f>
        <v>4440.99315068493</v>
      </c>
      <c r="AE23" s="47" t="n">
        <f aca="false">F23*INDEX(Régions!$AB$2:$AB$6,MATCH($B23,Régions!$A$2:$A$6,0))</f>
        <v>3341.17878192534</v>
      </c>
      <c r="AF23" s="47" t="n">
        <f aca="false">G23*INDEX(Régions!$AC$2:$AC$6,MATCH($B23,Régions!$A$2:$A$6,0))</f>
        <v>14074.3858327054</v>
      </c>
      <c r="AG23" s="47" t="n">
        <f aca="false">H23*INDEX(Régions!$AD$2:$AD$6,MATCH($B23,Régions!$A$2:$A$6,0))</f>
        <v>10115.2754435107</v>
      </c>
      <c r="AH23" s="47" t="n">
        <f aca="false">I23*INDEX(Régions!$AE$2:$AE$6,MATCH($B23,Régions!$A$2:$A$6,0))</f>
        <v>2377.16981132075</v>
      </c>
      <c r="AI23" s="47" t="n">
        <f aca="false">D23*INDEX(Régions!$AF$2:$AF$6,MATCH($B23,Régions!$A$2:$A$6,0))</f>
        <v>14338.741599073</v>
      </c>
      <c r="AJ23" s="47" t="n">
        <f aca="false">E23*INDEX(Régions!$AG$2:$AG$6,MATCH($B23,Régions!$A$2:$A$6,0))</f>
        <v>1595.30821917808</v>
      </c>
      <c r="AK23" s="47" t="n">
        <f aca="false">F23*INDEX(Régions!$AH$2:$AH$6,MATCH($B23,Régions!$A$2:$A$6,0))</f>
        <v>970.019646365422</v>
      </c>
      <c r="AL23" s="47" t="n">
        <f aca="false">G23*INDEX(Régions!$AI$2:$AI$6,MATCH($B23,Régions!$A$2:$A$6,0))</f>
        <v>11106.6239638282</v>
      </c>
      <c r="AM23" s="47" t="n">
        <f aca="false">H23*INDEX(Régions!$AJ$2:$AJ$6,MATCH($B23,Régions!$A$2:$A$6,0))</f>
        <v>7476.50793650794</v>
      </c>
      <c r="AN23" s="47" t="n">
        <f aca="false">I23*INDEX(Régions!$AK$2:$AK$6,MATCH($B23,Régions!$A$2:$A$6,0))</f>
        <v>0</v>
      </c>
      <c r="AO23" s="49" t="str">
        <f aca="false">INDEX({"CAQ","PLQ","QS","PQ","PCQ","Autre"},MATCH(MAX(Q23:V23),Q23:V23,0))</f>
        <v>CAQ</v>
      </c>
      <c r="AP23" s="49" t="str">
        <f aca="false">INDEX({"CAQ","PLQ","QS","PQ","PCQ","Autre"},MATCH(MAX(W23:AB23),W23:AB23,0))</f>
        <v>CAQ</v>
      </c>
      <c r="AQ23" s="49" t="str">
        <f aca="false">INDEX({"CAQ","PLQ","QS","PQ","PCQ","Autre"},MATCH(MAX(AC23:AH23),AC23:AH23,0))</f>
        <v>CAQ</v>
      </c>
      <c r="AR23" s="49" t="str">
        <f aca="false">INDEX({"CAQ","PLQ","QS","PQ","PCQ","Autre"},MATCH(MAX(AI23:AN23),AI23:AN23,0))</f>
        <v>CAQ</v>
      </c>
      <c r="AS23" s="50" t="n">
        <f aca="false">(MAX(K23:P23)-LARGE(K23:P23,2))*100</f>
        <v>24.6348889206032</v>
      </c>
      <c r="AT23" s="51" t="str">
        <f aca="false">IF(AS23&lt;5,"Oui","Non")</f>
        <v>Non</v>
      </c>
      <c r="AU23" s="52" t="n">
        <v>-0.423</v>
      </c>
      <c r="AV23" s="52" t="n">
        <v>-1.537</v>
      </c>
      <c r="AW23" s="52" t="n">
        <v>0.299</v>
      </c>
      <c r="AX23" s="52" t="n">
        <v>0.606</v>
      </c>
    </row>
    <row r="24" customFormat="false" ht="15" hidden="false" customHeight="true" outlineLevel="0" collapsed="false">
      <c r="A24" s="35" t="s">
        <v>95</v>
      </c>
      <c r="B24" s="35" t="s">
        <v>94</v>
      </c>
      <c r="C24" s="36" t="s">
        <v>3</v>
      </c>
      <c r="D24" s="37" t="n">
        <v>17979</v>
      </c>
      <c r="E24" s="37" t="n">
        <v>1756</v>
      </c>
      <c r="F24" s="37" t="n">
        <v>4677</v>
      </c>
      <c r="G24" s="37" t="n">
        <v>6041</v>
      </c>
      <c r="H24" s="37" t="n">
        <v>6763</v>
      </c>
      <c r="I24" s="37" t="n">
        <v>106</v>
      </c>
      <c r="J24" s="38" t="n">
        <f aca="false">SUM(D24:I24)</f>
        <v>37322</v>
      </c>
      <c r="K24" s="39" t="n">
        <f aca="false">IFERROR(D24/J24,0)</f>
        <v>0.481726595573656</v>
      </c>
      <c r="L24" s="39" t="n">
        <f aca="false">IFERROR(E24/J24,0)</f>
        <v>0.0470499973206152</v>
      </c>
      <c r="M24" s="39" t="n">
        <f aca="false">IFERROR(F24/J24,0)</f>
        <v>0.125314827715557</v>
      </c>
      <c r="N24" s="39" t="n">
        <f aca="false">IFERROR(G24/J24,0)</f>
        <v>0.161861636568244</v>
      </c>
      <c r="O24" s="39" t="n">
        <f aca="false">IFERROR(H24/J24,0)</f>
        <v>0.181206794919886</v>
      </c>
      <c r="P24" s="39" t="n">
        <f aca="false">IFERROR(I24/J24,0)</f>
        <v>0.00284014790204169</v>
      </c>
      <c r="Q24" s="38" t="n">
        <f aca="false">D24*INDEX(Régions!$T$2:$T$6,MATCH($B24,Régions!$A$2:$A$6,0))</f>
        <v>14999.8609501738</v>
      </c>
      <c r="R24" s="38" t="n">
        <f aca="false">E24*INDEX(Régions!$U$2:$U$6,MATCH($B24,Régions!$A$2:$A$6,0))</f>
        <v>2104.79452054795</v>
      </c>
      <c r="S24" s="38" t="n">
        <f aca="false">F24*INDEX(Régions!$V$2:$V$6,MATCH($B24,Régions!$A$2:$A$6,0))</f>
        <v>1837.721021611</v>
      </c>
      <c r="T24" s="38" t="n">
        <f aca="false">G24*INDEX(Régions!$W$2:$W$6,MATCH($B24,Régions!$A$2:$A$6,0))</f>
        <v>12746.6465712133</v>
      </c>
      <c r="U24" s="38" t="n">
        <f aca="false">H24*INDEX(Régions!$X$2:$X$6,MATCH($B24,Régions!$A$2:$A$6,0))</f>
        <v>6946.12511671335</v>
      </c>
      <c r="V24" s="38" t="n">
        <f aca="false">I24*INDEX(Régions!$Y$2:$Y$6,MATCH($B24,Régions!$A$2:$A$6,0))</f>
        <v>100</v>
      </c>
      <c r="W24" s="38" t="n">
        <f aca="false">Q24+(AU24/100)*J24*Régions!$O$2</f>
        <v>16026.0293401738</v>
      </c>
      <c r="X24" s="38" t="n">
        <f aca="false">R24+(AV24/100)*J24*Régions!$O$2</f>
        <v>1537.68673054795</v>
      </c>
      <c r="Y24" s="38" t="n">
        <f aca="false">S24+(AW24/100)*J24*Régions!$O$2</f>
        <v>1917.030271611</v>
      </c>
      <c r="Z24" s="38" t="n">
        <f aca="false">T24+(AX24/100)*J24*Régions!$O$2</f>
        <v>12189.6157212133</v>
      </c>
      <c r="AA24" s="38" t="n">
        <f aca="false">U24</f>
        <v>6946.12511671335</v>
      </c>
      <c r="AB24" s="38" t="n">
        <f aca="false">V24</f>
        <v>100</v>
      </c>
      <c r="AC24" s="38" t="n">
        <f aca="false">D24*INDEX(Régions!$Z$2:$Z$6,MATCH($B24,Régions!$A$2:$A$6,0))</f>
        <v>16374.8482039397</v>
      </c>
      <c r="AD24" s="38" t="n">
        <f aca="false">E24*INDEX(Régions!$AA$2:$AA$6,MATCH($B24,Régions!$A$2:$A$6,0))</f>
        <v>3097.05479452055</v>
      </c>
      <c r="AE24" s="38" t="n">
        <f aca="false">F24*INDEX(Régions!$AB$2:$AB$6,MATCH($B24,Régions!$A$2:$A$6,0))</f>
        <v>2848.46758349705</v>
      </c>
      <c r="AF24" s="38" t="n">
        <f aca="false">G24*INDEX(Régions!$AC$2:$AC$6,MATCH($B24,Régions!$A$2:$A$6,0))</f>
        <v>14248.9299171063</v>
      </c>
      <c r="AG24" s="38" t="n">
        <f aca="false">H24*INDEX(Régions!$AD$2:$AD$6,MATCH($B24,Régions!$A$2:$A$6,0))</f>
        <v>7988.04388422036</v>
      </c>
      <c r="AH24" s="38" t="n">
        <f aca="false">I24*INDEX(Régions!$AE$2:$AE$6,MATCH($B24,Régions!$A$2:$A$6,0))</f>
        <v>430</v>
      </c>
      <c r="AI24" s="38" t="n">
        <f aca="false">D24*INDEX(Régions!$AF$2:$AF$6,MATCH($B24,Régions!$A$2:$A$6,0))</f>
        <v>13624.8736964079</v>
      </c>
      <c r="AJ24" s="38" t="n">
        <f aca="false">E24*INDEX(Régions!$AG$2:$AG$6,MATCH($B24,Régions!$A$2:$A$6,0))</f>
        <v>1112.53424657534</v>
      </c>
      <c r="AK24" s="38" t="n">
        <f aca="false">F24*INDEX(Régions!$AH$2:$AH$6,MATCH($B24,Régions!$A$2:$A$6,0))</f>
        <v>826.974459724951</v>
      </c>
      <c r="AL24" s="38" t="n">
        <f aca="false">G24*INDEX(Régions!$AI$2:$AI$6,MATCH($B24,Régions!$A$2:$A$6,0))</f>
        <v>11244.3632253203</v>
      </c>
      <c r="AM24" s="38" t="n">
        <f aca="false">H24*INDEX(Régions!$AJ$2:$AJ$6,MATCH($B24,Régions!$A$2:$A$6,0))</f>
        <v>5904.20634920635</v>
      </c>
      <c r="AN24" s="38" t="n">
        <f aca="false">I24*INDEX(Régions!$AK$2:$AK$6,MATCH($B24,Régions!$A$2:$A$6,0))</f>
        <v>0</v>
      </c>
      <c r="AO24" s="40" t="str">
        <f aca="false">INDEX({"CAQ","PLQ","QS","PQ","PCQ","Autre"},MATCH(MAX(Q24:V24),Q24:V24,0))</f>
        <v>CAQ</v>
      </c>
      <c r="AP24" s="40" t="str">
        <f aca="false">INDEX({"CAQ","PLQ","QS","PQ","PCQ","Autre"},MATCH(MAX(W24:AB24),W24:AB24,0))</f>
        <v>CAQ</v>
      </c>
      <c r="AQ24" s="40" t="str">
        <f aca="false">INDEX({"CAQ","PLQ","QS","PQ","PCQ","Autre"},MATCH(MAX(AC24:AH24),AC24:AH24,0))</f>
        <v>CAQ</v>
      </c>
      <c r="AR24" s="40" t="str">
        <f aca="false">INDEX({"CAQ","PLQ","QS","PQ","PCQ","Autre"},MATCH(MAX(AI24:AN24),AI24:AN24,0))</f>
        <v>CAQ</v>
      </c>
      <c r="AS24" s="41" t="n">
        <f aca="false">(MAX(K24:P24)-LARGE(K24:P24,2))*100</f>
        <v>30.051980065377</v>
      </c>
      <c r="AT24" s="42" t="str">
        <f aca="false">IF(AS24&lt;5,"Oui","Non")</f>
        <v>Non</v>
      </c>
      <c r="AU24" s="43" t="n">
        <v>5.499</v>
      </c>
      <c r="AV24" s="43" t="n">
        <v>-3.039</v>
      </c>
      <c r="AW24" s="43" t="n">
        <v>0.425</v>
      </c>
      <c r="AX24" s="43" t="n">
        <v>-2.985</v>
      </c>
    </row>
    <row r="25" customFormat="false" ht="15" hidden="false" customHeight="true" outlineLevel="0" collapsed="false">
      <c r="A25" s="44" t="s">
        <v>96</v>
      </c>
      <c r="B25" s="44" t="s">
        <v>80</v>
      </c>
      <c r="C25" s="45" t="s">
        <v>3</v>
      </c>
      <c r="D25" s="46" t="n">
        <v>13038</v>
      </c>
      <c r="E25" s="46" t="n">
        <v>8260</v>
      </c>
      <c r="F25" s="46" t="n">
        <v>4261</v>
      </c>
      <c r="G25" s="46" t="n">
        <v>3947</v>
      </c>
      <c r="H25" s="46" t="n">
        <v>3363</v>
      </c>
      <c r="I25" s="46" t="n">
        <v>463</v>
      </c>
      <c r="J25" s="47" t="n">
        <f aca="false">SUM(D25:I25)</f>
        <v>33332</v>
      </c>
      <c r="K25" s="48" t="n">
        <f aca="false">IFERROR(D25/J25,0)</f>
        <v>0.391155646225849</v>
      </c>
      <c r="L25" s="48" t="n">
        <f aca="false">IFERROR(E25/J25,0)</f>
        <v>0.247809912396496</v>
      </c>
      <c r="M25" s="48" t="n">
        <f aca="false">IFERROR(F25/J25,0)</f>
        <v>0.127835113404536</v>
      </c>
      <c r="N25" s="48" t="n">
        <f aca="false">IFERROR(G25/J25,0)</f>
        <v>0.118414736589464</v>
      </c>
      <c r="O25" s="48" t="n">
        <f aca="false">IFERROR(H25/J25,0)</f>
        <v>0.10089403576143</v>
      </c>
      <c r="P25" s="48" t="n">
        <f aca="false">IFERROR(I25/J25,0)</f>
        <v>0.0138905556222249</v>
      </c>
      <c r="Q25" s="47" t="n">
        <f aca="false">D25*INDEX(Régions!$T$2:$T$6,MATCH($B25,Régions!$A$2:$A$6,0))</f>
        <v>9216.16964877402</v>
      </c>
      <c r="R25" s="47" t="n">
        <f aca="false">E25*INDEX(Régions!$U$2:$U$6,MATCH($B25,Régions!$A$2:$A$6,0))</f>
        <v>10552.1646557842</v>
      </c>
      <c r="S25" s="47" t="n">
        <f aca="false">F25*INDEX(Régions!$V$2:$V$6,MATCH($B25,Régions!$A$2:$A$6,0))</f>
        <v>2148.91930835735</v>
      </c>
      <c r="T25" s="47" t="n">
        <f aca="false">G25*INDEX(Régions!$W$2:$W$6,MATCH($B25,Régions!$A$2:$A$6,0))</f>
        <v>7769.68503937008</v>
      </c>
      <c r="U25" s="47" t="n">
        <f aca="false">H25*INDEX(Régions!$X$2:$X$6,MATCH($B25,Régions!$A$2:$A$6,0))</f>
        <v>3925.68093385214</v>
      </c>
      <c r="V25" s="47" t="n">
        <f aca="false">I25*INDEX(Régions!$Y$2:$Y$6,MATCH($B25,Régions!$A$2:$A$6,0))</f>
        <v>373.387096774194</v>
      </c>
      <c r="W25" s="47" t="n">
        <f aca="false">Q25+(AU25/100)*J25*Régions!$O$2</f>
        <v>9030.34374877402</v>
      </c>
      <c r="X25" s="47" t="n">
        <f aca="false">R25+(AV25/100)*J25*Régions!$O$2</f>
        <v>10219.0113157842</v>
      </c>
      <c r="Y25" s="47" t="n">
        <f aca="false">S25+(AW25/100)*J25*Régions!$O$2</f>
        <v>2262.24810835735</v>
      </c>
      <c r="Z25" s="47" t="n">
        <f aca="false">T25+(AX25/100)*J25*Régions!$O$2</f>
        <v>8203.33435937008</v>
      </c>
      <c r="AA25" s="47" t="n">
        <f aca="false">U25</f>
        <v>3925.68093385214</v>
      </c>
      <c r="AB25" s="47" t="n">
        <f aca="false">V25</f>
        <v>373.387096774194</v>
      </c>
      <c r="AC25" s="47" t="n">
        <f aca="false">D25*INDEX(Régions!$Z$2:$Z$6,MATCH($B25,Régions!$A$2:$A$6,0))</f>
        <v>10166.5871438038</v>
      </c>
      <c r="AD25" s="47" t="n">
        <f aca="false">E25*INDEX(Régions!$AA$2:$AA$6,MATCH($B25,Régions!$A$2:$A$6,0))</f>
        <v>12486.7281760114</v>
      </c>
      <c r="AE25" s="47" t="n">
        <f aca="false">F25*INDEX(Régions!$AB$2:$AB$6,MATCH($B25,Régions!$A$2:$A$6,0))</f>
        <v>3161.98126801153</v>
      </c>
      <c r="AF25" s="47" t="n">
        <f aca="false">G25*INDEX(Régions!$AC$2:$AC$6,MATCH($B25,Régions!$A$2:$A$6,0))</f>
        <v>8624.35039370079</v>
      </c>
      <c r="AG25" s="47" t="n">
        <f aca="false">H25*INDEX(Régions!$AD$2:$AD$6,MATCH($B25,Régions!$A$2:$A$6,0))</f>
        <v>5005.24319066148</v>
      </c>
      <c r="AH25" s="47" t="n">
        <f aca="false">I25*INDEX(Régions!$AE$2:$AE$6,MATCH($B25,Régions!$A$2:$A$6,0))</f>
        <v>1605.56451612903</v>
      </c>
      <c r="AI25" s="47" t="n">
        <f aca="false">D25*INDEX(Régions!$AF$2:$AF$6,MATCH($B25,Régions!$A$2:$A$6,0))</f>
        <v>8265.7521537442</v>
      </c>
      <c r="AJ25" s="47" t="n">
        <f aca="false">E25*INDEX(Régions!$AG$2:$AG$6,MATCH($B25,Régions!$A$2:$A$6,0))</f>
        <v>8617.60113555713</v>
      </c>
      <c r="AK25" s="47" t="n">
        <f aca="false">F25*INDEX(Régions!$AH$2:$AH$6,MATCH($B25,Régions!$A$2:$A$6,0))</f>
        <v>1135.85734870317</v>
      </c>
      <c r="AL25" s="47" t="n">
        <f aca="false">G25*INDEX(Régions!$AI$2:$AI$6,MATCH($B25,Régions!$A$2:$A$6,0))</f>
        <v>6915.01968503937</v>
      </c>
      <c r="AM25" s="47" t="n">
        <f aca="false">H25*INDEX(Régions!$AJ$2:$AJ$6,MATCH($B25,Régions!$A$2:$A$6,0))</f>
        <v>2846.1186770428</v>
      </c>
      <c r="AN25" s="47" t="n">
        <f aca="false">I25*INDEX(Régions!$AK$2:$AK$6,MATCH($B25,Régions!$A$2:$A$6,0))</f>
        <v>0</v>
      </c>
      <c r="AO25" s="49" t="str">
        <f aca="false">INDEX({"CAQ","PLQ","QS","PQ","PCQ","Autre"},MATCH(MAX(Q25:V25),Q25:V25,0))</f>
        <v>PLQ</v>
      </c>
      <c r="AP25" s="49" t="str">
        <f aca="false">INDEX({"CAQ","PLQ","QS","PQ","PCQ","Autre"},MATCH(MAX(W25:AB25),W25:AB25,0))</f>
        <v>PLQ</v>
      </c>
      <c r="AQ25" s="49" t="str">
        <f aca="false">INDEX({"CAQ","PLQ","QS","PQ","PCQ","Autre"},MATCH(MAX(AC25:AH25),AC25:AH25,0))</f>
        <v>PLQ</v>
      </c>
      <c r="AR25" s="49" t="str">
        <f aca="false">INDEX({"CAQ","PLQ","QS","PQ","PCQ","Autre"},MATCH(MAX(AI25:AN25),AI25:AN25,0))</f>
        <v>PLQ</v>
      </c>
      <c r="AS25" s="50" t="n">
        <f aca="false">(MAX(K25:P25)-LARGE(K25:P25,2))*100</f>
        <v>14.3345733829353</v>
      </c>
      <c r="AT25" s="51" t="str">
        <f aca="false">IF(AS25&lt;5,"Oui","Non")</f>
        <v>Non</v>
      </c>
      <c r="AU25" s="52" t="n">
        <v>-1.115</v>
      </c>
      <c r="AV25" s="52" t="n">
        <v>-1.999</v>
      </c>
      <c r="AW25" s="52" t="n">
        <v>0.68</v>
      </c>
      <c r="AX25" s="52" t="n">
        <v>2.602</v>
      </c>
    </row>
    <row r="26" customFormat="false" ht="15" hidden="false" customHeight="true" outlineLevel="0" collapsed="false">
      <c r="A26" s="35" t="s">
        <v>97</v>
      </c>
      <c r="B26" s="35" t="s">
        <v>94</v>
      </c>
      <c r="C26" s="36" t="s">
        <v>3</v>
      </c>
      <c r="D26" s="37" t="n">
        <v>20292</v>
      </c>
      <c r="E26" s="37" t="n">
        <v>1651</v>
      </c>
      <c r="F26" s="37" t="n">
        <v>3816</v>
      </c>
      <c r="G26" s="37" t="n">
        <v>3307</v>
      </c>
      <c r="H26" s="37" t="n">
        <v>13794</v>
      </c>
      <c r="I26" s="37" t="n">
        <v>458</v>
      </c>
      <c r="J26" s="38" t="n">
        <f aca="false">SUM(D26:I26)</f>
        <v>43318</v>
      </c>
      <c r="K26" s="39" t="n">
        <f aca="false">IFERROR(D26/J26,0)</f>
        <v>0.468442679717438</v>
      </c>
      <c r="L26" s="39" t="n">
        <f aca="false">IFERROR(E26/J26,0)</f>
        <v>0.0381134863105407</v>
      </c>
      <c r="M26" s="39" t="n">
        <f aca="false">IFERROR(F26/J26,0)</f>
        <v>0.0880927097280576</v>
      </c>
      <c r="N26" s="39" t="n">
        <f aca="false">IFERROR(G26/J26,0)</f>
        <v>0.0763423980793204</v>
      </c>
      <c r="O26" s="39" t="n">
        <f aca="false">IFERROR(H26/J26,0)</f>
        <v>0.318435754189944</v>
      </c>
      <c r="P26" s="39" t="n">
        <f aca="false">IFERROR(I26/J26,0)</f>
        <v>0.0105729719746987</v>
      </c>
      <c r="Q26" s="38" t="n">
        <f aca="false">D26*INDEX(Régions!$T$2:$T$6,MATCH($B26,Régions!$A$2:$A$6,0))</f>
        <v>16929.594438007</v>
      </c>
      <c r="R26" s="38" t="n">
        <f aca="false">E26*INDEX(Régions!$U$2:$U$6,MATCH($B26,Régions!$A$2:$A$6,0))</f>
        <v>1978.93835616438</v>
      </c>
      <c r="S26" s="38" t="n">
        <f aca="false">F26*INDEX(Régions!$V$2:$V$6,MATCH($B26,Régions!$A$2:$A$6,0))</f>
        <v>1499.41060903733</v>
      </c>
      <c r="T26" s="38" t="n">
        <f aca="false">G26*INDEX(Régions!$W$2:$W$6,MATCH($B26,Régions!$A$2:$A$6,0))</f>
        <v>6977.84476262246</v>
      </c>
      <c r="U26" s="38" t="n">
        <f aca="false">H26*INDEX(Régions!$X$2:$X$6,MATCH($B26,Régions!$A$2:$A$6,0))</f>
        <v>14167.5070028011</v>
      </c>
      <c r="V26" s="38" t="n">
        <f aca="false">I26*INDEX(Régions!$Y$2:$Y$6,MATCH($B26,Régions!$A$2:$A$6,0))</f>
        <v>432.075471698113</v>
      </c>
      <c r="W26" s="38" t="n">
        <f aca="false">Q26+(AU26/100)*J26*Régions!$O$2</f>
        <v>17466.087868007</v>
      </c>
      <c r="X26" s="38" t="n">
        <f aca="false">R26+(AV26/100)*J26*Régions!$O$2</f>
        <v>1167.59221616438</v>
      </c>
      <c r="Y26" s="38" t="n">
        <f aca="false">S26+(AW26/100)*J26*Régions!$O$2</f>
        <v>1331.55335903733</v>
      </c>
      <c r="Z26" s="38" t="n">
        <f aca="false">T26+(AX26/100)*J26*Régions!$O$2</f>
        <v>6233.85811262246</v>
      </c>
      <c r="AA26" s="38" t="n">
        <f aca="false">U26</f>
        <v>14167.5070028011</v>
      </c>
      <c r="AB26" s="38" t="n">
        <f aca="false">V26</f>
        <v>432.075471698113</v>
      </c>
      <c r="AC26" s="38" t="n">
        <f aca="false">D26*INDEX(Régions!$Z$2:$Z$6,MATCH($B26,Régions!$A$2:$A$6,0))</f>
        <v>18481.4739281576</v>
      </c>
      <c r="AD26" s="38" t="n">
        <f aca="false">E26*INDEX(Régions!$AA$2:$AA$6,MATCH($B26,Régions!$A$2:$A$6,0))</f>
        <v>2911.86643835616</v>
      </c>
      <c r="AE26" s="38" t="n">
        <f aca="false">F26*INDEX(Régions!$AB$2:$AB$6,MATCH($B26,Régions!$A$2:$A$6,0))</f>
        <v>2324.08644400786</v>
      </c>
      <c r="AF26" s="38" t="n">
        <f aca="false">G26*INDEX(Régions!$AC$2:$AC$6,MATCH($B26,Régions!$A$2:$A$6,0))</f>
        <v>7800.23360964582</v>
      </c>
      <c r="AG26" s="38" t="n">
        <f aca="false">H26*INDEX(Régions!$AD$2:$AD$6,MATCH($B26,Régions!$A$2:$A$6,0))</f>
        <v>16292.6330532213</v>
      </c>
      <c r="AH26" s="38" t="n">
        <f aca="false">I26*INDEX(Régions!$AE$2:$AE$6,MATCH($B26,Régions!$A$2:$A$6,0))</f>
        <v>1857.92452830189</v>
      </c>
      <c r="AI26" s="38" t="n">
        <f aca="false">D26*INDEX(Régions!$AF$2:$AF$6,MATCH($B26,Régions!$A$2:$A$6,0))</f>
        <v>15377.7149478563</v>
      </c>
      <c r="AJ26" s="38" t="n">
        <f aca="false">E26*INDEX(Régions!$AG$2:$AG$6,MATCH($B26,Régions!$A$2:$A$6,0))</f>
        <v>1046.0102739726</v>
      </c>
      <c r="AK26" s="38" t="n">
        <f aca="false">F26*INDEX(Régions!$AH$2:$AH$6,MATCH($B26,Régions!$A$2:$A$6,0))</f>
        <v>674.734774066798</v>
      </c>
      <c r="AL26" s="38" t="n">
        <f aca="false">G26*INDEX(Régions!$AI$2:$AI$6,MATCH($B26,Régions!$A$2:$A$6,0))</f>
        <v>6155.4559155991</v>
      </c>
      <c r="AM26" s="38" t="n">
        <f aca="false">H26*INDEX(Régions!$AJ$2:$AJ$6,MATCH($B26,Régions!$A$2:$A$6,0))</f>
        <v>12042.380952381</v>
      </c>
      <c r="AN26" s="38" t="n">
        <f aca="false">I26*INDEX(Régions!$AK$2:$AK$6,MATCH($B26,Régions!$A$2:$A$6,0))</f>
        <v>0</v>
      </c>
      <c r="AO26" s="40" t="str">
        <f aca="false">INDEX({"CAQ","PLQ","QS","PQ","PCQ","Autre"},MATCH(MAX(Q26:V26),Q26:V26,0))</f>
        <v>CAQ</v>
      </c>
      <c r="AP26" s="40" t="str">
        <f aca="false">INDEX({"CAQ","PLQ","QS","PQ","PCQ","Autre"},MATCH(MAX(W26:AB26),W26:AB26,0))</f>
        <v>CAQ</v>
      </c>
      <c r="AQ26" s="40" t="str">
        <f aca="false">INDEX({"CAQ","PLQ","QS","PQ","PCQ","Autre"},MATCH(MAX(AC26:AH26),AC26:AH26,0))</f>
        <v>CAQ</v>
      </c>
      <c r="AR26" s="40" t="str">
        <f aca="false">INDEX({"CAQ","PLQ","QS","PQ","PCQ","Autre"},MATCH(MAX(AI26:AN26),AI26:AN26,0))</f>
        <v>CAQ</v>
      </c>
      <c r="AS26" s="41" t="n">
        <f aca="false">(MAX(K26:P26)-LARGE(K26:P26,2))*100</f>
        <v>15.0006925527494</v>
      </c>
      <c r="AT26" s="42" t="str">
        <f aca="false">IF(AS26&lt;5,"Oui","Non")</f>
        <v>Non</v>
      </c>
      <c r="AU26" s="43" t="n">
        <v>2.477</v>
      </c>
      <c r="AV26" s="43" t="n">
        <v>-3.746</v>
      </c>
      <c r="AW26" s="43" t="n">
        <v>-0.775</v>
      </c>
      <c r="AX26" s="43" t="n">
        <v>-3.435</v>
      </c>
    </row>
    <row r="27" customFormat="false" ht="15" hidden="false" customHeight="true" outlineLevel="0" collapsed="false">
      <c r="A27" s="44" t="s">
        <v>98</v>
      </c>
      <c r="B27" s="44" t="s">
        <v>70</v>
      </c>
      <c r="C27" s="45" t="s">
        <v>3</v>
      </c>
      <c r="D27" s="46" t="n">
        <v>19345</v>
      </c>
      <c r="E27" s="46" t="n">
        <v>943</v>
      </c>
      <c r="F27" s="46" t="n">
        <v>3741</v>
      </c>
      <c r="G27" s="46" t="n">
        <v>4415</v>
      </c>
      <c r="H27" s="46" t="n">
        <v>2619</v>
      </c>
      <c r="I27" s="46" t="n">
        <v>0</v>
      </c>
      <c r="J27" s="47" t="n">
        <f aca="false">SUM(D27:I27)</f>
        <v>31063</v>
      </c>
      <c r="K27" s="48" t="n">
        <f aca="false">IFERROR(D27/J27,0)</f>
        <v>0.622766635547114</v>
      </c>
      <c r="L27" s="48" t="n">
        <f aca="false">IFERROR(E27/J27,0)</f>
        <v>0.0303576602388694</v>
      </c>
      <c r="M27" s="48" t="n">
        <f aca="false">IFERROR(F27/J27,0)</f>
        <v>0.120432669091846</v>
      </c>
      <c r="N27" s="48" t="n">
        <f aca="false">IFERROR(G27/J27,0)</f>
        <v>0.14213050896565</v>
      </c>
      <c r="O27" s="48" t="n">
        <f aca="false">IFERROR(H27/J27,0)</f>
        <v>0.0843125261565206</v>
      </c>
      <c r="P27" s="48" t="n">
        <f aca="false">IFERROR(I27/J27,0)</f>
        <v>0</v>
      </c>
      <c r="Q27" s="47" t="n">
        <f aca="false">D27*INDEX(Régions!$T$2:$T$6,MATCH($B27,Régions!$A$2:$A$6,0))</f>
        <v>11427.4261603376</v>
      </c>
      <c r="R27" s="47" t="n">
        <f aca="false">E27*INDEX(Régions!$U$2:$U$6,MATCH($B27,Régions!$A$2:$A$6,0))</f>
        <v>2158.5121602289</v>
      </c>
      <c r="S27" s="47" t="n">
        <f aca="false">F27*INDEX(Régions!$V$2:$V$6,MATCH($B27,Régions!$A$2:$A$6,0))</f>
        <v>2241.79775280899</v>
      </c>
      <c r="T27" s="47" t="n">
        <f aca="false">G27*INDEX(Régions!$W$2:$W$6,MATCH($B27,Régions!$A$2:$A$6,0))</f>
        <v>7717.60096443641</v>
      </c>
      <c r="U27" s="47" t="n">
        <f aca="false">H27*INDEX(Régions!$X$2:$X$6,MATCH($B27,Régions!$A$2:$A$6,0))</f>
        <v>2976.13636363636</v>
      </c>
      <c r="V27" s="47" t="n">
        <f aca="false">I27*INDEX(Régions!$Y$2:$Y$6,MATCH($B27,Régions!$A$2:$A$6,0))</f>
        <v>0</v>
      </c>
      <c r="W27" s="47" t="n">
        <f aca="false">Q27+(AU27/100)*J27*Régions!$O$2</f>
        <v>14036.8734753376</v>
      </c>
      <c r="X27" s="47" t="n">
        <f aca="false">R27+(AV27/100)*J27*Régions!$O$2</f>
        <v>1549.5220452289</v>
      </c>
      <c r="Y27" s="47" t="n">
        <f aca="false">S27+(AW27/100)*J27*Régions!$O$2</f>
        <v>2273.94795780899</v>
      </c>
      <c r="Z27" s="47" t="n">
        <f aca="false">T27+(AX27/100)*J27*Régions!$O$2</f>
        <v>6702.46212443641</v>
      </c>
      <c r="AA27" s="47" t="n">
        <f aca="false">U27</f>
        <v>2976.13636363636</v>
      </c>
      <c r="AB27" s="47" t="n">
        <f aca="false">V27</f>
        <v>0</v>
      </c>
      <c r="AC27" s="47" t="n">
        <f aca="false">D27*INDEX(Régions!$Z$2:$Z$6,MATCH($B27,Régions!$A$2:$A$6,0))</f>
        <v>12774.2299578059</v>
      </c>
      <c r="AD27" s="47" t="n">
        <f aca="false">E27*INDEX(Régions!$AA$2:$AA$6,MATCH($B27,Régions!$A$2:$A$6,0))</f>
        <v>2603.70529327611</v>
      </c>
      <c r="AE27" s="47" t="n">
        <f aca="false">F27*INDEX(Régions!$AB$2:$AB$6,MATCH($B27,Régions!$A$2:$A$6,0))</f>
        <v>3166.5393258427</v>
      </c>
      <c r="AF27" s="47" t="n">
        <f aca="false">G27*INDEX(Régions!$AC$2:$AC$6,MATCH($B27,Régions!$A$2:$A$6,0))</f>
        <v>8595.81072935503</v>
      </c>
      <c r="AG27" s="47" t="n">
        <f aca="false">H27*INDEX(Régions!$AD$2:$AD$6,MATCH($B27,Régions!$A$2:$A$6,0))</f>
        <v>3553.85695187166</v>
      </c>
      <c r="AH27" s="47" t="n">
        <f aca="false">I27*INDEX(Régions!$AE$2:$AE$6,MATCH($B27,Régions!$A$2:$A$6,0))</f>
        <v>0</v>
      </c>
      <c r="AI27" s="47" t="n">
        <f aca="false">D27*INDEX(Régions!$AF$2:$AF$6,MATCH($B27,Régions!$A$2:$A$6,0))</f>
        <v>10080.6223628692</v>
      </c>
      <c r="AJ27" s="47" t="n">
        <f aca="false">E27*INDEX(Régions!$AG$2:$AG$6,MATCH($B27,Régions!$A$2:$A$6,0))</f>
        <v>1713.31902718169</v>
      </c>
      <c r="AK27" s="47" t="n">
        <f aca="false">F27*INDEX(Régions!$AH$2:$AH$6,MATCH($B27,Régions!$A$2:$A$6,0))</f>
        <v>1317.05617977528</v>
      </c>
      <c r="AL27" s="47" t="n">
        <f aca="false">G27*INDEX(Régions!$AI$2:$AI$6,MATCH($B27,Régions!$A$2:$A$6,0))</f>
        <v>6839.39119951778</v>
      </c>
      <c r="AM27" s="47" t="n">
        <f aca="false">H27*INDEX(Régions!$AJ$2:$AJ$6,MATCH($B27,Régions!$A$2:$A$6,0))</f>
        <v>2398.41577540107</v>
      </c>
      <c r="AN27" s="47" t="n">
        <f aca="false">I27*INDEX(Régions!$AK$2:$AK$6,MATCH($B27,Régions!$A$2:$A$6,0))</f>
        <v>0</v>
      </c>
      <c r="AO27" s="49" t="str">
        <f aca="false">INDEX({"CAQ","PLQ","QS","PQ","PCQ","Autre"},MATCH(MAX(Q27:V27),Q27:V27,0))</f>
        <v>CAQ</v>
      </c>
      <c r="AP27" s="49" t="str">
        <f aca="false">INDEX({"CAQ","PLQ","QS","PQ","PCQ","Autre"},MATCH(MAX(W27:AB27),W27:AB27,0))</f>
        <v>CAQ</v>
      </c>
      <c r="AQ27" s="49" t="str">
        <f aca="false">INDEX({"CAQ","PLQ","QS","PQ","PCQ","Autre"},MATCH(MAX(AC27:AH27),AC27:AH27,0))</f>
        <v>CAQ</v>
      </c>
      <c r="AR27" s="49" t="str">
        <f aca="false">INDEX({"CAQ","PLQ","QS","PQ","PCQ","Autre"},MATCH(MAX(AI27:AN27),AI27:AN27,0))</f>
        <v>CAQ</v>
      </c>
      <c r="AS27" s="50" t="n">
        <f aca="false">(MAX(K27:P27)-LARGE(K27:P27,2))*100</f>
        <v>48.0636126581464</v>
      </c>
      <c r="AT27" s="51" t="str">
        <f aca="false">IF(AS27&lt;5,"Oui","Non")</f>
        <v>Non</v>
      </c>
      <c r="AU27" s="52" t="n">
        <v>16.801</v>
      </c>
      <c r="AV27" s="52" t="n">
        <v>-3.921</v>
      </c>
      <c r="AW27" s="52" t="n">
        <v>0.207</v>
      </c>
      <c r="AX27" s="52" t="n">
        <v>-6.536</v>
      </c>
    </row>
    <row r="28" customFormat="false" ht="15" hidden="false" customHeight="true" outlineLevel="0" collapsed="false">
      <c r="A28" s="35" t="s">
        <v>99</v>
      </c>
      <c r="B28" s="35" t="s">
        <v>80</v>
      </c>
      <c r="C28" s="36" t="s">
        <v>4</v>
      </c>
      <c r="D28" s="37" t="n">
        <v>8696</v>
      </c>
      <c r="E28" s="37" t="n">
        <v>11895</v>
      </c>
      <c r="F28" s="37" t="n">
        <v>2570</v>
      </c>
      <c r="G28" s="37" t="n">
        <v>2343</v>
      </c>
      <c r="H28" s="37" t="n">
        <v>6467</v>
      </c>
      <c r="I28" s="37" t="n">
        <v>601</v>
      </c>
      <c r="J28" s="38" t="n">
        <f aca="false">SUM(D28:I28)</f>
        <v>32572</v>
      </c>
      <c r="K28" s="39" t="n">
        <f aca="false">IFERROR(D28/J28,0)</f>
        <v>0.266977772319784</v>
      </c>
      <c r="L28" s="39" t="n">
        <f aca="false">IFERROR(E28/J28,0)</f>
        <v>0.365190961562078</v>
      </c>
      <c r="M28" s="39" t="n">
        <f aca="false">IFERROR(F28/J28,0)</f>
        <v>0.0789021245241312</v>
      </c>
      <c r="N28" s="39" t="n">
        <f aca="false">IFERROR(G28/J28,0)</f>
        <v>0.0719329485447624</v>
      </c>
      <c r="O28" s="39" t="n">
        <f aca="false">IFERROR(H28/J28,0)</f>
        <v>0.19854476237259</v>
      </c>
      <c r="P28" s="39" t="n">
        <f aca="false">IFERROR(I28/J28,0)</f>
        <v>0.0184514306766548</v>
      </c>
      <c r="Q28" s="38" t="n">
        <f aca="false">D28*INDEX(Régions!$T$2:$T$6,MATCH($B28,Régions!$A$2:$A$6,0))</f>
        <v>6146.94057874972</v>
      </c>
      <c r="R28" s="38" t="n">
        <f aca="false">E28*INDEX(Régions!$U$2:$U$6,MATCH($B28,Régions!$A$2:$A$6,0))</f>
        <v>15195.8836053939</v>
      </c>
      <c r="S28" s="38" t="n">
        <f aca="false">F28*INDEX(Régions!$V$2:$V$6,MATCH($B28,Régions!$A$2:$A$6,0))</f>
        <v>1296.10951008646</v>
      </c>
      <c r="T28" s="38" t="n">
        <f aca="false">G28*INDEX(Régions!$W$2:$W$6,MATCH($B28,Régions!$A$2:$A$6,0))</f>
        <v>4612.20472440945</v>
      </c>
      <c r="U28" s="38" t="n">
        <f aca="false">H28*INDEX(Régions!$X$2:$X$6,MATCH($B28,Régions!$A$2:$A$6,0))</f>
        <v>7549.02723735409</v>
      </c>
      <c r="V28" s="38" t="n">
        <f aca="false">I28*INDEX(Régions!$Y$2:$Y$6,MATCH($B28,Régions!$A$2:$A$6,0))</f>
        <v>484.677419354839</v>
      </c>
      <c r="W28" s="38" t="n">
        <f aca="false">Q28+(AU28/100)*J28*Régions!$O$2</f>
        <v>5676.43803874972</v>
      </c>
      <c r="X28" s="38" t="n">
        <f aca="false">R28+(AV28/100)*J28*Régions!$O$2</f>
        <v>13686.3342653939</v>
      </c>
      <c r="Y28" s="38" t="n">
        <f aca="false">S28+(AW28/100)*J28*Régions!$O$2</f>
        <v>1544.47101008646</v>
      </c>
      <c r="Z28" s="38" t="n">
        <f aca="false">T28+(AX28/100)*J28*Régions!$O$2</f>
        <v>5040.03794440945</v>
      </c>
      <c r="AA28" s="38" t="n">
        <f aca="false">U28</f>
        <v>7549.02723735409</v>
      </c>
      <c r="AB28" s="38" t="n">
        <f aca="false">V28</f>
        <v>484.677419354839</v>
      </c>
      <c r="AC28" s="38" t="n">
        <f aca="false">D28*INDEX(Régions!$Z$2:$Z$6,MATCH($B28,Régions!$A$2:$A$6,0))</f>
        <v>6780.84382593329</v>
      </c>
      <c r="AD28" s="38" t="n">
        <f aca="false">E28*INDEX(Régions!$AA$2:$AA$6,MATCH($B28,Régions!$A$2:$A$6,0))</f>
        <v>17981.7955997161</v>
      </c>
      <c r="AE28" s="38" t="n">
        <f aca="false">F28*INDEX(Régions!$AB$2:$AB$6,MATCH($B28,Régions!$A$2:$A$6,0))</f>
        <v>1907.1325648415</v>
      </c>
      <c r="AF28" s="38" t="n">
        <f aca="false">G28*INDEX(Régions!$AC$2:$AC$6,MATCH($B28,Régions!$A$2:$A$6,0))</f>
        <v>5119.54724409449</v>
      </c>
      <c r="AG28" s="38" t="n">
        <f aca="false">H28*INDEX(Régions!$AD$2:$AD$6,MATCH($B28,Régions!$A$2:$A$6,0))</f>
        <v>9625.00972762646</v>
      </c>
      <c r="AH28" s="38" t="n">
        <f aca="false">I28*INDEX(Régions!$AE$2:$AE$6,MATCH($B28,Régions!$A$2:$A$6,0))</f>
        <v>2084.11290322581</v>
      </c>
      <c r="AI28" s="38" t="n">
        <f aca="false">D28*INDEX(Régions!$AF$2:$AF$6,MATCH($B28,Régions!$A$2:$A$6,0))</f>
        <v>5513.03733156616</v>
      </c>
      <c r="AJ28" s="38" t="n">
        <f aca="false">E28*INDEX(Régions!$AG$2:$AG$6,MATCH($B28,Régions!$A$2:$A$6,0))</f>
        <v>12409.9716110717</v>
      </c>
      <c r="AK28" s="38" t="n">
        <f aca="false">F28*INDEX(Régions!$AH$2:$AH$6,MATCH($B28,Régions!$A$2:$A$6,0))</f>
        <v>685.086455331412</v>
      </c>
      <c r="AL28" s="38" t="n">
        <f aca="false">G28*INDEX(Régions!$AI$2:$AI$6,MATCH($B28,Régions!$A$2:$A$6,0))</f>
        <v>4104.86220472441</v>
      </c>
      <c r="AM28" s="38" t="n">
        <f aca="false">H28*INDEX(Régions!$AJ$2:$AJ$6,MATCH($B28,Régions!$A$2:$A$6,0))</f>
        <v>5473.04474708171</v>
      </c>
      <c r="AN28" s="38" t="n">
        <f aca="false">I28*INDEX(Régions!$AK$2:$AK$6,MATCH($B28,Régions!$A$2:$A$6,0))</f>
        <v>0</v>
      </c>
      <c r="AO28" s="40" t="str">
        <f aca="false">INDEX({"CAQ","PLQ","QS","PQ","PCQ","Autre"},MATCH(MAX(Q28:V28),Q28:V28,0))</f>
        <v>PLQ</v>
      </c>
      <c r="AP28" s="40" t="str">
        <f aca="false">INDEX({"CAQ","PLQ","QS","PQ","PCQ","Autre"},MATCH(MAX(W28:AB28),W28:AB28,0))</f>
        <v>PLQ</v>
      </c>
      <c r="AQ28" s="40" t="str">
        <f aca="false">INDEX({"CAQ","PLQ","QS","PQ","PCQ","Autre"},MATCH(MAX(AC28:AH28),AC28:AH28,0))</f>
        <v>PLQ</v>
      </c>
      <c r="AR28" s="40" t="str">
        <f aca="false">INDEX({"CAQ","PLQ","QS","PQ","PCQ","Autre"},MATCH(MAX(AI28:AN28),AI28:AN28,0))</f>
        <v>PLQ</v>
      </c>
      <c r="AS28" s="41" t="n">
        <f aca="false">(MAX(K28:P28)-LARGE(K28:P28,2))*100</f>
        <v>9.8213189242294</v>
      </c>
      <c r="AT28" s="42" t="str">
        <f aca="false">IF(AS28&lt;5,"Oui","Non")</f>
        <v>Non</v>
      </c>
      <c r="AU28" s="43" t="n">
        <v>-2.889</v>
      </c>
      <c r="AV28" s="43" t="n">
        <v>-9.269</v>
      </c>
      <c r="AW28" s="43" t="n">
        <v>1.525</v>
      </c>
      <c r="AX28" s="43" t="n">
        <v>2.627</v>
      </c>
    </row>
    <row r="29" customFormat="false" ht="15" hidden="false" customHeight="true" outlineLevel="0" collapsed="false">
      <c r="A29" s="44" t="s">
        <v>100</v>
      </c>
      <c r="B29" s="44" t="s">
        <v>94</v>
      </c>
      <c r="C29" s="45" t="s">
        <v>3</v>
      </c>
      <c r="D29" s="46" t="n">
        <v>22055</v>
      </c>
      <c r="E29" s="46" t="n">
        <v>2298</v>
      </c>
      <c r="F29" s="46" t="n">
        <v>4311</v>
      </c>
      <c r="G29" s="46" t="n">
        <v>5163</v>
      </c>
      <c r="H29" s="46" t="n">
        <v>12640</v>
      </c>
      <c r="I29" s="46" t="n">
        <v>0</v>
      </c>
      <c r="J29" s="47" t="n">
        <f aca="false">SUM(D29:I29)</f>
        <v>46467</v>
      </c>
      <c r="K29" s="48" t="n">
        <f aca="false">IFERROR(D29/J29,0)</f>
        <v>0.474637915079519</v>
      </c>
      <c r="L29" s="48" t="n">
        <f aca="false">IFERROR(E29/J29,0)</f>
        <v>0.0494544515462586</v>
      </c>
      <c r="M29" s="48" t="n">
        <f aca="false">IFERROR(F29/J29,0)</f>
        <v>0.0927755181096262</v>
      </c>
      <c r="N29" s="48" t="n">
        <f aca="false">IFERROR(G29/J29,0)</f>
        <v>0.111111111111111</v>
      </c>
      <c r="O29" s="48" t="n">
        <f aca="false">IFERROR(H29/J29,0)</f>
        <v>0.272021004153485</v>
      </c>
      <c r="P29" s="48" t="n">
        <f aca="false">IFERROR(I29/J29,0)</f>
        <v>0</v>
      </c>
      <c r="Q29" s="47" t="n">
        <f aca="false">D29*INDEX(Régions!$T$2:$T$6,MATCH($B29,Régions!$A$2:$A$6,0))</f>
        <v>18400.4634994206</v>
      </c>
      <c r="R29" s="47" t="n">
        <f aca="false">E29*INDEX(Régions!$U$2:$U$6,MATCH($B29,Régions!$A$2:$A$6,0))</f>
        <v>2754.45205479452</v>
      </c>
      <c r="S29" s="47" t="n">
        <f aca="false">F29*INDEX(Régions!$V$2:$V$6,MATCH($B29,Régions!$A$2:$A$6,0))</f>
        <v>1693.90962671906</v>
      </c>
      <c r="T29" s="47" t="n">
        <f aca="false">G29*INDEX(Régions!$W$2:$W$6,MATCH($B29,Régions!$A$2:$A$6,0))</f>
        <v>10894.0467219292</v>
      </c>
      <c r="U29" s="47" t="n">
        <f aca="false">H29*INDEX(Régions!$X$2:$X$6,MATCH($B29,Régions!$A$2:$A$6,0))</f>
        <v>12982.2595704949</v>
      </c>
      <c r="V29" s="47" t="n">
        <f aca="false">I29*INDEX(Régions!$Y$2:$Y$6,MATCH($B29,Régions!$A$2:$A$6,0))</f>
        <v>0</v>
      </c>
      <c r="W29" s="47" t="n">
        <f aca="false">Q29+(AU29/100)*J29*Régions!$O$2</f>
        <v>16228.5959194206</v>
      </c>
      <c r="X29" s="47" t="n">
        <f aca="false">R29+(AV29/100)*J29*Régions!$O$2</f>
        <v>4130.10758979452</v>
      </c>
      <c r="Y29" s="47" t="n">
        <f aca="false">S29+(AW29/100)*J29*Régions!$O$2</f>
        <v>1372.59032171906</v>
      </c>
      <c r="Z29" s="47" t="n">
        <f aca="false">T29+(AX29/100)*J29*Régions!$O$2</f>
        <v>10867.3281969292</v>
      </c>
      <c r="AA29" s="47" t="n">
        <f aca="false">U29</f>
        <v>12982.2595704949</v>
      </c>
      <c r="AB29" s="47" t="n">
        <f aca="false">V29</f>
        <v>0</v>
      </c>
      <c r="AC29" s="47" t="n">
        <f aca="false">D29*INDEX(Régions!$Z$2:$Z$6,MATCH($B29,Régions!$A$2:$A$6,0))</f>
        <v>20087.1726535342</v>
      </c>
      <c r="AD29" s="47" t="n">
        <f aca="false">E29*INDEX(Régions!$AA$2:$AA$6,MATCH($B29,Régions!$A$2:$A$6,0))</f>
        <v>4052.9794520548</v>
      </c>
      <c r="AE29" s="47" t="n">
        <f aca="false">F29*INDEX(Régions!$AB$2:$AB$6,MATCH($B29,Régions!$A$2:$A$6,0))</f>
        <v>2625.55992141454</v>
      </c>
      <c r="AF29" s="47" t="n">
        <f aca="false">G29*INDEX(Régions!$AC$2:$AC$6,MATCH($B29,Régions!$A$2:$A$6,0))</f>
        <v>12177.987942728</v>
      </c>
      <c r="AG29" s="47" t="n">
        <f aca="false">H29*INDEX(Régions!$AD$2:$AD$6,MATCH($B29,Régions!$A$2:$A$6,0))</f>
        <v>14929.5985060691</v>
      </c>
      <c r="AH29" s="47" t="n">
        <f aca="false">I29*INDEX(Régions!$AE$2:$AE$6,MATCH($B29,Régions!$A$2:$A$6,0))</f>
        <v>0</v>
      </c>
      <c r="AI29" s="47" t="n">
        <f aca="false">D29*INDEX(Régions!$AF$2:$AF$6,MATCH($B29,Régions!$A$2:$A$6,0))</f>
        <v>16713.7543453071</v>
      </c>
      <c r="AJ29" s="47" t="n">
        <f aca="false">E29*INDEX(Régions!$AG$2:$AG$6,MATCH($B29,Régions!$A$2:$A$6,0))</f>
        <v>1455.92465753425</v>
      </c>
      <c r="AK29" s="47" t="n">
        <f aca="false">F29*INDEX(Régions!$AH$2:$AH$6,MATCH($B29,Régions!$A$2:$A$6,0))</f>
        <v>762.259332023576</v>
      </c>
      <c r="AL29" s="47" t="n">
        <f aca="false">G29*INDEX(Régions!$AI$2:$AI$6,MATCH($B29,Régions!$A$2:$A$6,0))</f>
        <v>9610.10550113037</v>
      </c>
      <c r="AM29" s="47" t="n">
        <f aca="false">H29*INDEX(Régions!$AJ$2:$AJ$6,MATCH($B29,Régions!$A$2:$A$6,0))</f>
        <v>11034.9206349206</v>
      </c>
      <c r="AN29" s="47" t="n">
        <f aca="false">I29*INDEX(Régions!$AK$2:$AK$6,MATCH($B29,Régions!$A$2:$A$6,0))</f>
        <v>0</v>
      </c>
      <c r="AO29" s="49" t="str">
        <f aca="false">INDEX({"CAQ","PLQ","QS","PQ","PCQ","Autre"},MATCH(MAX(Q29:V29),Q29:V29,0))</f>
        <v>CAQ</v>
      </c>
      <c r="AP29" s="49" t="str">
        <f aca="false">INDEX({"CAQ","PLQ","QS","PQ","PCQ","Autre"},MATCH(MAX(W29:AB29),W29:AB29,0))</f>
        <v>CAQ</v>
      </c>
      <c r="AQ29" s="49" t="str">
        <f aca="false">INDEX({"CAQ","PLQ","QS","PQ","PCQ","Autre"},MATCH(MAX(AC29:AH29),AC29:AH29,0))</f>
        <v>CAQ</v>
      </c>
      <c r="AR29" s="49" t="str">
        <f aca="false">INDEX({"CAQ","PLQ","QS","PQ","PCQ","Autre"},MATCH(MAX(AI29:AN29),AI29:AN29,0))</f>
        <v>CAQ</v>
      </c>
      <c r="AS29" s="50" t="n">
        <f aca="false">(MAX(K29:P29)-LARGE(K29:P29,2))*100</f>
        <v>20.2616910926034</v>
      </c>
      <c r="AT29" s="51" t="str">
        <f aca="false">IF(AS29&lt;5,"Oui","Non")</f>
        <v>Non</v>
      </c>
      <c r="AU29" s="52" t="n">
        <v>-9.348</v>
      </c>
      <c r="AV29" s="52" t="n">
        <v>5.921</v>
      </c>
      <c r="AW29" s="52" t="n">
        <v>-1.383</v>
      </c>
      <c r="AX29" s="52" t="n">
        <v>-0.115</v>
      </c>
    </row>
    <row r="30" customFormat="false" ht="15" hidden="false" customHeight="true" outlineLevel="0" collapsed="false">
      <c r="A30" s="35" t="s">
        <v>101</v>
      </c>
      <c r="B30" s="35" t="s">
        <v>70</v>
      </c>
      <c r="C30" s="36" t="s">
        <v>3</v>
      </c>
      <c r="D30" s="37" t="n">
        <v>16116</v>
      </c>
      <c r="E30" s="37" t="n">
        <v>2132</v>
      </c>
      <c r="F30" s="37" t="n">
        <v>3154</v>
      </c>
      <c r="G30" s="37" t="n">
        <v>4316</v>
      </c>
      <c r="H30" s="37" t="n">
        <v>7910</v>
      </c>
      <c r="I30" s="37" t="n">
        <v>164</v>
      </c>
      <c r="J30" s="38" t="n">
        <f aca="false">SUM(D30:I30)</f>
        <v>33792</v>
      </c>
      <c r="K30" s="39" t="n">
        <f aca="false">IFERROR(D30/J30,0)</f>
        <v>0.476917613636364</v>
      </c>
      <c r="L30" s="39" t="n">
        <f aca="false">IFERROR(E30/J30,0)</f>
        <v>0.0630918560606061</v>
      </c>
      <c r="M30" s="39" t="n">
        <f aca="false">IFERROR(F30/J30,0)</f>
        <v>0.0933357007575758</v>
      </c>
      <c r="N30" s="39" t="n">
        <f aca="false">IFERROR(G30/J30,0)</f>
        <v>0.127722537878788</v>
      </c>
      <c r="O30" s="39" t="n">
        <f aca="false">IFERROR(H30/J30,0)</f>
        <v>0.234079071969697</v>
      </c>
      <c r="P30" s="39" t="n">
        <f aca="false">IFERROR(I30/J30,0)</f>
        <v>0.0048532196969697</v>
      </c>
      <c r="Q30" s="38" t="n">
        <f aca="false">D30*INDEX(Régions!$T$2:$T$6,MATCH($B30,Régions!$A$2:$A$6,0))</f>
        <v>9520</v>
      </c>
      <c r="R30" s="38" t="n">
        <f aca="false">E30*INDEX(Régions!$U$2:$U$6,MATCH($B30,Régions!$A$2:$A$6,0))</f>
        <v>4880.11444921316</v>
      </c>
      <c r="S30" s="38" t="n">
        <f aca="false">F30*INDEX(Régions!$V$2:$V$6,MATCH($B30,Régions!$A$2:$A$6,0))</f>
        <v>1890.03745318352</v>
      </c>
      <c r="T30" s="38" t="n">
        <f aca="false">G30*INDEX(Régions!$W$2:$W$6,MATCH($B30,Régions!$A$2:$A$6,0))</f>
        <v>7544.54490657022</v>
      </c>
      <c r="U30" s="38" t="n">
        <f aca="false">H30*INDEX(Régions!$X$2:$X$6,MATCH($B30,Régions!$A$2:$A$6,0))</f>
        <v>8988.63636363636</v>
      </c>
      <c r="V30" s="38" t="n">
        <f aca="false">I30*INDEX(Régions!$Y$2:$Y$6,MATCH($B30,Régions!$A$2:$A$6,0))</f>
        <v>230.985915492958</v>
      </c>
      <c r="W30" s="38" t="n">
        <f aca="false">Q30+(AU30/100)*J30*Régions!$O$2</f>
        <v>7464.09472</v>
      </c>
      <c r="X30" s="38" t="n">
        <f aca="false">R30+(AV30/100)*J30*Régions!$O$2</f>
        <v>4390.13044921316</v>
      </c>
      <c r="Y30" s="38" t="n">
        <f aca="false">S30+(AW30/100)*J30*Régions!$O$2</f>
        <v>1809.44353318352</v>
      </c>
      <c r="Z30" s="38" t="n">
        <f aca="false">T30+(AX30/100)*J30*Régions!$O$2</f>
        <v>8706.31386657022</v>
      </c>
      <c r="AA30" s="38" t="n">
        <f aca="false">U30</f>
        <v>8988.63636363636</v>
      </c>
      <c r="AB30" s="38" t="n">
        <f aca="false">V30</f>
        <v>230.985915492958</v>
      </c>
      <c r="AC30" s="38" t="n">
        <f aca="false">D30*INDEX(Régions!$Z$2:$Z$6,MATCH($B30,Régions!$A$2:$A$6,0))</f>
        <v>10642</v>
      </c>
      <c r="AD30" s="38" t="n">
        <f aca="false">E30*INDEX(Régions!$AA$2:$AA$6,MATCH($B30,Régions!$A$2:$A$6,0))</f>
        <v>5886.63805436338</v>
      </c>
      <c r="AE30" s="38" t="n">
        <f aca="false">F30*INDEX(Régions!$AB$2:$AB$6,MATCH($B30,Régions!$A$2:$A$6,0))</f>
        <v>2669.67790262172</v>
      </c>
      <c r="AF30" s="38" t="n">
        <f aca="false">G30*INDEX(Régions!$AC$2:$AC$6,MATCH($B30,Régions!$A$2:$A$6,0))</f>
        <v>8403.06208559373</v>
      </c>
      <c r="AG30" s="38" t="n">
        <f aca="false">H30*INDEX(Régions!$AD$2:$AD$6,MATCH($B30,Régions!$A$2:$A$6,0))</f>
        <v>10733.4893048128</v>
      </c>
      <c r="AH30" s="38" t="n">
        <f aca="false">I30*INDEX(Régions!$AE$2:$AE$6,MATCH($B30,Régions!$A$2:$A$6,0))</f>
        <v>993.239436619718</v>
      </c>
      <c r="AI30" s="38" t="n">
        <f aca="false">D30*INDEX(Régions!$AF$2:$AF$6,MATCH($B30,Régions!$A$2:$A$6,0))</f>
        <v>8398</v>
      </c>
      <c r="AJ30" s="38" t="n">
        <f aca="false">E30*INDEX(Régions!$AG$2:$AG$6,MATCH($B30,Régions!$A$2:$A$6,0))</f>
        <v>3873.59084406295</v>
      </c>
      <c r="AK30" s="38" t="n">
        <f aca="false">F30*INDEX(Régions!$AH$2:$AH$6,MATCH($B30,Régions!$A$2:$A$6,0))</f>
        <v>1110.39700374532</v>
      </c>
      <c r="AL30" s="38" t="n">
        <f aca="false">G30*INDEX(Régions!$AI$2:$AI$6,MATCH($B30,Régions!$A$2:$A$6,0))</f>
        <v>6686.02772754672</v>
      </c>
      <c r="AM30" s="38" t="n">
        <f aca="false">H30*INDEX(Régions!$AJ$2:$AJ$6,MATCH($B30,Régions!$A$2:$A$6,0))</f>
        <v>7243.78342245989</v>
      </c>
      <c r="AN30" s="38" t="n">
        <f aca="false">I30*INDEX(Régions!$AK$2:$AK$6,MATCH($B30,Régions!$A$2:$A$6,0))</f>
        <v>0</v>
      </c>
      <c r="AO30" s="40" t="str">
        <f aca="false">INDEX({"CAQ","PLQ","QS","PQ","PCQ","Autre"},MATCH(MAX(Q30:V30),Q30:V30,0))</f>
        <v>CAQ</v>
      </c>
      <c r="AP30" s="40" t="str">
        <f aca="false">INDEX({"CAQ","PLQ","QS","PQ","PCQ","Autre"},MATCH(MAX(W30:AB30),W30:AB30,0))</f>
        <v>PCQ</v>
      </c>
      <c r="AQ30" s="40" t="str">
        <f aca="false">INDEX({"CAQ","PLQ","QS","PQ","PCQ","Autre"},MATCH(MAX(AC30:AH30),AC30:AH30,0))</f>
        <v>PCQ</v>
      </c>
      <c r="AR30" s="40" t="str">
        <f aca="false">INDEX({"CAQ","PLQ","QS","PQ","PCQ","Autre"},MATCH(MAX(AI30:AN30),AI30:AN30,0))</f>
        <v>CAQ</v>
      </c>
      <c r="AS30" s="41" t="n">
        <f aca="false">(MAX(K30:P30)-LARGE(K30:P30,2))*100</f>
        <v>24.2838541666667</v>
      </c>
      <c r="AT30" s="42" t="str">
        <f aca="false">IF(AS30&lt;5,"Oui","Non")</f>
        <v>Non</v>
      </c>
      <c r="AU30" s="43" t="n">
        <v>-12.168</v>
      </c>
      <c r="AV30" s="43" t="n">
        <v>-2.9</v>
      </c>
      <c r="AW30" s="43" t="n">
        <v>-0.477</v>
      </c>
      <c r="AX30" s="43" t="n">
        <v>6.876</v>
      </c>
    </row>
    <row r="31" customFormat="false" ht="15" hidden="false" customHeight="true" outlineLevel="0" collapsed="false">
      <c r="A31" s="44" t="s">
        <v>102</v>
      </c>
      <c r="B31" s="44" t="s">
        <v>73</v>
      </c>
      <c r="C31" s="45" t="s">
        <v>4</v>
      </c>
      <c r="D31" s="46" t="n">
        <v>1529</v>
      </c>
      <c r="E31" s="46" t="n">
        <v>13298</v>
      </c>
      <c r="F31" s="46" t="n">
        <v>2203</v>
      </c>
      <c r="G31" s="46" t="n">
        <v>648</v>
      </c>
      <c r="H31" s="46" t="n">
        <v>6962</v>
      </c>
      <c r="I31" s="46" t="n">
        <v>1226</v>
      </c>
      <c r="J31" s="47" t="n">
        <f aca="false">SUM(D31:I31)</f>
        <v>25866</v>
      </c>
      <c r="K31" s="48" t="n">
        <f aca="false">IFERROR(D31/J31,0)</f>
        <v>0.0591123482563984</v>
      </c>
      <c r="L31" s="48" t="n">
        <f aca="false">IFERROR(E31/J31,0)</f>
        <v>0.514111188432692</v>
      </c>
      <c r="M31" s="48" t="n">
        <f aca="false">IFERROR(F31/J31,0)</f>
        <v>0.0851697208690946</v>
      </c>
      <c r="N31" s="48" t="n">
        <f aca="false">IFERROR(G31/J31,0)</f>
        <v>0.0250521920668058</v>
      </c>
      <c r="O31" s="48" t="n">
        <f aca="false">IFERROR(H31/J31,0)</f>
        <v>0.269156421557257</v>
      </c>
      <c r="P31" s="48" t="n">
        <f aca="false">IFERROR(I31/J31,0)</f>
        <v>0.047398128817753</v>
      </c>
      <c r="Q31" s="47" t="n">
        <f aca="false">D31*INDEX(Régions!$T$2:$T$6,MATCH($B31,Régions!$A$2:$A$6,0))</f>
        <v>1146.17691154423</v>
      </c>
      <c r="R31" s="47" t="n">
        <f aca="false">E31*INDEX(Régions!$U$2:$U$6,MATCH($B31,Régions!$A$2:$A$6,0))</f>
        <v>13274.5742806812</v>
      </c>
      <c r="S31" s="47" t="n">
        <f aca="false">F31*INDEX(Régions!$V$2:$V$6,MATCH($B31,Régions!$A$2:$A$6,0))</f>
        <v>1690.79006772009</v>
      </c>
      <c r="T31" s="47" t="n">
        <f aca="false">G31*INDEX(Régions!$W$2:$W$6,MATCH($B31,Régions!$A$2:$A$6,0))</f>
        <v>1457.54451733833</v>
      </c>
      <c r="U31" s="47" t="n">
        <f aca="false">H31*INDEX(Régions!$X$2:$X$6,MATCH($B31,Régions!$A$2:$A$6,0))</f>
        <v>5586.3590772317</v>
      </c>
      <c r="V31" s="47" t="n">
        <f aca="false">I31*INDEX(Régions!$Y$2:$Y$6,MATCH($B31,Régions!$A$2:$A$6,0))</f>
        <v>783.386581469649</v>
      </c>
      <c r="W31" s="47" t="n">
        <f aca="false">Q31+(AU31/100)*J31*Régions!$O$2</f>
        <v>810.177571544228</v>
      </c>
      <c r="X31" s="47" t="n">
        <f aca="false">R31+(AV31/100)*J31*Régions!$O$2</f>
        <v>11407.3077406812</v>
      </c>
      <c r="Y31" s="47" t="n">
        <f aca="false">S31+(AW31/100)*J31*Régions!$O$2</f>
        <v>1795.15937772009</v>
      </c>
      <c r="Z31" s="47" t="n">
        <f aca="false">T31+(AX31/100)*J31*Régions!$O$2</f>
        <v>1611.83520733833</v>
      </c>
      <c r="AA31" s="47" t="n">
        <f aca="false">U31</f>
        <v>5586.3590772317</v>
      </c>
      <c r="AB31" s="47" t="n">
        <f aca="false">V31</f>
        <v>783.386581469649</v>
      </c>
      <c r="AC31" s="47" t="n">
        <f aca="false">D31*INDEX(Régions!$Z$2:$Z$6,MATCH($B31,Régions!$A$2:$A$6,0))</f>
        <v>1398.33583208396</v>
      </c>
      <c r="AD31" s="47" t="n">
        <f aca="false">E31*INDEX(Régions!$AA$2:$AA$6,MATCH($B31,Régions!$A$2:$A$6,0))</f>
        <v>14562.9888432178</v>
      </c>
      <c r="AE31" s="47" t="n">
        <f aca="false">F31*INDEX(Régions!$AB$2:$AB$6,MATCH($B31,Régions!$A$2:$A$6,0))</f>
        <v>2019.00225733634</v>
      </c>
      <c r="AF31" s="47" t="n">
        <f aca="false">G31*INDEX(Régions!$AC$2:$AC$6,MATCH($B31,Régions!$A$2:$A$6,0))</f>
        <v>1657.95688847235</v>
      </c>
      <c r="AG31" s="47" t="n">
        <f aca="false">H31*INDEX(Régions!$AD$2:$AD$6,MATCH($B31,Régions!$A$2:$A$6,0))</f>
        <v>7890.73219658977</v>
      </c>
      <c r="AH31" s="47" t="n">
        <f aca="false">I31*INDEX(Régions!$AE$2:$AE$6,MATCH($B31,Régions!$A$2:$A$6,0))</f>
        <v>2075.97444089457</v>
      </c>
      <c r="AI31" s="47" t="n">
        <f aca="false">D31*INDEX(Régions!$AF$2:$AF$6,MATCH($B31,Régions!$A$2:$A$6,0))</f>
        <v>894.017991004498</v>
      </c>
      <c r="AJ31" s="47" t="n">
        <f aca="false">E31*INDEX(Régions!$AG$2:$AG$6,MATCH($B31,Régions!$A$2:$A$6,0))</f>
        <v>11986.1597181444</v>
      </c>
      <c r="AK31" s="47" t="n">
        <f aca="false">F31*INDEX(Régions!$AH$2:$AH$6,MATCH($B31,Régions!$A$2:$A$6,0))</f>
        <v>1362.57787810384</v>
      </c>
      <c r="AL31" s="47" t="n">
        <f aca="false">G31*INDEX(Régions!$AI$2:$AI$6,MATCH($B31,Régions!$A$2:$A$6,0))</f>
        <v>1257.13214620431</v>
      </c>
      <c r="AM31" s="47" t="n">
        <f aca="false">H31*INDEX(Régions!$AJ$2:$AJ$6,MATCH($B31,Régions!$A$2:$A$6,0))</f>
        <v>3281.98595787362</v>
      </c>
      <c r="AN31" s="47" t="n">
        <f aca="false">I31*INDEX(Régions!$AK$2:$AK$6,MATCH($B31,Régions!$A$2:$A$6,0))</f>
        <v>0</v>
      </c>
      <c r="AO31" s="49" t="str">
        <f aca="false">INDEX({"CAQ","PLQ","QS","PQ","PCQ","Autre"},MATCH(MAX(Q31:V31),Q31:V31,0))</f>
        <v>PLQ</v>
      </c>
      <c r="AP31" s="49" t="str">
        <f aca="false">INDEX({"CAQ","PLQ","QS","PQ","PCQ","Autre"},MATCH(MAX(W31:AB31),W31:AB31,0))</f>
        <v>PLQ</v>
      </c>
      <c r="AQ31" s="49" t="str">
        <f aca="false">INDEX({"CAQ","PLQ","QS","PQ","PCQ","Autre"},MATCH(MAX(AC31:AH31),AC31:AH31,0))</f>
        <v>PLQ</v>
      </c>
      <c r="AR31" s="49" t="str">
        <f aca="false">INDEX({"CAQ","PLQ","QS","PQ","PCQ","Autre"},MATCH(MAX(AI31:AN31),AI31:AN31,0))</f>
        <v>PLQ</v>
      </c>
      <c r="AS31" s="50" t="n">
        <f aca="false">(MAX(K31:P31)-LARGE(K31:P31,2))*100</f>
        <v>24.4954766875435</v>
      </c>
      <c r="AT31" s="51" t="str">
        <f aca="false">IF(AS31&lt;5,"Oui","Non")</f>
        <v>Non</v>
      </c>
      <c r="AU31" s="52" t="n">
        <v>-2.598</v>
      </c>
      <c r="AV31" s="52" t="n">
        <v>-14.438</v>
      </c>
      <c r="AW31" s="52" t="n">
        <v>0.807</v>
      </c>
      <c r="AX31" s="52" t="n">
        <v>1.193</v>
      </c>
    </row>
    <row r="32" customFormat="false" ht="15" hidden="false" customHeight="true" outlineLevel="0" collapsed="false">
      <c r="A32" s="35" t="s">
        <v>103</v>
      </c>
      <c r="B32" s="35" t="s">
        <v>80</v>
      </c>
      <c r="C32" s="36" t="s">
        <v>3</v>
      </c>
      <c r="D32" s="37" t="n">
        <v>15854</v>
      </c>
      <c r="E32" s="37" t="n">
        <v>3460</v>
      </c>
      <c r="F32" s="37" t="n">
        <v>4766</v>
      </c>
      <c r="G32" s="37" t="n">
        <v>5777</v>
      </c>
      <c r="H32" s="37" t="n">
        <v>3308</v>
      </c>
      <c r="I32" s="37" t="n">
        <v>510</v>
      </c>
      <c r="J32" s="38" t="n">
        <f aca="false">SUM(D32:I32)</f>
        <v>33675</v>
      </c>
      <c r="K32" s="39" t="n">
        <f aca="false">IFERROR(D32/J32,0)</f>
        <v>0.47079435783222</v>
      </c>
      <c r="L32" s="39" t="n">
        <f aca="false">IFERROR(E32/J32,0)</f>
        <v>0.102746844840386</v>
      </c>
      <c r="M32" s="39" t="n">
        <f aca="false">IFERROR(F32/J32,0)</f>
        <v>0.141529324424647</v>
      </c>
      <c r="N32" s="39" t="n">
        <f aca="false">IFERROR(G32/J32,0)</f>
        <v>0.171551596139569</v>
      </c>
      <c r="O32" s="39" t="n">
        <f aca="false">IFERROR(H32/J32,0)</f>
        <v>0.0982331106161841</v>
      </c>
      <c r="P32" s="39" t="n">
        <f aca="false">IFERROR(I32/J32,0)</f>
        <v>0.0151447661469933</v>
      </c>
      <c r="Q32" s="38" t="n">
        <f aca="false">D32*INDEX(Régions!$T$2:$T$6,MATCH($B32,Régions!$A$2:$A$6,0))</f>
        <v>11206.7152639717</v>
      </c>
      <c r="R32" s="38" t="n">
        <f aca="false">E32*INDEX(Régions!$U$2:$U$6,MATCH($B32,Régions!$A$2:$A$6,0))</f>
        <v>4420.15613910575</v>
      </c>
      <c r="S32" s="38" t="n">
        <f aca="false">F32*INDEX(Régions!$V$2:$V$6,MATCH($B32,Régions!$A$2:$A$6,0))</f>
        <v>2403.6023054755</v>
      </c>
      <c r="T32" s="38" t="n">
        <f aca="false">G32*INDEX(Régions!$W$2:$W$6,MATCH($B32,Régions!$A$2:$A$6,0))</f>
        <v>11372.0472440945</v>
      </c>
      <c r="U32" s="38" t="n">
        <f aca="false">H32*INDEX(Régions!$X$2:$X$6,MATCH($B32,Régions!$A$2:$A$6,0))</f>
        <v>3861.47859922179</v>
      </c>
      <c r="V32" s="38" t="n">
        <f aca="false">I32*INDEX(Régions!$Y$2:$Y$6,MATCH($B32,Régions!$A$2:$A$6,0))</f>
        <v>411.290322580645</v>
      </c>
      <c r="W32" s="38" t="n">
        <f aca="false">Q32+(AU32/100)*J32*Régions!$O$2</f>
        <v>10611.6780139717</v>
      </c>
      <c r="X32" s="38" t="n">
        <f aca="false">R32+(AV32/100)*J32*Régions!$O$2</f>
        <v>5057.62388910575</v>
      </c>
      <c r="Y32" s="38" t="n">
        <f aca="false">S32+(AW32/100)*J32*Régions!$O$2</f>
        <v>2458.3241804755</v>
      </c>
      <c r="Z32" s="38" t="n">
        <f aca="false">T32+(AX32/100)*J32*Régions!$O$2</f>
        <v>11549.1777440945</v>
      </c>
      <c r="AA32" s="38" t="n">
        <f aca="false">U32</f>
        <v>3861.47859922179</v>
      </c>
      <c r="AB32" s="38" t="n">
        <f aca="false">V32</f>
        <v>411.290322580645</v>
      </c>
      <c r="AC32" s="38" t="n">
        <f aca="false">D32*INDEX(Régions!$Z$2:$Z$6,MATCH($B32,Régions!$A$2:$A$6,0))</f>
        <v>12362.4077755688</v>
      </c>
      <c r="AD32" s="38" t="n">
        <f aca="false">E32*INDEX(Régions!$AA$2:$AA$6,MATCH($B32,Régions!$A$2:$A$6,0))</f>
        <v>5230.5180979418</v>
      </c>
      <c r="AE32" s="38" t="n">
        <f aca="false">F32*INDEX(Régions!$AB$2:$AB$6,MATCH($B32,Régions!$A$2:$A$6,0))</f>
        <v>3536.72910662824</v>
      </c>
      <c r="AF32" s="38" t="n">
        <f aca="false">G32*INDEX(Régions!$AC$2:$AC$6,MATCH($B32,Régions!$A$2:$A$6,0))</f>
        <v>12622.9724409449</v>
      </c>
      <c r="AG32" s="38" t="n">
        <f aca="false">H32*INDEX(Régions!$AD$2:$AD$6,MATCH($B32,Régions!$A$2:$A$6,0))</f>
        <v>4923.38521400778</v>
      </c>
      <c r="AH32" s="38" t="n">
        <f aca="false">I32*INDEX(Régions!$AE$2:$AE$6,MATCH($B32,Régions!$A$2:$A$6,0))</f>
        <v>1768.54838709677</v>
      </c>
      <c r="AI32" s="38" t="n">
        <f aca="false">D32*INDEX(Régions!$AF$2:$AF$6,MATCH($B32,Régions!$A$2:$A$6,0))</f>
        <v>10051.0227523746</v>
      </c>
      <c r="AJ32" s="38" t="n">
        <f aca="false">E32*INDEX(Régions!$AG$2:$AG$6,MATCH($B32,Régions!$A$2:$A$6,0))</f>
        <v>3609.79418026969</v>
      </c>
      <c r="AK32" s="38" t="n">
        <f aca="false">F32*INDEX(Régions!$AH$2:$AH$6,MATCH($B32,Régions!$A$2:$A$6,0))</f>
        <v>1270.47550432277</v>
      </c>
      <c r="AL32" s="38" t="n">
        <f aca="false">G32*INDEX(Régions!$AI$2:$AI$6,MATCH($B32,Régions!$A$2:$A$6,0))</f>
        <v>10121.1220472441</v>
      </c>
      <c r="AM32" s="38" t="n">
        <f aca="false">H32*INDEX(Régions!$AJ$2:$AJ$6,MATCH($B32,Régions!$A$2:$A$6,0))</f>
        <v>2799.5719844358</v>
      </c>
      <c r="AN32" s="38" t="n">
        <f aca="false">I32*INDEX(Régions!$AK$2:$AK$6,MATCH($B32,Régions!$A$2:$A$6,0))</f>
        <v>0</v>
      </c>
      <c r="AO32" s="40" t="str">
        <f aca="false">INDEX({"CAQ","PLQ","QS","PQ","PCQ","Autre"},MATCH(MAX(Q32:V32),Q32:V32,0))</f>
        <v>PQ</v>
      </c>
      <c r="AP32" s="40" t="str">
        <f aca="false">INDEX({"CAQ","PLQ","QS","PQ","PCQ","Autre"},MATCH(MAX(W32:AB32),W32:AB32,0))</f>
        <v>PQ</v>
      </c>
      <c r="AQ32" s="40" t="str">
        <f aca="false">INDEX({"CAQ","PLQ","QS","PQ","PCQ","Autre"},MATCH(MAX(AC32:AH32),AC32:AH32,0))</f>
        <v>PQ</v>
      </c>
      <c r="AR32" s="40" t="str">
        <f aca="false">INDEX({"CAQ","PLQ","QS","PQ","PCQ","Autre"},MATCH(MAX(AI32:AN32),AI32:AN32,0))</f>
        <v>PQ</v>
      </c>
      <c r="AS32" s="41" t="n">
        <f aca="false">(MAX(K32:P32)-LARGE(K32:P32,2))*100</f>
        <v>29.924276169265</v>
      </c>
      <c r="AT32" s="42" t="str">
        <f aca="false">IF(AS32&lt;5,"Oui","Non")</f>
        <v>Non</v>
      </c>
      <c r="AU32" s="43" t="n">
        <v>-3.534</v>
      </c>
      <c r="AV32" s="43" t="n">
        <v>3.786</v>
      </c>
      <c r="AW32" s="43" t="n">
        <v>0.325</v>
      </c>
      <c r="AX32" s="43" t="n">
        <v>1.052</v>
      </c>
    </row>
    <row r="33" customFormat="false" ht="15" hidden="false" customHeight="true" outlineLevel="0" collapsed="false">
      <c r="A33" s="44" t="s">
        <v>104</v>
      </c>
      <c r="B33" s="44" t="s">
        <v>70</v>
      </c>
      <c r="C33" s="45" t="s">
        <v>3</v>
      </c>
      <c r="D33" s="46" t="n">
        <v>18747</v>
      </c>
      <c r="E33" s="46" t="n">
        <v>1455</v>
      </c>
      <c r="F33" s="46" t="n">
        <v>3866</v>
      </c>
      <c r="G33" s="46" t="n">
        <v>5462</v>
      </c>
      <c r="H33" s="46" t="n">
        <v>6314</v>
      </c>
      <c r="I33" s="46" t="n">
        <v>458</v>
      </c>
      <c r="J33" s="47" t="n">
        <f aca="false">SUM(D33:I33)</f>
        <v>36302</v>
      </c>
      <c r="K33" s="48" t="n">
        <f aca="false">IFERROR(D33/J33,0)</f>
        <v>0.516417828218831</v>
      </c>
      <c r="L33" s="48" t="n">
        <f aca="false">IFERROR(E33/J33,0)</f>
        <v>0.0400804363395956</v>
      </c>
      <c r="M33" s="48" t="n">
        <f aca="false">IFERROR(F33/J33,0)</f>
        <v>0.106495509889262</v>
      </c>
      <c r="N33" s="48" t="n">
        <f aca="false">IFERROR(G33/J33,0)</f>
        <v>0.150460029750427</v>
      </c>
      <c r="O33" s="48" t="n">
        <f aca="false">IFERROR(H33/J33,0)</f>
        <v>0.173929811029695</v>
      </c>
      <c r="P33" s="48" t="n">
        <f aca="false">IFERROR(I33/J33,0)</f>
        <v>0.0126163847721889</v>
      </c>
      <c r="Q33" s="47" t="n">
        <f aca="false">D33*INDEX(Régions!$T$2:$T$6,MATCH($B33,Régions!$A$2:$A$6,0))</f>
        <v>11074.1772151899</v>
      </c>
      <c r="R33" s="47" t="n">
        <f aca="false">E33*INDEX(Régions!$U$2:$U$6,MATCH($B33,Régions!$A$2:$A$6,0))</f>
        <v>3330.47210300429</v>
      </c>
      <c r="S33" s="47" t="n">
        <f aca="false">F33*INDEX(Régions!$V$2:$V$6,MATCH($B33,Régions!$A$2:$A$6,0))</f>
        <v>2316.70411985019</v>
      </c>
      <c r="T33" s="47" t="n">
        <f aca="false">G33*INDEX(Régions!$W$2:$W$6,MATCH($B33,Régions!$A$2:$A$6,0))</f>
        <v>9547.79987944545</v>
      </c>
      <c r="U33" s="47" t="n">
        <f aca="false">H33*INDEX(Régions!$X$2:$X$6,MATCH($B33,Régions!$A$2:$A$6,0))</f>
        <v>7175</v>
      </c>
      <c r="V33" s="47" t="n">
        <f aca="false">I33*INDEX(Régions!$Y$2:$Y$6,MATCH($B33,Régions!$A$2:$A$6,0))</f>
        <v>645.070422535211</v>
      </c>
      <c r="W33" s="47" t="n">
        <f aca="false">Q33+(AU33/100)*J33*Régions!$O$2</f>
        <v>9100.98200518987</v>
      </c>
      <c r="X33" s="47" t="n">
        <f aca="false">R33+(AV33/100)*J33*Régions!$O$2</f>
        <v>4014.58329300429</v>
      </c>
      <c r="Y33" s="47" t="n">
        <f aca="false">S33+(AW33/100)*J33*Régions!$O$2</f>
        <v>1713.90940985019</v>
      </c>
      <c r="Z33" s="47" t="n">
        <f aca="false">T33+(AX33/100)*J33*Régions!$O$2</f>
        <v>10767.3655694454</v>
      </c>
      <c r="AA33" s="47" t="n">
        <f aca="false">U33</f>
        <v>7175</v>
      </c>
      <c r="AB33" s="47" t="n">
        <f aca="false">V33</f>
        <v>645.070422535211</v>
      </c>
      <c r="AC33" s="47" t="n">
        <f aca="false">D33*INDEX(Régions!$Z$2:$Z$6,MATCH($B33,Régions!$A$2:$A$6,0))</f>
        <v>12379.3481012658</v>
      </c>
      <c r="AD33" s="47" t="n">
        <f aca="false">E33*INDEX(Régions!$AA$2:$AA$6,MATCH($B33,Régions!$A$2:$A$6,0))</f>
        <v>4017.38197424893</v>
      </c>
      <c r="AE33" s="47" t="n">
        <f aca="false">F33*INDEX(Régions!$AB$2:$AB$6,MATCH($B33,Régions!$A$2:$A$6,0))</f>
        <v>3272.34456928839</v>
      </c>
      <c r="AF33" s="47" t="n">
        <f aca="false">G33*INDEX(Régions!$AC$2:$AC$6,MATCH($B33,Régions!$A$2:$A$6,0))</f>
        <v>10634.2736588306</v>
      </c>
      <c r="AG33" s="47" t="n">
        <f aca="false">H33*INDEX(Régions!$AD$2:$AD$6,MATCH($B33,Régions!$A$2:$A$6,0))</f>
        <v>8567.79411764706</v>
      </c>
      <c r="AH33" s="47" t="n">
        <f aca="false">I33*INDEX(Régions!$AE$2:$AE$6,MATCH($B33,Régions!$A$2:$A$6,0))</f>
        <v>2773.80281690141</v>
      </c>
      <c r="AI33" s="47" t="n">
        <f aca="false">D33*INDEX(Régions!$AF$2:$AF$6,MATCH($B33,Régions!$A$2:$A$6,0))</f>
        <v>9769.00632911392</v>
      </c>
      <c r="AJ33" s="47" t="n">
        <f aca="false">E33*INDEX(Régions!$AG$2:$AG$6,MATCH($B33,Régions!$A$2:$A$6,0))</f>
        <v>2643.56223175966</v>
      </c>
      <c r="AK33" s="47" t="n">
        <f aca="false">F33*INDEX(Régions!$AH$2:$AH$6,MATCH($B33,Régions!$A$2:$A$6,0))</f>
        <v>1361.06367041199</v>
      </c>
      <c r="AL33" s="47" t="n">
        <f aca="false">G33*INDEX(Régions!$AI$2:$AI$6,MATCH($B33,Régions!$A$2:$A$6,0))</f>
        <v>8461.32610006028</v>
      </c>
      <c r="AM33" s="47" t="n">
        <f aca="false">H33*INDEX(Régions!$AJ$2:$AJ$6,MATCH($B33,Régions!$A$2:$A$6,0))</f>
        <v>5782.20588235294</v>
      </c>
      <c r="AN33" s="47" t="n">
        <f aca="false">I33*INDEX(Régions!$AK$2:$AK$6,MATCH($B33,Régions!$A$2:$A$6,0))</f>
        <v>0</v>
      </c>
      <c r="AO33" s="49" t="str">
        <f aca="false">INDEX({"CAQ","PLQ","QS","PQ","PCQ","Autre"},MATCH(MAX(Q33:V33),Q33:V33,0))</f>
        <v>CAQ</v>
      </c>
      <c r="AP33" s="49" t="str">
        <f aca="false">INDEX({"CAQ","PLQ","QS","PQ","PCQ","Autre"},MATCH(MAX(W33:AB33),W33:AB33,0))</f>
        <v>PQ</v>
      </c>
      <c r="AQ33" s="49" t="str">
        <f aca="false">INDEX({"CAQ","PLQ","QS","PQ","PCQ","Autre"},MATCH(MAX(AC33:AH33),AC33:AH33,0))</f>
        <v>CAQ</v>
      </c>
      <c r="AR33" s="49" t="str">
        <f aca="false">INDEX({"CAQ","PLQ","QS","PQ","PCQ","Autre"},MATCH(MAX(AI33:AN33),AI33:AN33,0))</f>
        <v>CAQ</v>
      </c>
      <c r="AS33" s="50" t="n">
        <f aca="false">(MAX(K33:P33)-LARGE(K33:P33,2))*100</f>
        <v>34.2488017189136</v>
      </c>
      <c r="AT33" s="51" t="str">
        <f aca="false">IF(AS33&lt;5,"Oui","Non")</f>
        <v>Non</v>
      </c>
      <c r="AU33" s="52" t="n">
        <v>-10.871</v>
      </c>
      <c r="AV33" s="52" t="n">
        <v>3.769</v>
      </c>
      <c r="AW33" s="52" t="n">
        <v>-3.321</v>
      </c>
      <c r="AX33" s="52" t="n">
        <v>6.719</v>
      </c>
    </row>
    <row r="34" customFormat="false" ht="15" hidden="false" customHeight="true" outlineLevel="0" collapsed="false">
      <c r="A34" s="35" t="s">
        <v>105</v>
      </c>
      <c r="B34" s="35" t="s">
        <v>70</v>
      </c>
      <c r="C34" s="36" t="s">
        <v>3</v>
      </c>
      <c r="D34" s="37" t="n">
        <v>15427</v>
      </c>
      <c r="E34" s="37" t="n">
        <v>666</v>
      </c>
      <c r="F34" s="37" t="n">
        <v>2833</v>
      </c>
      <c r="G34" s="37" t="n">
        <v>4699</v>
      </c>
      <c r="H34" s="37" t="n">
        <v>2956</v>
      </c>
      <c r="I34" s="37" t="n">
        <v>200</v>
      </c>
      <c r="J34" s="38" t="n">
        <f aca="false">SUM(D34:I34)</f>
        <v>26781</v>
      </c>
      <c r="K34" s="39" t="n">
        <f aca="false">IFERROR(D34/J34,0)</f>
        <v>0.576042716851499</v>
      </c>
      <c r="L34" s="39" t="n">
        <f aca="false">IFERROR(E34/J34,0)</f>
        <v>0.0248683768343228</v>
      </c>
      <c r="M34" s="39" t="n">
        <f aca="false">IFERROR(F34/J34,0)</f>
        <v>0.105783951308764</v>
      </c>
      <c r="N34" s="39" t="n">
        <f aca="false">IFERROR(G34/J34,0)</f>
        <v>0.175460214331056</v>
      </c>
      <c r="O34" s="39" t="n">
        <f aca="false">IFERROR(H34/J34,0)</f>
        <v>0.110376759643031</v>
      </c>
      <c r="P34" s="39" t="n">
        <f aca="false">IFERROR(I34/J34,0)</f>
        <v>0.00746798103132818</v>
      </c>
      <c r="Q34" s="38" t="n">
        <f aca="false">D34*INDEX(Régions!$T$2:$T$6,MATCH($B34,Régions!$A$2:$A$6,0))</f>
        <v>9112.99578059072</v>
      </c>
      <c r="R34" s="38" t="n">
        <f aca="false">E34*INDEX(Régions!$U$2:$U$6,MATCH($B34,Régions!$A$2:$A$6,0))</f>
        <v>1524.4635193133</v>
      </c>
      <c r="S34" s="38" t="n">
        <f aca="false">F34*INDEX(Régions!$V$2:$V$6,MATCH($B34,Régions!$A$2:$A$6,0))</f>
        <v>1697.67790262172</v>
      </c>
      <c r="T34" s="38" t="n">
        <f aca="false">G34*INDEX(Régions!$W$2:$W$6,MATCH($B34,Régions!$A$2:$A$6,0))</f>
        <v>8214.04460518385</v>
      </c>
      <c r="U34" s="38" t="n">
        <f aca="false">H34*INDEX(Régions!$X$2:$X$6,MATCH($B34,Régions!$A$2:$A$6,0))</f>
        <v>3359.09090909091</v>
      </c>
      <c r="V34" s="38" t="n">
        <f aca="false">I34*INDEX(Régions!$Y$2:$Y$6,MATCH($B34,Régions!$A$2:$A$6,0))</f>
        <v>281.69014084507</v>
      </c>
      <c r="W34" s="38" t="n">
        <f aca="false">Q34+(AU34/100)*J34*Régions!$O$2</f>
        <v>10607.5094855907</v>
      </c>
      <c r="X34" s="38" t="n">
        <f aca="false">R34+(AV34/100)*J34*Régions!$O$2</f>
        <v>572.800684313304</v>
      </c>
      <c r="Y34" s="38" t="n">
        <f aca="false">S34+(AW34/100)*J34*Régions!$O$2</f>
        <v>1636.61722262172</v>
      </c>
      <c r="Z34" s="38" t="n">
        <f aca="false">T34+(AX34/100)*J34*Régions!$O$2</f>
        <v>8294.11979518385</v>
      </c>
      <c r="AA34" s="38" t="n">
        <f aca="false">U34</f>
        <v>3359.09090909091</v>
      </c>
      <c r="AB34" s="38" t="n">
        <f aca="false">V34</f>
        <v>281.69014084507</v>
      </c>
      <c r="AC34" s="38" t="n">
        <f aca="false">D34*INDEX(Régions!$Z$2:$Z$6,MATCH($B34,Régions!$A$2:$A$6,0))</f>
        <v>10187.0274261603</v>
      </c>
      <c r="AD34" s="38" t="n">
        <f aca="false">E34*INDEX(Régions!$AA$2:$AA$6,MATCH($B34,Régions!$A$2:$A$6,0))</f>
        <v>1838.88412017167</v>
      </c>
      <c r="AE34" s="38" t="n">
        <f aca="false">F34*INDEX(Régions!$AB$2:$AB$6,MATCH($B34,Régions!$A$2:$A$6,0))</f>
        <v>2397.97003745318</v>
      </c>
      <c r="AF34" s="38" t="n">
        <f aca="false">G34*INDEX(Régions!$AC$2:$AC$6,MATCH($B34,Régions!$A$2:$A$6,0))</f>
        <v>9148.74623267028</v>
      </c>
      <c r="AG34" s="38" t="n">
        <f aca="false">H34*INDEX(Régions!$AD$2:$AD$6,MATCH($B34,Régions!$A$2:$A$6,0))</f>
        <v>4011.14973262032</v>
      </c>
      <c r="AH34" s="38" t="n">
        <f aca="false">I34*INDEX(Régions!$AE$2:$AE$6,MATCH($B34,Régions!$A$2:$A$6,0))</f>
        <v>1211.2676056338</v>
      </c>
      <c r="AI34" s="38" t="n">
        <f aca="false">D34*INDEX(Régions!$AF$2:$AF$6,MATCH($B34,Régions!$A$2:$A$6,0))</f>
        <v>8038.9641350211</v>
      </c>
      <c r="AJ34" s="38" t="n">
        <f aca="false">E34*INDEX(Régions!$AG$2:$AG$6,MATCH($B34,Régions!$A$2:$A$6,0))</f>
        <v>1210.04291845494</v>
      </c>
      <c r="AK34" s="38" t="n">
        <f aca="false">F34*INDEX(Régions!$AH$2:$AH$6,MATCH($B34,Régions!$A$2:$A$6,0))</f>
        <v>997.385767790262</v>
      </c>
      <c r="AL34" s="38" t="n">
        <f aca="false">G34*INDEX(Régions!$AI$2:$AI$6,MATCH($B34,Régions!$A$2:$A$6,0))</f>
        <v>7279.34297769741</v>
      </c>
      <c r="AM34" s="38" t="n">
        <f aca="false">H34*INDEX(Régions!$AJ$2:$AJ$6,MATCH($B34,Régions!$A$2:$A$6,0))</f>
        <v>2707.0320855615</v>
      </c>
      <c r="AN34" s="38" t="n">
        <f aca="false">I34*INDEX(Régions!$AK$2:$AK$6,MATCH($B34,Régions!$A$2:$A$6,0))</f>
        <v>0</v>
      </c>
      <c r="AO34" s="40" t="str">
        <f aca="false">INDEX({"CAQ","PLQ","QS","PQ","PCQ","Autre"},MATCH(MAX(Q34:V34),Q34:V34,0))</f>
        <v>CAQ</v>
      </c>
      <c r="AP34" s="40" t="str">
        <f aca="false">INDEX({"CAQ","PLQ","QS","PQ","PCQ","Autre"},MATCH(MAX(W34:AB34),W34:AB34,0))</f>
        <v>CAQ</v>
      </c>
      <c r="AQ34" s="40" t="str">
        <f aca="false">INDEX({"CAQ","PLQ","QS","PQ","PCQ","Autre"},MATCH(MAX(AC34:AH34),AC34:AH34,0))</f>
        <v>CAQ</v>
      </c>
      <c r="AR34" s="40" t="str">
        <f aca="false">INDEX({"CAQ","PLQ","QS","PQ","PCQ","Autre"},MATCH(MAX(AI34:AN34),AI34:AN34,0))</f>
        <v>CAQ</v>
      </c>
      <c r="AS34" s="41" t="n">
        <f aca="false">(MAX(K34:P34)-LARGE(K34:P34,2))*100</f>
        <v>40.0582502520444</v>
      </c>
      <c r="AT34" s="42" t="str">
        <f aca="false">IF(AS34&lt;5,"Oui","Non")</f>
        <v>Non</v>
      </c>
      <c r="AU34" s="43" t="n">
        <v>11.161</v>
      </c>
      <c r="AV34" s="43" t="n">
        <v>-7.107</v>
      </c>
      <c r="AW34" s="43" t="n">
        <v>-0.456</v>
      </c>
      <c r="AX34" s="43" t="n">
        <v>0.598</v>
      </c>
    </row>
    <row r="35" customFormat="false" ht="15" hidden="false" customHeight="true" outlineLevel="0" collapsed="false">
      <c r="A35" s="44" t="s">
        <v>106</v>
      </c>
      <c r="B35" s="44" t="s">
        <v>70</v>
      </c>
      <c r="C35" s="45" t="s">
        <v>3</v>
      </c>
      <c r="D35" s="46" t="n">
        <v>8785</v>
      </c>
      <c r="E35" s="46" t="n">
        <v>783</v>
      </c>
      <c r="F35" s="46" t="n">
        <v>1821</v>
      </c>
      <c r="G35" s="46" t="n">
        <v>4825</v>
      </c>
      <c r="H35" s="46" t="n">
        <v>3059</v>
      </c>
      <c r="I35" s="46" t="n">
        <v>190</v>
      </c>
      <c r="J35" s="47" t="n">
        <f aca="false">SUM(D35:I35)</f>
        <v>19463</v>
      </c>
      <c r="K35" s="48" t="n">
        <f aca="false">IFERROR(D35/J35,0)</f>
        <v>0.451369264758773</v>
      </c>
      <c r="L35" s="48" t="n">
        <f aca="false">IFERROR(E35/J35,0)</f>
        <v>0.0402301803421877</v>
      </c>
      <c r="M35" s="48" t="n">
        <f aca="false">IFERROR(F35/J35,0)</f>
        <v>0.0935621435544366</v>
      </c>
      <c r="N35" s="48" t="n">
        <f aca="false">IFERROR(G35/J35,0)</f>
        <v>0.247906283717824</v>
      </c>
      <c r="O35" s="48" t="n">
        <f aca="false">IFERROR(H35/J35,0)</f>
        <v>0.157170014900067</v>
      </c>
      <c r="P35" s="48" t="n">
        <f aca="false">IFERROR(I35/J35,0)</f>
        <v>0.00976211272671222</v>
      </c>
      <c r="Q35" s="47" t="n">
        <f aca="false">D35*INDEX(Régions!$T$2:$T$6,MATCH($B35,Régions!$A$2:$A$6,0))</f>
        <v>5189.45147679325</v>
      </c>
      <c r="R35" s="47" t="n">
        <f aca="false">E35*INDEX(Régions!$U$2:$U$6,MATCH($B35,Régions!$A$2:$A$6,0))</f>
        <v>1792.27467811159</v>
      </c>
      <c r="S35" s="47" t="n">
        <f aca="false">F35*INDEX(Régions!$V$2:$V$6,MATCH($B35,Régions!$A$2:$A$6,0))</f>
        <v>1091.23595505618</v>
      </c>
      <c r="T35" s="47" t="n">
        <f aca="false">G35*INDEX(Régions!$W$2:$W$6,MATCH($B35,Régions!$A$2:$A$6,0))</f>
        <v>8434.29776974081</v>
      </c>
      <c r="U35" s="47" t="n">
        <f aca="false">H35*INDEX(Régions!$X$2:$X$6,MATCH($B35,Régions!$A$2:$A$6,0))</f>
        <v>3476.13636363636</v>
      </c>
      <c r="V35" s="47" t="n">
        <f aca="false">I35*INDEX(Régions!$Y$2:$Y$6,MATCH($B35,Régions!$A$2:$A$6,0))</f>
        <v>267.605633802817</v>
      </c>
      <c r="W35" s="47" t="n">
        <f aca="false">Q35+(AU35/100)*J35*Régions!$O$2</f>
        <v>5698.01966679325</v>
      </c>
      <c r="X35" s="47" t="n">
        <f aca="false">R35+(AV35/100)*J35*Régions!$O$2</f>
        <v>1683.18456311159</v>
      </c>
      <c r="Y35" s="47" t="n">
        <f aca="false">S35+(AW35/100)*J35*Régions!$O$2</f>
        <v>898.35762505618</v>
      </c>
      <c r="Z35" s="47" t="n">
        <f aca="false">T35+(AX35/100)*J35*Régions!$O$2</f>
        <v>7916.97122974081</v>
      </c>
      <c r="AA35" s="47" t="n">
        <f aca="false">U35</f>
        <v>3476.13636363636</v>
      </c>
      <c r="AB35" s="47" t="n">
        <f aca="false">V35</f>
        <v>267.605633802817</v>
      </c>
      <c r="AC35" s="47" t="n">
        <f aca="false">D35*INDEX(Régions!$Z$2:$Z$6,MATCH($B35,Régions!$A$2:$A$6,0))</f>
        <v>5801.06540084388</v>
      </c>
      <c r="AD35" s="47" t="n">
        <f aca="false">E35*INDEX(Régions!$AA$2:$AA$6,MATCH($B35,Régions!$A$2:$A$6,0))</f>
        <v>2161.9313304721</v>
      </c>
      <c r="AE35" s="47" t="n">
        <f aca="false">F35*INDEX(Régions!$AB$2:$AB$6,MATCH($B35,Régions!$A$2:$A$6,0))</f>
        <v>1541.37078651685</v>
      </c>
      <c r="AF35" s="47" t="n">
        <f aca="false">G35*INDEX(Régions!$AC$2:$AC$6,MATCH($B35,Régions!$A$2:$A$6,0))</f>
        <v>9394.06268836649</v>
      </c>
      <c r="AG35" s="47" t="n">
        <f aca="false">H35*INDEX(Régions!$AD$2:$AD$6,MATCH($B35,Régions!$A$2:$A$6,0))</f>
        <v>4150.91577540107</v>
      </c>
      <c r="AH35" s="47" t="n">
        <f aca="false">I35*INDEX(Régions!$AE$2:$AE$6,MATCH($B35,Régions!$A$2:$A$6,0))</f>
        <v>1150.70422535211</v>
      </c>
      <c r="AI35" s="47" t="n">
        <f aca="false">D35*INDEX(Régions!$AF$2:$AF$6,MATCH($B35,Régions!$A$2:$A$6,0))</f>
        <v>4577.83755274262</v>
      </c>
      <c r="AJ35" s="47" t="n">
        <f aca="false">E35*INDEX(Régions!$AG$2:$AG$6,MATCH($B35,Régions!$A$2:$A$6,0))</f>
        <v>1422.61802575107</v>
      </c>
      <c r="AK35" s="47" t="n">
        <f aca="false">F35*INDEX(Régions!$AH$2:$AH$6,MATCH($B35,Régions!$A$2:$A$6,0))</f>
        <v>641.101123595506</v>
      </c>
      <c r="AL35" s="47" t="n">
        <f aca="false">G35*INDEX(Régions!$AI$2:$AI$6,MATCH($B35,Régions!$A$2:$A$6,0))</f>
        <v>7474.53285111513</v>
      </c>
      <c r="AM35" s="47" t="n">
        <f aca="false">H35*INDEX(Régions!$AJ$2:$AJ$6,MATCH($B35,Régions!$A$2:$A$6,0))</f>
        <v>2801.35695187166</v>
      </c>
      <c r="AN35" s="47" t="n">
        <f aca="false">I35*INDEX(Régions!$AK$2:$AK$6,MATCH($B35,Régions!$A$2:$A$6,0))</f>
        <v>0</v>
      </c>
      <c r="AO35" s="49" t="str">
        <f aca="false">INDEX({"CAQ","PLQ","QS","PQ","PCQ","Autre"},MATCH(MAX(Q35:V35),Q35:V35,0))</f>
        <v>PQ</v>
      </c>
      <c r="AP35" s="49" t="str">
        <f aca="false">INDEX({"CAQ","PLQ","QS","PQ","PCQ","Autre"},MATCH(MAX(W35:AB35),W35:AB35,0))</f>
        <v>PQ</v>
      </c>
      <c r="AQ35" s="49" t="str">
        <f aca="false">INDEX({"CAQ","PLQ","QS","PQ","PCQ","Autre"},MATCH(MAX(AC35:AH35),AC35:AH35,0))</f>
        <v>PQ</v>
      </c>
      <c r="AR35" s="49" t="str">
        <f aca="false">INDEX({"CAQ","PLQ","QS","PQ","PCQ","Autre"},MATCH(MAX(AI35:AN35),AI35:AN35,0))</f>
        <v>PQ</v>
      </c>
      <c r="AS35" s="50" t="n">
        <f aca="false">(MAX(K35:P35)-LARGE(K35:P35,2))*100</f>
        <v>20.346298104095</v>
      </c>
      <c r="AT35" s="51" t="str">
        <f aca="false">IF(AS35&lt;5,"Oui","Non")</f>
        <v>Non</v>
      </c>
      <c r="AU35" s="52" t="n">
        <v>5.226</v>
      </c>
      <c r="AV35" s="52" t="n">
        <v>-1.121</v>
      </c>
      <c r="AW35" s="52" t="n">
        <v>-1.982</v>
      </c>
      <c r="AX35" s="52" t="n">
        <v>-5.316</v>
      </c>
    </row>
    <row r="36" customFormat="false" ht="15" hidden="false" customHeight="true" outlineLevel="0" collapsed="false">
      <c r="A36" s="35" t="s">
        <v>107</v>
      </c>
      <c r="B36" s="35" t="s">
        <v>80</v>
      </c>
      <c r="C36" s="36" t="s">
        <v>3</v>
      </c>
      <c r="D36" s="37" t="n">
        <v>10912</v>
      </c>
      <c r="E36" s="37" t="n">
        <v>10606</v>
      </c>
      <c r="F36" s="37" t="n">
        <v>3820</v>
      </c>
      <c r="G36" s="37" t="n">
        <v>3346</v>
      </c>
      <c r="H36" s="37" t="n">
        <v>5205</v>
      </c>
      <c r="I36" s="37" t="n">
        <v>418</v>
      </c>
      <c r="J36" s="38" t="n">
        <f aca="false">SUM(D36:I36)</f>
        <v>34307</v>
      </c>
      <c r="K36" s="39" t="n">
        <f aca="false">IFERROR(D36/J36,0)</f>
        <v>0.318069198705803</v>
      </c>
      <c r="L36" s="39" t="n">
        <f aca="false">IFERROR(E36/J36,0)</f>
        <v>0.309149736205439</v>
      </c>
      <c r="M36" s="39" t="n">
        <f aca="false">IFERROR(F36/J36,0)</f>
        <v>0.111347538403241</v>
      </c>
      <c r="N36" s="39" t="n">
        <f aca="false">IFERROR(G36/J36,0)</f>
        <v>0.0975311160987554</v>
      </c>
      <c r="O36" s="39" t="n">
        <f aca="false">IFERROR(H36/J36,0)</f>
        <v>0.151718308216982</v>
      </c>
      <c r="P36" s="39" t="n">
        <f aca="false">IFERROR(I36/J36,0)</f>
        <v>0.0121841023697788</v>
      </c>
      <c r="Q36" s="38" t="n">
        <f aca="false">D36*INDEX(Régions!$T$2:$T$6,MATCH($B36,Régions!$A$2:$A$6,0))</f>
        <v>7713.3642588911</v>
      </c>
      <c r="R36" s="38" t="n">
        <f aca="false">E36*INDEX(Régions!$U$2:$U$6,MATCH($B36,Régions!$A$2:$A$6,0))</f>
        <v>13549.1838183109</v>
      </c>
      <c r="S36" s="38" t="n">
        <f aca="false">F36*INDEX(Régions!$V$2:$V$6,MATCH($B36,Régions!$A$2:$A$6,0))</f>
        <v>1926.51296829971</v>
      </c>
      <c r="T36" s="38" t="n">
        <f aca="false">G36*INDEX(Régions!$W$2:$W$6,MATCH($B36,Régions!$A$2:$A$6,0))</f>
        <v>6586.61417322835</v>
      </c>
      <c r="U36" s="38" t="n">
        <f aca="false">H36*INDEX(Régions!$X$2:$X$6,MATCH($B36,Régions!$A$2:$A$6,0))</f>
        <v>6075.87548638132</v>
      </c>
      <c r="V36" s="38" t="n">
        <f aca="false">I36*INDEX(Régions!$Y$2:$Y$6,MATCH($B36,Régions!$A$2:$A$6,0))</f>
        <v>337.096774193548</v>
      </c>
      <c r="W36" s="38" t="n">
        <f aca="false">Q36+(AU36/100)*J36*Régions!$O$2</f>
        <v>7040.6039888911</v>
      </c>
      <c r="X36" s="38" t="n">
        <f aca="false">R36+(AV36/100)*J36*Régions!$O$2</f>
        <v>13597.8997583109</v>
      </c>
      <c r="Y36" s="38" t="n">
        <f aca="false">S36+(AW36/100)*J36*Régions!$O$2</f>
        <v>2109.36927829971</v>
      </c>
      <c r="Z36" s="38" t="n">
        <f aca="false">T36+(AX36/100)*J36*Régions!$O$2</f>
        <v>6460.87901822835</v>
      </c>
      <c r="AA36" s="38" t="n">
        <f aca="false">U36</f>
        <v>6075.87548638132</v>
      </c>
      <c r="AB36" s="38" t="n">
        <f aca="false">V36</f>
        <v>337.096774193548</v>
      </c>
      <c r="AC36" s="38" t="n">
        <f aca="false">D36*INDEX(Régions!$Z$2:$Z$6,MATCH($B36,Régions!$A$2:$A$6,0))</f>
        <v>8508.80494808924</v>
      </c>
      <c r="AD36" s="38" t="n">
        <f aca="false">E36*INDEX(Régions!$AA$2:$AA$6,MATCH($B36,Régions!$A$2:$A$6,0))</f>
        <v>16033.2008516678</v>
      </c>
      <c r="AE36" s="38" t="n">
        <f aca="false">F36*INDEX(Régions!$AB$2:$AB$6,MATCH($B36,Régions!$A$2:$A$6,0))</f>
        <v>2834.72622478386</v>
      </c>
      <c r="AF36" s="38" t="n">
        <f aca="false">G36*INDEX(Régions!$AC$2:$AC$6,MATCH($B36,Régions!$A$2:$A$6,0))</f>
        <v>7311.14173228346</v>
      </c>
      <c r="AG36" s="38" t="n">
        <f aca="false">H36*INDEX(Régions!$AD$2:$AD$6,MATCH($B36,Régions!$A$2:$A$6,0))</f>
        <v>7746.74124513619</v>
      </c>
      <c r="AH36" s="38" t="n">
        <f aca="false">I36*INDEX(Régions!$AE$2:$AE$6,MATCH($B36,Régions!$A$2:$A$6,0))</f>
        <v>1449.51612903226</v>
      </c>
      <c r="AI36" s="38" t="n">
        <f aca="false">D36*INDEX(Régions!$AF$2:$AF$6,MATCH($B36,Régions!$A$2:$A$6,0))</f>
        <v>6917.92356969295</v>
      </c>
      <c r="AJ36" s="38" t="n">
        <f aca="false">E36*INDEX(Régions!$AG$2:$AG$6,MATCH($B36,Régions!$A$2:$A$6,0))</f>
        <v>11065.1667849539</v>
      </c>
      <c r="AK36" s="38" t="n">
        <f aca="false">F36*INDEX(Régions!$AH$2:$AH$6,MATCH($B36,Régions!$A$2:$A$6,0))</f>
        <v>1018.29971181556</v>
      </c>
      <c r="AL36" s="38" t="n">
        <f aca="false">G36*INDEX(Régions!$AI$2:$AI$6,MATCH($B36,Régions!$A$2:$A$6,0))</f>
        <v>5862.08661417323</v>
      </c>
      <c r="AM36" s="38" t="n">
        <f aca="false">H36*INDEX(Régions!$AJ$2:$AJ$6,MATCH($B36,Régions!$A$2:$A$6,0))</f>
        <v>4405.00972762646</v>
      </c>
      <c r="AN36" s="38" t="n">
        <f aca="false">I36*INDEX(Régions!$AK$2:$AK$6,MATCH($B36,Régions!$A$2:$A$6,0))</f>
        <v>0</v>
      </c>
      <c r="AO36" s="40" t="str">
        <f aca="false">INDEX({"CAQ","PLQ","QS","PQ","PCQ","Autre"},MATCH(MAX(Q36:V36),Q36:V36,0))</f>
        <v>PLQ</v>
      </c>
      <c r="AP36" s="40" t="str">
        <f aca="false">INDEX({"CAQ","PLQ","QS","PQ","PCQ","Autre"},MATCH(MAX(W36:AB36),W36:AB36,0))</f>
        <v>PLQ</v>
      </c>
      <c r="AQ36" s="40" t="str">
        <f aca="false">INDEX({"CAQ","PLQ","QS","PQ","PCQ","Autre"},MATCH(MAX(AC36:AH36),AC36:AH36,0))</f>
        <v>PLQ</v>
      </c>
      <c r="AR36" s="40" t="str">
        <f aca="false">INDEX({"CAQ","PLQ","QS","PQ","PCQ","Autre"},MATCH(MAX(AI36:AN36),AI36:AN36,0))</f>
        <v>PLQ</v>
      </c>
      <c r="AS36" s="41" t="n">
        <f aca="false">(MAX(K36:P36)-LARGE(K36:P36,2))*100</f>
        <v>0.891946250036435</v>
      </c>
      <c r="AT36" s="42" t="str">
        <f aca="false">IF(AS36&lt;5,"Oui","Non")</f>
        <v>Oui</v>
      </c>
      <c r="AU36" s="43" t="n">
        <v>-3.922</v>
      </c>
      <c r="AV36" s="43" t="n">
        <v>0.284</v>
      </c>
      <c r="AW36" s="43" t="n">
        <v>1.066</v>
      </c>
      <c r="AX36" s="43" t="n">
        <v>-0.733</v>
      </c>
    </row>
    <row r="37" customFormat="false" ht="15" hidden="false" customHeight="true" outlineLevel="0" collapsed="false">
      <c r="A37" s="44" t="s">
        <v>108</v>
      </c>
      <c r="B37" s="44" t="s">
        <v>70</v>
      </c>
      <c r="C37" s="45" t="s">
        <v>3</v>
      </c>
      <c r="D37" s="46" t="n">
        <v>7542</v>
      </c>
      <c r="E37" s="46" t="n">
        <v>1255</v>
      </c>
      <c r="F37" s="46" t="n">
        <v>1634</v>
      </c>
      <c r="G37" s="46" t="n">
        <v>6832</v>
      </c>
      <c r="H37" s="46" t="n">
        <v>956</v>
      </c>
      <c r="I37" s="46" t="n">
        <v>0</v>
      </c>
      <c r="J37" s="47" t="n">
        <f aca="false">SUM(D37:I37)</f>
        <v>18219</v>
      </c>
      <c r="K37" s="48" t="n">
        <f aca="false">IFERROR(D37/J37,0)</f>
        <v>0.413963444755475</v>
      </c>
      <c r="L37" s="48" t="n">
        <f aca="false">IFERROR(E37/J37,0)</f>
        <v>0.0688841319501619</v>
      </c>
      <c r="M37" s="48" t="n">
        <f aca="false">IFERROR(F37/J37,0)</f>
        <v>0.0896865909215654</v>
      </c>
      <c r="N37" s="48" t="n">
        <f aca="false">IFERROR(G37/J37,0)</f>
        <v>0.374993139030682</v>
      </c>
      <c r="O37" s="48" t="n">
        <f aca="false">IFERROR(H37/J37,0)</f>
        <v>0.0524726933421154</v>
      </c>
      <c r="P37" s="48" t="n">
        <f aca="false">IFERROR(I37/J37,0)</f>
        <v>0</v>
      </c>
      <c r="Q37" s="47" t="n">
        <f aca="false">D37*INDEX(Régions!$T$2:$T$6,MATCH($B37,Régions!$A$2:$A$6,0))</f>
        <v>4455.18987341772</v>
      </c>
      <c r="R37" s="47" t="n">
        <f aca="false">E37*INDEX(Régions!$U$2:$U$6,MATCH($B37,Régions!$A$2:$A$6,0))</f>
        <v>2872.67525035765</v>
      </c>
      <c r="S37" s="47" t="n">
        <f aca="false">F37*INDEX(Régions!$V$2:$V$6,MATCH($B37,Régions!$A$2:$A$6,0))</f>
        <v>979.176029962547</v>
      </c>
      <c r="T37" s="47" t="n">
        <f aca="false">G37*INDEX(Régions!$W$2:$W$6,MATCH($B37,Régions!$A$2:$A$6,0))</f>
        <v>11942.6160337553</v>
      </c>
      <c r="U37" s="47" t="n">
        <f aca="false">H37*INDEX(Régions!$X$2:$X$6,MATCH($B37,Régions!$A$2:$A$6,0))</f>
        <v>1086.36363636364</v>
      </c>
      <c r="V37" s="47" t="n">
        <f aca="false">I37*INDEX(Régions!$Y$2:$Y$6,MATCH($B37,Régions!$A$2:$A$6,0))</f>
        <v>0</v>
      </c>
      <c r="W37" s="47" t="n">
        <f aca="false">Q37+(AU37/100)*J37*Régions!$O$2</f>
        <v>5874.99654341772</v>
      </c>
      <c r="X37" s="47" t="n">
        <f aca="false">R37+(AV37/100)*J37*Régions!$O$2</f>
        <v>1641.61742035765</v>
      </c>
      <c r="Y37" s="47" t="n">
        <f aca="false">S37+(AW37/100)*J37*Régions!$O$2</f>
        <v>632.923934962547</v>
      </c>
      <c r="Z37" s="47" t="n">
        <f aca="false">T37+(AX37/100)*J37*Régions!$O$2</f>
        <v>12698.7956287553</v>
      </c>
      <c r="AA37" s="47" t="n">
        <f aca="false">U37</f>
        <v>1086.36363636364</v>
      </c>
      <c r="AB37" s="47" t="n">
        <f aca="false">V37</f>
        <v>0</v>
      </c>
      <c r="AC37" s="47" t="n">
        <f aca="false">D37*INDEX(Régions!$Z$2:$Z$6,MATCH($B37,Régions!$A$2:$A$6,0))</f>
        <v>4980.26582278481</v>
      </c>
      <c r="AD37" s="47" t="n">
        <f aca="false">E37*INDEX(Régions!$AA$2:$AA$6,MATCH($B37,Régions!$A$2:$A$6,0))</f>
        <v>3465.16452074392</v>
      </c>
      <c r="AE37" s="47" t="n">
        <f aca="false">F37*INDEX(Régions!$AB$2:$AB$6,MATCH($B37,Régions!$A$2:$A$6,0))</f>
        <v>1383.0861423221</v>
      </c>
      <c r="AF37" s="47" t="n">
        <f aca="false">G37*INDEX(Régions!$AC$2:$AC$6,MATCH($B37,Régions!$A$2:$A$6,0))</f>
        <v>13301.6033755274</v>
      </c>
      <c r="AG37" s="47" t="n">
        <f aca="false">H37*INDEX(Régions!$AD$2:$AD$6,MATCH($B37,Régions!$A$2:$A$6,0))</f>
        <v>1297.24598930481</v>
      </c>
      <c r="AH37" s="47" t="n">
        <f aca="false">I37*INDEX(Régions!$AE$2:$AE$6,MATCH($B37,Régions!$A$2:$A$6,0))</f>
        <v>0</v>
      </c>
      <c r="AI37" s="47" t="n">
        <f aca="false">D37*INDEX(Régions!$AF$2:$AF$6,MATCH($B37,Régions!$A$2:$A$6,0))</f>
        <v>3930.11392405063</v>
      </c>
      <c r="AJ37" s="47" t="n">
        <f aca="false">E37*INDEX(Régions!$AG$2:$AG$6,MATCH($B37,Régions!$A$2:$A$6,0))</f>
        <v>2280.18597997139</v>
      </c>
      <c r="AK37" s="47" t="n">
        <f aca="false">F37*INDEX(Régions!$AH$2:$AH$6,MATCH($B37,Régions!$A$2:$A$6,0))</f>
        <v>575.265917602996</v>
      </c>
      <c r="AL37" s="47" t="n">
        <f aca="false">G37*INDEX(Régions!$AI$2:$AI$6,MATCH($B37,Régions!$A$2:$A$6,0))</f>
        <v>10583.6286919831</v>
      </c>
      <c r="AM37" s="47" t="n">
        <f aca="false">H37*INDEX(Régions!$AJ$2:$AJ$6,MATCH($B37,Régions!$A$2:$A$6,0))</f>
        <v>875.48128342246</v>
      </c>
      <c r="AN37" s="47" t="n">
        <f aca="false">I37*INDEX(Régions!$AK$2:$AK$6,MATCH($B37,Régions!$A$2:$A$6,0))</f>
        <v>0</v>
      </c>
      <c r="AO37" s="49" t="str">
        <f aca="false">INDEX({"CAQ","PLQ","QS","PQ","PCQ","Autre"},MATCH(MAX(Q37:V37),Q37:V37,0))</f>
        <v>PQ</v>
      </c>
      <c r="AP37" s="49" t="str">
        <f aca="false">INDEX({"CAQ","PLQ","QS","PQ","PCQ","Autre"},MATCH(MAX(W37:AB37),W37:AB37,0))</f>
        <v>PQ</v>
      </c>
      <c r="AQ37" s="49" t="str">
        <f aca="false">INDEX({"CAQ","PLQ","QS","PQ","PCQ","Autre"},MATCH(MAX(AC37:AH37),AC37:AH37,0))</f>
        <v>PQ</v>
      </c>
      <c r="AR37" s="49" t="str">
        <f aca="false">INDEX({"CAQ","PLQ","QS","PQ","PCQ","Autre"},MATCH(MAX(AI37:AN37),AI37:AN37,0))</f>
        <v>PQ</v>
      </c>
      <c r="AS37" s="50" t="n">
        <f aca="false">(MAX(K37:P37)-LARGE(K37:P37,2))*100</f>
        <v>3.89703057247928</v>
      </c>
      <c r="AT37" s="51" t="str">
        <f aca="false">IF(AS37&lt;5,"Oui","Non")</f>
        <v>Oui</v>
      </c>
      <c r="AU37" s="52" t="n">
        <v>15.586</v>
      </c>
      <c r="AV37" s="52" t="n">
        <v>-13.514</v>
      </c>
      <c r="AW37" s="52" t="n">
        <v>-3.801</v>
      </c>
      <c r="AX37" s="52" t="n">
        <v>8.301</v>
      </c>
    </row>
    <row r="38" customFormat="false" ht="15" hidden="false" customHeight="true" outlineLevel="0" collapsed="false">
      <c r="A38" s="35" t="s">
        <v>109</v>
      </c>
      <c r="B38" s="35" t="s">
        <v>70</v>
      </c>
      <c r="C38" s="36" t="s">
        <v>3</v>
      </c>
      <c r="D38" s="37" t="n">
        <v>17055</v>
      </c>
      <c r="E38" s="37" t="n">
        <v>7137</v>
      </c>
      <c r="F38" s="37" t="n">
        <v>4415</v>
      </c>
      <c r="G38" s="37" t="n">
        <v>3542</v>
      </c>
      <c r="H38" s="37" t="n">
        <v>4254</v>
      </c>
      <c r="I38" s="37" t="n">
        <v>88</v>
      </c>
      <c r="J38" s="38" t="n">
        <f aca="false">SUM(D38:I38)</f>
        <v>36491</v>
      </c>
      <c r="K38" s="39" t="n">
        <f aca="false">IFERROR(D38/J38,0)</f>
        <v>0.467375517250829</v>
      </c>
      <c r="L38" s="39" t="n">
        <f aca="false">IFERROR(E38/J38,0)</f>
        <v>0.195582472390452</v>
      </c>
      <c r="M38" s="39" t="n">
        <f aca="false">IFERROR(F38/J38,0)</f>
        <v>0.120988736948837</v>
      </c>
      <c r="N38" s="39" t="n">
        <f aca="false">IFERROR(G38/J38,0)</f>
        <v>0.0970650297333589</v>
      </c>
      <c r="O38" s="39" t="n">
        <f aca="false">IFERROR(H38/J38,0)</f>
        <v>0.116576690142775</v>
      </c>
      <c r="P38" s="39" t="n">
        <f aca="false">IFERROR(I38/J38,0)</f>
        <v>0.00241155353374805</v>
      </c>
      <c r="Q38" s="38" t="n">
        <f aca="false">D38*INDEX(Régions!$T$2:$T$6,MATCH($B38,Régions!$A$2:$A$6,0))</f>
        <v>10074.6835443038</v>
      </c>
      <c r="R38" s="38" t="n">
        <f aca="false">E38*INDEX(Régions!$U$2:$U$6,MATCH($B38,Régions!$A$2:$A$6,0))</f>
        <v>16336.4806866953</v>
      </c>
      <c r="S38" s="38" t="n">
        <f aca="false">F38*INDEX(Régions!$V$2:$V$6,MATCH($B38,Régions!$A$2:$A$6,0))</f>
        <v>2645.69288389513</v>
      </c>
      <c r="T38" s="38" t="n">
        <f aca="false">G38*INDEX(Régions!$W$2:$W$6,MATCH($B38,Régions!$A$2:$A$6,0))</f>
        <v>6191.5611814346</v>
      </c>
      <c r="U38" s="38" t="n">
        <f aca="false">H38*INDEX(Régions!$X$2:$X$6,MATCH($B38,Régions!$A$2:$A$6,0))</f>
        <v>4834.09090909091</v>
      </c>
      <c r="V38" s="38" t="n">
        <f aca="false">I38*INDEX(Régions!$Y$2:$Y$6,MATCH($B38,Régions!$A$2:$A$6,0))</f>
        <v>123.943661971831</v>
      </c>
      <c r="W38" s="38" t="n">
        <f aca="false">Q38+(AU38/100)*J38*Régions!$O$2</f>
        <v>9852.4533543038</v>
      </c>
      <c r="X38" s="38" t="n">
        <f aca="false">R38+(AV38/100)*J38*Régions!$O$2</f>
        <v>16673.6575266953</v>
      </c>
      <c r="Y38" s="38" t="n">
        <f aca="false">S38+(AW38/100)*J38*Régions!$O$2</f>
        <v>2685.10316389513</v>
      </c>
      <c r="Z38" s="38" t="n">
        <f aca="false">T38+(AX38/100)*J38*Régions!$O$2</f>
        <v>7087.2327764346</v>
      </c>
      <c r="AA38" s="38" t="n">
        <f aca="false">U38</f>
        <v>4834.09090909091</v>
      </c>
      <c r="AB38" s="38" t="n">
        <f aca="false">V38</f>
        <v>123.943661971831</v>
      </c>
      <c r="AC38" s="38" t="n">
        <f aca="false">D38*INDEX(Régions!$Z$2:$Z$6,MATCH($B38,Régions!$A$2:$A$6,0))</f>
        <v>11262.0569620253</v>
      </c>
      <c r="AD38" s="38" t="n">
        <f aca="false">E38*INDEX(Régions!$AA$2:$AA$6,MATCH($B38,Régions!$A$2:$A$6,0))</f>
        <v>19705.8798283262</v>
      </c>
      <c r="AE38" s="38" t="n">
        <f aca="false">F38*INDEX(Régions!$AB$2:$AB$6,MATCH($B38,Régions!$A$2:$A$6,0))</f>
        <v>3737.04119850187</v>
      </c>
      <c r="AF38" s="38" t="n">
        <f aca="false">G38*INDEX(Régions!$AC$2:$AC$6,MATCH($B38,Régions!$A$2:$A$6,0))</f>
        <v>6896.11814345992</v>
      </c>
      <c r="AG38" s="38" t="n">
        <f aca="false">H38*INDEX(Régions!$AD$2:$AD$6,MATCH($B38,Régions!$A$2:$A$6,0))</f>
        <v>5772.47326203209</v>
      </c>
      <c r="AH38" s="38" t="n">
        <f aca="false">I38*INDEX(Régions!$AE$2:$AE$6,MATCH($B38,Régions!$A$2:$A$6,0))</f>
        <v>532.957746478873</v>
      </c>
      <c r="AI38" s="38" t="n">
        <f aca="false">D38*INDEX(Régions!$AF$2:$AF$6,MATCH($B38,Régions!$A$2:$A$6,0))</f>
        <v>8887.31012658228</v>
      </c>
      <c r="AJ38" s="38" t="n">
        <f aca="false">E38*INDEX(Régions!$AG$2:$AG$6,MATCH($B38,Régions!$A$2:$A$6,0))</f>
        <v>12967.0815450644</v>
      </c>
      <c r="AK38" s="38" t="n">
        <f aca="false">F38*INDEX(Régions!$AH$2:$AH$6,MATCH($B38,Régions!$A$2:$A$6,0))</f>
        <v>1554.34456928839</v>
      </c>
      <c r="AL38" s="38" t="n">
        <f aca="false">G38*INDEX(Régions!$AI$2:$AI$6,MATCH($B38,Régions!$A$2:$A$6,0))</f>
        <v>5487.00421940928</v>
      </c>
      <c r="AM38" s="38" t="n">
        <f aca="false">H38*INDEX(Régions!$AJ$2:$AJ$6,MATCH($B38,Régions!$A$2:$A$6,0))</f>
        <v>3895.70855614973</v>
      </c>
      <c r="AN38" s="38" t="n">
        <f aca="false">I38*INDEX(Régions!$AK$2:$AK$6,MATCH($B38,Régions!$A$2:$A$6,0))</f>
        <v>0</v>
      </c>
      <c r="AO38" s="40" t="str">
        <f aca="false">INDEX({"CAQ","PLQ","QS","PQ","PCQ","Autre"},MATCH(MAX(Q38:V38),Q38:V38,0))</f>
        <v>PLQ</v>
      </c>
      <c r="AP38" s="40" t="str">
        <f aca="false">INDEX({"CAQ","PLQ","QS","PQ","PCQ","Autre"},MATCH(MAX(W38:AB38),W38:AB38,0))</f>
        <v>PLQ</v>
      </c>
      <c r="AQ38" s="40" t="str">
        <f aca="false">INDEX({"CAQ","PLQ","QS","PQ","PCQ","Autre"},MATCH(MAX(AC38:AH38),AC38:AH38,0))</f>
        <v>PLQ</v>
      </c>
      <c r="AR38" s="40" t="str">
        <f aca="false">INDEX({"CAQ","PLQ","QS","PQ","PCQ","Autre"},MATCH(MAX(AI38:AN38),AI38:AN38,0))</f>
        <v>PLQ</v>
      </c>
      <c r="AS38" s="41" t="n">
        <f aca="false">(MAX(K38:P38)-LARGE(K38:P38,2))*100</f>
        <v>27.1793044860377</v>
      </c>
      <c r="AT38" s="42" t="str">
        <f aca="false">IF(AS38&lt;5,"Oui","Non")</f>
        <v>Non</v>
      </c>
      <c r="AU38" s="43" t="n">
        <v>-1.218</v>
      </c>
      <c r="AV38" s="43" t="n">
        <v>1.848</v>
      </c>
      <c r="AW38" s="43" t="n">
        <v>0.216</v>
      </c>
      <c r="AX38" s="43" t="n">
        <v>4.909</v>
      </c>
    </row>
    <row r="39" customFormat="false" ht="15" hidden="false" customHeight="true" outlineLevel="0" collapsed="false">
      <c r="A39" s="44" t="s">
        <v>110</v>
      </c>
      <c r="B39" s="44" t="s">
        <v>73</v>
      </c>
      <c r="C39" s="45" t="s">
        <v>5</v>
      </c>
      <c r="D39" s="46" t="n">
        <v>3596</v>
      </c>
      <c r="E39" s="46" t="n">
        <v>2444</v>
      </c>
      <c r="F39" s="46" t="n">
        <v>17283</v>
      </c>
      <c r="G39" s="46" t="n">
        <v>3962</v>
      </c>
      <c r="H39" s="46" t="n">
        <v>903</v>
      </c>
      <c r="I39" s="46" t="n">
        <v>890</v>
      </c>
      <c r="J39" s="47" t="n">
        <f aca="false">SUM(D39:I39)</f>
        <v>29078</v>
      </c>
      <c r="K39" s="48" t="n">
        <f aca="false">IFERROR(D39/J39,0)</f>
        <v>0.123667377398721</v>
      </c>
      <c r="L39" s="48" t="n">
        <f aca="false">IFERROR(E39/J39,0)</f>
        <v>0.084049797097462</v>
      </c>
      <c r="M39" s="48" t="n">
        <f aca="false">IFERROR(F39/J39,0)</f>
        <v>0.594366875300915</v>
      </c>
      <c r="N39" s="48" t="n">
        <f aca="false">IFERROR(G39/J39,0)</f>
        <v>0.136254212806933</v>
      </c>
      <c r="O39" s="48" t="n">
        <f aca="false">IFERROR(H39/J39,0)</f>
        <v>0.0310544053923929</v>
      </c>
      <c r="P39" s="48" t="n">
        <f aca="false">IFERROR(I39/J39,0)</f>
        <v>0.0306073320035766</v>
      </c>
      <c r="Q39" s="47" t="n">
        <f aca="false">D39*INDEX(Régions!$T$2:$T$6,MATCH($B39,Régions!$A$2:$A$6,0))</f>
        <v>2695.65217391304</v>
      </c>
      <c r="R39" s="47" t="n">
        <f aca="false">E39*INDEX(Régions!$U$2:$U$6,MATCH($B39,Régions!$A$2:$A$6,0))</f>
        <v>2439.69465648855</v>
      </c>
      <c r="S39" s="47" t="n">
        <f aca="false">F39*INDEX(Régions!$V$2:$V$6,MATCH($B39,Régions!$A$2:$A$6,0))</f>
        <v>13264.60496614</v>
      </c>
      <c r="T39" s="47" t="n">
        <f aca="false">G39*INDEX(Régions!$W$2:$W$6,MATCH($B39,Régions!$A$2:$A$6,0))</f>
        <v>8911.71508903468</v>
      </c>
      <c r="U39" s="47" t="n">
        <f aca="false">H39*INDEX(Régions!$X$2:$X$6,MATCH($B39,Régions!$A$2:$A$6,0))</f>
        <v>724.57372116349</v>
      </c>
      <c r="V39" s="47" t="n">
        <f aca="false">I39*INDEX(Régions!$Y$2:$Y$6,MATCH($B39,Régions!$A$2:$A$6,0))</f>
        <v>568.690095846645</v>
      </c>
      <c r="W39" s="47" t="n">
        <f aca="false">Q39+(AU39/100)*J39*Régions!$O$2</f>
        <v>2746.68406391304</v>
      </c>
      <c r="X39" s="47" t="n">
        <f aca="false">R39+(AV39/100)*J39*Régions!$O$2</f>
        <v>3226.83611648855</v>
      </c>
      <c r="Y39" s="47" t="n">
        <f aca="false">S39+(AW39/100)*J39*Régions!$O$2</f>
        <v>13240.90639614</v>
      </c>
      <c r="Z39" s="47" t="n">
        <f aca="false">T39+(AX39/100)*J39*Régions!$O$2</f>
        <v>8910.69735903468</v>
      </c>
      <c r="AA39" s="47" t="n">
        <f aca="false">U39</f>
        <v>724.57372116349</v>
      </c>
      <c r="AB39" s="47" t="n">
        <f aca="false">V39</f>
        <v>568.690095846645</v>
      </c>
      <c r="AC39" s="47" t="n">
        <f aca="false">D39*INDEX(Régions!$Z$2:$Z$6,MATCH($B39,Régions!$A$2:$A$6,0))</f>
        <v>3288.69565217391</v>
      </c>
      <c r="AD39" s="47" t="n">
        <f aca="false">E39*INDEX(Régions!$AA$2:$AA$6,MATCH($B39,Régions!$A$2:$A$6,0))</f>
        <v>2676.48854961832</v>
      </c>
      <c r="AE39" s="47" t="n">
        <f aca="false">F39*INDEX(Régions!$AB$2:$AB$6,MATCH($B39,Régions!$A$2:$A$6,0))</f>
        <v>15839.4988713318</v>
      </c>
      <c r="AF39" s="47" t="n">
        <f aca="false">G39*INDEX(Régions!$AC$2:$AC$6,MATCH($B39,Régions!$A$2:$A$6,0))</f>
        <v>10137.0759137769</v>
      </c>
      <c r="AG39" s="47" t="n">
        <f aca="false">H39*INDEX(Régions!$AD$2:$AD$6,MATCH($B39,Régions!$A$2:$A$6,0))</f>
        <v>1023.46038114343</v>
      </c>
      <c r="AH39" s="47" t="n">
        <f aca="false">I39*INDEX(Régions!$AE$2:$AE$6,MATCH($B39,Régions!$A$2:$A$6,0))</f>
        <v>1507.02875399361</v>
      </c>
      <c r="AI39" s="47" t="n">
        <f aca="false">D39*INDEX(Régions!$AF$2:$AF$6,MATCH($B39,Régions!$A$2:$A$6,0))</f>
        <v>2102.60869565217</v>
      </c>
      <c r="AJ39" s="47" t="n">
        <f aca="false">E39*INDEX(Régions!$AG$2:$AG$6,MATCH($B39,Régions!$A$2:$A$6,0))</f>
        <v>2202.90076335878</v>
      </c>
      <c r="AK39" s="47" t="n">
        <f aca="false">F39*INDEX(Régions!$AH$2:$AH$6,MATCH($B39,Régions!$A$2:$A$6,0))</f>
        <v>10689.7110609481</v>
      </c>
      <c r="AL39" s="47" t="n">
        <f aca="false">G39*INDEX(Régions!$AI$2:$AI$6,MATCH($B39,Régions!$A$2:$A$6,0))</f>
        <v>7686.35426429241</v>
      </c>
      <c r="AM39" s="47" t="n">
        <f aca="false">H39*INDEX(Régions!$AJ$2:$AJ$6,MATCH($B39,Régions!$A$2:$A$6,0))</f>
        <v>425.687061183551</v>
      </c>
      <c r="AN39" s="47" t="n">
        <f aca="false">I39*INDEX(Régions!$AK$2:$AK$6,MATCH($B39,Régions!$A$2:$A$6,0))</f>
        <v>0</v>
      </c>
      <c r="AO39" s="49" t="str">
        <f aca="false">INDEX({"CAQ","PLQ","QS","PQ","PCQ","Autre"},MATCH(MAX(Q39:V39),Q39:V39,0))</f>
        <v>QS</v>
      </c>
      <c r="AP39" s="49" t="str">
        <f aca="false">INDEX({"CAQ","PLQ","QS","PQ","PCQ","Autre"},MATCH(MAX(W39:AB39),W39:AB39,0))</f>
        <v>QS</v>
      </c>
      <c r="AQ39" s="49" t="str">
        <f aca="false">INDEX({"CAQ","PLQ","QS","PQ","PCQ","Autre"},MATCH(MAX(AC39:AH39),AC39:AH39,0))</f>
        <v>QS</v>
      </c>
      <c r="AR39" s="49" t="str">
        <f aca="false">INDEX({"CAQ","PLQ","QS","PQ","PCQ","Autre"},MATCH(MAX(AI39:AN39),AI39:AN39,0))</f>
        <v>QS</v>
      </c>
      <c r="AS39" s="50" t="n">
        <f aca="false">(MAX(K39:P39)-LARGE(K39:P39,2))*100</f>
        <v>45.8112662493982</v>
      </c>
      <c r="AT39" s="51" t="str">
        <f aca="false">IF(AS39&lt;5,"Oui","Non")</f>
        <v>Non</v>
      </c>
      <c r="AU39" s="52" t="n">
        <v>0.351</v>
      </c>
      <c r="AV39" s="52" t="n">
        <v>5.414</v>
      </c>
      <c r="AW39" s="52" t="n">
        <v>-0.163</v>
      </c>
      <c r="AX39" s="52" t="n">
        <v>-0.007</v>
      </c>
    </row>
    <row r="40" customFormat="false" ht="15" hidden="false" customHeight="true" outlineLevel="0" collapsed="false">
      <c r="A40" s="35" t="s">
        <v>111</v>
      </c>
      <c r="B40" s="35" t="s">
        <v>70</v>
      </c>
      <c r="C40" s="36" t="s">
        <v>3</v>
      </c>
      <c r="D40" s="37" t="n">
        <v>21515</v>
      </c>
      <c r="E40" s="37" t="n">
        <v>1758</v>
      </c>
      <c r="F40" s="37" t="n">
        <v>5282</v>
      </c>
      <c r="G40" s="37" t="n">
        <v>4378</v>
      </c>
      <c r="H40" s="37" t="n">
        <v>3737</v>
      </c>
      <c r="I40" s="37" t="n">
        <v>301</v>
      </c>
      <c r="J40" s="38" t="n">
        <f aca="false">SUM(D40:I40)</f>
        <v>36971</v>
      </c>
      <c r="K40" s="39" t="n">
        <f aca="false">IFERROR(D40/J40,0)</f>
        <v>0.58194260366233</v>
      </c>
      <c r="L40" s="39" t="n">
        <f aca="false">IFERROR(E40/J40,0)</f>
        <v>0.0475507830461713</v>
      </c>
      <c r="M40" s="39" t="n">
        <f aca="false">IFERROR(F40/J40,0)</f>
        <v>0.142868734954424</v>
      </c>
      <c r="N40" s="39" t="n">
        <f aca="false">IFERROR(G40/J40,0)</f>
        <v>0.11841713775662</v>
      </c>
      <c r="O40" s="39" t="n">
        <f aca="false">IFERROR(H40/J40,0)</f>
        <v>0.10107922425685</v>
      </c>
      <c r="P40" s="39" t="n">
        <f aca="false">IFERROR(I40/J40,0)</f>
        <v>0.00814151632360499</v>
      </c>
      <c r="Q40" s="38" t="n">
        <f aca="false">D40*INDEX(Régions!$T$2:$T$6,MATCH($B40,Régions!$A$2:$A$6,0))</f>
        <v>12709.2827004219</v>
      </c>
      <c r="R40" s="38" t="n">
        <f aca="false">E40*INDEX(Régions!$U$2:$U$6,MATCH($B40,Régions!$A$2:$A$6,0))</f>
        <v>4024.03433476395</v>
      </c>
      <c r="S40" s="38" t="n">
        <f aca="false">F40*INDEX(Régions!$V$2:$V$6,MATCH($B40,Régions!$A$2:$A$6,0))</f>
        <v>3165.24344569288</v>
      </c>
      <c r="T40" s="38" t="n">
        <f aca="false">G40*INDEX(Régions!$W$2:$W$6,MATCH($B40,Régions!$A$2:$A$6,0))</f>
        <v>7652.92344786016</v>
      </c>
      <c r="U40" s="38" t="n">
        <f aca="false">H40*INDEX(Régions!$X$2:$X$6,MATCH($B40,Régions!$A$2:$A$6,0))</f>
        <v>4246.59090909091</v>
      </c>
      <c r="V40" s="38" t="n">
        <f aca="false">I40*INDEX(Régions!$Y$2:$Y$6,MATCH($B40,Régions!$A$2:$A$6,0))</f>
        <v>423.943661971831</v>
      </c>
      <c r="W40" s="38" t="n">
        <f aca="false">Q40+(AU40/100)*J40*Régions!$O$2</f>
        <v>10787.1604104219</v>
      </c>
      <c r="X40" s="38" t="n">
        <f aca="false">R40+(AV40/100)*J40*Régions!$O$2</f>
        <v>5282.52717476395</v>
      </c>
      <c r="Y40" s="38" t="n">
        <f aca="false">S40+(AW40/100)*J40*Régions!$O$2</f>
        <v>3406.29436569288</v>
      </c>
      <c r="Z40" s="38" t="n">
        <f aca="false">T40+(AX40/100)*J40*Régions!$O$2</f>
        <v>8836.73486786016</v>
      </c>
      <c r="AA40" s="38" t="n">
        <f aca="false">U40</f>
        <v>4246.59090909091</v>
      </c>
      <c r="AB40" s="38" t="n">
        <f aca="false">V40</f>
        <v>423.943661971831</v>
      </c>
      <c r="AC40" s="38" t="n">
        <f aca="false">D40*INDEX(Régions!$Z$2:$Z$6,MATCH($B40,Régions!$A$2:$A$6,0))</f>
        <v>14207.1624472574</v>
      </c>
      <c r="AD40" s="38" t="n">
        <f aca="false">E40*INDEX(Régions!$AA$2:$AA$6,MATCH($B40,Régions!$A$2:$A$6,0))</f>
        <v>4853.99141630901</v>
      </c>
      <c r="AE40" s="38" t="n">
        <f aca="false">F40*INDEX(Régions!$AB$2:$AB$6,MATCH($B40,Régions!$A$2:$A$6,0))</f>
        <v>4470.9063670412</v>
      </c>
      <c r="AF40" s="38" t="n">
        <f aca="false">G40*INDEX(Régions!$AC$2:$AC$6,MATCH($B40,Régions!$A$2:$A$6,0))</f>
        <v>8523.77335744424</v>
      </c>
      <c r="AG40" s="38" t="n">
        <f aca="false">H40*INDEX(Régions!$AD$2:$AD$6,MATCH($B40,Régions!$A$2:$A$6,0))</f>
        <v>5070.92914438503</v>
      </c>
      <c r="AH40" s="38" t="n">
        <f aca="false">I40*INDEX(Régions!$AE$2:$AE$6,MATCH($B40,Régions!$A$2:$A$6,0))</f>
        <v>1822.95774647887</v>
      </c>
      <c r="AI40" s="38" t="n">
        <f aca="false">D40*INDEX(Régions!$AF$2:$AF$6,MATCH($B40,Régions!$A$2:$A$6,0))</f>
        <v>11211.4029535865</v>
      </c>
      <c r="AJ40" s="38" t="n">
        <f aca="false">E40*INDEX(Régions!$AG$2:$AG$6,MATCH($B40,Régions!$A$2:$A$6,0))</f>
        <v>3194.07725321888</v>
      </c>
      <c r="AK40" s="38" t="n">
        <f aca="false">F40*INDEX(Régions!$AH$2:$AH$6,MATCH($B40,Régions!$A$2:$A$6,0))</f>
        <v>1859.58052434457</v>
      </c>
      <c r="AL40" s="38" t="n">
        <f aca="false">G40*INDEX(Régions!$AI$2:$AI$6,MATCH($B40,Régions!$A$2:$A$6,0))</f>
        <v>6782.07353827607</v>
      </c>
      <c r="AM40" s="38" t="n">
        <f aca="false">H40*INDEX(Régions!$AJ$2:$AJ$6,MATCH($B40,Régions!$A$2:$A$6,0))</f>
        <v>3422.25267379679</v>
      </c>
      <c r="AN40" s="38" t="n">
        <f aca="false">I40*INDEX(Régions!$AK$2:$AK$6,MATCH($B40,Régions!$A$2:$A$6,0))</f>
        <v>0</v>
      </c>
      <c r="AO40" s="40" t="str">
        <f aca="false">INDEX({"CAQ","PLQ","QS","PQ","PCQ","Autre"},MATCH(MAX(Q40:V40),Q40:V40,0))</f>
        <v>CAQ</v>
      </c>
      <c r="AP40" s="40" t="str">
        <f aca="false">INDEX({"CAQ","PLQ","QS","PQ","PCQ","Autre"},MATCH(MAX(W40:AB40),W40:AB40,0))</f>
        <v>CAQ</v>
      </c>
      <c r="AQ40" s="40" t="str">
        <f aca="false">INDEX({"CAQ","PLQ","QS","PQ","PCQ","Autre"},MATCH(MAX(AC40:AH40),AC40:AH40,0))</f>
        <v>CAQ</v>
      </c>
      <c r="AR40" s="40" t="str">
        <f aca="false">INDEX({"CAQ","PLQ","QS","PQ","PCQ","Autre"},MATCH(MAX(AI40:AN40),AI40:AN40,0))</f>
        <v>CAQ</v>
      </c>
      <c r="AS40" s="41" t="n">
        <f aca="false">(MAX(K40:P40)-LARGE(K40:P40,2))*100</f>
        <v>43.9073868707906</v>
      </c>
      <c r="AT40" s="42" t="str">
        <f aca="false">IF(AS40&lt;5,"Oui","Non")</f>
        <v>Non</v>
      </c>
      <c r="AU40" s="43" t="n">
        <v>-10.398</v>
      </c>
      <c r="AV40" s="43" t="n">
        <v>6.808</v>
      </c>
      <c r="AW40" s="43" t="n">
        <v>1.304</v>
      </c>
      <c r="AX40" s="43" t="n">
        <v>6.404</v>
      </c>
    </row>
    <row r="41" customFormat="false" ht="15" hidden="false" customHeight="true" outlineLevel="0" collapsed="false">
      <c r="A41" s="44" t="s">
        <v>112</v>
      </c>
      <c r="B41" s="44" t="s">
        <v>80</v>
      </c>
      <c r="C41" s="45" t="s">
        <v>3</v>
      </c>
      <c r="D41" s="46" t="n">
        <v>17431</v>
      </c>
      <c r="E41" s="46" t="n">
        <v>4024</v>
      </c>
      <c r="F41" s="46" t="n">
        <v>5919</v>
      </c>
      <c r="G41" s="46" t="n">
        <v>5588</v>
      </c>
      <c r="H41" s="46" t="n">
        <v>3177</v>
      </c>
      <c r="I41" s="46" t="n">
        <v>368</v>
      </c>
      <c r="J41" s="47" t="n">
        <f aca="false">SUM(D41:I41)</f>
        <v>36507</v>
      </c>
      <c r="K41" s="48" t="n">
        <f aca="false">IFERROR(D41/J41,0)</f>
        <v>0.477470074232339</v>
      </c>
      <c r="L41" s="48" t="n">
        <f aca="false">IFERROR(E41/J41,0)</f>
        <v>0.110225436217712</v>
      </c>
      <c r="M41" s="48" t="n">
        <f aca="false">IFERROR(F41/J41,0)</f>
        <v>0.162133289506122</v>
      </c>
      <c r="N41" s="48" t="n">
        <f aca="false">IFERROR(G41/J41,0)</f>
        <v>0.153066535185033</v>
      </c>
      <c r="O41" s="48" t="n">
        <f aca="false">IFERROR(H41/J41,0)</f>
        <v>0.087024406278248</v>
      </c>
      <c r="P41" s="48" t="n">
        <f aca="false">IFERROR(I41/J41,0)</f>
        <v>0.0100802585805462</v>
      </c>
      <c r="Q41" s="47" t="n">
        <f aca="false">D41*INDEX(Régions!$T$2:$T$6,MATCH($B41,Régions!$A$2:$A$6,0))</f>
        <v>12321.4490832781</v>
      </c>
      <c r="R41" s="47" t="n">
        <f aca="false">E41*INDEX(Régions!$U$2:$U$6,MATCH($B41,Régions!$A$2:$A$6,0))</f>
        <v>5140.66713981547</v>
      </c>
      <c r="S41" s="47" t="n">
        <f aca="false">F41*INDEX(Régions!$V$2:$V$6,MATCH($B41,Régions!$A$2:$A$6,0))</f>
        <v>2985.08645533141</v>
      </c>
      <c r="T41" s="47" t="n">
        <f aca="false">G41*INDEX(Régions!$W$2:$W$6,MATCH($B41,Régions!$A$2:$A$6,0))</f>
        <v>11000</v>
      </c>
      <c r="U41" s="47" t="n">
        <f aca="false">H41*INDEX(Régions!$X$2:$X$6,MATCH($B41,Régions!$A$2:$A$6,0))</f>
        <v>3708.56031128405</v>
      </c>
      <c r="V41" s="47" t="n">
        <f aca="false">I41*INDEX(Régions!$Y$2:$Y$6,MATCH($B41,Régions!$A$2:$A$6,0))</f>
        <v>296.774193548387</v>
      </c>
      <c r="W41" s="47" t="n">
        <f aca="false">Q41+(AU41/100)*J41*Régions!$O$2</f>
        <v>13044.6527532781</v>
      </c>
      <c r="X41" s="47" t="n">
        <f aca="false">R41+(AV41/100)*J41*Régions!$O$2</f>
        <v>4711.89242481547</v>
      </c>
      <c r="Y41" s="47" t="n">
        <f aca="false">S41+(AW41/100)*J41*Régions!$O$2</f>
        <v>2926.85779033141</v>
      </c>
      <c r="Z41" s="47" t="n">
        <f aca="false">T41+(AX41/100)*J41*Régions!$O$2</f>
        <v>11461.631015</v>
      </c>
      <c r="AA41" s="47" t="n">
        <f aca="false">U41</f>
        <v>3708.56031128405</v>
      </c>
      <c r="AB41" s="47" t="n">
        <f aca="false">V41</f>
        <v>296.774193548387</v>
      </c>
      <c r="AC41" s="47" t="n">
        <f aca="false">D41*INDEX(Régions!$Z$2:$Z$6,MATCH($B41,Régions!$A$2:$A$6,0))</f>
        <v>13592.0985199912</v>
      </c>
      <c r="AD41" s="47" t="n">
        <f aca="false">E41*INDEX(Régions!$AA$2:$AA$6,MATCH($B41,Régions!$A$2:$A$6,0))</f>
        <v>6083.12278211498</v>
      </c>
      <c r="AE41" s="47" t="n">
        <f aca="false">F41*INDEX(Régions!$AB$2:$AB$6,MATCH($B41,Régions!$A$2:$A$6,0))</f>
        <v>4392.34149855908</v>
      </c>
      <c r="AF41" s="47" t="n">
        <f aca="false">G41*INDEX(Régions!$AC$2:$AC$6,MATCH($B41,Régions!$A$2:$A$6,0))</f>
        <v>12210</v>
      </c>
      <c r="AG41" s="47" t="n">
        <f aca="false">H41*INDEX(Régions!$AD$2:$AD$6,MATCH($B41,Régions!$A$2:$A$6,0))</f>
        <v>4728.41439688716</v>
      </c>
      <c r="AH41" s="47" t="n">
        <f aca="false">I41*INDEX(Régions!$AE$2:$AE$6,MATCH($B41,Régions!$A$2:$A$6,0))</f>
        <v>1276.12903225806</v>
      </c>
      <c r="AI41" s="47" t="n">
        <f aca="false">D41*INDEX(Régions!$AF$2:$AF$6,MATCH($B41,Régions!$A$2:$A$6,0))</f>
        <v>11050.7996465651</v>
      </c>
      <c r="AJ41" s="47" t="n">
        <f aca="false">E41*INDEX(Régions!$AG$2:$AG$6,MATCH($B41,Régions!$A$2:$A$6,0))</f>
        <v>4198.21149751597</v>
      </c>
      <c r="AK41" s="47" t="n">
        <f aca="false">F41*INDEX(Régions!$AH$2:$AH$6,MATCH($B41,Régions!$A$2:$A$6,0))</f>
        <v>1577.83141210375</v>
      </c>
      <c r="AL41" s="47" t="n">
        <f aca="false">G41*INDEX(Régions!$AI$2:$AI$6,MATCH($B41,Régions!$A$2:$A$6,0))</f>
        <v>9790</v>
      </c>
      <c r="AM41" s="47" t="n">
        <f aca="false">H41*INDEX(Régions!$AJ$2:$AJ$6,MATCH($B41,Régions!$A$2:$A$6,0))</f>
        <v>2688.70622568093</v>
      </c>
      <c r="AN41" s="47" t="n">
        <f aca="false">I41*INDEX(Régions!$AK$2:$AK$6,MATCH($B41,Régions!$A$2:$A$6,0))</f>
        <v>0</v>
      </c>
      <c r="AO41" s="49" t="str">
        <f aca="false">INDEX({"CAQ","PLQ","QS","PQ","PCQ","Autre"},MATCH(MAX(Q41:V41),Q41:V41,0))</f>
        <v>CAQ</v>
      </c>
      <c r="AP41" s="49" t="str">
        <f aca="false">INDEX({"CAQ","PLQ","QS","PQ","PCQ","Autre"},MATCH(MAX(W41:AB41),W41:AB41,0))</f>
        <v>CAQ</v>
      </c>
      <c r="AQ41" s="49" t="str">
        <f aca="false">INDEX({"CAQ","PLQ","QS","PQ","PCQ","Autre"},MATCH(MAX(AC41:AH41),AC41:AH41,0))</f>
        <v>CAQ</v>
      </c>
      <c r="AR41" s="49" t="str">
        <f aca="false">INDEX({"CAQ","PLQ","QS","PQ","PCQ","Autre"},MATCH(MAX(AI41:AN41),AI41:AN41,0))</f>
        <v>CAQ</v>
      </c>
      <c r="AS41" s="50" t="n">
        <f aca="false">(MAX(K41:P41)-LARGE(K41:P41,2))*100</f>
        <v>31.5336784726217</v>
      </c>
      <c r="AT41" s="51" t="str">
        <f aca="false">IF(AS41&lt;5,"Oui","Non")</f>
        <v>Non</v>
      </c>
      <c r="AU41" s="52" t="n">
        <v>3.962</v>
      </c>
      <c r="AV41" s="52" t="n">
        <v>-2.349</v>
      </c>
      <c r="AW41" s="52" t="n">
        <v>-0.319</v>
      </c>
      <c r="AX41" s="52" t="n">
        <v>2.529</v>
      </c>
    </row>
    <row r="42" customFormat="false" ht="15" hidden="false" customHeight="true" outlineLevel="0" collapsed="false">
      <c r="A42" s="35" t="s">
        <v>113</v>
      </c>
      <c r="B42" s="35" t="s">
        <v>73</v>
      </c>
      <c r="C42" s="36" t="s">
        <v>5</v>
      </c>
      <c r="D42" s="37" t="n">
        <v>4728</v>
      </c>
      <c r="E42" s="37" t="n">
        <v>1957</v>
      </c>
      <c r="F42" s="37" t="n">
        <v>12784</v>
      </c>
      <c r="G42" s="37" t="n">
        <v>4015</v>
      </c>
      <c r="H42" s="37" t="n">
        <v>1161</v>
      </c>
      <c r="I42" s="37" t="n">
        <v>499</v>
      </c>
      <c r="J42" s="38" t="n">
        <f aca="false">SUM(D42:I42)</f>
        <v>25144</v>
      </c>
      <c r="K42" s="39" t="n">
        <f aca="false">IFERROR(D42/J42,0)</f>
        <v>0.188036907413299</v>
      </c>
      <c r="L42" s="39" t="n">
        <f aca="false">IFERROR(E42/J42,0)</f>
        <v>0.0778316894686605</v>
      </c>
      <c r="M42" s="39" t="n">
        <f aca="false">IFERROR(F42/J42,0)</f>
        <v>0.508431434934776</v>
      </c>
      <c r="N42" s="39" t="n">
        <f aca="false">IFERROR(G42/J42,0)</f>
        <v>0.159680241807191</v>
      </c>
      <c r="O42" s="39" t="n">
        <f aca="false">IFERROR(H42/J42,0)</f>
        <v>0.046174037543748</v>
      </c>
      <c r="P42" s="39" t="n">
        <f aca="false">IFERROR(I42/J42,0)</f>
        <v>0.0198456888323258</v>
      </c>
      <c r="Q42" s="38" t="n">
        <f aca="false">D42*INDEX(Régions!$T$2:$T$6,MATCH($B42,Régions!$A$2:$A$6,0))</f>
        <v>3544.22788605697</v>
      </c>
      <c r="R42" s="38" t="n">
        <f aca="false">E42*INDEX(Régions!$U$2:$U$6,MATCH($B42,Régions!$A$2:$A$6,0))</f>
        <v>1953.55255431591</v>
      </c>
      <c r="S42" s="38" t="n">
        <f aca="false">F42*INDEX(Régions!$V$2:$V$6,MATCH($B42,Régions!$A$2:$A$6,0))</f>
        <v>9811.64785553048</v>
      </c>
      <c r="T42" s="38" t="n">
        <f aca="false">G42*INDEX(Régions!$W$2:$W$6,MATCH($B42,Régions!$A$2:$A$6,0))</f>
        <v>9030.92783505155</v>
      </c>
      <c r="U42" s="38" t="n">
        <f aca="false">H42*INDEX(Régions!$X$2:$X$6,MATCH($B42,Régions!$A$2:$A$6,0))</f>
        <v>931.594784353059</v>
      </c>
      <c r="V42" s="38" t="n">
        <f aca="false">I42*INDEX(Régions!$Y$2:$Y$6,MATCH($B42,Régions!$A$2:$A$6,0))</f>
        <v>318.849840255591</v>
      </c>
      <c r="W42" s="38" t="n">
        <f aca="false">Q42+(AU42/100)*J42*Régions!$O$2</f>
        <v>4022.84392605697</v>
      </c>
      <c r="X42" s="38" t="n">
        <f aca="false">R42+(AV42/100)*J42*Régions!$O$2</f>
        <v>2696.55775431591</v>
      </c>
      <c r="Y42" s="38" t="n">
        <f aca="false">S42+(AW42/100)*J42*Régions!$O$2</f>
        <v>9853.26117553048</v>
      </c>
      <c r="Z42" s="38" t="n">
        <f aca="false">T42+(AX42/100)*J42*Régions!$O$2</f>
        <v>8229.71427505155</v>
      </c>
      <c r="AA42" s="38" t="n">
        <f aca="false">U42</f>
        <v>931.594784353059</v>
      </c>
      <c r="AB42" s="38" t="n">
        <f aca="false">V42</f>
        <v>318.849840255591</v>
      </c>
      <c r="AC42" s="38" t="n">
        <f aca="false">D42*INDEX(Régions!$Z$2:$Z$6,MATCH($B42,Régions!$A$2:$A$6,0))</f>
        <v>4323.95802098951</v>
      </c>
      <c r="AD42" s="38" t="n">
        <f aca="false">E42*INDEX(Régions!$AA$2:$AA$6,MATCH($B42,Régions!$A$2:$A$6,0))</f>
        <v>2143.16206694069</v>
      </c>
      <c r="AE42" s="38" t="n">
        <f aca="false">F42*INDEX(Régions!$AB$2:$AB$6,MATCH($B42,Régions!$A$2:$A$6,0))</f>
        <v>11716.2618510158</v>
      </c>
      <c r="AF42" s="38" t="n">
        <f aca="false">G42*INDEX(Régions!$AC$2:$AC$6,MATCH($B42,Régions!$A$2:$A$6,0))</f>
        <v>10272.6804123711</v>
      </c>
      <c r="AG42" s="38" t="n">
        <f aca="false">H42*INDEX(Régions!$AD$2:$AD$6,MATCH($B42,Régions!$A$2:$A$6,0))</f>
        <v>1315.8776328987</v>
      </c>
      <c r="AH42" s="38" t="n">
        <f aca="false">I42*INDEX(Régions!$AE$2:$AE$6,MATCH($B42,Régions!$A$2:$A$6,0))</f>
        <v>844.952076677316</v>
      </c>
      <c r="AI42" s="38" t="n">
        <f aca="false">D42*INDEX(Régions!$AF$2:$AF$6,MATCH($B42,Régions!$A$2:$A$6,0))</f>
        <v>2764.49775112444</v>
      </c>
      <c r="AJ42" s="38" t="n">
        <f aca="false">E42*INDEX(Régions!$AG$2:$AG$6,MATCH($B42,Régions!$A$2:$A$6,0))</f>
        <v>1763.94304169113</v>
      </c>
      <c r="AK42" s="38" t="n">
        <f aca="false">F42*INDEX(Régions!$AH$2:$AH$6,MATCH($B42,Régions!$A$2:$A$6,0))</f>
        <v>7907.03386004515</v>
      </c>
      <c r="AL42" s="38" t="n">
        <f aca="false">G42*INDEX(Régions!$AI$2:$AI$6,MATCH($B42,Régions!$A$2:$A$6,0))</f>
        <v>7789.17525773196</v>
      </c>
      <c r="AM42" s="38" t="n">
        <f aca="false">H42*INDEX(Régions!$AJ$2:$AJ$6,MATCH($B42,Régions!$A$2:$A$6,0))</f>
        <v>547.311935807422</v>
      </c>
      <c r="AN42" s="38" t="n">
        <f aca="false">I42*INDEX(Régions!$AK$2:$AK$6,MATCH($B42,Régions!$A$2:$A$6,0))</f>
        <v>0</v>
      </c>
      <c r="AO42" s="40" t="str">
        <f aca="false">INDEX({"CAQ","PLQ","QS","PQ","PCQ","Autre"},MATCH(MAX(Q42:V42),Q42:V42,0))</f>
        <v>QS</v>
      </c>
      <c r="AP42" s="40" t="str">
        <f aca="false">INDEX({"CAQ","PLQ","QS","PQ","PCQ","Autre"},MATCH(MAX(W42:AB42),W42:AB42,0))</f>
        <v>QS</v>
      </c>
      <c r="AQ42" s="40" t="str">
        <f aca="false">INDEX({"CAQ","PLQ","QS","PQ","PCQ","Autre"},MATCH(MAX(AC42:AH42),AC42:AH42,0))</f>
        <v>QS</v>
      </c>
      <c r="AR42" s="40" t="str">
        <f aca="false">INDEX({"CAQ","PLQ","QS","PQ","PCQ","Autre"},MATCH(MAX(AI42:AN42),AI42:AN42,0))</f>
        <v>QS</v>
      </c>
      <c r="AS42" s="41" t="n">
        <f aca="false">(MAX(K42:P42)-LARGE(K42:P42,2))*100</f>
        <v>32.0394527521476</v>
      </c>
      <c r="AT42" s="42" t="str">
        <f aca="false">IF(AS42&lt;5,"Oui","Non")</f>
        <v>Non</v>
      </c>
      <c r="AU42" s="43" t="n">
        <v>3.807</v>
      </c>
      <c r="AV42" s="43" t="n">
        <v>5.91</v>
      </c>
      <c r="AW42" s="43" t="n">
        <v>0.331</v>
      </c>
      <c r="AX42" s="43" t="n">
        <v>-6.373</v>
      </c>
    </row>
    <row r="43" customFormat="false" ht="15" hidden="false" customHeight="true" outlineLevel="0" collapsed="false">
      <c r="A43" s="44" t="s">
        <v>114</v>
      </c>
      <c r="B43" s="44" t="s">
        <v>70</v>
      </c>
      <c r="C43" s="45" t="s">
        <v>3</v>
      </c>
      <c r="D43" s="46" t="n">
        <v>11060</v>
      </c>
      <c r="E43" s="46" t="n">
        <v>8276</v>
      </c>
      <c r="F43" s="46" t="n">
        <v>6623</v>
      </c>
      <c r="G43" s="46" t="n">
        <v>3122</v>
      </c>
      <c r="H43" s="46" t="n">
        <v>2189</v>
      </c>
      <c r="I43" s="46" t="n">
        <v>655</v>
      </c>
      <c r="J43" s="47" t="n">
        <f aca="false">SUM(D43:I43)</f>
        <v>31925</v>
      </c>
      <c r="K43" s="48" t="n">
        <f aca="false">IFERROR(D43/J43,0)</f>
        <v>0.346436961628818</v>
      </c>
      <c r="L43" s="48" t="n">
        <f aca="false">IFERROR(E43/J43,0)</f>
        <v>0.259232576350822</v>
      </c>
      <c r="M43" s="48" t="n">
        <f aca="false">IFERROR(F43/J43,0)</f>
        <v>0.207454972592013</v>
      </c>
      <c r="N43" s="48" t="n">
        <f aca="false">IFERROR(G43/J43,0)</f>
        <v>0.0977916992952232</v>
      </c>
      <c r="O43" s="48" t="n">
        <f aca="false">IFERROR(H43/J43,0)</f>
        <v>0.068566953797964</v>
      </c>
      <c r="P43" s="48" t="n">
        <f aca="false">IFERROR(I43/J43,0)</f>
        <v>0.0205168363351605</v>
      </c>
      <c r="Q43" s="47" t="n">
        <f aca="false">D43*INDEX(Régions!$T$2:$T$6,MATCH($B43,Régions!$A$2:$A$6,0))</f>
        <v>6533.33333333333</v>
      </c>
      <c r="R43" s="47" t="n">
        <f aca="false">E43*INDEX(Régions!$U$2:$U$6,MATCH($B43,Régions!$A$2:$A$6,0))</f>
        <v>18943.6337625179</v>
      </c>
      <c r="S43" s="47" t="n">
        <f aca="false">F43*INDEX(Régions!$V$2:$V$6,MATCH($B43,Régions!$A$2:$A$6,0))</f>
        <v>3968.83895131086</v>
      </c>
      <c r="T43" s="47" t="n">
        <f aca="false">G43*INDEX(Régions!$W$2:$W$6,MATCH($B43,Régions!$A$2:$A$6,0))</f>
        <v>5457.38396624473</v>
      </c>
      <c r="U43" s="47" t="n">
        <f aca="false">H43*INDEX(Régions!$X$2:$X$6,MATCH($B43,Régions!$A$2:$A$6,0))</f>
        <v>2487.5</v>
      </c>
      <c r="V43" s="47" t="n">
        <f aca="false">I43*INDEX(Régions!$Y$2:$Y$6,MATCH($B43,Régions!$A$2:$A$6,0))</f>
        <v>922.535211267606</v>
      </c>
      <c r="W43" s="47" t="n">
        <f aca="false">Q43+(AU43/100)*J43*Régions!$O$2</f>
        <v>6850.98708333333</v>
      </c>
      <c r="X43" s="47" t="n">
        <f aca="false">R43+(AV43/100)*J43*Régions!$O$2</f>
        <v>19732.5005125179</v>
      </c>
      <c r="Y43" s="47" t="n">
        <f aca="false">S43+(AW43/100)*J43*Régions!$O$2</f>
        <v>4494.00520131086</v>
      </c>
      <c r="Z43" s="47" t="n">
        <f aca="false">T43+(AX43/100)*J43*Régions!$O$2</f>
        <v>5519.31846624473</v>
      </c>
      <c r="AA43" s="47" t="n">
        <f aca="false">U43</f>
        <v>2487.5</v>
      </c>
      <c r="AB43" s="47" t="n">
        <f aca="false">V43</f>
        <v>922.535211267606</v>
      </c>
      <c r="AC43" s="47" t="n">
        <f aca="false">D43*INDEX(Régions!$Z$2:$Z$6,MATCH($B43,Régions!$A$2:$A$6,0))</f>
        <v>7303.33333333333</v>
      </c>
      <c r="AD43" s="47" t="n">
        <f aca="false">E43*INDEX(Régions!$AA$2:$AA$6,MATCH($B43,Régions!$A$2:$A$6,0))</f>
        <v>22850.7582260372</v>
      </c>
      <c r="AE43" s="47" t="n">
        <f aca="false">F43*INDEX(Régions!$AB$2:$AB$6,MATCH($B43,Régions!$A$2:$A$6,0))</f>
        <v>5605.98501872659</v>
      </c>
      <c r="AF43" s="47" t="n">
        <f aca="false">G43*INDEX(Régions!$AC$2:$AC$6,MATCH($B43,Régions!$A$2:$A$6,0))</f>
        <v>6078.39662447257</v>
      </c>
      <c r="AG43" s="47" t="n">
        <f aca="false">H43*INDEX(Régions!$AD$2:$AD$6,MATCH($B43,Régions!$A$2:$A$6,0))</f>
        <v>2970.36764705882</v>
      </c>
      <c r="AH43" s="47" t="n">
        <f aca="false">I43*INDEX(Régions!$AE$2:$AE$6,MATCH($B43,Régions!$A$2:$A$6,0))</f>
        <v>3966.9014084507</v>
      </c>
      <c r="AI43" s="47" t="n">
        <f aca="false">D43*INDEX(Régions!$AF$2:$AF$6,MATCH($B43,Régions!$A$2:$A$6,0))</f>
        <v>5763.33333333333</v>
      </c>
      <c r="AJ43" s="47" t="n">
        <f aca="false">E43*INDEX(Régions!$AG$2:$AG$6,MATCH($B43,Régions!$A$2:$A$6,0))</f>
        <v>15036.5092989986</v>
      </c>
      <c r="AK43" s="47" t="n">
        <f aca="false">F43*INDEX(Régions!$AH$2:$AH$6,MATCH($B43,Régions!$A$2:$A$6,0))</f>
        <v>2331.69288389513</v>
      </c>
      <c r="AL43" s="47" t="n">
        <f aca="false">G43*INDEX(Régions!$AI$2:$AI$6,MATCH($B43,Régions!$A$2:$A$6,0))</f>
        <v>4836.37130801688</v>
      </c>
      <c r="AM43" s="47" t="n">
        <f aca="false">H43*INDEX(Régions!$AJ$2:$AJ$6,MATCH($B43,Régions!$A$2:$A$6,0))</f>
        <v>2004.63235294118</v>
      </c>
      <c r="AN43" s="47" t="n">
        <f aca="false">I43*INDEX(Régions!$AK$2:$AK$6,MATCH($B43,Régions!$A$2:$A$6,0))</f>
        <v>0</v>
      </c>
      <c r="AO43" s="49" t="str">
        <f aca="false">INDEX({"CAQ","PLQ","QS","PQ","PCQ","Autre"},MATCH(MAX(Q43:V43),Q43:V43,0))</f>
        <v>PLQ</v>
      </c>
      <c r="AP43" s="49" t="str">
        <f aca="false">INDEX({"CAQ","PLQ","QS","PQ","PCQ","Autre"},MATCH(MAX(W43:AB43),W43:AB43,0))</f>
        <v>PLQ</v>
      </c>
      <c r="AQ43" s="49" t="str">
        <f aca="false">INDEX({"CAQ","PLQ","QS","PQ","PCQ","Autre"},MATCH(MAX(AC43:AH43),AC43:AH43,0))</f>
        <v>PLQ</v>
      </c>
      <c r="AR43" s="49" t="str">
        <f aca="false">INDEX({"CAQ","PLQ","QS","PQ","PCQ","Autre"},MATCH(MAX(AI43:AN43),AI43:AN43,0))</f>
        <v>PLQ</v>
      </c>
      <c r="AS43" s="50" t="n">
        <f aca="false">(MAX(K43:P43)-LARGE(K43:P43,2))*100</f>
        <v>8.72043852779953</v>
      </c>
      <c r="AT43" s="51" t="str">
        <f aca="false">IF(AS43&lt;5,"Oui","Non")</f>
        <v>Non</v>
      </c>
      <c r="AU43" s="52" t="n">
        <v>1.99</v>
      </c>
      <c r="AV43" s="52" t="n">
        <v>4.942</v>
      </c>
      <c r="AW43" s="52" t="n">
        <v>3.29</v>
      </c>
      <c r="AX43" s="52" t="n">
        <v>0.388</v>
      </c>
    </row>
    <row r="44" customFormat="false" ht="15" hidden="false" customHeight="true" outlineLevel="0" collapsed="false">
      <c r="A44" s="35" t="s">
        <v>115</v>
      </c>
      <c r="B44" s="35" t="s">
        <v>80</v>
      </c>
      <c r="C44" s="36" t="s">
        <v>3</v>
      </c>
      <c r="D44" s="37" t="n">
        <v>13664</v>
      </c>
      <c r="E44" s="37" t="n">
        <v>4214</v>
      </c>
      <c r="F44" s="37" t="n">
        <v>3265</v>
      </c>
      <c r="G44" s="37" t="n">
        <v>3522</v>
      </c>
      <c r="H44" s="37" t="n">
        <v>4262</v>
      </c>
      <c r="I44" s="37" t="n">
        <v>367</v>
      </c>
      <c r="J44" s="38" t="n">
        <f aca="false">SUM(D44:I44)</f>
        <v>29294</v>
      </c>
      <c r="K44" s="39" t="n">
        <f aca="false">IFERROR(D44/J44,0)</f>
        <v>0.466443640335905</v>
      </c>
      <c r="L44" s="39" t="n">
        <f aca="false">IFERROR(E44/J44,0)</f>
        <v>0.143851983341299</v>
      </c>
      <c r="M44" s="39" t="n">
        <f aca="false">IFERROR(F44/J44,0)</f>
        <v>0.111456270908719</v>
      </c>
      <c r="N44" s="39" t="n">
        <f aca="false">IFERROR(G44/J44,0)</f>
        <v>0.120229398511641</v>
      </c>
      <c r="O44" s="39" t="n">
        <f aca="false">IFERROR(H44/J44,0)</f>
        <v>0.145490544138731</v>
      </c>
      <c r="P44" s="39" t="n">
        <f aca="false">IFERROR(I44/J44,0)</f>
        <v>0.0125281627637059</v>
      </c>
      <c r="Q44" s="38" t="n">
        <f aca="false">D44*INDEX(Régions!$T$2:$T$6,MATCH($B44,Régions!$A$2:$A$6,0))</f>
        <v>9658.67020101613</v>
      </c>
      <c r="R44" s="38" t="n">
        <f aca="false">E44*INDEX(Régions!$U$2:$U$6,MATCH($B44,Régions!$A$2:$A$6,0))</f>
        <v>5383.392476934</v>
      </c>
      <c r="S44" s="38" t="n">
        <f aca="false">F44*INDEX(Régions!$V$2:$V$6,MATCH($B44,Régions!$A$2:$A$6,0))</f>
        <v>1646.61383285303</v>
      </c>
      <c r="T44" s="38" t="n">
        <f aca="false">G44*INDEX(Régions!$W$2:$W$6,MATCH($B44,Régions!$A$2:$A$6,0))</f>
        <v>6933.07086614173</v>
      </c>
      <c r="U44" s="38" t="n">
        <f aca="false">H44*INDEX(Régions!$X$2:$X$6,MATCH($B44,Régions!$A$2:$A$6,0))</f>
        <v>4975.09727626459</v>
      </c>
      <c r="V44" s="38" t="n">
        <f aca="false">I44*INDEX(Régions!$Y$2:$Y$6,MATCH($B44,Régions!$A$2:$A$6,0))</f>
        <v>295.967741935484</v>
      </c>
      <c r="W44" s="38" t="n">
        <f aca="false">Q44+(AU44/100)*J44*Régions!$O$2</f>
        <v>10506.2920910161</v>
      </c>
      <c r="X44" s="38" t="n">
        <f aca="false">R44+(AV44/100)*J44*Régions!$O$2</f>
        <v>3340.135976934</v>
      </c>
      <c r="Y44" s="38" t="n">
        <f aca="false">S44+(AW44/100)*J44*Régions!$O$2</f>
        <v>1519.18493285303</v>
      </c>
      <c r="Z44" s="38" t="n">
        <f aca="false">T44+(AX44/100)*J44*Régions!$O$2</f>
        <v>7520.70850614173</v>
      </c>
      <c r="AA44" s="38" t="n">
        <f aca="false">U44</f>
        <v>4975.09727626459</v>
      </c>
      <c r="AB44" s="38" t="n">
        <f aca="false">V44</f>
        <v>295.967741935484</v>
      </c>
      <c r="AC44" s="38" t="n">
        <f aca="false">D44*INDEX(Régions!$Z$2:$Z$6,MATCH($B44,Régions!$A$2:$A$6,0))</f>
        <v>10654.7205654959</v>
      </c>
      <c r="AD44" s="38" t="n">
        <f aca="false">E44*INDEX(Régions!$AA$2:$AA$6,MATCH($B44,Régions!$A$2:$A$6,0))</f>
        <v>6370.3477643719</v>
      </c>
      <c r="AE44" s="38" t="n">
        <f aca="false">F44*INDEX(Régions!$AB$2:$AB$6,MATCH($B44,Régions!$A$2:$A$6,0))</f>
        <v>2422.87463976945</v>
      </c>
      <c r="AF44" s="38" t="n">
        <f aca="false">G44*INDEX(Régions!$AC$2:$AC$6,MATCH($B44,Régions!$A$2:$A$6,0))</f>
        <v>7695.70866141732</v>
      </c>
      <c r="AG44" s="38" t="n">
        <f aca="false">H44*INDEX(Régions!$AD$2:$AD$6,MATCH($B44,Régions!$A$2:$A$6,0))</f>
        <v>6343.24902723736</v>
      </c>
      <c r="AH44" s="38" t="n">
        <f aca="false">I44*INDEX(Régions!$AE$2:$AE$6,MATCH($B44,Régions!$A$2:$A$6,0))</f>
        <v>1272.66129032258</v>
      </c>
      <c r="AI44" s="38" t="n">
        <f aca="false">D44*INDEX(Régions!$AF$2:$AF$6,MATCH($B44,Régions!$A$2:$A$6,0))</f>
        <v>8662.61983653634</v>
      </c>
      <c r="AJ44" s="38" t="n">
        <f aca="false">E44*INDEX(Régions!$AG$2:$AG$6,MATCH($B44,Régions!$A$2:$A$6,0))</f>
        <v>4396.4371894961</v>
      </c>
      <c r="AK44" s="38" t="n">
        <f aca="false">F44*INDEX(Régions!$AH$2:$AH$6,MATCH($B44,Régions!$A$2:$A$6,0))</f>
        <v>870.3530259366</v>
      </c>
      <c r="AL44" s="38" t="n">
        <f aca="false">G44*INDEX(Régions!$AI$2:$AI$6,MATCH($B44,Régions!$A$2:$A$6,0))</f>
        <v>6170.43307086614</v>
      </c>
      <c r="AM44" s="38" t="n">
        <f aca="false">H44*INDEX(Régions!$AJ$2:$AJ$6,MATCH($B44,Régions!$A$2:$A$6,0))</f>
        <v>3606.94552529183</v>
      </c>
      <c r="AN44" s="38" t="n">
        <f aca="false">I44*INDEX(Régions!$AK$2:$AK$6,MATCH($B44,Régions!$A$2:$A$6,0))</f>
        <v>0</v>
      </c>
      <c r="AO44" s="40" t="str">
        <f aca="false">INDEX({"CAQ","PLQ","QS","PQ","PCQ","Autre"},MATCH(MAX(Q44:V44),Q44:V44,0))</f>
        <v>CAQ</v>
      </c>
      <c r="AP44" s="40" t="str">
        <f aca="false">INDEX({"CAQ","PLQ","QS","PQ","PCQ","Autre"},MATCH(MAX(W44:AB44),W44:AB44,0))</f>
        <v>CAQ</v>
      </c>
      <c r="AQ44" s="40" t="str">
        <f aca="false">INDEX({"CAQ","PLQ","QS","PQ","PCQ","Autre"},MATCH(MAX(AC44:AH44),AC44:AH44,0))</f>
        <v>CAQ</v>
      </c>
      <c r="AR44" s="40" t="str">
        <f aca="false">INDEX({"CAQ","PLQ","QS","PQ","PCQ","Autre"},MATCH(MAX(AI44:AN44),AI44:AN44,0))</f>
        <v>CAQ</v>
      </c>
      <c r="AS44" s="41" t="n">
        <f aca="false">(MAX(K44:P44)-LARGE(K44:P44,2))*100</f>
        <v>32.0953096197174</v>
      </c>
      <c r="AT44" s="42" t="str">
        <f aca="false">IF(AS44&lt;5,"Oui","Non")</f>
        <v>Non</v>
      </c>
      <c r="AU44" s="43" t="n">
        <v>5.787</v>
      </c>
      <c r="AV44" s="43" t="n">
        <v>-13.95</v>
      </c>
      <c r="AW44" s="43" t="n">
        <v>-0.87</v>
      </c>
      <c r="AX44" s="43" t="n">
        <v>4.012</v>
      </c>
    </row>
    <row r="45" customFormat="false" ht="15" hidden="false" customHeight="true" outlineLevel="0" collapsed="false">
      <c r="A45" s="44" t="s">
        <v>116</v>
      </c>
      <c r="B45" s="44" t="s">
        <v>80</v>
      </c>
      <c r="C45" s="45" t="s">
        <v>3</v>
      </c>
      <c r="D45" s="46" t="n">
        <v>18223</v>
      </c>
      <c r="E45" s="46" t="n">
        <v>1934</v>
      </c>
      <c r="F45" s="46" t="n">
        <v>4703</v>
      </c>
      <c r="G45" s="46" t="n">
        <v>5227</v>
      </c>
      <c r="H45" s="46" t="n">
        <v>3863</v>
      </c>
      <c r="I45" s="46" t="n">
        <v>338</v>
      </c>
      <c r="J45" s="47" t="n">
        <f aca="false">SUM(D45:I45)</f>
        <v>34288</v>
      </c>
      <c r="K45" s="48" t="n">
        <f aca="false">IFERROR(D45/J45,0)</f>
        <v>0.531468735417639</v>
      </c>
      <c r="L45" s="48" t="n">
        <f aca="false">IFERROR(E45/J45,0)</f>
        <v>0.0564045730284648</v>
      </c>
      <c r="M45" s="48" t="n">
        <f aca="false">IFERROR(F45/J45,0)</f>
        <v>0.137161689220719</v>
      </c>
      <c r="N45" s="48" t="n">
        <f aca="false">IFERROR(G45/J45,0)</f>
        <v>0.152444003733084</v>
      </c>
      <c r="O45" s="48" t="n">
        <f aca="false">IFERROR(H45/J45,0)</f>
        <v>0.11266332244517</v>
      </c>
      <c r="P45" s="48" t="n">
        <f aca="false">IFERROR(I45/J45,0)</f>
        <v>0.00985767615492301</v>
      </c>
      <c r="Q45" s="47" t="n">
        <f aca="false">D45*INDEX(Régions!$T$2:$T$6,MATCH($B45,Régions!$A$2:$A$6,0))</f>
        <v>12881.2900375525</v>
      </c>
      <c r="R45" s="47" t="n">
        <f aca="false">E45*INDEX(Régions!$U$2:$U$6,MATCH($B45,Régions!$A$2:$A$6,0))</f>
        <v>2470.68843151171</v>
      </c>
      <c r="S45" s="47" t="n">
        <f aca="false">F45*INDEX(Régions!$V$2:$V$6,MATCH($B45,Régions!$A$2:$A$6,0))</f>
        <v>2371.82997118156</v>
      </c>
      <c r="T45" s="47" t="n">
        <f aca="false">G45*INDEX(Régions!$W$2:$W$6,MATCH($B45,Régions!$A$2:$A$6,0))</f>
        <v>10289.3700787402</v>
      </c>
      <c r="U45" s="47" t="n">
        <f aca="false">H45*INDEX(Régions!$X$2:$X$6,MATCH($B45,Régions!$A$2:$A$6,0))</f>
        <v>4509.33852140078</v>
      </c>
      <c r="V45" s="47" t="n">
        <f aca="false">I45*INDEX(Régions!$Y$2:$Y$6,MATCH($B45,Régions!$A$2:$A$6,0))</f>
        <v>272.58064516129</v>
      </c>
      <c r="W45" s="47" t="n">
        <f aca="false">Q45+(AU45/100)*J45*Régions!$O$2</f>
        <v>13285.5455575525</v>
      </c>
      <c r="X45" s="47" t="n">
        <f aca="false">R45+(AV45/100)*J45*Régions!$O$2</f>
        <v>2509.77675151171</v>
      </c>
      <c r="Y45" s="47" t="n">
        <f aca="false">S45+(AW45/100)*J45*Régions!$O$2</f>
        <v>1875.16829118156</v>
      </c>
      <c r="Z45" s="47" t="n">
        <f aca="false">T45+(AX45/100)*J45*Régions!$O$2</f>
        <v>10411.7782387402</v>
      </c>
      <c r="AA45" s="47" t="n">
        <f aca="false">U45</f>
        <v>4509.33852140078</v>
      </c>
      <c r="AB45" s="47" t="n">
        <f aca="false">V45</f>
        <v>272.58064516129</v>
      </c>
      <c r="AC45" s="47" t="n">
        <f aca="false">D45*INDEX(Régions!$Z$2:$Z$6,MATCH($B45,Régions!$A$2:$A$6,0))</f>
        <v>14209.6730726751</v>
      </c>
      <c r="AD45" s="47" t="n">
        <f aca="false">E45*INDEX(Régions!$AA$2:$AA$6,MATCH($B45,Régions!$A$2:$A$6,0))</f>
        <v>2923.64797728886</v>
      </c>
      <c r="AE45" s="47" t="n">
        <f aca="false">F45*INDEX(Régions!$AB$2:$AB$6,MATCH($B45,Régions!$A$2:$A$6,0))</f>
        <v>3489.97838616715</v>
      </c>
      <c r="AF45" s="47" t="n">
        <f aca="false">G45*INDEX(Régions!$AC$2:$AC$6,MATCH($B45,Régions!$A$2:$A$6,0))</f>
        <v>11421.2007874016</v>
      </c>
      <c r="AG45" s="47" t="n">
        <f aca="false">H45*INDEX(Régions!$AD$2:$AD$6,MATCH($B45,Régions!$A$2:$A$6,0))</f>
        <v>5749.40661478599</v>
      </c>
      <c r="AH45" s="47" t="n">
        <f aca="false">I45*INDEX(Régions!$AE$2:$AE$6,MATCH($B45,Régions!$A$2:$A$6,0))</f>
        <v>1172.09677419355</v>
      </c>
      <c r="AI45" s="47" t="n">
        <f aca="false">D45*INDEX(Régions!$AF$2:$AF$6,MATCH($B45,Régions!$A$2:$A$6,0))</f>
        <v>11552.9070024299</v>
      </c>
      <c r="AJ45" s="47" t="n">
        <f aca="false">E45*INDEX(Régions!$AG$2:$AG$6,MATCH($B45,Régions!$A$2:$A$6,0))</f>
        <v>2017.72888573456</v>
      </c>
      <c r="AK45" s="47" t="n">
        <f aca="false">F45*INDEX(Régions!$AH$2:$AH$6,MATCH($B45,Régions!$A$2:$A$6,0))</f>
        <v>1253.68155619597</v>
      </c>
      <c r="AL45" s="47" t="n">
        <f aca="false">G45*INDEX(Régions!$AI$2:$AI$6,MATCH($B45,Régions!$A$2:$A$6,0))</f>
        <v>9157.53937007874</v>
      </c>
      <c r="AM45" s="47" t="n">
        <f aca="false">H45*INDEX(Régions!$AJ$2:$AJ$6,MATCH($B45,Régions!$A$2:$A$6,0))</f>
        <v>3269.27042801556</v>
      </c>
      <c r="AN45" s="47" t="n">
        <f aca="false">I45*INDEX(Régions!$AK$2:$AK$6,MATCH($B45,Régions!$A$2:$A$6,0))</f>
        <v>0</v>
      </c>
      <c r="AO45" s="49" t="str">
        <f aca="false">INDEX({"CAQ","PLQ","QS","PQ","PCQ","Autre"},MATCH(MAX(Q45:V45),Q45:V45,0))</f>
        <v>CAQ</v>
      </c>
      <c r="AP45" s="49" t="str">
        <f aca="false">INDEX({"CAQ","PLQ","QS","PQ","PCQ","Autre"},MATCH(MAX(W45:AB45),W45:AB45,0))</f>
        <v>CAQ</v>
      </c>
      <c r="AQ45" s="49" t="str">
        <f aca="false">INDEX({"CAQ","PLQ","QS","PQ","PCQ","Autre"},MATCH(MAX(AC45:AH45),AC45:AH45,0))</f>
        <v>CAQ</v>
      </c>
      <c r="AR45" s="49" t="str">
        <f aca="false">INDEX({"CAQ","PLQ","QS","PQ","PCQ","Autre"},MATCH(MAX(AI45:AN45),AI45:AN45,0))</f>
        <v>CAQ</v>
      </c>
      <c r="AS45" s="50" t="n">
        <f aca="false">(MAX(K45:P45)-LARGE(K45:P45,2))*100</f>
        <v>37.9024731684554</v>
      </c>
      <c r="AT45" s="51" t="str">
        <f aca="false">IF(AS45&lt;5,"Oui","Non")</f>
        <v>Non</v>
      </c>
      <c r="AU45" s="52" t="n">
        <v>2.358</v>
      </c>
      <c r="AV45" s="52" t="n">
        <v>0.228</v>
      </c>
      <c r="AW45" s="52" t="n">
        <v>-2.897</v>
      </c>
      <c r="AX45" s="52" t="n">
        <v>0.714</v>
      </c>
    </row>
    <row r="46" customFormat="false" ht="15" hidden="false" customHeight="true" outlineLevel="0" collapsed="false">
      <c r="A46" s="35" t="s">
        <v>117</v>
      </c>
      <c r="B46" s="35" t="s">
        <v>70</v>
      </c>
      <c r="C46" s="36" t="s">
        <v>6</v>
      </c>
      <c r="D46" s="37" t="n">
        <v>3338</v>
      </c>
      <c r="E46" s="37" t="n">
        <v>606</v>
      </c>
      <c r="F46" s="37" t="n">
        <v>450</v>
      </c>
      <c r="G46" s="37" t="n">
        <v>3877</v>
      </c>
      <c r="H46" s="37" t="n">
        <v>93</v>
      </c>
      <c r="I46" s="37" t="n">
        <v>0</v>
      </c>
      <c r="J46" s="38" t="n">
        <f aca="false">SUM(D46:I46)</f>
        <v>8364</v>
      </c>
      <c r="K46" s="39" t="n">
        <f aca="false">IFERROR(D46/J46,0)</f>
        <v>0.399091343854615</v>
      </c>
      <c r="L46" s="39" t="n">
        <f aca="false">IFERROR(E46/J46,0)</f>
        <v>0.0724533715925395</v>
      </c>
      <c r="M46" s="39" t="n">
        <f aca="false">IFERROR(F46/J46,0)</f>
        <v>0.0538020086083214</v>
      </c>
      <c r="N46" s="39" t="n">
        <f aca="false">IFERROR(G46/J46,0)</f>
        <v>0.463534194165471</v>
      </c>
      <c r="O46" s="39" t="n">
        <f aca="false">IFERROR(H46/J46,0)</f>
        <v>0.0111190817790531</v>
      </c>
      <c r="P46" s="39" t="n">
        <f aca="false">IFERROR(I46/J46,0)</f>
        <v>0</v>
      </c>
      <c r="Q46" s="38" t="n">
        <f aca="false">D46*INDEX(Régions!$T$2:$T$6,MATCH($B46,Régions!$A$2:$A$6,0))</f>
        <v>1971.81434599156</v>
      </c>
      <c r="R46" s="38" t="n">
        <f aca="false">E46*INDEX(Régions!$U$2:$U$6,MATCH($B46,Régions!$A$2:$A$6,0))</f>
        <v>1387.12446351931</v>
      </c>
      <c r="S46" s="38" t="n">
        <f aca="false">F46*INDEX(Régions!$V$2:$V$6,MATCH($B46,Régions!$A$2:$A$6,0))</f>
        <v>269.662921348315</v>
      </c>
      <c r="T46" s="38" t="n">
        <f aca="false">G46*INDEX(Régions!$W$2:$W$6,MATCH($B46,Régions!$A$2:$A$6,0))</f>
        <v>6777.15491259795</v>
      </c>
      <c r="U46" s="38" t="n">
        <f aca="false">H46*INDEX(Régions!$X$2:$X$6,MATCH($B46,Régions!$A$2:$A$6,0))</f>
        <v>105.681818181818</v>
      </c>
      <c r="V46" s="38" t="n">
        <f aca="false">I46*INDEX(Régions!$Y$2:$Y$6,MATCH($B46,Régions!$A$2:$A$6,0))</f>
        <v>0</v>
      </c>
      <c r="W46" s="38" t="n">
        <f aca="false">Q46+(AU46/100)*J46*Régions!$O$2</f>
        <v>2990.34044599156</v>
      </c>
      <c r="X46" s="38" t="n">
        <f aca="false">R46+(AV46/100)*J46*Régions!$O$2</f>
        <v>616.298223519313</v>
      </c>
      <c r="Y46" s="38" t="n">
        <f aca="false">S46+(AW46/100)*J46*Régions!$O$2</f>
        <v>-28.4300386516854</v>
      </c>
      <c r="Z46" s="38" t="n">
        <f aca="false">T46+(AX46/100)*J46*Régions!$O$2</f>
        <v>7275.31475259795</v>
      </c>
      <c r="AA46" s="38" t="n">
        <f aca="false">U46</f>
        <v>105.681818181818</v>
      </c>
      <c r="AB46" s="38" t="n">
        <f aca="false">V46</f>
        <v>0</v>
      </c>
      <c r="AC46" s="38" t="n">
        <f aca="false">D46*INDEX(Régions!$Z$2:$Z$6,MATCH($B46,Régions!$A$2:$A$6,0))</f>
        <v>2204.20675105485</v>
      </c>
      <c r="AD46" s="38" t="n">
        <f aca="false">E46*INDEX(Régions!$AA$2:$AA$6,MATCH($B46,Régions!$A$2:$A$6,0))</f>
        <v>1673.21888412017</v>
      </c>
      <c r="AE46" s="38" t="n">
        <f aca="false">F46*INDEX(Régions!$AB$2:$AB$6,MATCH($B46,Régions!$A$2:$A$6,0))</f>
        <v>380.898876404494</v>
      </c>
      <c r="AF46" s="38" t="n">
        <f aca="false">G46*INDEX(Régions!$AC$2:$AC$6,MATCH($B46,Régions!$A$2:$A$6,0))</f>
        <v>7548.3484026522</v>
      </c>
      <c r="AG46" s="38" t="n">
        <f aca="false">H46*INDEX(Régions!$AD$2:$AD$6,MATCH($B46,Régions!$A$2:$A$6,0))</f>
        <v>126.196524064171</v>
      </c>
      <c r="AH46" s="38" t="n">
        <f aca="false">I46*INDEX(Régions!$AE$2:$AE$6,MATCH($B46,Régions!$A$2:$A$6,0))</f>
        <v>0</v>
      </c>
      <c r="AI46" s="38" t="n">
        <f aca="false">D46*INDEX(Régions!$AF$2:$AF$6,MATCH($B46,Régions!$A$2:$A$6,0))</f>
        <v>1739.42194092827</v>
      </c>
      <c r="AJ46" s="38" t="n">
        <f aca="false">E46*INDEX(Régions!$AG$2:$AG$6,MATCH($B46,Régions!$A$2:$A$6,0))</f>
        <v>1101.03004291846</v>
      </c>
      <c r="AK46" s="38" t="n">
        <f aca="false">F46*INDEX(Régions!$AH$2:$AH$6,MATCH($B46,Régions!$A$2:$A$6,0))</f>
        <v>158.426966292135</v>
      </c>
      <c r="AL46" s="38" t="n">
        <f aca="false">G46*INDEX(Régions!$AI$2:$AI$6,MATCH($B46,Régions!$A$2:$A$6,0))</f>
        <v>6005.9614225437</v>
      </c>
      <c r="AM46" s="38" t="n">
        <f aca="false">H46*INDEX(Régions!$AJ$2:$AJ$6,MATCH($B46,Régions!$A$2:$A$6,0))</f>
        <v>85.1671122994652</v>
      </c>
      <c r="AN46" s="38" t="n">
        <f aca="false">I46*INDEX(Régions!$AK$2:$AK$6,MATCH($B46,Régions!$A$2:$A$6,0))</f>
        <v>0</v>
      </c>
      <c r="AO46" s="40" t="str">
        <f aca="false">INDEX({"CAQ","PLQ","QS","PQ","PCQ","Autre"},MATCH(MAX(Q46:V46),Q46:V46,0))</f>
        <v>PQ</v>
      </c>
      <c r="AP46" s="40" t="str">
        <f aca="false">INDEX({"CAQ","PLQ","QS","PQ","PCQ","Autre"},MATCH(MAX(W46:AB46),W46:AB46,0))</f>
        <v>PQ</v>
      </c>
      <c r="AQ46" s="40" t="str">
        <f aca="false">INDEX({"CAQ","PLQ","QS","PQ","PCQ","Autre"},MATCH(MAX(AC46:AH46),AC46:AH46,0))</f>
        <v>PQ</v>
      </c>
      <c r="AR46" s="40" t="str">
        <f aca="false">INDEX({"CAQ","PLQ","QS","PQ","PCQ","Autre"},MATCH(MAX(AI46:AN46),AI46:AN46,0))</f>
        <v>PQ</v>
      </c>
      <c r="AS46" s="41" t="n">
        <f aca="false">(MAX(K46:P46)-LARGE(K46:P46,2))*100</f>
        <v>6.44428503108561</v>
      </c>
      <c r="AT46" s="42" t="str">
        <f aca="false">IF(AS46&lt;5,"Oui","Non")</f>
        <v>Non</v>
      </c>
      <c r="AU46" s="43" t="n">
        <v>24.355</v>
      </c>
      <c r="AV46" s="43" t="n">
        <v>-18.432</v>
      </c>
      <c r="AW46" s="43" t="n">
        <v>-7.128</v>
      </c>
      <c r="AX46" s="43" t="n">
        <v>11.912</v>
      </c>
    </row>
    <row r="47" customFormat="false" ht="15" hidden="false" customHeight="true" outlineLevel="0" collapsed="false">
      <c r="A47" s="44" t="s">
        <v>118</v>
      </c>
      <c r="B47" s="44" t="s">
        <v>73</v>
      </c>
      <c r="C47" s="45" t="s">
        <v>4</v>
      </c>
      <c r="D47" s="46" t="n">
        <v>2735</v>
      </c>
      <c r="E47" s="46" t="n">
        <v>18158</v>
      </c>
      <c r="F47" s="46" t="n">
        <v>1456</v>
      </c>
      <c r="G47" s="46" t="n">
        <v>877</v>
      </c>
      <c r="H47" s="46" t="n">
        <v>4722</v>
      </c>
      <c r="I47" s="46" t="n">
        <v>1074</v>
      </c>
      <c r="J47" s="47" t="n">
        <f aca="false">SUM(D47:I47)</f>
        <v>29022</v>
      </c>
      <c r="K47" s="48" t="n">
        <f aca="false">IFERROR(D47/J47,0)</f>
        <v>0.0942388532837158</v>
      </c>
      <c r="L47" s="48" t="n">
        <f aca="false">IFERROR(E47/J47,0)</f>
        <v>0.625663289917993</v>
      </c>
      <c r="M47" s="48" t="n">
        <f aca="false">IFERROR(F47/J47,0)</f>
        <v>0.050168837433671</v>
      </c>
      <c r="N47" s="48" t="n">
        <f aca="false">IFERROR(G47/J47,0)</f>
        <v>0.0302184549651988</v>
      </c>
      <c r="O47" s="48" t="n">
        <f aca="false">IFERROR(H47/J47,0)</f>
        <v>0.162704155468265</v>
      </c>
      <c r="P47" s="48" t="n">
        <f aca="false">IFERROR(I47/J47,0)</f>
        <v>0.0370064089311557</v>
      </c>
      <c r="Q47" s="47" t="n">
        <f aca="false">D47*INDEX(Régions!$T$2:$T$6,MATCH($B47,Régions!$A$2:$A$6,0))</f>
        <v>2050.22488755622</v>
      </c>
      <c r="R47" s="47" t="n">
        <f aca="false">E47*INDEX(Régions!$U$2:$U$6,MATCH($B47,Régions!$A$2:$A$6,0))</f>
        <v>18126.0129183793</v>
      </c>
      <c r="S47" s="47" t="n">
        <f aca="false">F47*INDEX(Régions!$V$2:$V$6,MATCH($B47,Régions!$A$2:$A$6,0))</f>
        <v>1117.47178329571</v>
      </c>
      <c r="T47" s="47" t="n">
        <f aca="false">G47*INDEX(Régions!$W$2:$W$6,MATCH($B47,Régions!$A$2:$A$6,0))</f>
        <v>1972.633552015</v>
      </c>
      <c r="U47" s="47" t="n">
        <f aca="false">H47*INDEX(Régions!$X$2:$X$6,MATCH($B47,Régions!$A$2:$A$6,0))</f>
        <v>3788.96690070211</v>
      </c>
      <c r="V47" s="47" t="n">
        <f aca="false">I47*INDEX(Régions!$Y$2:$Y$6,MATCH($B47,Régions!$A$2:$A$6,0))</f>
        <v>686.261980830671</v>
      </c>
      <c r="W47" s="47" t="n">
        <f aca="false">Q47+(AU47/100)*J47*Régions!$O$2</f>
        <v>1758.40867755622</v>
      </c>
      <c r="X47" s="47" t="n">
        <f aca="false">R47+(AV47/100)*J47*Régions!$O$2</f>
        <v>18013.9879983793</v>
      </c>
      <c r="Y47" s="47" t="n">
        <f aca="false">S47+(AW47/100)*J47*Régions!$O$2</f>
        <v>1141.70515329571</v>
      </c>
      <c r="Z47" s="47" t="n">
        <f aca="false">T47+(AX47/100)*J47*Régions!$O$2</f>
        <v>2190.153442015</v>
      </c>
      <c r="AA47" s="47" t="n">
        <f aca="false">U47</f>
        <v>3788.96690070211</v>
      </c>
      <c r="AB47" s="47" t="n">
        <f aca="false">V47</f>
        <v>686.261980830671</v>
      </c>
      <c r="AC47" s="47" t="n">
        <f aca="false">D47*INDEX(Régions!$Z$2:$Z$6,MATCH($B47,Régions!$A$2:$A$6,0))</f>
        <v>2501.27436281859</v>
      </c>
      <c r="AD47" s="47" t="n">
        <f aca="false">E47*INDEX(Régions!$AA$2:$AA$6,MATCH($B47,Régions!$A$2:$A$6,0))</f>
        <v>19885.3024075161</v>
      </c>
      <c r="AE47" s="47" t="n">
        <f aca="false">F47*INDEX(Régions!$AB$2:$AB$6,MATCH($B47,Régions!$A$2:$A$6,0))</f>
        <v>1334.3927765237</v>
      </c>
      <c r="AF47" s="47" t="n">
        <f aca="false">G47*INDEX(Régions!$AC$2:$AC$6,MATCH($B47,Régions!$A$2:$A$6,0))</f>
        <v>2243.87066541706</v>
      </c>
      <c r="AG47" s="47" t="n">
        <f aca="false">H47*INDEX(Régions!$AD$2:$AD$6,MATCH($B47,Régions!$A$2:$A$6,0))</f>
        <v>5351.91574724173</v>
      </c>
      <c r="AH47" s="47" t="n">
        <f aca="false">I47*INDEX(Régions!$AE$2:$AE$6,MATCH($B47,Régions!$A$2:$A$6,0))</f>
        <v>1818.59424920128</v>
      </c>
      <c r="AI47" s="47" t="n">
        <f aca="false">D47*INDEX(Régions!$AF$2:$AF$6,MATCH($B47,Régions!$A$2:$A$6,0))</f>
        <v>1599.17541229385</v>
      </c>
      <c r="AJ47" s="47" t="n">
        <f aca="false">E47*INDEX(Régions!$AG$2:$AG$6,MATCH($B47,Régions!$A$2:$A$6,0))</f>
        <v>16366.7234292425</v>
      </c>
      <c r="AK47" s="47" t="n">
        <f aca="false">F47*INDEX(Régions!$AH$2:$AH$6,MATCH($B47,Régions!$A$2:$A$6,0))</f>
        <v>900.55079006772</v>
      </c>
      <c r="AL47" s="47" t="n">
        <f aca="false">G47*INDEX(Régions!$AI$2:$AI$6,MATCH($B47,Régions!$A$2:$A$6,0))</f>
        <v>1701.39643861293</v>
      </c>
      <c r="AM47" s="47" t="n">
        <f aca="false">H47*INDEX(Régions!$AJ$2:$AJ$6,MATCH($B47,Régions!$A$2:$A$6,0))</f>
        <v>2226.01805416249</v>
      </c>
      <c r="AN47" s="47" t="n">
        <f aca="false">I47*INDEX(Régions!$AK$2:$AK$6,MATCH($B47,Régions!$A$2:$A$6,0))</f>
        <v>0</v>
      </c>
      <c r="AO47" s="49" t="str">
        <f aca="false">INDEX({"CAQ","PLQ","QS","PQ","PCQ","Autre"},MATCH(MAX(Q47:V47),Q47:V47,0))</f>
        <v>PLQ</v>
      </c>
      <c r="AP47" s="49" t="str">
        <f aca="false">INDEX({"CAQ","PLQ","QS","PQ","PCQ","Autre"},MATCH(MAX(W47:AB47),W47:AB47,0))</f>
        <v>PLQ</v>
      </c>
      <c r="AQ47" s="49" t="str">
        <f aca="false">INDEX({"CAQ","PLQ","QS","PQ","PCQ","Autre"},MATCH(MAX(AC47:AH47),AC47:AH47,0))</f>
        <v>PLQ</v>
      </c>
      <c r="AR47" s="49" t="str">
        <f aca="false">INDEX({"CAQ","PLQ","QS","PQ","PCQ","Autre"},MATCH(MAX(AI47:AN47),AI47:AN47,0))</f>
        <v>PLQ</v>
      </c>
      <c r="AS47" s="50" t="n">
        <f aca="false">(MAX(K47:P47)-LARGE(K47:P47,2))*100</f>
        <v>46.2959134449728</v>
      </c>
      <c r="AT47" s="51" t="str">
        <f aca="false">IF(AS47&lt;5,"Oui","Non")</f>
        <v>Non</v>
      </c>
      <c r="AU47" s="52" t="n">
        <v>-2.011</v>
      </c>
      <c r="AV47" s="52" t="n">
        <v>-0.772</v>
      </c>
      <c r="AW47" s="52" t="n">
        <v>0.167</v>
      </c>
      <c r="AX47" s="52" t="n">
        <v>1.499</v>
      </c>
    </row>
    <row r="48" customFormat="false" ht="15" hidden="false" customHeight="true" outlineLevel="0" collapsed="false">
      <c r="A48" s="35" t="s">
        <v>119</v>
      </c>
      <c r="B48" s="35" t="s">
        <v>94</v>
      </c>
      <c r="C48" s="36" t="s">
        <v>5</v>
      </c>
      <c r="D48" s="37" t="n">
        <v>9426</v>
      </c>
      <c r="E48" s="37" t="n">
        <v>1326</v>
      </c>
      <c r="F48" s="37" t="n">
        <v>11390</v>
      </c>
      <c r="G48" s="37" t="n">
        <v>3337</v>
      </c>
      <c r="H48" s="37" t="n">
        <v>4258</v>
      </c>
      <c r="I48" s="37" t="n">
        <v>417</v>
      </c>
      <c r="J48" s="38" t="n">
        <f aca="false">SUM(D48:I48)</f>
        <v>30154</v>
      </c>
      <c r="K48" s="39" t="n">
        <f aca="false">IFERROR(D48/J48,0)</f>
        <v>0.312595343901307</v>
      </c>
      <c r="L48" s="39" t="n">
        <f aca="false">IFERROR(E48/J48,0)</f>
        <v>0.0439742654374212</v>
      </c>
      <c r="M48" s="39" t="n">
        <f aca="false">IFERROR(F48/J48,0)</f>
        <v>0.377727664654772</v>
      </c>
      <c r="N48" s="39" t="n">
        <f aca="false">IFERROR(G48/J48,0)</f>
        <v>0.110665251707899</v>
      </c>
      <c r="O48" s="39" t="n">
        <f aca="false">IFERROR(H48/J48,0)</f>
        <v>0.141208463222126</v>
      </c>
      <c r="P48" s="39" t="n">
        <f aca="false">IFERROR(I48/J48,0)</f>
        <v>0.0138290110764741</v>
      </c>
      <c r="Q48" s="38" t="n">
        <f aca="false">D48*INDEX(Régions!$T$2:$T$6,MATCH($B48,Régions!$A$2:$A$6,0))</f>
        <v>7864.10196987254</v>
      </c>
      <c r="R48" s="38" t="n">
        <f aca="false">E48*INDEX(Régions!$U$2:$U$6,MATCH($B48,Régions!$A$2:$A$6,0))</f>
        <v>1589.38356164384</v>
      </c>
      <c r="S48" s="38" t="n">
        <f aca="false">F48*INDEX(Régions!$V$2:$V$6,MATCH($B48,Régions!$A$2:$A$6,0))</f>
        <v>4475.442043222</v>
      </c>
      <c r="T48" s="38" t="n">
        <f aca="false">G48*INDEX(Régions!$W$2:$W$6,MATCH($B48,Régions!$A$2:$A$6,0))</f>
        <v>7041.14544084401</v>
      </c>
      <c r="U48" s="38" t="n">
        <f aca="false">H48*INDEX(Régions!$X$2:$X$6,MATCH($B48,Régions!$A$2:$A$6,0))</f>
        <v>4373.29598506069</v>
      </c>
      <c r="V48" s="38" t="n">
        <f aca="false">I48*INDEX(Régions!$Y$2:$Y$6,MATCH($B48,Régions!$A$2:$A$6,0))</f>
        <v>393.396226415094</v>
      </c>
      <c r="W48" s="38" t="n">
        <f aca="false">Q48+(AU48/100)*J48*Régions!$O$2</f>
        <v>8105.93704987254</v>
      </c>
      <c r="X48" s="38" t="n">
        <f aca="false">R48+(AV48/100)*J48*Régions!$O$2</f>
        <v>1799.25540164384</v>
      </c>
      <c r="Y48" s="38" t="n">
        <f aca="false">S48+(AW48/100)*J48*Régions!$O$2</f>
        <v>5054.097303222</v>
      </c>
      <c r="Z48" s="38" t="n">
        <f aca="false">T48+(AX48/100)*J48*Régions!$O$2</f>
        <v>7023.65612084401</v>
      </c>
      <c r="AA48" s="38" t="n">
        <f aca="false">U48</f>
        <v>4373.29598506069</v>
      </c>
      <c r="AB48" s="38" t="n">
        <f aca="false">V48</f>
        <v>393.396226415094</v>
      </c>
      <c r="AC48" s="38" t="n">
        <f aca="false">D48*INDEX(Régions!$Z$2:$Z$6,MATCH($B48,Régions!$A$2:$A$6,0))</f>
        <v>8584.97798377752</v>
      </c>
      <c r="AD48" s="38" t="n">
        <f aca="false">E48*INDEX(Régions!$AA$2:$AA$6,MATCH($B48,Régions!$A$2:$A$6,0))</f>
        <v>2338.66438356164</v>
      </c>
      <c r="AE48" s="38" t="n">
        <f aca="false">F48*INDEX(Régions!$AB$2:$AB$6,MATCH($B48,Régions!$A$2:$A$6,0))</f>
        <v>6936.93516699411</v>
      </c>
      <c r="AF48" s="38" t="n">
        <f aca="false">G48*INDEX(Régions!$AC$2:$AC$6,MATCH($B48,Régions!$A$2:$A$6,0))</f>
        <v>7870.99472494348</v>
      </c>
      <c r="AG48" s="38" t="n">
        <f aca="false">H48*INDEX(Régions!$AD$2:$AD$6,MATCH($B48,Régions!$A$2:$A$6,0))</f>
        <v>5029.2903828198</v>
      </c>
      <c r="AH48" s="38" t="n">
        <f aca="false">I48*INDEX(Régions!$AE$2:$AE$6,MATCH($B48,Régions!$A$2:$A$6,0))</f>
        <v>1691.60377358491</v>
      </c>
      <c r="AI48" s="38" t="n">
        <f aca="false">D48*INDEX(Régions!$AF$2:$AF$6,MATCH($B48,Régions!$A$2:$A$6,0))</f>
        <v>7143.22595596756</v>
      </c>
      <c r="AJ48" s="38" t="n">
        <f aca="false">E48*INDEX(Régions!$AG$2:$AG$6,MATCH($B48,Régions!$A$2:$A$6,0))</f>
        <v>840.102739726028</v>
      </c>
      <c r="AK48" s="38" t="n">
        <f aca="false">F48*INDEX(Régions!$AH$2:$AH$6,MATCH($B48,Régions!$A$2:$A$6,0))</f>
        <v>2013.9489194499</v>
      </c>
      <c r="AL48" s="38" t="n">
        <f aca="false">G48*INDEX(Régions!$AI$2:$AI$6,MATCH($B48,Régions!$A$2:$A$6,0))</f>
        <v>6211.29615674454</v>
      </c>
      <c r="AM48" s="38" t="n">
        <f aca="false">H48*INDEX(Régions!$AJ$2:$AJ$6,MATCH($B48,Régions!$A$2:$A$6,0))</f>
        <v>3717.30158730159</v>
      </c>
      <c r="AN48" s="38" t="n">
        <f aca="false">I48*INDEX(Régions!$AK$2:$AK$6,MATCH($B48,Régions!$A$2:$A$6,0))</f>
        <v>0</v>
      </c>
      <c r="AO48" s="40" t="str">
        <f aca="false">INDEX({"CAQ","PLQ","QS","PQ","PCQ","Autre"},MATCH(MAX(Q48:V48),Q48:V48,0))</f>
        <v>CAQ</v>
      </c>
      <c r="AP48" s="40" t="str">
        <f aca="false">INDEX({"CAQ","PLQ","QS","PQ","PCQ","Autre"},MATCH(MAX(W48:AB48),W48:AB48,0))</f>
        <v>CAQ</v>
      </c>
      <c r="AQ48" s="40" t="str">
        <f aca="false">INDEX({"CAQ","PLQ","QS","PQ","PCQ","Autre"},MATCH(MAX(AC48:AH48),AC48:AH48,0))</f>
        <v>CAQ</v>
      </c>
      <c r="AR48" s="40" t="str">
        <f aca="false">INDEX({"CAQ","PLQ","QS","PQ","PCQ","Autre"},MATCH(MAX(AI48:AN48),AI48:AN48,0))</f>
        <v>CAQ</v>
      </c>
      <c r="AS48" s="41" t="n">
        <f aca="false">(MAX(K48:P48)-LARGE(K48:P48,2))*100</f>
        <v>6.51323207534655</v>
      </c>
      <c r="AT48" s="42" t="str">
        <f aca="false">IF(AS48&lt;5,"Oui","Non")</f>
        <v>Non</v>
      </c>
      <c r="AU48" s="43" t="n">
        <v>1.604</v>
      </c>
      <c r="AV48" s="43" t="n">
        <v>1.392</v>
      </c>
      <c r="AW48" s="43" t="n">
        <v>3.838</v>
      </c>
      <c r="AX48" s="43" t="n">
        <v>-0.116</v>
      </c>
    </row>
    <row r="49" customFormat="false" ht="15" hidden="false" customHeight="true" outlineLevel="0" collapsed="false">
      <c r="A49" s="44" t="s">
        <v>120</v>
      </c>
      <c r="B49" s="44" t="s">
        <v>73</v>
      </c>
      <c r="C49" s="45" t="s">
        <v>4</v>
      </c>
      <c r="D49" s="46" t="n">
        <v>4455</v>
      </c>
      <c r="E49" s="46" t="n">
        <v>14471</v>
      </c>
      <c r="F49" s="46" t="n">
        <v>2858</v>
      </c>
      <c r="G49" s="46" t="n">
        <v>1122</v>
      </c>
      <c r="H49" s="46" t="n">
        <v>3609</v>
      </c>
      <c r="I49" s="46" t="n">
        <v>319</v>
      </c>
      <c r="J49" s="47" t="n">
        <f aca="false">SUM(D49:I49)</f>
        <v>26834</v>
      </c>
      <c r="K49" s="48" t="n">
        <f aca="false">IFERROR(D49/J49,0)</f>
        <v>0.166020719982112</v>
      </c>
      <c r="L49" s="48" t="n">
        <f aca="false">IFERROR(E49/J49,0)</f>
        <v>0.539278527241559</v>
      </c>
      <c r="M49" s="48" t="n">
        <f aca="false">IFERROR(F49/J49,0)</f>
        <v>0.106506670641723</v>
      </c>
      <c r="N49" s="48" t="n">
        <f aca="false">IFERROR(G49/J49,0)</f>
        <v>0.0418126257732727</v>
      </c>
      <c r="O49" s="48" t="n">
        <f aca="false">IFERROR(H49/J49,0)</f>
        <v>0.134493552955206</v>
      </c>
      <c r="P49" s="48" t="n">
        <f aca="false">IFERROR(I49/J49,0)</f>
        <v>0.0118879034061266</v>
      </c>
      <c r="Q49" s="47" t="n">
        <f aca="false">D49*INDEX(Régions!$T$2:$T$6,MATCH($B49,Régions!$A$2:$A$6,0))</f>
        <v>3339.58020989505</v>
      </c>
      <c r="R49" s="47" t="n">
        <f aca="false">E49*INDEX(Régions!$U$2:$U$6,MATCH($B49,Régions!$A$2:$A$6,0))</f>
        <v>14445.5079271873</v>
      </c>
      <c r="S49" s="47" t="n">
        <f aca="false">F49*INDEX(Régions!$V$2:$V$6,MATCH($B49,Régions!$A$2:$A$6,0))</f>
        <v>2193.49887133183</v>
      </c>
      <c r="T49" s="47" t="n">
        <f aca="false">G49*INDEX(Régions!$W$2:$W$6,MATCH($B49,Régions!$A$2:$A$6,0))</f>
        <v>2523.71134020619</v>
      </c>
      <c r="U49" s="47" t="n">
        <f aca="false">H49*INDEX(Régions!$X$2:$X$6,MATCH($B49,Régions!$A$2:$A$6,0))</f>
        <v>2895.88766298897</v>
      </c>
      <c r="V49" s="47" t="n">
        <f aca="false">I49*INDEX(Régions!$Y$2:$Y$6,MATCH($B49,Régions!$A$2:$A$6,0))</f>
        <v>203.833865814696</v>
      </c>
      <c r="W49" s="47" t="n">
        <f aca="false">Q49+(AU49/100)*J49*Régions!$O$2</f>
        <v>3112.29622989505</v>
      </c>
      <c r="X49" s="47" t="n">
        <f aca="false">R49+(AV49/100)*J49*Régions!$O$2</f>
        <v>13918.3539971873</v>
      </c>
      <c r="Y49" s="47" t="n">
        <f aca="false">S49+(AW49/100)*J49*Régions!$O$2</f>
        <v>2467.47401133183</v>
      </c>
      <c r="Z49" s="47" t="n">
        <f aca="false">T49+(AX49/100)*J49*Régions!$O$2</f>
        <v>2507.87928020619</v>
      </c>
      <c r="AA49" s="47" t="n">
        <f aca="false">U49</f>
        <v>2895.88766298897</v>
      </c>
      <c r="AB49" s="47" t="n">
        <f aca="false">V49</f>
        <v>203.833865814696</v>
      </c>
      <c r="AC49" s="47" t="n">
        <f aca="false">D49*INDEX(Régions!$Z$2:$Z$6,MATCH($B49,Régions!$A$2:$A$6,0))</f>
        <v>4074.28785607196</v>
      </c>
      <c r="AD49" s="47" t="n">
        <f aca="false">E49*INDEX(Régions!$AA$2:$AA$6,MATCH($B49,Régions!$A$2:$A$6,0))</f>
        <v>15847.5719318849</v>
      </c>
      <c r="AE49" s="47" t="n">
        <f aca="false">F49*INDEX(Régions!$AB$2:$AB$6,MATCH($B49,Régions!$A$2:$A$6,0))</f>
        <v>2619.29571106095</v>
      </c>
      <c r="AF49" s="47" t="n">
        <f aca="false">G49*INDEX(Régions!$AC$2:$AC$6,MATCH($B49,Régions!$A$2:$A$6,0))</f>
        <v>2870.72164948454</v>
      </c>
      <c r="AG49" s="47" t="n">
        <f aca="false">H49*INDEX(Régions!$AD$2:$AD$6,MATCH($B49,Régions!$A$2:$A$6,0))</f>
        <v>4090.44132397192</v>
      </c>
      <c r="AH49" s="47" t="n">
        <f aca="false">I49*INDEX(Régions!$AE$2:$AE$6,MATCH($B49,Régions!$A$2:$A$6,0))</f>
        <v>540.159744408946</v>
      </c>
      <c r="AI49" s="47" t="n">
        <f aca="false">D49*INDEX(Régions!$AF$2:$AF$6,MATCH($B49,Régions!$A$2:$A$6,0))</f>
        <v>2604.87256371814</v>
      </c>
      <c r="AJ49" s="47" t="n">
        <f aca="false">E49*INDEX(Régions!$AG$2:$AG$6,MATCH($B49,Régions!$A$2:$A$6,0))</f>
        <v>13043.4439224897</v>
      </c>
      <c r="AK49" s="47" t="n">
        <f aca="false">F49*INDEX(Régions!$AH$2:$AH$6,MATCH($B49,Régions!$A$2:$A$6,0))</f>
        <v>1767.70203160271</v>
      </c>
      <c r="AL49" s="47" t="n">
        <f aca="false">G49*INDEX(Régions!$AI$2:$AI$6,MATCH($B49,Régions!$A$2:$A$6,0))</f>
        <v>2176.70103092784</v>
      </c>
      <c r="AM49" s="47" t="n">
        <f aca="false">H49*INDEX(Régions!$AJ$2:$AJ$6,MATCH($B49,Régions!$A$2:$A$6,0))</f>
        <v>1701.33400200602</v>
      </c>
      <c r="AN49" s="47" t="n">
        <f aca="false">I49*INDEX(Régions!$AK$2:$AK$6,MATCH($B49,Régions!$A$2:$A$6,0))</f>
        <v>0</v>
      </c>
      <c r="AO49" s="49" t="str">
        <f aca="false">INDEX({"CAQ","PLQ","QS","PQ","PCQ","Autre"},MATCH(MAX(Q49:V49),Q49:V49,0))</f>
        <v>PLQ</v>
      </c>
      <c r="AP49" s="49" t="str">
        <f aca="false">INDEX({"CAQ","PLQ","QS","PQ","PCQ","Autre"},MATCH(MAX(W49:AB49),W49:AB49,0))</f>
        <v>PLQ</v>
      </c>
      <c r="AQ49" s="49" t="str">
        <f aca="false">INDEX({"CAQ","PLQ","QS","PQ","PCQ","Autre"},MATCH(MAX(AC49:AH49),AC49:AH49,0))</f>
        <v>PLQ</v>
      </c>
      <c r="AR49" s="49" t="str">
        <f aca="false">INDEX({"CAQ","PLQ","QS","PQ","PCQ","Autre"},MATCH(MAX(AI49:AN49),AI49:AN49,0))</f>
        <v>PLQ</v>
      </c>
      <c r="AS49" s="50" t="n">
        <f aca="false">(MAX(K49:P49)-LARGE(K49:P49,2))*100</f>
        <v>37.3257807259447</v>
      </c>
      <c r="AT49" s="51" t="str">
        <f aca="false">IF(AS49&lt;5,"Oui","Non")</f>
        <v>Non</v>
      </c>
      <c r="AU49" s="52" t="n">
        <v>-1.694</v>
      </c>
      <c r="AV49" s="52" t="n">
        <v>-3.929</v>
      </c>
      <c r="AW49" s="52" t="n">
        <v>2.042</v>
      </c>
      <c r="AX49" s="52" t="n">
        <v>-0.118</v>
      </c>
    </row>
    <row r="50" customFormat="false" ht="15" hidden="false" customHeight="true" outlineLevel="0" collapsed="false">
      <c r="A50" s="35" t="s">
        <v>121</v>
      </c>
      <c r="B50" s="35" t="s">
        <v>94</v>
      </c>
      <c r="C50" s="36" t="s">
        <v>3</v>
      </c>
      <c r="D50" s="37" t="n">
        <v>11105</v>
      </c>
      <c r="E50" s="37" t="n">
        <v>4616</v>
      </c>
      <c r="F50" s="37" t="n">
        <v>8117</v>
      </c>
      <c r="G50" s="37" t="n">
        <v>6386</v>
      </c>
      <c r="H50" s="37" t="n">
        <v>3541</v>
      </c>
      <c r="I50" s="37" t="n">
        <v>399</v>
      </c>
      <c r="J50" s="38" t="n">
        <f aca="false">SUM(D50:I50)</f>
        <v>34164</v>
      </c>
      <c r="K50" s="39" t="n">
        <f aca="false">IFERROR(D50/J50,0)</f>
        <v>0.325049759981267</v>
      </c>
      <c r="L50" s="39" t="n">
        <f aca="false">IFERROR(E50/J50,0)</f>
        <v>0.135112984428053</v>
      </c>
      <c r="M50" s="39" t="n">
        <f aca="false">IFERROR(F50/J50,0)</f>
        <v>0.237589275260508</v>
      </c>
      <c r="N50" s="39" t="n">
        <f aca="false">IFERROR(G50/J50,0)</f>
        <v>0.186921906099988</v>
      </c>
      <c r="O50" s="39" t="n">
        <f aca="false">IFERROR(H50/J50,0)</f>
        <v>0.103647113921087</v>
      </c>
      <c r="P50" s="39" t="n">
        <f aca="false">IFERROR(I50/J50,0)</f>
        <v>0.0116789603090973</v>
      </c>
      <c r="Q50" s="38" t="n">
        <f aca="false">D50*INDEX(Régions!$T$2:$T$6,MATCH($B50,Régions!$A$2:$A$6,0))</f>
        <v>9264.8899188876</v>
      </c>
      <c r="R50" s="38" t="n">
        <f aca="false">E50*INDEX(Régions!$U$2:$U$6,MATCH($B50,Régions!$A$2:$A$6,0))</f>
        <v>5532.87671232877</v>
      </c>
      <c r="S50" s="38" t="n">
        <f aca="false">F50*INDEX(Régions!$V$2:$V$6,MATCH($B50,Régions!$A$2:$A$6,0))</f>
        <v>3189.39096267191</v>
      </c>
      <c r="T50" s="38" t="n">
        <f aca="false">G50*INDEX(Régions!$W$2:$W$6,MATCH($B50,Régions!$A$2:$A$6,0))</f>
        <v>13474.6043707611</v>
      </c>
      <c r="U50" s="38" t="n">
        <f aca="false">H50*INDEX(Régions!$X$2:$X$6,MATCH($B50,Régions!$A$2:$A$6,0))</f>
        <v>3636.88141923436</v>
      </c>
      <c r="V50" s="38" t="n">
        <f aca="false">I50*INDEX(Régions!$Y$2:$Y$6,MATCH($B50,Régions!$A$2:$A$6,0))</f>
        <v>376.415094339623</v>
      </c>
      <c r="W50" s="38" t="n">
        <f aca="false">Q50+(AU50/100)*J50*Régions!$O$2</f>
        <v>10398.2806188876</v>
      </c>
      <c r="X50" s="38" t="n">
        <f aca="false">R50+(AV50/100)*J50*Régions!$O$2</f>
        <v>4823.29043232877</v>
      </c>
      <c r="Y50" s="38" t="n">
        <f aca="false">S50+(AW50/100)*J50*Régions!$O$2</f>
        <v>4103.27796267191</v>
      </c>
      <c r="Z50" s="38" t="n">
        <f aca="false">T50+(AX50/100)*J50*Régions!$O$2</f>
        <v>13879.4477707611</v>
      </c>
      <c r="AA50" s="38" t="n">
        <f aca="false">U50</f>
        <v>3636.88141923436</v>
      </c>
      <c r="AB50" s="38" t="n">
        <f aca="false">V50</f>
        <v>376.415094339623</v>
      </c>
      <c r="AC50" s="38" t="n">
        <f aca="false">D50*INDEX(Régions!$Z$2:$Z$6,MATCH($B50,Régions!$A$2:$A$6,0))</f>
        <v>10114.1714947856</v>
      </c>
      <c r="AD50" s="38" t="n">
        <f aca="false">E50*INDEX(Régions!$AA$2:$AA$6,MATCH($B50,Régions!$A$2:$A$6,0))</f>
        <v>8141.23287671233</v>
      </c>
      <c r="AE50" s="38" t="n">
        <f aca="false">F50*INDEX(Régions!$AB$2:$AB$6,MATCH($B50,Régions!$A$2:$A$6,0))</f>
        <v>4943.55599214146</v>
      </c>
      <c r="AF50" s="38" t="n">
        <f aca="false">G50*INDEX(Régions!$AC$2:$AC$6,MATCH($B50,Régions!$A$2:$A$6,0))</f>
        <v>15062.6827430294</v>
      </c>
      <c r="AG50" s="38" t="n">
        <f aca="false">H50*INDEX(Régions!$AD$2:$AD$6,MATCH($B50,Régions!$A$2:$A$6,0))</f>
        <v>4182.41363211952</v>
      </c>
      <c r="AH50" s="38" t="n">
        <f aca="false">I50*INDEX(Régions!$AE$2:$AE$6,MATCH($B50,Régions!$A$2:$A$6,0))</f>
        <v>1618.58490566038</v>
      </c>
      <c r="AI50" s="38" t="n">
        <f aca="false">D50*INDEX(Régions!$AF$2:$AF$6,MATCH($B50,Régions!$A$2:$A$6,0))</f>
        <v>8415.60834298957</v>
      </c>
      <c r="AJ50" s="38" t="n">
        <f aca="false">E50*INDEX(Régions!$AG$2:$AG$6,MATCH($B50,Régions!$A$2:$A$6,0))</f>
        <v>2924.52054794521</v>
      </c>
      <c r="AK50" s="38" t="n">
        <f aca="false">F50*INDEX(Régions!$AH$2:$AH$6,MATCH($B50,Régions!$A$2:$A$6,0))</f>
        <v>1435.22593320236</v>
      </c>
      <c r="AL50" s="38" t="n">
        <f aca="false">G50*INDEX(Régions!$AI$2:$AI$6,MATCH($B50,Régions!$A$2:$A$6,0))</f>
        <v>11886.5259984928</v>
      </c>
      <c r="AM50" s="38" t="n">
        <f aca="false">H50*INDEX(Régions!$AJ$2:$AJ$6,MATCH($B50,Régions!$A$2:$A$6,0))</f>
        <v>3091.34920634921</v>
      </c>
      <c r="AN50" s="38" t="n">
        <f aca="false">I50*INDEX(Régions!$AK$2:$AK$6,MATCH($B50,Régions!$A$2:$A$6,0))</f>
        <v>0</v>
      </c>
      <c r="AO50" s="40" t="str">
        <f aca="false">INDEX({"CAQ","PLQ","QS","PQ","PCQ","Autre"},MATCH(MAX(Q50:V50),Q50:V50,0))</f>
        <v>PQ</v>
      </c>
      <c r="AP50" s="40" t="str">
        <f aca="false">INDEX({"CAQ","PLQ","QS","PQ","PCQ","Autre"},MATCH(MAX(W50:AB50),W50:AB50,0))</f>
        <v>PQ</v>
      </c>
      <c r="AQ50" s="40" t="str">
        <f aca="false">INDEX({"CAQ","PLQ","QS","PQ","PCQ","Autre"},MATCH(MAX(AC50:AH50),AC50:AH50,0))</f>
        <v>PQ</v>
      </c>
      <c r="AR50" s="40" t="str">
        <f aca="false">INDEX({"CAQ","PLQ","QS","PQ","PCQ","Autre"},MATCH(MAX(AI50:AN50),AI50:AN50,0))</f>
        <v>PQ</v>
      </c>
      <c r="AS50" s="41" t="n">
        <f aca="false">(MAX(K50:P50)-LARGE(K50:P50,2))*100</f>
        <v>8.74604847207587</v>
      </c>
      <c r="AT50" s="42" t="str">
        <f aca="false">IF(AS50&lt;5,"Oui","Non")</f>
        <v>Non</v>
      </c>
      <c r="AU50" s="43" t="n">
        <v>6.635</v>
      </c>
      <c r="AV50" s="43" t="n">
        <v>-4.154</v>
      </c>
      <c r="AW50" s="43" t="n">
        <v>5.35</v>
      </c>
      <c r="AX50" s="43" t="n">
        <v>2.37</v>
      </c>
    </row>
    <row r="51" customFormat="false" ht="15" hidden="false" customHeight="true" outlineLevel="0" collapsed="false">
      <c r="A51" s="44" t="s">
        <v>122</v>
      </c>
      <c r="B51" s="44" t="s">
        <v>80</v>
      </c>
      <c r="C51" s="45" t="s">
        <v>3</v>
      </c>
      <c r="D51" s="46" t="n">
        <v>21944</v>
      </c>
      <c r="E51" s="46" t="n">
        <v>1469</v>
      </c>
      <c r="F51" s="46" t="n">
        <v>5769</v>
      </c>
      <c r="G51" s="46" t="n">
        <v>6024</v>
      </c>
      <c r="H51" s="46" t="n">
        <v>6323</v>
      </c>
      <c r="I51" s="46" t="n">
        <v>271</v>
      </c>
      <c r="J51" s="47" t="n">
        <f aca="false">SUM(D51:I51)</f>
        <v>41800</v>
      </c>
      <c r="K51" s="48" t="n">
        <f aca="false">IFERROR(D51/J51,0)</f>
        <v>0.524976076555024</v>
      </c>
      <c r="L51" s="48" t="n">
        <f aca="false">IFERROR(E51/J51,0)</f>
        <v>0.0351435406698565</v>
      </c>
      <c r="M51" s="48" t="n">
        <f aca="false">IFERROR(F51/J51,0)</f>
        <v>0.138014354066986</v>
      </c>
      <c r="N51" s="48" t="n">
        <f aca="false">IFERROR(G51/J51,0)</f>
        <v>0.144114832535885</v>
      </c>
      <c r="O51" s="48" t="n">
        <f aca="false">IFERROR(H51/J51,0)</f>
        <v>0.151267942583732</v>
      </c>
      <c r="P51" s="48" t="n">
        <f aca="false">IFERROR(I51/J51,0)</f>
        <v>0.00648325358851675</v>
      </c>
      <c r="Q51" s="47" t="n">
        <f aca="false">D51*INDEX(Régions!$T$2:$T$6,MATCH($B51,Régions!$A$2:$A$6,0))</f>
        <v>15511.5529047935</v>
      </c>
      <c r="R51" s="47" t="n">
        <f aca="false">E51*INDEX(Régions!$U$2:$U$6,MATCH($B51,Régions!$A$2:$A$6,0))</f>
        <v>1876.65010645848</v>
      </c>
      <c r="S51" s="47" t="n">
        <f aca="false">F51*INDEX(Régions!$V$2:$V$6,MATCH($B51,Régions!$A$2:$A$6,0))</f>
        <v>2909.43804034582</v>
      </c>
      <c r="T51" s="47" t="n">
        <f aca="false">G51*INDEX(Régions!$W$2:$W$6,MATCH($B51,Régions!$A$2:$A$6,0))</f>
        <v>11858.2677165354</v>
      </c>
      <c r="U51" s="47" t="n">
        <f aca="false">H51*INDEX(Régions!$X$2:$X$6,MATCH($B51,Régions!$A$2:$A$6,0))</f>
        <v>7380.93385214008</v>
      </c>
      <c r="V51" s="47" t="n">
        <f aca="false">I51*INDEX(Régions!$Y$2:$Y$6,MATCH($B51,Régions!$A$2:$A$6,0))</f>
        <v>218.548387096774</v>
      </c>
      <c r="W51" s="47" t="n">
        <f aca="false">Q51+(AU51/100)*J51*Régions!$O$2</f>
        <v>14751.4199047935</v>
      </c>
      <c r="X51" s="47" t="n">
        <f aca="false">R51+(AV51/100)*J51*Régions!$O$2</f>
        <v>1741.21810645848</v>
      </c>
      <c r="Y51" s="47" t="n">
        <f aca="false">S51+(AW51/100)*J51*Régions!$O$2</f>
        <v>2206.57104034582</v>
      </c>
      <c r="Z51" s="47" t="n">
        <f aca="false">T51+(AX51/100)*J51*Régions!$O$2</f>
        <v>12750.4887165354</v>
      </c>
      <c r="AA51" s="47" t="n">
        <f aca="false">U51</f>
        <v>7380.93385214008</v>
      </c>
      <c r="AB51" s="47" t="n">
        <f aca="false">V51</f>
        <v>218.548387096774</v>
      </c>
      <c r="AC51" s="47" t="n">
        <f aca="false">D51*INDEX(Régions!$Z$2:$Z$6,MATCH($B51,Régions!$A$2:$A$6,0))</f>
        <v>17111.1817981003</v>
      </c>
      <c r="AD51" s="47" t="n">
        <f aca="false">E51*INDEX(Régions!$AA$2:$AA$6,MATCH($B51,Régions!$A$2:$A$6,0))</f>
        <v>2220.70262597587</v>
      </c>
      <c r="AE51" s="47" t="n">
        <f aca="false">F51*INDEX(Régions!$AB$2:$AB$6,MATCH($B51,Régions!$A$2:$A$6,0))</f>
        <v>4281.03025936599</v>
      </c>
      <c r="AF51" s="47" t="n">
        <f aca="false">G51*INDEX(Régions!$AC$2:$AC$6,MATCH($B51,Régions!$A$2:$A$6,0))</f>
        <v>13162.6771653543</v>
      </c>
      <c r="AG51" s="47" t="n">
        <f aca="false">H51*INDEX(Régions!$AD$2:$AD$6,MATCH($B51,Régions!$A$2:$A$6,0))</f>
        <v>9410.6906614786</v>
      </c>
      <c r="AH51" s="47" t="n">
        <f aca="false">I51*INDEX(Régions!$AE$2:$AE$6,MATCH($B51,Régions!$A$2:$A$6,0))</f>
        <v>939.758064516129</v>
      </c>
      <c r="AI51" s="47" t="n">
        <f aca="false">D51*INDEX(Régions!$AF$2:$AF$6,MATCH($B51,Régions!$A$2:$A$6,0))</f>
        <v>13911.9240114866</v>
      </c>
      <c r="AJ51" s="47" t="n">
        <f aca="false">E51*INDEX(Régions!$AG$2:$AG$6,MATCH($B51,Régions!$A$2:$A$6,0))</f>
        <v>1532.59758694109</v>
      </c>
      <c r="AK51" s="47" t="n">
        <f aca="false">F51*INDEX(Régions!$AH$2:$AH$6,MATCH($B51,Régions!$A$2:$A$6,0))</f>
        <v>1537.84582132565</v>
      </c>
      <c r="AL51" s="47" t="n">
        <f aca="false">G51*INDEX(Régions!$AI$2:$AI$6,MATCH($B51,Régions!$A$2:$A$6,0))</f>
        <v>10553.8582677165</v>
      </c>
      <c r="AM51" s="47" t="n">
        <f aca="false">H51*INDEX(Régions!$AJ$2:$AJ$6,MATCH($B51,Régions!$A$2:$A$6,0))</f>
        <v>5351.17704280156</v>
      </c>
      <c r="AN51" s="47" t="n">
        <f aca="false">I51*INDEX(Régions!$AK$2:$AK$6,MATCH($B51,Régions!$A$2:$A$6,0))</f>
        <v>0</v>
      </c>
      <c r="AO51" s="49" t="str">
        <f aca="false">INDEX({"CAQ","PLQ","QS","PQ","PCQ","Autre"},MATCH(MAX(Q51:V51),Q51:V51,0))</f>
        <v>CAQ</v>
      </c>
      <c r="AP51" s="49" t="str">
        <f aca="false">INDEX({"CAQ","PLQ","QS","PQ","PCQ","Autre"},MATCH(MAX(W51:AB51),W51:AB51,0))</f>
        <v>CAQ</v>
      </c>
      <c r="AQ51" s="49" t="str">
        <f aca="false">INDEX({"CAQ","PLQ","QS","PQ","PCQ","Autre"},MATCH(MAX(AC51:AH51),AC51:AH51,0))</f>
        <v>CAQ</v>
      </c>
      <c r="AR51" s="49" t="str">
        <f aca="false">INDEX({"CAQ","PLQ","QS","PQ","PCQ","Autre"},MATCH(MAX(AI51:AN51),AI51:AN51,0))</f>
        <v>CAQ</v>
      </c>
      <c r="AS51" s="50" t="n">
        <f aca="false">(MAX(K51:P51)-LARGE(K51:P51,2))*100</f>
        <v>37.3708133971292</v>
      </c>
      <c r="AT51" s="51" t="str">
        <f aca="false">IF(AS51&lt;5,"Oui","Non")</f>
        <v>Non</v>
      </c>
      <c r="AU51" s="52" t="n">
        <v>-3.637</v>
      </c>
      <c r="AV51" s="52" t="n">
        <v>-0.648</v>
      </c>
      <c r="AW51" s="52" t="n">
        <v>-3.363</v>
      </c>
      <c r="AX51" s="52" t="n">
        <v>4.269</v>
      </c>
    </row>
    <row r="52" customFormat="false" ht="15" hidden="false" customHeight="true" outlineLevel="0" collapsed="false">
      <c r="A52" s="35" t="s">
        <v>123</v>
      </c>
      <c r="B52" s="35" t="s">
        <v>70</v>
      </c>
      <c r="C52" s="36" t="s">
        <v>3</v>
      </c>
      <c r="D52" s="37" t="n">
        <v>17925</v>
      </c>
      <c r="E52" s="37" t="n">
        <v>1178</v>
      </c>
      <c r="F52" s="37" t="n">
        <v>4476</v>
      </c>
      <c r="G52" s="37" t="n">
        <v>12281</v>
      </c>
      <c r="H52" s="37" t="n">
        <v>3470</v>
      </c>
      <c r="I52" s="37" t="n">
        <v>0</v>
      </c>
      <c r="J52" s="38" t="n">
        <f aca="false">SUM(D52:I52)</f>
        <v>39330</v>
      </c>
      <c r="K52" s="39" t="n">
        <f aca="false">IFERROR(D52/J52,0)</f>
        <v>0.455758962623951</v>
      </c>
      <c r="L52" s="39" t="n">
        <f aca="false">IFERROR(E52/J52,0)</f>
        <v>0.029951690821256</v>
      </c>
      <c r="M52" s="39" t="n">
        <f aca="false">IFERROR(F52/J52,0)</f>
        <v>0.113806254767353</v>
      </c>
      <c r="N52" s="39" t="n">
        <f aca="false">IFERROR(G52/J52,0)</f>
        <v>0.312255275870837</v>
      </c>
      <c r="O52" s="39" t="n">
        <f aca="false">IFERROR(H52/J52,0)</f>
        <v>0.0882278159166031</v>
      </c>
      <c r="P52" s="39" t="n">
        <f aca="false">IFERROR(I52/J52,0)</f>
        <v>0</v>
      </c>
      <c r="Q52" s="38" t="n">
        <f aca="false">D52*INDEX(Régions!$T$2:$T$6,MATCH($B52,Régions!$A$2:$A$6,0))</f>
        <v>10588.6075949367</v>
      </c>
      <c r="R52" s="38" t="n">
        <f aca="false">E52*INDEX(Régions!$U$2:$U$6,MATCH($B52,Régions!$A$2:$A$6,0))</f>
        <v>2696.4234620887</v>
      </c>
      <c r="S52" s="38" t="n">
        <f aca="false">F52*INDEX(Régions!$V$2:$V$6,MATCH($B52,Régions!$A$2:$A$6,0))</f>
        <v>2682.24719101124</v>
      </c>
      <c r="T52" s="38" t="n">
        <f aca="false">G52*INDEX(Régions!$W$2:$W$6,MATCH($B52,Régions!$A$2:$A$6,0))</f>
        <v>21467.6913803496</v>
      </c>
      <c r="U52" s="38" t="n">
        <f aca="false">H52*INDEX(Régions!$X$2:$X$6,MATCH($B52,Régions!$A$2:$A$6,0))</f>
        <v>3943.18181818182</v>
      </c>
      <c r="V52" s="38" t="n">
        <f aca="false">I52*INDEX(Régions!$Y$2:$Y$6,MATCH($B52,Régions!$A$2:$A$6,0))</f>
        <v>0</v>
      </c>
      <c r="W52" s="38" t="n">
        <f aca="false">Q52+(AU52/100)*J52*Régions!$O$2</f>
        <v>11515.0257449367</v>
      </c>
      <c r="X52" s="38" t="n">
        <f aca="false">R52+(AV52/100)*J52*Régions!$O$2</f>
        <v>4451.5247120887</v>
      </c>
      <c r="Y52" s="38" t="n">
        <f aca="false">S52+(AW52/100)*J52*Régions!$O$2</f>
        <v>3130.21589101124</v>
      </c>
      <c r="Z52" s="38" t="n">
        <f aca="false">T52+(AX52/100)*J52*Régions!$O$2</f>
        <v>19344.2646803496</v>
      </c>
      <c r="AA52" s="38" t="n">
        <f aca="false">U52</f>
        <v>3943.18181818182</v>
      </c>
      <c r="AB52" s="38" t="n">
        <f aca="false">V52</f>
        <v>0</v>
      </c>
      <c r="AC52" s="38" t="n">
        <f aca="false">D52*INDEX(Régions!$Z$2:$Z$6,MATCH($B52,Régions!$A$2:$A$6,0))</f>
        <v>11836.5506329114</v>
      </c>
      <c r="AD52" s="38" t="n">
        <f aca="false">E52*INDEX(Régions!$AA$2:$AA$6,MATCH($B52,Régions!$A$2:$A$6,0))</f>
        <v>3252.56080114449</v>
      </c>
      <c r="AE52" s="38" t="n">
        <f aca="false">F52*INDEX(Régions!$AB$2:$AB$6,MATCH($B52,Régions!$A$2:$A$6,0))</f>
        <v>3788.67415730337</v>
      </c>
      <c r="AF52" s="38" t="n">
        <f aca="false">G52*INDEX(Régions!$AC$2:$AC$6,MATCH($B52,Régions!$A$2:$A$6,0))</f>
        <v>23910.5666063894</v>
      </c>
      <c r="AG52" s="38" t="n">
        <f aca="false">H52*INDEX(Régions!$AD$2:$AD$6,MATCH($B52,Régions!$A$2:$A$6,0))</f>
        <v>4708.62299465241</v>
      </c>
      <c r="AH52" s="38" t="n">
        <f aca="false">I52*INDEX(Régions!$AE$2:$AE$6,MATCH($B52,Régions!$A$2:$A$6,0))</f>
        <v>0</v>
      </c>
      <c r="AI52" s="38" t="n">
        <f aca="false">D52*INDEX(Régions!$AF$2:$AF$6,MATCH($B52,Régions!$A$2:$A$6,0))</f>
        <v>9340.66455696203</v>
      </c>
      <c r="AJ52" s="38" t="n">
        <f aca="false">E52*INDEX(Régions!$AG$2:$AG$6,MATCH($B52,Régions!$A$2:$A$6,0))</f>
        <v>2140.2861230329</v>
      </c>
      <c r="AK52" s="38" t="n">
        <f aca="false">F52*INDEX(Régions!$AH$2:$AH$6,MATCH($B52,Régions!$A$2:$A$6,0))</f>
        <v>1575.8202247191</v>
      </c>
      <c r="AL52" s="38" t="n">
        <f aca="false">G52*INDEX(Régions!$AI$2:$AI$6,MATCH($B52,Régions!$A$2:$A$6,0))</f>
        <v>19024.8161543098</v>
      </c>
      <c r="AM52" s="38" t="n">
        <f aca="false">H52*INDEX(Régions!$AJ$2:$AJ$6,MATCH($B52,Régions!$A$2:$A$6,0))</f>
        <v>3177.74064171123</v>
      </c>
      <c r="AN52" s="38" t="n">
        <f aca="false">I52*INDEX(Régions!$AK$2:$AK$6,MATCH($B52,Régions!$A$2:$A$6,0))</f>
        <v>0</v>
      </c>
      <c r="AO52" s="40" t="str">
        <f aca="false">INDEX({"CAQ","PLQ","QS","PQ","PCQ","Autre"},MATCH(MAX(Q52:V52),Q52:V52,0))</f>
        <v>PQ</v>
      </c>
      <c r="AP52" s="40" t="str">
        <f aca="false">INDEX({"CAQ","PLQ","QS","PQ","PCQ","Autre"},MATCH(MAX(W52:AB52),W52:AB52,0))</f>
        <v>PQ</v>
      </c>
      <c r="AQ52" s="40" t="str">
        <f aca="false">INDEX({"CAQ","PLQ","QS","PQ","PCQ","Autre"},MATCH(MAX(AC52:AH52),AC52:AH52,0))</f>
        <v>PQ</v>
      </c>
      <c r="AR52" s="40" t="str">
        <f aca="false">INDEX({"CAQ","PLQ","QS","PQ","PCQ","Autre"},MATCH(MAX(AI52:AN52),AI52:AN52,0))</f>
        <v>PQ</v>
      </c>
      <c r="AS52" s="41" t="n">
        <f aca="false">(MAX(K52:P52)-LARGE(K52:P52,2))*100</f>
        <v>14.3503686753115</v>
      </c>
      <c r="AT52" s="42" t="str">
        <f aca="false">IF(AS52&lt;5,"Oui","Non")</f>
        <v>Non</v>
      </c>
      <c r="AU52" s="43" t="n">
        <v>4.711</v>
      </c>
      <c r="AV52" s="43" t="n">
        <v>8.925</v>
      </c>
      <c r="AW52" s="43" t="n">
        <v>2.278</v>
      </c>
      <c r="AX52" s="43" t="n">
        <v>-10.798</v>
      </c>
    </row>
    <row r="53" customFormat="false" ht="15" hidden="false" customHeight="true" outlineLevel="0" collapsed="false">
      <c r="A53" s="44" t="s">
        <v>124</v>
      </c>
      <c r="B53" s="44" t="s">
        <v>70</v>
      </c>
      <c r="C53" s="45" t="s">
        <v>3</v>
      </c>
      <c r="D53" s="46" t="n">
        <v>18196</v>
      </c>
      <c r="E53" s="46" t="n">
        <v>648</v>
      </c>
      <c r="F53" s="46" t="n">
        <v>2778</v>
      </c>
      <c r="G53" s="46" t="n">
        <v>5912</v>
      </c>
      <c r="H53" s="46" t="n">
        <v>2926</v>
      </c>
      <c r="I53" s="46" t="n">
        <v>177</v>
      </c>
      <c r="J53" s="47" t="n">
        <f aca="false">SUM(D53:I53)</f>
        <v>30637</v>
      </c>
      <c r="K53" s="48" t="n">
        <f aca="false">IFERROR(D53/J53,0)</f>
        <v>0.593922381434214</v>
      </c>
      <c r="L53" s="48" t="n">
        <f aca="false">IFERROR(E53/J53,0)</f>
        <v>0.0211508959754545</v>
      </c>
      <c r="M53" s="48" t="n">
        <f aca="false">IFERROR(F53/J53,0)</f>
        <v>0.0906746744132911</v>
      </c>
      <c r="N53" s="48" t="n">
        <f aca="false">IFERROR(G53/J53,0)</f>
        <v>0.192969285504455</v>
      </c>
      <c r="O53" s="48" t="n">
        <f aca="false">IFERROR(H53/J53,0)</f>
        <v>0.0955054346052159</v>
      </c>
      <c r="P53" s="48" t="n">
        <f aca="false">IFERROR(I53/J53,0)</f>
        <v>0.00577732806736952</v>
      </c>
      <c r="Q53" s="47" t="n">
        <f aca="false">D53*INDEX(Régions!$T$2:$T$6,MATCH($B53,Régions!$A$2:$A$6,0))</f>
        <v>10748.6919831224</v>
      </c>
      <c r="R53" s="47" t="n">
        <f aca="false">E53*INDEX(Régions!$U$2:$U$6,MATCH($B53,Régions!$A$2:$A$6,0))</f>
        <v>1483.26180257511</v>
      </c>
      <c r="S53" s="47" t="n">
        <f aca="false">F53*INDEX(Régions!$V$2:$V$6,MATCH($B53,Régions!$A$2:$A$6,0))</f>
        <v>1664.7191011236</v>
      </c>
      <c r="T53" s="47" t="n">
        <f aca="false">G53*INDEX(Régions!$W$2:$W$6,MATCH($B53,Régions!$A$2:$A$6,0))</f>
        <v>10334.4183242917</v>
      </c>
      <c r="U53" s="47" t="n">
        <f aca="false">H53*INDEX(Régions!$X$2:$X$6,MATCH($B53,Régions!$A$2:$A$6,0))</f>
        <v>3325</v>
      </c>
      <c r="V53" s="47" t="n">
        <f aca="false">I53*INDEX(Régions!$Y$2:$Y$6,MATCH($B53,Régions!$A$2:$A$6,0))</f>
        <v>249.295774647887</v>
      </c>
      <c r="W53" s="47" t="n">
        <f aca="false">Q53+(AU53/100)*J53*Régions!$O$2</f>
        <v>13920.6937781224</v>
      </c>
      <c r="X53" s="47" t="n">
        <f aca="false">R53+(AV53/100)*J53*Régions!$O$2</f>
        <v>2257.76516257511</v>
      </c>
      <c r="Y53" s="47" t="n">
        <f aca="false">S53+(AW53/100)*J53*Régions!$O$2</f>
        <v>2098.0794661236</v>
      </c>
      <c r="Z53" s="47" t="n">
        <f aca="false">T53+(AX53/100)*J53*Régions!$O$2</f>
        <v>6528.53699929174</v>
      </c>
      <c r="AA53" s="47" t="n">
        <f aca="false">U53</f>
        <v>3325</v>
      </c>
      <c r="AB53" s="47" t="n">
        <f aca="false">V53</f>
        <v>249.295774647887</v>
      </c>
      <c r="AC53" s="47" t="n">
        <f aca="false">D53*INDEX(Régions!$Z$2:$Z$6,MATCH($B53,Régions!$A$2:$A$6,0))</f>
        <v>12015.5021097046</v>
      </c>
      <c r="AD53" s="47" t="n">
        <f aca="false">E53*INDEX(Régions!$AA$2:$AA$6,MATCH($B53,Régions!$A$2:$A$6,0))</f>
        <v>1789.18454935622</v>
      </c>
      <c r="AE53" s="47" t="n">
        <f aca="false">F53*INDEX(Régions!$AB$2:$AB$6,MATCH($B53,Régions!$A$2:$A$6,0))</f>
        <v>2351.41573033708</v>
      </c>
      <c r="AF53" s="47" t="n">
        <f aca="false">G53*INDEX(Régions!$AC$2:$AC$6,MATCH($B53,Régions!$A$2:$A$6,0))</f>
        <v>11510.4038577456</v>
      </c>
      <c r="AG53" s="47" t="n">
        <f aca="false">H53*INDEX(Régions!$AD$2:$AD$6,MATCH($B53,Régions!$A$2:$A$6,0))</f>
        <v>3970.44117647059</v>
      </c>
      <c r="AH53" s="47" t="n">
        <f aca="false">I53*INDEX(Régions!$AE$2:$AE$6,MATCH($B53,Régions!$A$2:$A$6,0))</f>
        <v>1071.97183098592</v>
      </c>
      <c r="AI53" s="47" t="n">
        <f aca="false">D53*INDEX(Régions!$AF$2:$AF$6,MATCH($B53,Régions!$A$2:$A$6,0))</f>
        <v>9481.88185654008</v>
      </c>
      <c r="AJ53" s="47" t="n">
        <f aca="false">E53*INDEX(Régions!$AG$2:$AG$6,MATCH($B53,Régions!$A$2:$A$6,0))</f>
        <v>1177.33905579399</v>
      </c>
      <c r="AK53" s="47" t="n">
        <f aca="false">F53*INDEX(Régions!$AH$2:$AH$6,MATCH($B53,Régions!$A$2:$A$6,0))</f>
        <v>978.022471910113</v>
      </c>
      <c r="AL53" s="47" t="n">
        <f aca="false">G53*INDEX(Régions!$AI$2:$AI$6,MATCH($B53,Régions!$A$2:$A$6,0))</f>
        <v>9158.43279083786</v>
      </c>
      <c r="AM53" s="47" t="n">
        <f aca="false">H53*INDEX(Régions!$AJ$2:$AJ$6,MATCH($B53,Régions!$A$2:$A$6,0))</f>
        <v>2679.55882352941</v>
      </c>
      <c r="AN53" s="47" t="n">
        <f aca="false">I53*INDEX(Régions!$AK$2:$AK$6,MATCH($B53,Régions!$A$2:$A$6,0))</f>
        <v>0</v>
      </c>
      <c r="AO53" s="49" t="str">
        <f aca="false">INDEX({"CAQ","PLQ","QS","PQ","PCQ","Autre"},MATCH(MAX(Q53:V53),Q53:V53,0))</f>
        <v>CAQ</v>
      </c>
      <c r="AP53" s="49" t="str">
        <f aca="false">INDEX({"CAQ","PLQ","QS","PQ","PCQ","Autre"},MATCH(MAX(W53:AB53),W53:AB53,0))</f>
        <v>CAQ</v>
      </c>
      <c r="AQ53" s="49" t="str">
        <f aca="false">INDEX({"CAQ","PLQ","QS","PQ","PCQ","Autre"},MATCH(MAX(AC53:AH53),AC53:AH53,0))</f>
        <v>CAQ</v>
      </c>
      <c r="AR53" s="49" t="str">
        <f aca="false">INDEX({"CAQ","PLQ","QS","PQ","PCQ","Autre"},MATCH(MAX(AI53:AN53),AI53:AN53,0))</f>
        <v>CAQ</v>
      </c>
      <c r="AS53" s="50" t="n">
        <f aca="false">(MAX(K53:P53)-LARGE(K53:P53,2))*100</f>
        <v>40.0953095929758</v>
      </c>
      <c r="AT53" s="51" t="str">
        <f aca="false">IF(AS53&lt;5,"Oui","Non")</f>
        <v>Non</v>
      </c>
      <c r="AU53" s="52" t="n">
        <v>20.707</v>
      </c>
      <c r="AV53" s="52" t="n">
        <v>5.056</v>
      </c>
      <c r="AW53" s="52" t="n">
        <v>2.829</v>
      </c>
      <c r="AX53" s="52" t="n">
        <v>-24.845</v>
      </c>
    </row>
    <row r="54" customFormat="false" ht="15" hidden="false" customHeight="true" outlineLevel="0" collapsed="false">
      <c r="A54" s="35" t="s">
        <v>125</v>
      </c>
      <c r="B54" s="35" t="s">
        <v>70</v>
      </c>
      <c r="C54" s="36" t="s">
        <v>3</v>
      </c>
      <c r="D54" s="37" t="n">
        <v>17662</v>
      </c>
      <c r="E54" s="37" t="n">
        <v>1679</v>
      </c>
      <c r="F54" s="37" t="n">
        <v>4079</v>
      </c>
      <c r="G54" s="37" t="n">
        <v>6366</v>
      </c>
      <c r="H54" s="37" t="n">
        <v>3173</v>
      </c>
      <c r="I54" s="37" t="n">
        <v>313</v>
      </c>
      <c r="J54" s="38" t="n">
        <f aca="false">SUM(D54:I54)</f>
        <v>33272</v>
      </c>
      <c r="K54" s="39" t="n">
        <f aca="false">IFERROR(D54/J54,0)</f>
        <v>0.530836739600866</v>
      </c>
      <c r="L54" s="39" t="n">
        <f aca="false">IFERROR(E54/J54,0)</f>
        <v>0.0504628516470305</v>
      </c>
      <c r="M54" s="39" t="n">
        <f aca="false">IFERROR(F54/J54,0)</f>
        <v>0.122595575859582</v>
      </c>
      <c r="N54" s="39" t="n">
        <f aca="false">IFERROR(G54/J54,0)</f>
        <v>0.191332050973792</v>
      </c>
      <c r="O54" s="39" t="n">
        <f aca="false">IFERROR(H54/J54,0)</f>
        <v>0.0953654724693436</v>
      </c>
      <c r="P54" s="39" t="n">
        <f aca="false">IFERROR(I54/J54,0)</f>
        <v>0.00940730944938687</v>
      </c>
      <c r="Q54" s="38" t="n">
        <f aca="false">D54*INDEX(Régions!$T$2:$T$6,MATCH($B54,Régions!$A$2:$A$6,0))</f>
        <v>10433.2489451477</v>
      </c>
      <c r="R54" s="38" t="n">
        <f aca="false">E54*INDEX(Régions!$U$2:$U$6,MATCH($B54,Régions!$A$2:$A$6,0))</f>
        <v>3843.20457796853</v>
      </c>
      <c r="S54" s="38" t="n">
        <f aca="false">F54*INDEX(Régions!$V$2:$V$6,MATCH($B54,Régions!$A$2:$A$6,0))</f>
        <v>2444.34456928839</v>
      </c>
      <c r="T54" s="38" t="n">
        <f aca="false">G54*INDEX(Régions!$W$2:$W$6,MATCH($B54,Régions!$A$2:$A$6,0))</f>
        <v>11128.0289330922</v>
      </c>
      <c r="U54" s="38" t="n">
        <f aca="false">H54*INDEX(Régions!$X$2:$X$6,MATCH($B54,Régions!$A$2:$A$6,0))</f>
        <v>3605.68181818182</v>
      </c>
      <c r="V54" s="38" t="n">
        <f aca="false">I54*INDEX(Régions!$Y$2:$Y$6,MATCH($B54,Régions!$A$2:$A$6,0))</f>
        <v>440.845070422535</v>
      </c>
      <c r="W54" s="38" t="n">
        <f aca="false">Q54+(AU54/100)*J54*Régions!$O$2</f>
        <v>12158.9012251477</v>
      </c>
      <c r="X54" s="38" t="n">
        <f aca="false">R54+(AV54/100)*J54*Régions!$O$2</f>
        <v>4992.91853796853</v>
      </c>
      <c r="Y54" s="38" t="n">
        <f aca="false">S54+(AW54/100)*J54*Régions!$O$2</f>
        <v>2104.97016928839</v>
      </c>
      <c r="Z54" s="38" t="n">
        <f aca="false">T54+(AX54/100)*J54*Régions!$O$2</f>
        <v>9248.66001309222</v>
      </c>
      <c r="AA54" s="38" t="n">
        <f aca="false">U54</f>
        <v>3605.68181818182</v>
      </c>
      <c r="AB54" s="38" t="n">
        <f aca="false">V54</f>
        <v>440.845070422535</v>
      </c>
      <c r="AC54" s="38" t="n">
        <f aca="false">D54*INDEX(Régions!$Z$2:$Z$6,MATCH($B54,Régions!$A$2:$A$6,0))</f>
        <v>11662.8818565401</v>
      </c>
      <c r="AD54" s="38" t="n">
        <f aca="false">E54*INDEX(Régions!$AA$2:$AA$6,MATCH($B54,Régions!$A$2:$A$6,0))</f>
        <v>4635.86552217454</v>
      </c>
      <c r="AE54" s="38" t="n">
        <f aca="false">F54*INDEX(Régions!$AB$2:$AB$6,MATCH($B54,Régions!$A$2:$A$6,0))</f>
        <v>3452.63670411985</v>
      </c>
      <c r="AF54" s="38" t="n">
        <f aca="false">G54*INDEX(Régions!$AC$2:$AC$6,MATCH($B54,Régions!$A$2:$A$6,0))</f>
        <v>12394.321880651</v>
      </c>
      <c r="AG54" s="38" t="n">
        <f aca="false">H54*INDEX(Régions!$AD$2:$AD$6,MATCH($B54,Régions!$A$2:$A$6,0))</f>
        <v>4305.60828877005</v>
      </c>
      <c r="AH54" s="38" t="n">
        <f aca="false">I54*INDEX(Régions!$AE$2:$AE$6,MATCH($B54,Régions!$A$2:$A$6,0))</f>
        <v>1895.6338028169</v>
      </c>
      <c r="AI54" s="38" t="n">
        <f aca="false">D54*INDEX(Régions!$AF$2:$AF$6,MATCH($B54,Régions!$A$2:$A$6,0))</f>
        <v>9203.61603375527</v>
      </c>
      <c r="AJ54" s="38" t="n">
        <f aca="false">E54*INDEX(Régions!$AG$2:$AG$6,MATCH($B54,Régions!$A$2:$A$6,0))</f>
        <v>3050.54363376252</v>
      </c>
      <c r="AK54" s="38" t="n">
        <f aca="false">F54*INDEX(Régions!$AH$2:$AH$6,MATCH($B54,Régions!$A$2:$A$6,0))</f>
        <v>1436.05243445693</v>
      </c>
      <c r="AL54" s="38" t="n">
        <f aca="false">G54*INDEX(Régions!$AI$2:$AI$6,MATCH($B54,Régions!$A$2:$A$6,0))</f>
        <v>9861.73598553345</v>
      </c>
      <c r="AM54" s="38" t="n">
        <f aca="false">H54*INDEX(Régions!$AJ$2:$AJ$6,MATCH($B54,Régions!$A$2:$A$6,0))</f>
        <v>2905.75534759358</v>
      </c>
      <c r="AN54" s="38" t="n">
        <f aca="false">I54*INDEX(Régions!$AK$2:$AK$6,MATCH($B54,Régions!$A$2:$A$6,0))</f>
        <v>0</v>
      </c>
      <c r="AO54" s="40" t="str">
        <f aca="false">INDEX({"CAQ","PLQ","QS","PQ","PCQ","Autre"},MATCH(MAX(Q54:V54),Q54:V54,0))</f>
        <v>PQ</v>
      </c>
      <c r="AP54" s="40" t="str">
        <f aca="false">INDEX({"CAQ","PLQ","QS","PQ","PCQ","Autre"},MATCH(MAX(W54:AB54),W54:AB54,0))</f>
        <v>CAQ</v>
      </c>
      <c r="AQ54" s="40" t="str">
        <f aca="false">INDEX({"CAQ","PLQ","QS","PQ","PCQ","Autre"},MATCH(MAX(AC54:AH54),AC54:AH54,0))</f>
        <v>PQ</v>
      </c>
      <c r="AR54" s="40" t="str">
        <f aca="false">INDEX({"CAQ","PLQ","QS","PQ","PCQ","Autre"},MATCH(MAX(AI54:AN54),AI54:AN54,0))</f>
        <v>PQ</v>
      </c>
      <c r="AS54" s="41" t="n">
        <f aca="false">(MAX(K54:P54)-LARGE(K54:P54,2))*100</f>
        <v>33.9504688627074</v>
      </c>
      <c r="AT54" s="42" t="str">
        <f aca="false">IF(AS54&lt;5,"Oui","Non")</f>
        <v>Non</v>
      </c>
      <c r="AU54" s="43" t="n">
        <v>10.373</v>
      </c>
      <c r="AV54" s="43" t="n">
        <v>6.911</v>
      </c>
      <c r="AW54" s="43" t="n">
        <v>-2.04</v>
      </c>
      <c r="AX54" s="43" t="n">
        <v>-11.297</v>
      </c>
    </row>
    <row r="55" customFormat="false" ht="15" hidden="false" customHeight="true" outlineLevel="0" collapsed="false">
      <c r="A55" s="44" t="s">
        <v>126</v>
      </c>
      <c r="B55" s="44" t="s">
        <v>70</v>
      </c>
      <c r="C55" s="45" t="s">
        <v>3</v>
      </c>
      <c r="D55" s="46" t="n">
        <v>14798</v>
      </c>
      <c r="E55" s="46" t="n">
        <v>867</v>
      </c>
      <c r="F55" s="46" t="n">
        <v>2178</v>
      </c>
      <c r="G55" s="46" t="n">
        <v>7367</v>
      </c>
      <c r="H55" s="46" t="n">
        <v>3270</v>
      </c>
      <c r="I55" s="46" t="n">
        <v>272</v>
      </c>
      <c r="J55" s="47" t="n">
        <f aca="false">SUM(D55:I55)</f>
        <v>28752</v>
      </c>
      <c r="K55" s="48" t="n">
        <f aca="false">IFERROR(D55/J55,0)</f>
        <v>0.514677239844185</v>
      </c>
      <c r="L55" s="48" t="n">
        <f aca="false">IFERROR(E55/J55,0)</f>
        <v>0.0301544240400668</v>
      </c>
      <c r="M55" s="48" t="n">
        <f aca="false">IFERROR(F55/J55,0)</f>
        <v>0.0757512520868114</v>
      </c>
      <c r="N55" s="48" t="n">
        <f aca="false">IFERROR(G55/J55,0)</f>
        <v>0.256225653867557</v>
      </c>
      <c r="O55" s="48" t="n">
        <f aca="false">IFERROR(H55/J55,0)</f>
        <v>0.11373121869783</v>
      </c>
      <c r="P55" s="48" t="n">
        <f aca="false">IFERROR(I55/J55,0)</f>
        <v>0.00946021146355036</v>
      </c>
      <c r="Q55" s="47" t="n">
        <f aca="false">D55*INDEX(Régions!$T$2:$T$6,MATCH($B55,Régions!$A$2:$A$6,0))</f>
        <v>8741.43459915612</v>
      </c>
      <c r="R55" s="47" t="n">
        <f aca="false">E55*INDEX(Régions!$U$2:$U$6,MATCH($B55,Régions!$A$2:$A$6,0))</f>
        <v>1984.54935622318</v>
      </c>
      <c r="S55" s="47" t="n">
        <f aca="false">F55*INDEX(Régions!$V$2:$V$6,MATCH($B55,Régions!$A$2:$A$6,0))</f>
        <v>1305.16853932584</v>
      </c>
      <c r="T55" s="47" t="n">
        <f aca="false">G55*INDEX(Régions!$W$2:$W$6,MATCH($B55,Régions!$A$2:$A$6,0))</f>
        <v>12877.8179626281</v>
      </c>
      <c r="U55" s="47" t="n">
        <f aca="false">H55*INDEX(Régions!$X$2:$X$6,MATCH($B55,Régions!$A$2:$A$6,0))</f>
        <v>3715.90909090909</v>
      </c>
      <c r="V55" s="47" t="n">
        <f aca="false">I55*INDEX(Régions!$Y$2:$Y$6,MATCH($B55,Régions!$A$2:$A$6,0))</f>
        <v>383.098591549296</v>
      </c>
      <c r="W55" s="47" t="n">
        <f aca="false">Q55+(AU55/100)*J55*Régions!$O$2</f>
        <v>9573.66123915612</v>
      </c>
      <c r="X55" s="47" t="n">
        <f aca="false">R55+(AV55/100)*J55*Régions!$O$2</f>
        <v>2454.50079622318</v>
      </c>
      <c r="Y55" s="47" t="n">
        <f aca="false">S55+(AW55/100)*J55*Régions!$O$2</f>
        <v>408.681179325843</v>
      </c>
      <c r="Z55" s="47" t="n">
        <f aca="false">T55+(AX55/100)*J55*Régions!$O$2</f>
        <v>12633.7134826281</v>
      </c>
      <c r="AA55" s="47" t="n">
        <f aca="false">U55</f>
        <v>3715.90909090909</v>
      </c>
      <c r="AB55" s="47" t="n">
        <f aca="false">V55</f>
        <v>383.098591549296</v>
      </c>
      <c r="AC55" s="47" t="n">
        <f aca="false">D55*INDEX(Régions!$Z$2:$Z$6,MATCH($B55,Régions!$A$2:$A$6,0))</f>
        <v>9771.67510548523</v>
      </c>
      <c r="AD55" s="47" t="n">
        <f aca="false">E55*INDEX(Régions!$AA$2:$AA$6,MATCH($B55,Régions!$A$2:$A$6,0))</f>
        <v>2393.86266094421</v>
      </c>
      <c r="AE55" s="47" t="n">
        <f aca="false">F55*INDEX(Régions!$AB$2:$AB$6,MATCH($B55,Régions!$A$2:$A$6,0))</f>
        <v>1843.55056179775</v>
      </c>
      <c r="AF55" s="47" t="n">
        <f aca="false">G55*INDEX(Régions!$AC$2:$AC$6,MATCH($B55,Régions!$A$2:$A$6,0))</f>
        <v>14343.2248342375</v>
      </c>
      <c r="AG55" s="47" t="n">
        <f aca="false">H55*INDEX(Régions!$AD$2:$AD$6,MATCH($B55,Régions!$A$2:$A$6,0))</f>
        <v>4437.23262032086</v>
      </c>
      <c r="AH55" s="47" t="n">
        <f aca="false">I55*INDEX(Régions!$AE$2:$AE$6,MATCH($B55,Régions!$A$2:$A$6,0))</f>
        <v>1647.32394366197</v>
      </c>
      <c r="AI55" s="47" t="n">
        <f aca="false">D55*INDEX(Régions!$AF$2:$AF$6,MATCH($B55,Régions!$A$2:$A$6,0))</f>
        <v>7711.194092827</v>
      </c>
      <c r="AJ55" s="47" t="n">
        <f aca="false">E55*INDEX(Régions!$AG$2:$AG$6,MATCH($B55,Régions!$A$2:$A$6,0))</f>
        <v>1575.23605150215</v>
      </c>
      <c r="AK55" s="47" t="n">
        <f aca="false">F55*INDEX(Régions!$AH$2:$AH$6,MATCH($B55,Régions!$A$2:$A$6,0))</f>
        <v>766.786516853933</v>
      </c>
      <c r="AL55" s="47" t="n">
        <f aca="false">G55*INDEX(Régions!$AI$2:$AI$6,MATCH($B55,Régions!$A$2:$A$6,0))</f>
        <v>11412.4110910187</v>
      </c>
      <c r="AM55" s="47" t="n">
        <f aca="false">H55*INDEX(Régions!$AJ$2:$AJ$6,MATCH($B55,Régions!$A$2:$A$6,0))</f>
        <v>2994.58556149733</v>
      </c>
      <c r="AN55" s="47" t="n">
        <f aca="false">I55*INDEX(Régions!$AK$2:$AK$6,MATCH($B55,Régions!$A$2:$A$6,0))</f>
        <v>0</v>
      </c>
      <c r="AO55" s="49" t="str">
        <f aca="false">INDEX({"CAQ","PLQ","QS","PQ","PCQ","Autre"},MATCH(MAX(Q55:V55),Q55:V55,0))</f>
        <v>PQ</v>
      </c>
      <c r="AP55" s="49" t="str">
        <f aca="false">INDEX({"CAQ","PLQ","QS","PQ","PCQ","Autre"},MATCH(MAX(W55:AB55),W55:AB55,0))</f>
        <v>PQ</v>
      </c>
      <c r="AQ55" s="49" t="str">
        <f aca="false">INDEX({"CAQ","PLQ","QS","PQ","PCQ","Autre"},MATCH(MAX(AC55:AH55),AC55:AH55,0))</f>
        <v>PQ</v>
      </c>
      <c r="AR55" s="49" t="str">
        <f aca="false">INDEX({"CAQ","PLQ","QS","PQ","PCQ","Autre"},MATCH(MAX(AI55:AN55),AI55:AN55,0))</f>
        <v>PQ</v>
      </c>
      <c r="AS55" s="50" t="n">
        <f aca="false">(MAX(K55:P55)-LARGE(K55:P55,2))*100</f>
        <v>25.8451585976628</v>
      </c>
      <c r="AT55" s="51" t="str">
        <f aca="false">IF(AS55&lt;5,"Oui","Non")</f>
        <v>Non</v>
      </c>
      <c r="AU55" s="52" t="n">
        <v>5.789</v>
      </c>
      <c r="AV55" s="52" t="n">
        <v>3.269</v>
      </c>
      <c r="AW55" s="52" t="n">
        <v>-6.236</v>
      </c>
      <c r="AX55" s="52" t="n">
        <v>-1.698</v>
      </c>
    </row>
    <row r="56" customFormat="false" ht="15" hidden="false" customHeight="true" outlineLevel="0" collapsed="false">
      <c r="A56" s="35" t="s">
        <v>127</v>
      </c>
      <c r="B56" s="35" t="s">
        <v>73</v>
      </c>
      <c r="C56" s="36" t="s">
        <v>4</v>
      </c>
      <c r="D56" s="37" t="n">
        <v>5189</v>
      </c>
      <c r="E56" s="37" t="n">
        <v>13398</v>
      </c>
      <c r="F56" s="37" t="n">
        <v>2301</v>
      </c>
      <c r="G56" s="37" t="n">
        <v>1322</v>
      </c>
      <c r="H56" s="37" t="n">
        <v>3406</v>
      </c>
      <c r="I56" s="37" t="n">
        <v>313</v>
      </c>
      <c r="J56" s="38" t="n">
        <f aca="false">SUM(D56:I56)</f>
        <v>25929</v>
      </c>
      <c r="K56" s="39" t="n">
        <f aca="false">IFERROR(D56/J56,0)</f>
        <v>0.200123413938062</v>
      </c>
      <c r="L56" s="39" t="n">
        <f aca="false">IFERROR(E56/J56,0)</f>
        <v>0.516718731921786</v>
      </c>
      <c r="M56" s="39" t="n">
        <f aca="false">IFERROR(F56/J56,0)</f>
        <v>0.0887423348374407</v>
      </c>
      <c r="N56" s="39" t="n">
        <f aca="false">IFERROR(G56/J56,0)</f>
        <v>0.0509853831617108</v>
      </c>
      <c r="O56" s="39" t="n">
        <f aca="false">IFERROR(H56/J56,0)</f>
        <v>0.131358710324347</v>
      </c>
      <c r="P56" s="39" t="n">
        <f aca="false">IFERROR(I56/J56,0)</f>
        <v>0.0120714258166532</v>
      </c>
      <c r="Q56" s="38" t="n">
        <f aca="false">D56*INDEX(Régions!$T$2:$T$6,MATCH($B56,Régions!$A$2:$A$6,0))</f>
        <v>3889.80509745127</v>
      </c>
      <c r="R56" s="38" t="n">
        <f aca="false">E56*INDEX(Régions!$U$2:$U$6,MATCH($B56,Régions!$A$2:$A$6,0))</f>
        <v>13374.398120963</v>
      </c>
      <c r="S56" s="38" t="n">
        <f aca="false">F56*INDEX(Régions!$V$2:$V$6,MATCH($B56,Régions!$A$2:$A$6,0))</f>
        <v>1766.00451467269</v>
      </c>
      <c r="T56" s="38" t="n">
        <f aca="false">G56*INDEX(Régions!$W$2:$W$6,MATCH($B56,Régions!$A$2:$A$6,0))</f>
        <v>2973.57075913777</v>
      </c>
      <c r="U56" s="38" t="n">
        <f aca="false">H56*INDEX(Régions!$X$2:$X$6,MATCH($B56,Régions!$A$2:$A$6,0))</f>
        <v>2732.99899699097</v>
      </c>
      <c r="V56" s="38" t="n">
        <f aca="false">I56*INDEX(Régions!$Y$2:$Y$6,MATCH($B56,Régions!$A$2:$A$6,0))</f>
        <v>200</v>
      </c>
      <c r="W56" s="38" t="n">
        <f aca="false">Q56+(AU56/100)*J56*Régions!$O$2</f>
        <v>3369.66935745127</v>
      </c>
      <c r="X56" s="38" t="n">
        <f aca="false">R56+(AV56/100)*J56*Régions!$O$2</f>
        <v>13547.474195963</v>
      </c>
      <c r="Y56" s="38" t="n">
        <f aca="false">S56+(AW56/100)*J56*Régions!$O$2</f>
        <v>1709.09035967269</v>
      </c>
      <c r="Z56" s="38" t="n">
        <f aca="false">T56+(AX56/100)*J56*Régions!$O$2</f>
        <v>2714.02146913777</v>
      </c>
      <c r="AA56" s="38" t="n">
        <f aca="false">U56</f>
        <v>2732.99899699097</v>
      </c>
      <c r="AB56" s="38" t="n">
        <f aca="false">V56</f>
        <v>200</v>
      </c>
      <c r="AC56" s="38" t="n">
        <f aca="false">D56*INDEX(Régions!$Z$2:$Z$6,MATCH($B56,Régions!$A$2:$A$6,0))</f>
        <v>4745.56221889055</v>
      </c>
      <c r="AD56" s="38" t="n">
        <f aca="false">E56*INDEX(Régions!$AA$2:$AA$6,MATCH($B56,Régions!$A$2:$A$6,0))</f>
        <v>14672.5014679976</v>
      </c>
      <c r="AE56" s="38" t="n">
        <f aca="false">F56*INDEX(Régions!$AB$2:$AB$6,MATCH($B56,Régions!$A$2:$A$6,0))</f>
        <v>2108.81715575621</v>
      </c>
      <c r="AF56" s="38" t="n">
        <f aca="false">G56*INDEX(Régions!$AC$2:$AC$6,MATCH($B56,Régions!$A$2:$A$6,0))</f>
        <v>3382.43673851921</v>
      </c>
      <c r="AG56" s="38" t="n">
        <f aca="false">H56*INDEX(Régions!$AD$2:$AD$6,MATCH($B56,Régions!$A$2:$A$6,0))</f>
        <v>3860.36108324975</v>
      </c>
      <c r="AH56" s="38" t="n">
        <f aca="false">I56*INDEX(Régions!$AE$2:$AE$6,MATCH($B56,Régions!$A$2:$A$6,0))</f>
        <v>530</v>
      </c>
      <c r="AI56" s="38" t="n">
        <f aca="false">D56*INDEX(Régions!$AF$2:$AF$6,MATCH($B56,Régions!$A$2:$A$6,0))</f>
        <v>3034.04797601199</v>
      </c>
      <c r="AJ56" s="38" t="n">
        <f aca="false">E56*INDEX(Régions!$AG$2:$AG$6,MATCH($B56,Régions!$A$2:$A$6,0))</f>
        <v>12076.2947739284</v>
      </c>
      <c r="AK56" s="38" t="n">
        <f aca="false">F56*INDEX(Régions!$AH$2:$AH$6,MATCH($B56,Régions!$A$2:$A$6,0))</f>
        <v>1423.19187358916</v>
      </c>
      <c r="AL56" s="38" t="n">
        <f aca="false">G56*INDEX(Régions!$AI$2:$AI$6,MATCH($B56,Régions!$A$2:$A$6,0))</f>
        <v>2564.70477975633</v>
      </c>
      <c r="AM56" s="38" t="n">
        <f aca="false">H56*INDEX(Régions!$AJ$2:$AJ$6,MATCH($B56,Régions!$A$2:$A$6,0))</f>
        <v>1605.6369107322</v>
      </c>
      <c r="AN56" s="38" t="n">
        <f aca="false">I56*INDEX(Régions!$AK$2:$AK$6,MATCH($B56,Régions!$A$2:$A$6,0))</f>
        <v>0</v>
      </c>
      <c r="AO56" s="40" t="str">
        <f aca="false">INDEX({"CAQ","PLQ","QS","PQ","PCQ","Autre"},MATCH(MAX(Q56:V56),Q56:V56,0))</f>
        <v>PLQ</v>
      </c>
      <c r="AP56" s="40" t="str">
        <f aca="false">INDEX({"CAQ","PLQ","QS","PQ","PCQ","Autre"},MATCH(MAX(W56:AB56),W56:AB56,0))</f>
        <v>PLQ</v>
      </c>
      <c r="AQ56" s="40" t="str">
        <f aca="false">INDEX({"CAQ","PLQ","QS","PQ","PCQ","Autre"},MATCH(MAX(AC56:AH56),AC56:AH56,0))</f>
        <v>PLQ</v>
      </c>
      <c r="AR56" s="40" t="str">
        <f aca="false">INDEX({"CAQ","PLQ","QS","PQ","PCQ","Autre"},MATCH(MAX(AI56:AN56),AI56:AN56,0))</f>
        <v>PLQ</v>
      </c>
      <c r="AS56" s="41" t="n">
        <f aca="false">(MAX(K56:P56)-LARGE(K56:P56,2))*100</f>
        <v>31.6595317983725</v>
      </c>
      <c r="AT56" s="42" t="str">
        <f aca="false">IF(AS56&lt;5,"Oui","Non")</f>
        <v>Non</v>
      </c>
      <c r="AU56" s="43" t="n">
        <v>-4.012</v>
      </c>
      <c r="AV56" s="43" t="n">
        <v>1.335</v>
      </c>
      <c r="AW56" s="43" t="n">
        <v>-0.439</v>
      </c>
      <c r="AX56" s="43" t="n">
        <v>-2.002</v>
      </c>
    </row>
    <row r="57" customFormat="false" ht="15" hidden="false" customHeight="true" outlineLevel="0" collapsed="false">
      <c r="A57" s="44" t="s">
        <v>128</v>
      </c>
      <c r="B57" s="44" t="s">
        <v>94</v>
      </c>
      <c r="C57" s="45" t="s">
        <v>3</v>
      </c>
      <c r="D57" s="46" t="n">
        <v>19714</v>
      </c>
      <c r="E57" s="46" t="n">
        <v>2517</v>
      </c>
      <c r="F57" s="46" t="n">
        <v>3954</v>
      </c>
      <c r="G57" s="46" t="n">
        <v>4415</v>
      </c>
      <c r="H57" s="46" t="n">
        <v>13291</v>
      </c>
      <c r="I57" s="46" t="n">
        <v>557</v>
      </c>
      <c r="J57" s="47" t="n">
        <f aca="false">SUM(D57:I57)</f>
        <v>44448</v>
      </c>
      <c r="K57" s="48" t="n">
        <f aca="false">IFERROR(D57/J57,0)</f>
        <v>0.443529517638589</v>
      </c>
      <c r="L57" s="48" t="n">
        <f aca="false">IFERROR(E57/J57,0)</f>
        <v>0.056627969762419</v>
      </c>
      <c r="M57" s="48" t="n">
        <f aca="false">IFERROR(F57/J57,0)</f>
        <v>0.0889578833693305</v>
      </c>
      <c r="N57" s="48" t="n">
        <f aca="false">IFERROR(G57/J57,0)</f>
        <v>0.0993295536357091</v>
      </c>
      <c r="O57" s="48" t="n">
        <f aca="false">IFERROR(H57/J57,0)</f>
        <v>0.299023578113751</v>
      </c>
      <c r="P57" s="48" t="n">
        <f aca="false">IFERROR(I57/J57,0)</f>
        <v>0.0125314974802016</v>
      </c>
      <c r="Q57" s="47" t="n">
        <f aca="false">D57*INDEX(Régions!$T$2:$T$6,MATCH($B57,Régions!$A$2:$A$6,0))</f>
        <v>16447.369640788</v>
      </c>
      <c r="R57" s="47" t="n">
        <f aca="false">E57*INDEX(Régions!$U$2:$U$6,MATCH($B57,Régions!$A$2:$A$6,0))</f>
        <v>3016.95205479452</v>
      </c>
      <c r="S57" s="47" t="n">
        <f aca="false">F57*INDEX(Régions!$V$2:$V$6,MATCH($B57,Régions!$A$2:$A$6,0))</f>
        <v>1553.63457760314</v>
      </c>
      <c r="T57" s="47" t="n">
        <f aca="false">G57*INDEX(Régions!$W$2:$W$6,MATCH($B57,Régions!$A$2:$A$6,0))</f>
        <v>9315.74981160513</v>
      </c>
      <c r="U57" s="47" t="n">
        <f aca="false">H57*INDEX(Régions!$X$2:$X$6,MATCH($B57,Régions!$A$2:$A$6,0))</f>
        <v>13650.8870214753</v>
      </c>
      <c r="V57" s="47" t="n">
        <f aca="false">I57*INDEX(Régions!$Y$2:$Y$6,MATCH($B57,Régions!$A$2:$A$6,0))</f>
        <v>525.471698113208</v>
      </c>
      <c r="W57" s="47" t="n">
        <f aca="false">Q57+(AU57/100)*J57*Régions!$O$2</f>
        <v>14074.735400788</v>
      </c>
      <c r="X57" s="47" t="n">
        <f aca="false">R57+(AV57/100)*J57*Régions!$O$2</f>
        <v>3899.02261479452</v>
      </c>
      <c r="Y57" s="47" t="n">
        <f aca="false">S57+(AW57/100)*J57*Régions!$O$2</f>
        <v>1506.96417760314</v>
      </c>
      <c r="Z57" s="47" t="n">
        <f aca="false">T57+(AX57/100)*J57*Régions!$O$2</f>
        <v>9435.98165160513</v>
      </c>
      <c r="AA57" s="47" t="n">
        <f aca="false">U57</f>
        <v>13650.8870214753</v>
      </c>
      <c r="AB57" s="47" t="n">
        <f aca="false">V57</f>
        <v>525.471698113208</v>
      </c>
      <c r="AC57" s="47" t="n">
        <f aca="false">D57*INDEX(Régions!$Z$2:$Z$6,MATCH($B57,Régions!$A$2:$A$6,0))</f>
        <v>17955.0451911935</v>
      </c>
      <c r="AD57" s="47" t="n">
        <f aca="false">E57*INDEX(Régions!$AA$2:$AA$6,MATCH($B57,Régions!$A$2:$A$6,0))</f>
        <v>4439.2294520548</v>
      </c>
      <c r="AE57" s="47" t="n">
        <f aca="false">F57*INDEX(Régions!$AB$2:$AB$6,MATCH($B57,Régions!$A$2:$A$6,0))</f>
        <v>2408.13359528487</v>
      </c>
      <c r="AF57" s="47" t="n">
        <f aca="false">G57*INDEX(Régions!$AC$2:$AC$6,MATCH($B57,Régions!$A$2:$A$6,0))</f>
        <v>10413.6774679729</v>
      </c>
      <c r="AG57" s="47" t="n">
        <f aca="false">H57*INDEX(Régions!$AD$2:$AD$6,MATCH($B57,Régions!$A$2:$A$6,0))</f>
        <v>15698.5200746965</v>
      </c>
      <c r="AH57" s="47" t="n">
        <f aca="false">I57*INDEX(Régions!$AE$2:$AE$6,MATCH($B57,Régions!$A$2:$A$6,0))</f>
        <v>2259.52830188679</v>
      </c>
      <c r="AI57" s="47" t="n">
        <f aca="false">D57*INDEX(Régions!$AF$2:$AF$6,MATCH($B57,Régions!$A$2:$A$6,0))</f>
        <v>14939.6940903824</v>
      </c>
      <c r="AJ57" s="47" t="n">
        <f aca="false">E57*INDEX(Régions!$AG$2:$AG$6,MATCH($B57,Régions!$A$2:$A$6,0))</f>
        <v>1594.67465753425</v>
      </c>
      <c r="AK57" s="47" t="n">
        <f aca="false">F57*INDEX(Régions!$AH$2:$AH$6,MATCH($B57,Régions!$A$2:$A$6,0))</f>
        <v>699.135559921415</v>
      </c>
      <c r="AL57" s="47" t="n">
        <f aca="false">G57*INDEX(Régions!$AI$2:$AI$6,MATCH($B57,Régions!$A$2:$A$6,0))</f>
        <v>8217.82215523738</v>
      </c>
      <c r="AM57" s="47" t="n">
        <f aca="false">H57*INDEX(Régions!$AJ$2:$AJ$6,MATCH($B57,Régions!$A$2:$A$6,0))</f>
        <v>11603.253968254</v>
      </c>
      <c r="AN57" s="47" t="n">
        <f aca="false">I57*INDEX(Régions!$AK$2:$AK$6,MATCH($B57,Régions!$A$2:$A$6,0))</f>
        <v>0</v>
      </c>
      <c r="AO57" s="49" t="str">
        <f aca="false">INDEX({"CAQ","PLQ","QS","PQ","PCQ","Autre"},MATCH(MAX(Q57:V57),Q57:V57,0))</f>
        <v>CAQ</v>
      </c>
      <c r="AP57" s="49" t="str">
        <f aca="false">INDEX({"CAQ","PLQ","QS","PQ","PCQ","Autre"},MATCH(MAX(W57:AB57),W57:AB57,0))</f>
        <v>CAQ</v>
      </c>
      <c r="AQ57" s="49" t="str">
        <f aca="false">INDEX({"CAQ","PLQ","QS","PQ","PCQ","Autre"},MATCH(MAX(AC57:AH57),AC57:AH57,0))</f>
        <v>CAQ</v>
      </c>
      <c r="AR57" s="49" t="str">
        <f aca="false">INDEX({"CAQ","PLQ","QS","PQ","PCQ","Autre"},MATCH(MAX(AI57:AN57),AI57:AN57,0))</f>
        <v>CAQ</v>
      </c>
      <c r="AS57" s="50" t="n">
        <f aca="false">(MAX(K57:P57)-LARGE(K57:P57,2))*100</f>
        <v>14.4505939524838</v>
      </c>
      <c r="AT57" s="51" t="str">
        <f aca="false">IF(AS57&lt;5,"Oui","Non")</f>
        <v>Non</v>
      </c>
      <c r="AU57" s="52" t="n">
        <v>-10.676</v>
      </c>
      <c r="AV57" s="52" t="n">
        <v>3.969</v>
      </c>
      <c r="AW57" s="52" t="n">
        <v>-0.21</v>
      </c>
      <c r="AX57" s="52" t="n">
        <v>0.541</v>
      </c>
    </row>
    <row r="58" customFormat="false" ht="15" hidden="false" customHeight="true" outlineLevel="0" collapsed="false">
      <c r="A58" s="35" t="s">
        <v>129</v>
      </c>
      <c r="B58" s="35" t="s">
        <v>80</v>
      </c>
      <c r="C58" s="36" t="s">
        <v>4</v>
      </c>
      <c r="D58" s="37" t="n">
        <v>10272</v>
      </c>
      <c r="E58" s="37" t="n">
        <v>12688</v>
      </c>
      <c r="F58" s="37" t="n">
        <v>3301</v>
      </c>
      <c r="G58" s="37" t="n">
        <v>2577</v>
      </c>
      <c r="H58" s="37" t="n">
        <v>3716</v>
      </c>
      <c r="I58" s="37" t="n">
        <v>396</v>
      </c>
      <c r="J58" s="38" t="n">
        <f aca="false">SUM(D58:I58)</f>
        <v>32950</v>
      </c>
      <c r="K58" s="39" t="n">
        <f aca="false">IFERROR(D58/J58,0)</f>
        <v>0.311745068285281</v>
      </c>
      <c r="L58" s="39" t="n">
        <f aca="false">IFERROR(E58/J58,0)</f>
        <v>0.385068285280728</v>
      </c>
      <c r="M58" s="39" t="n">
        <f aca="false">IFERROR(F58/J58,0)</f>
        <v>0.100182094081942</v>
      </c>
      <c r="N58" s="39" t="n">
        <f aca="false">IFERROR(G58/J58,0)</f>
        <v>0.0782094081942337</v>
      </c>
      <c r="O58" s="39" t="n">
        <f aca="false">IFERROR(H58/J58,0)</f>
        <v>0.112776934749621</v>
      </c>
      <c r="P58" s="39" t="n">
        <f aca="false">IFERROR(I58/J58,0)</f>
        <v>0.0120182094081942</v>
      </c>
      <c r="Q58" s="38" t="n">
        <f aca="false">D58*INDEX(Régions!$T$2:$T$6,MATCH($B58,Régions!$A$2:$A$6,0))</f>
        <v>7260.96752816435</v>
      </c>
      <c r="R58" s="38" t="n">
        <f aca="false">E58*INDEX(Régions!$U$2:$U$6,MATCH($B58,Régions!$A$2:$A$6,0))</f>
        <v>16208.9425124202</v>
      </c>
      <c r="S58" s="38" t="n">
        <f aca="false">F58*INDEX(Régions!$V$2:$V$6,MATCH($B58,Régions!$A$2:$A$6,0))</f>
        <v>1664.76945244957</v>
      </c>
      <c r="T58" s="38" t="n">
        <f aca="false">G58*INDEX(Régions!$W$2:$W$6,MATCH($B58,Régions!$A$2:$A$6,0))</f>
        <v>5072.83464566929</v>
      </c>
      <c r="U58" s="38" t="n">
        <f aca="false">H58*INDEX(Régions!$X$2:$X$6,MATCH($B58,Régions!$A$2:$A$6,0))</f>
        <v>4337.74319066148</v>
      </c>
      <c r="V58" s="38" t="n">
        <f aca="false">I58*INDEX(Régions!$Y$2:$Y$6,MATCH($B58,Régions!$A$2:$A$6,0))</f>
        <v>319.354838709677</v>
      </c>
      <c r="W58" s="38" t="n">
        <f aca="false">Q58+(AU58/100)*J58*Régions!$O$2</f>
        <v>7124.22502816435</v>
      </c>
      <c r="X58" s="38" t="n">
        <f aca="false">R58+(AV58/100)*J58*Régions!$O$2</f>
        <v>15933.6452624202</v>
      </c>
      <c r="Y58" s="38" t="n">
        <f aca="false">S58+(AW58/100)*J58*Régions!$O$2</f>
        <v>1777.45845244957</v>
      </c>
      <c r="Z58" s="38" t="n">
        <f aca="false">T58+(AX58/100)*J58*Régions!$O$2</f>
        <v>5394.92089566929</v>
      </c>
      <c r="AA58" s="38" t="n">
        <f aca="false">U58</f>
        <v>4337.74319066148</v>
      </c>
      <c r="AB58" s="38" t="n">
        <f aca="false">V58</f>
        <v>319.354838709677</v>
      </c>
      <c r="AC58" s="38" t="n">
        <f aca="false">D58*INDEX(Régions!$Z$2:$Z$6,MATCH($B58,Régions!$A$2:$A$6,0))</f>
        <v>8009.7548045063</v>
      </c>
      <c r="AD58" s="38" t="n">
        <f aca="false">E58*INDEX(Régions!$AA$2:$AA$6,MATCH($B58,Régions!$A$2:$A$6,0))</f>
        <v>19180.5819730305</v>
      </c>
      <c r="AE58" s="38" t="n">
        <f aca="false">F58*INDEX(Régions!$AB$2:$AB$6,MATCH($B58,Régions!$A$2:$A$6,0))</f>
        <v>2449.58933717579</v>
      </c>
      <c r="AF58" s="38" t="n">
        <f aca="false">G58*INDEX(Régions!$AC$2:$AC$6,MATCH($B58,Régions!$A$2:$A$6,0))</f>
        <v>5630.84645669291</v>
      </c>
      <c r="AG58" s="38" t="n">
        <f aca="false">H58*INDEX(Régions!$AD$2:$AD$6,MATCH($B58,Régions!$A$2:$A$6,0))</f>
        <v>5530.62256809339</v>
      </c>
      <c r="AH58" s="38" t="n">
        <f aca="false">I58*INDEX(Régions!$AE$2:$AE$6,MATCH($B58,Régions!$A$2:$A$6,0))</f>
        <v>1373.22580645161</v>
      </c>
      <c r="AI58" s="38" t="n">
        <f aca="false">D58*INDEX(Régions!$AF$2:$AF$6,MATCH($B58,Régions!$A$2:$A$6,0))</f>
        <v>6512.1802518224</v>
      </c>
      <c r="AJ58" s="38" t="n">
        <f aca="false">E58*INDEX(Régions!$AG$2:$AG$6,MATCH($B58,Régions!$A$2:$A$6,0))</f>
        <v>13237.3030518098</v>
      </c>
      <c r="AK58" s="38" t="n">
        <f aca="false">F58*INDEX(Régions!$AH$2:$AH$6,MATCH($B58,Régions!$A$2:$A$6,0))</f>
        <v>879.949567723343</v>
      </c>
      <c r="AL58" s="38" t="n">
        <f aca="false">G58*INDEX(Régions!$AI$2:$AI$6,MATCH($B58,Régions!$A$2:$A$6,0))</f>
        <v>4514.82283464567</v>
      </c>
      <c r="AM58" s="38" t="n">
        <f aca="false">H58*INDEX(Régions!$AJ$2:$AJ$6,MATCH($B58,Régions!$A$2:$A$6,0))</f>
        <v>3144.86381322957</v>
      </c>
      <c r="AN58" s="38" t="n">
        <f aca="false">I58*INDEX(Régions!$AK$2:$AK$6,MATCH($B58,Régions!$A$2:$A$6,0))</f>
        <v>0</v>
      </c>
      <c r="AO58" s="40" t="str">
        <f aca="false">INDEX({"CAQ","PLQ","QS","PQ","PCQ","Autre"},MATCH(MAX(Q58:V58),Q58:V58,0))</f>
        <v>PLQ</v>
      </c>
      <c r="AP58" s="40" t="str">
        <f aca="false">INDEX({"CAQ","PLQ","QS","PQ","PCQ","Autre"},MATCH(MAX(W58:AB58),W58:AB58,0))</f>
        <v>PLQ</v>
      </c>
      <c r="AQ58" s="40" t="str">
        <f aca="false">INDEX({"CAQ","PLQ","QS","PQ","PCQ","Autre"},MATCH(MAX(AC58:AH58),AC58:AH58,0))</f>
        <v>PLQ</v>
      </c>
      <c r="AR58" s="40" t="str">
        <f aca="false">INDEX({"CAQ","PLQ","QS","PQ","PCQ","Autre"},MATCH(MAX(AI58:AN58),AI58:AN58,0))</f>
        <v>PLQ</v>
      </c>
      <c r="AS58" s="41" t="n">
        <f aca="false">(MAX(K58:P58)-LARGE(K58:P58,2))*100</f>
        <v>7.33232169954477</v>
      </c>
      <c r="AT58" s="42" t="str">
        <f aca="false">IF(AS58&lt;5,"Oui","Non")</f>
        <v>Non</v>
      </c>
      <c r="AU58" s="43" t="n">
        <v>-0.83</v>
      </c>
      <c r="AV58" s="43" t="n">
        <v>-1.671</v>
      </c>
      <c r="AW58" s="43" t="n">
        <v>0.684</v>
      </c>
      <c r="AX58" s="43" t="n">
        <v>1.955</v>
      </c>
    </row>
    <row r="59" customFormat="false" ht="15" hidden="false" customHeight="true" outlineLevel="0" collapsed="false">
      <c r="A59" s="44" t="s">
        <v>130</v>
      </c>
      <c r="B59" s="44" t="s">
        <v>80</v>
      </c>
      <c r="C59" s="45" t="s">
        <v>3</v>
      </c>
      <c r="D59" s="46" t="n">
        <v>10361</v>
      </c>
      <c r="E59" s="46" t="n">
        <v>9707</v>
      </c>
      <c r="F59" s="46" t="n">
        <v>5968</v>
      </c>
      <c r="G59" s="46" t="n">
        <v>4108</v>
      </c>
      <c r="H59" s="46" t="n">
        <v>2933</v>
      </c>
      <c r="I59" s="46" t="n">
        <v>610</v>
      </c>
      <c r="J59" s="47" t="n">
        <f aca="false">SUM(D59:I59)</f>
        <v>33687</v>
      </c>
      <c r="K59" s="48" t="n">
        <f aca="false">IFERROR(D59/J59,0)</f>
        <v>0.307566717131238</v>
      </c>
      <c r="L59" s="48" t="n">
        <f aca="false">IFERROR(E59/J59,0)</f>
        <v>0.288152699854543</v>
      </c>
      <c r="M59" s="48" t="n">
        <f aca="false">IFERROR(F59/J59,0)</f>
        <v>0.177160328910262</v>
      </c>
      <c r="N59" s="48" t="n">
        <f aca="false">IFERROR(G59/J59,0)</f>
        <v>0.121946151334343</v>
      </c>
      <c r="O59" s="48" t="n">
        <f aca="false">IFERROR(H59/J59,0)</f>
        <v>0.0870662273280494</v>
      </c>
      <c r="P59" s="48" t="n">
        <f aca="false">IFERROR(I59/J59,0)</f>
        <v>0.018107875441565</v>
      </c>
      <c r="Q59" s="47" t="n">
        <f aca="false">D59*INDEX(Régions!$T$2:$T$6,MATCH($B59,Régions!$A$2:$A$6,0))</f>
        <v>7323.87894853104</v>
      </c>
      <c r="R59" s="47" t="n">
        <f aca="false">E59*INDEX(Régions!$U$2:$U$6,MATCH($B59,Régions!$A$2:$A$6,0))</f>
        <v>12400.7097232079</v>
      </c>
      <c r="S59" s="47" t="n">
        <f aca="false">F59*INDEX(Régions!$V$2:$V$6,MATCH($B59,Régions!$A$2:$A$6,0))</f>
        <v>3009.79827089337</v>
      </c>
      <c r="T59" s="47" t="n">
        <f aca="false">G59*INDEX(Régions!$W$2:$W$6,MATCH($B59,Régions!$A$2:$A$6,0))</f>
        <v>8086.61417322835</v>
      </c>
      <c r="U59" s="47" t="n">
        <f aca="false">H59*INDEX(Régions!$X$2:$X$6,MATCH($B59,Régions!$A$2:$A$6,0))</f>
        <v>3423.73540856031</v>
      </c>
      <c r="V59" s="47" t="n">
        <f aca="false">I59*INDEX(Régions!$Y$2:$Y$6,MATCH($B59,Régions!$A$2:$A$6,0))</f>
        <v>491.935483870968</v>
      </c>
      <c r="W59" s="47" t="n">
        <f aca="false">Q59+(AU59/100)*J59*Régions!$O$2</f>
        <v>7159.82325853104</v>
      </c>
      <c r="X59" s="47" t="n">
        <f aca="false">R59+(AV59/100)*J59*Régions!$O$2</f>
        <v>12416.205743208</v>
      </c>
      <c r="Y59" s="47" t="n">
        <f aca="false">S59+(AW59/100)*J59*Régions!$O$2</f>
        <v>3232.63777589337</v>
      </c>
      <c r="Z59" s="47" t="n">
        <f aca="false">T59+(AX59/100)*J59*Régions!$O$2</f>
        <v>8421.46295322835</v>
      </c>
      <c r="AA59" s="47" t="n">
        <f aca="false">U59</f>
        <v>3423.73540856031</v>
      </c>
      <c r="AB59" s="47" t="n">
        <f aca="false">V59</f>
        <v>491.935483870968</v>
      </c>
      <c r="AC59" s="47" t="n">
        <f aca="false">D59*INDEX(Régions!$Z$2:$Z$6,MATCH($B59,Régions!$A$2:$A$6,0))</f>
        <v>8079.1539650983</v>
      </c>
      <c r="AD59" s="47" t="n">
        <f aca="false">E59*INDEX(Régions!$AA$2:$AA$6,MATCH($B59,Régions!$A$2:$A$6,0))</f>
        <v>14674.1731724627</v>
      </c>
      <c r="AE59" s="47" t="n">
        <f aca="false">F59*INDEX(Régions!$AB$2:$AB$6,MATCH($B59,Régions!$A$2:$A$6,0))</f>
        <v>4428.70317002882</v>
      </c>
      <c r="AF59" s="47" t="n">
        <f aca="false">G59*INDEX(Régions!$AC$2:$AC$6,MATCH($B59,Régions!$A$2:$A$6,0))</f>
        <v>8976.14173228346</v>
      </c>
      <c r="AG59" s="47" t="n">
        <f aca="false">H59*INDEX(Régions!$AD$2:$AD$6,MATCH($B59,Régions!$A$2:$A$6,0))</f>
        <v>4365.2626459144</v>
      </c>
      <c r="AH59" s="47" t="n">
        <f aca="false">I59*INDEX(Régions!$AE$2:$AE$6,MATCH($B59,Régions!$A$2:$A$6,0))</f>
        <v>2115.32258064516</v>
      </c>
      <c r="AI59" s="47" t="n">
        <f aca="false">D59*INDEX(Régions!$AF$2:$AF$6,MATCH($B59,Régions!$A$2:$A$6,0))</f>
        <v>6568.60393196377</v>
      </c>
      <c r="AJ59" s="47" t="n">
        <f aca="false">E59*INDEX(Régions!$AG$2:$AG$6,MATCH($B59,Régions!$A$2:$A$6,0))</f>
        <v>10127.2462739532</v>
      </c>
      <c r="AK59" s="47" t="n">
        <f aca="false">F59*INDEX(Régions!$AH$2:$AH$6,MATCH($B59,Régions!$A$2:$A$6,0))</f>
        <v>1590.89337175793</v>
      </c>
      <c r="AL59" s="47" t="n">
        <f aca="false">G59*INDEX(Régions!$AI$2:$AI$6,MATCH($B59,Régions!$A$2:$A$6,0))</f>
        <v>7197.08661417323</v>
      </c>
      <c r="AM59" s="47" t="n">
        <f aca="false">H59*INDEX(Régions!$AJ$2:$AJ$6,MATCH($B59,Régions!$A$2:$A$6,0))</f>
        <v>2482.20817120623</v>
      </c>
      <c r="AN59" s="47" t="n">
        <f aca="false">I59*INDEX(Régions!$AK$2:$AK$6,MATCH($B59,Régions!$A$2:$A$6,0))</f>
        <v>0</v>
      </c>
      <c r="AO59" s="49" t="str">
        <f aca="false">INDEX({"CAQ","PLQ","QS","PQ","PCQ","Autre"},MATCH(MAX(Q59:V59),Q59:V59,0))</f>
        <v>PLQ</v>
      </c>
      <c r="AP59" s="49" t="str">
        <f aca="false">INDEX({"CAQ","PLQ","QS","PQ","PCQ","Autre"},MATCH(MAX(W59:AB59),W59:AB59,0))</f>
        <v>PLQ</v>
      </c>
      <c r="AQ59" s="49" t="str">
        <f aca="false">INDEX({"CAQ","PLQ","QS","PQ","PCQ","Autre"},MATCH(MAX(AC59:AH59),AC59:AH59,0))</f>
        <v>PLQ</v>
      </c>
      <c r="AR59" s="49" t="str">
        <f aca="false">INDEX({"CAQ","PLQ","QS","PQ","PCQ","Autre"},MATCH(MAX(AI59:AN59),AI59:AN59,0))</f>
        <v>PLQ</v>
      </c>
      <c r="AS59" s="50" t="n">
        <f aca="false">(MAX(K59:P59)-LARGE(K59:P59,2))*100</f>
        <v>1.94140172766943</v>
      </c>
      <c r="AT59" s="51" t="str">
        <f aca="false">IF(AS59&lt;5,"Oui","Non")</f>
        <v>Oui</v>
      </c>
      <c r="AU59" s="52" t="n">
        <v>-0.974</v>
      </c>
      <c r="AV59" s="52" t="n">
        <v>0.092</v>
      </c>
      <c r="AW59" s="52" t="n">
        <v>1.323</v>
      </c>
      <c r="AX59" s="52" t="n">
        <v>1.988</v>
      </c>
    </row>
    <row r="60" customFormat="false" ht="15" hidden="false" customHeight="true" outlineLevel="0" collapsed="false">
      <c r="A60" s="35" t="s">
        <v>131</v>
      </c>
      <c r="B60" s="35" t="s">
        <v>80</v>
      </c>
      <c r="C60" s="36" t="s">
        <v>3</v>
      </c>
      <c r="D60" s="37" t="n">
        <v>18229</v>
      </c>
      <c r="E60" s="37" t="n">
        <v>4791</v>
      </c>
      <c r="F60" s="37" t="n">
        <v>4531</v>
      </c>
      <c r="G60" s="37" t="n">
        <v>3950</v>
      </c>
      <c r="H60" s="37" t="n">
        <v>2751</v>
      </c>
      <c r="I60" s="37" t="n">
        <v>331</v>
      </c>
      <c r="J60" s="38" t="n">
        <f aca="false">SUM(D60:I60)</f>
        <v>34583</v>
      </c>
      <c r="K60" s="39" t="n">
        <f aca="false">IFERROR(D60/J60,0)</f>
        <v>0.527108695023567</v>
      </c>
      <c r="L60" s="39" t="n">
        <f aca="false">IFERROR(E60/J60,0)</f>
        <v>0.138536275048434</v>
      </c>
      <c r="M60" s="39" t="n">
        <f aca="false">IFERROR(F60/J60,0)</f>
        <v>0.131018130295232</v>
      </c>
      <c r="N60" s="39" t="n">
        <f aca="false">IFERROR(G60/J60,0)</f>
        <v>0.11421796836596</v>
      </c>
      <c r="O60" s="39" t="n">
        <f aca="false">IFERROR(H60/J60,0)</f>
        <v>0.0795477546771535</v>
      </c>
      <c r="P60" s="39" t="n">
        <f aca="false">IFERROR(I60/J60,0)</f>
        <v>0.00957117658965388</v>
      </c>
      <c r="Q60" s="38" t="n">
        <f aca="false">D60*INDEX(Régions!$T$2:$T$6,MATCH($B60,Régions!$A$2:$A$6,0))</f>
        <v>12885.531256903</v>
      </c>
      <c r="R60" s="38" t="n">
        <f aca="false">E60*INDEX(Régions!$U$2:$U$6,MATCH($B60,Régions!$A$2:$A$6,0))</f>
        <v>6120.51100070972</v>
      </c>
      <c r="S60" s="38" t="n">
        <f aca="false">F60*INDEX(Régions!$V$2:$V$6,MATCH($B60,Régions!$A$2:$A$6,0))</f>
        <v>2285.08645533141</v>
      </c>
      <c r="T60" s="38" t="n">
        <f aca="false">G60*INDEX(Régions!$W$2:$W$6,MATCH($B60,Régions!$A$2:$A$6,0))</f>
        <v>7775.5905511811</v>
      </c>
      <c r="U60" s="38" t="n">
        <f aca="false">H60*INDEX(Régions!$X$2:$X$6,MATCH($B60,Régions!$A$2:$A$6,0))</f>
        <v>3211.28404669261</v>
      </c>
      <c r="V60" s="38" t="n">
        <f aca="false">I60*INDEX(Régions!$Y$2:$Y$6,MATCH($B60,Régions!$A$2:$A$6,0))</f>
        <v>266.935483870968</v>
      </c>
      <c r="W60" s="38" t="n">
        <f aca="false">Q60+(AU60/100)*J60*Régions!$O$2</f>
        <v>13991.322681903</v>
      </c>
      <c r="X60" s="38" t="n">
        <f aca="false">R60+(AV60/100)*J60*Régions!$O$2</f>
        <v>5559.05599570972</v>
      </c>
      <c r="Y60" s="38" t="n">
        <f aca="false">S60+(AW60/100)*J60*Régions!$O$2</f>
        <v>2429.47048033141</v>
      </c>
      <c r="Z60" s="38" t="n">
        <f aca="false">T60+(AX60/100)*J60*Régions!$O$2</f>
        <v>7552.8760311811</v>
      </c>
      <c r="AA60" s="38" t="n">
        <f aca="false">U60</f>
        <v>3211.28404669261</v>
      </c>
      <c r="AB60" s="38" t="n">
        <f aca="false">V60</f>
        <v>266.935483870968</v>
      </c>
      <c r="AC60" s="38" t="n">
        <f aca="false">D60*INDEX(Régions!$Z$2:$Z$6,MATCH($B60,Régions!$A$2:$A$6,0))</f>
        <v>14214.3516677711</v>
      </c>
      <c r="AD60" s="38" t="n">
        <f aca="false">E60*INDEX(Régions!$AA$2:$AA$6,MATCH($B60,Régions!$A$2:$A$6,0))</f>
        <v>7242.60468417317</v>
      </c>
      <c r="AE60" s="38" t="n">
        <f aca="false">F60*INDEX(Régions!$AB$2:$AB$6,MATCH($B60,Régions!$A$2:$A$6,0))</f>
        <v>3362.34149855908</v>
      </c>
      <c r="AF60" s="38" t="n">
        <f aca="false">G60*INDEX(Régions!$AC$2:$AC$6,MATCH($B60,Régions!$A$2:$A$6,0))</f>
        <v>8630.90551181102</v>
      </c>
      <c r="AG60" s="38" t="n">
        <f aca="false">H60*INDEX(Régions!$AD$2:$AD$6,MATCH($B60,Régions!$A$2:$A$6,0))</f>
        <v>4094.38715953307</v>
      </c>
      <c r="AH60" s="38" t="n">
        <f aca="false">I60*INDEX(Régions!$AE$2:$AE$6,MATCH($B60,Régions!$A$2:$A$6,0))</f>
        <v>1147.82258064516</v>
      </c>
      <c r="AI60" s="38" t="n">
        <f aca="false">D60*INDEX(Régions!$AF$2:$AF$6,MATCH($B60,Régions!$A$2:$A$6,0))</f>
        <v>11556.7108460349</v>
      </c>
      <c r="AJ60" s="38" t="n">
        <f aca="false">E60*INDEX(Régions!$AG$2:$AG$6,MATCH($B60,Régions!$A$2:$A$6,0))</f>
        <v>4998.41731724627</v>
      </c>
      <c r="AK60" s="38" t="n">
        <f aca="false">F60*INDEX(Régions!$AH$2:$AH$6,MATCH($B60,Régions!$A$2:$A$6,0))</f>
        <v>1207.83141210375</v>
      </c>
      <c r="AL60" s="38" t="n">
        <f aca="false">G60*INDEX(Régions!$AI$2:$AI$6,MATCH($B60,Régions!$A$2:$A$6,0))</f>
        <v>6920.27559055118</v>
      </c>
      <c r="AM60" s="38" t="n">
        <f aca="false">H60*INDEX(Régions!$AJ$2:$AJ$6,MATCH($B60,Régions!$A$2:$A$6,0))</f>
        <v>2328.18093385214</v>
      </c>
      <c r="AN60" s="38" t="n">
        <f aca="false">I60*INDEX(Régions!$AK$2:$AK$6,MATCH($B60,Régions!$A$2:$A$6,0))</f>
        <v>0</v>
      </c>
      <c r="AO60" s="40" t="str">
        <f aca="false">INDEX({"CAQ","PLQ","QS","PQ","PCQ","Autre"},MATCH(MAX(Q60:V60),Q60:V60,0))</f>
        <v>CAQ</v>
      </c>
      <c r="AP60" s="40" t="str">
        <f aca="false">INDEX({"CAQ","PLQ","QS","PQ","PCQ","Autre"},MATCH(MAX(W60:AB60),W60:AB60,0))</f>
        <v>CAQ</v>
      </c>
      <c r="AQ60" s="40" t="str">
        <f aca="false">INDEX({"CAQ","PLQ","QS","PQ","PCQ","Autre"},MATCH(MAX(AC60:AH60),AC60:AH60,0))</f>
        <v>CAQ</v>
      </c>
      <c r="AR60" s="40" t="str">
        <f aca="false">INDEX({"CAQ","PLQ","QS","PQ","PCQ","Autre"},MATCH(MAX(AI60:AN60),AI60:AN60,0))</f>
        <v>CAQ</v>
      </c>
      <c r="AS60" s="41" t="n">
        <f aca="false">(MAX(K60:P60)-LARGE(K60:P60,2))*100</f>
        <v>38.8572419975132</v>
      </c>
      <c r="AT60" s="42" t="str">
        <f aca="false">IF(AS60&lt;5,"Oui","Non")</f>
        <v>Non</v>
      </c>
      <c r="AU60" s="43" t="n">
        <v>6.395</v>
      </c>
      <c r="AV60" s="43" t="n">
        <v>-3.247</v>
      </c>
      <c r="AW60" s="43" t="n">
        <v>0.835</v>
      </c>
      <c r="AX60" s="43" t="n">
        <v>-1.288</v>
      </c>
    </row>
    <row r="61" customFormat="false" ht="15" hidden="false" customHeight="true" outlineLevel="0" collapsed="false">
      <c r="A61" s="44" t="s">
        <v>132</v>
      </c>
      <c r="B61" s="44" t="s">
        <v>80</v>
      </c>
      <c r="C61" s="45" t="s">
        <v>3</v>
      </c>
      <c r="D61" s="46" t="n">
        <v>18637</v>
      </c>
      <c r="E61" s="46" t="n">
        <v>1806</v>
      </c>
      <c r="F61" s="46" t="n">
        <v>4553</v>
      </c>
      <c r="G61" s="46" t="n">
        <v>4370</v>
      </c>
      <c r="H61" s="46" t="n">
        <v>2424</v>
      </c>
      <c r="I61" s="46" t="n">
        <v>0</v>
      </c>
      <c r="J61" s="47" t="n">
        <f aca="false">SUM(D61:I61)</f>
        <v>31790</v>
      </c>
      <c r="K61" s="48" t="n">
        <f aca="false">IFERROR(D61/J61,0)</f>
        <v>0.586253538848695</v>
      </c>
      <c r="L61" s="48" t="n">
        <f aca="false">IFERROR(E61/J61,0)</f>
        <v>0.0568103177099717</v>
      </c>
      <c r="M61" s="48" t="n">
        <f aca="false">IFERROR(F61/J61,0)</f>
        <v>0.143221138722869</v>
      </c>
      <c r="N61" s="48" t="n">
        <f aca="false">IFERROR(G61/J61,0)</f>
        <v>0.137464611513054</v>
      </c>
      <c r="O61" s="48" t="n">
        <f aca="false">IFERROR(H61/J61,0)</f>
        <v>0.0762503932054105</v>
      </c>
      <c r="P61" s="48" t="n">
        <f aca="false">IFERROR(I61/J61,0)</f>
        <v>0</v>
      </c>
      <c r="Q61" s="47" t="n">
        <f aca="false">D61*INDEX(Régions!$T$2:$T$6,MATCH($B61,Régions!$A$2:$A$6,0))</f>
        <v>13173.9341727413</v>
      </c>
      <c r="R61" s="47" t="n">
        <f aca="false">E61*INDEX(Régions!$U$2:$U$6,MATCH($B61,Régions!$A$2:$A$6,0))</f>
        <v>2307.16820440028</v>
      </c>
      <c r="S61" s="47" t="n">
        <f aca="false">F61*INDEX(Régions!$V$2:$V$6,MATCH($B61,Régions!$A$2:$A$6,0))</f>
        <v>2296.18155619597</v>
      </c>
      <c r="T61" s="47" t="n">
        <f aca="false">G61*INDEX(Régions!$W$2:$W$6,MATCH($B61,Régions!$A$2:$A$6,0))</f>
        <v>8602.36220472441</v>
      </c>
      <c r="U61" s="47" t="n">
        <f aca="false">H61*INDEX(Régions!$X$2:$X$6,MATCH($B61,Régions!$A$2:$A$6,0))</f>
        <v>2829.5719844358</v>
      </c>
      <c r="V61" s="47" t="n">
        <f aca="false">I61*INDEX(Régions!$Y$2:$Y$6,MATCH($B61,Régions!$A$2:$A$6,0))</f>
        <v>0</v>
      </c>
      <c r="W61" s="47" t="n">
        <f aca="false">Q61+(AU61/100)*J61*Régions!$O$2</f>
        <v>12923.5879227413</v>
      </c>
      <c r="X61" s="47" t="n">
        <f aca="false">R61+(AV61/100)*J61*Régions!$O$2</f>
        <v>3033.88760440028</v>
      </c>
      <c r="Y61" s="47" t="n">
        <f aca="false">S61+(AW61/100)*J61*Régions!$O$2</f>
        <v>1987.81855619597</v>
      </c>
      <c r="Z61" s="47" t="n">
        <f aca="false">T61+(AX61/100)*J61*Régions!$O$2</f>
        <v>8968.26510472441</v>
      </c>
      <c r="AA61" s="47" t="n">
        <f aca="false">U61</f>
        <v>2829.5719844358</v>
      </c>
      <c r="AB61" s="47" t="n">
        <f aca="false">V61</f>
        <v>0</v>
      </c>
      <c r="AC61" s="47" t="n">
        <f aca="false">D61*INDEX(Régions!$Z$2:$Z$6,MATCH($B61,Régions!$A$2:$A$6,0))</f>
        <v>14532.4961343053</v>
      </c>
      <c r="AD61" s="47" t="n">
        <f aca="false">E61*INDEX(Régions!$AA$2:$AA$6,MATCH($B61,Régions!$A$2:$A$6,0))</f>
        <v>2730.14904187367</v>
      </c>
      <c r="AE61" s="47" t="n">
        <f aca="false">F61*INDEX(Régions!$AB$2:$AB$6,MATCH($B61,Régions!$A$2:$A$6,0))</f>
        <v>3378.66714697406</v>
      </c>
      <c r="AF61" s="47" t="n">
        <f aca="false">G61*INDEX(Régions!$AC$2:$AC$6,MATCH($B61,Régions!$A$2:$A$6,0))</f>
        <v>9548.62204724409</v>
      </c>
      <c r="AG61" s="47" t="n">
        <f aca="false">H61*INDEX(Régions!$AD$2:$AD$6,MATCH($B61,Régions!$A$2:$A$6,0))</f>
        <v>3607.70428015564</v>
      </c>
      <c r="AH61" s="47" t="n">
        <f aca="false">I61*INDEX(Régions!$AE$2:$AE$6,MATCH($B61,Régions!$A$2:$A$6,0))</f>
        <v>0</v>
      </c>
      <c r="AI61" s="47" t="n">
        <f aca="false">D61*INDEX(Régions!$AF$2:$AF$6,MATCH($B61,Régions!$A$2:$A$6,0))</f>
        <v>11815.3722111774</v>
      </c>
      <c r="AJ61" s="47" t="n">
        <f aca="false">E61*INDEX(Régions!$AG$2:$AG$6,MATCH($B61,Régions!$A$2:$A$6,0))</f>
        <v>1884.1873669269</v>
      </c>
      <c r="AK61" s="47" t="n">
        <f aca="false">F61*INDEX(Régions!$AH$2:$AH$6,MATCH($B61,Régions!$A$2:$A$6,0))</f>
        <v>1213.69596541787</v>
      </c>
      <c r="AL61" s="47" t="n">
        <f aca="false">G61*INDEX(Régions!$AI$2:$AI$6,MATCH($B61,Régions!$A$2:$A$6,0))</f>
        <v>7656.10236220472</v>
      </c>
      <c r="AM61" s="47" t="n">
        <f aca="false">H61*INDEX(Régions!$AJ$2:$AJ$6,MATCH($B61,Régions!$A$2:$A$6,0))</f>
        <v>2051.43968871595</v>
      </c>
      <c r="AN61" s="47" t="n">
        <f aca="false">I61*INDEX(Régions!$AK$2:$AK$6,MATCH($B61,Régions!$A$2:$A$6,0))</f>
        <v>0</v>
      </c>
      <c r="AO61" s="49" t="str">
        <f aca="false">INDEX({"CAQ","PLQ","QS","PQ","PCQ","Autre"},MATCH(MAX(Q61:V61),Q61:V61,0))</f>
        <v>CAQ</v>
      </c>
      <c r="AP61" s="49" t="str">
        <f aca="false">INDEX({"CAQ","PLQ","QS","PQ","PCQ","Autre"},MATCH(MAX(W61:AB61),W61:AB61,0))</f>
        <v>CAQ</v>
      </c>
      <c r="AQ61" s="49" t="str">
        <f aca="false">INDEX({"CAQ","PLQ","QS","PQ","PCQ","Autre"},MATCH(MAX(AC61:AH61),AC61:AH61,0))</f>
        <v>CAQ</v>
      </c>
      <c r="AR61" s="49" t="str">
        <f aca="false">INDEX({"CAQ","PLQ","QS","PQ","PCQ","Autre"},MATCH(MAX(AI61:AN61),AI61:AN61,0))</f>
        <v>CAQ</v>
      </c>
      <c r="AS61" s="50" t="n">
        <f aca="false">(MAX(K61:P61)-LARGE(K61:P61,2))*100</f>
        <v>44.3032400125826</v>
      </c>
      <c r="AT61" s="51" t="str">
        <f aca="false">IF(AS61&lt;5,"Oui","Non")</f>
        <v>Non</v>
      </c>
      <c r="AU61" s="52" t="n">
        <v>-1.575</v>
      </c>
      <c r="AV61" s="52" t="n">
        <v>4.572</v>
      </c>
      <c r="AW61" s="52" t="n">
        <v>-1.94</v>
      </c>
      <c r="AX61" s="52" t="n">
        <v>2.302</v>
      </c>
    </row>
    <row r="62" customFormat="false" ht="15" hidden="false" customHeight="true" outlineLevel="0" collapsed="false">
      <c r="A62" s="35" t="s">
        <v>133</v>
      </c>
      <c r="B62" s="35" t="s">
        <v>73</v>
      </c>
      <c r="C62" s="36" t="s">
        <v>5</v>
      </c>
      <c r="D62" s="37" t="n">
        <v>3203</v>
      </c>
      <c r="E62" s="37" t="n">
        <v>5344</v>
      </c>
      <c r="F62" s="37" t="n">
        <v>13323</v>
      </c>
      <c r="G62" s="37" t="n">
        <v>2800</v>
      </c>
      <c r="H62" s="37" t="n">
        <v>1512</v>
      </c>
      <c r="I62" s="37" t="n">
        <v>1121</v>
      </c>
      <c r="J62" s="38" t="n">
        <f aca="false">SUM(D62:I62)</f>
        <v>27303</v>
      </c>
      <c r="K62" s="39" t="n">
        <f aca="false">IFERROR(D62/J62,0)</f>
        <v>0.117313115774823</v>
      </c>
      <c r="L62" s="39" t="n">
        <f aca="false">IFERROR(E62/J62,0)</f>
        <v>0.195729407024869</v>
      </c>
      <c r="M62" s="39" t="n">
        <f aca="false">IFERROR(F62/J62,0)</f>
        <v>0.48796835512581</v>
      </c>
      <c r="N62" s="39" t="n">
        <f aca="false">IFERROR(G62/J62,0)</f>
        <v>0.102552833022012</v>
      </c>
      <c r="O62" s="39" t="n">
        <f aca="false">IFERROR(H62/J62,0)</f>
        <v>0.0553785298318866</v>
      </c>
      <c r="P62" s="39" t="n">
        <f aca="false">IFERROR(I62/J62,0)</f>
        <v>0.0410577592205985</v>
      </c>
      <c r="Q62" s="38" t="n">
        <f aca="false">D62*INDEX(Régions!$T$2:$T$6,MATCH($B62,Régions!$A$2:$A$6,0))</f>
        <v>2401.04947526237</v>
      </c>
      <c r="R62" s="38" t="n">
        <f aca="false">E62*INDEX(Régions!$U$2:$U$6,MATCH($B62,Régions!$A$2:$A$6,0))</f>
        <v>5334.58602466236</v>
      </c>
      <c r="S62" s="38" t="n">
        <f aca="false">F62*INDEX(Régions!$V$2:$V$6,MATCH($B62,Régions!$A$2:$A$6,0))</f>
        <v>10225.3273137698</v>
      </c>
      <c r="T62" s="38" t="n">
        <f aca="false">G62*INDEX(Régions!$W$2:$W$6,MATCH($B62,Régions!$A$2:$A$6,0))</f>
        <v>6298.03186504218</v>
      </c>
      <c r="U62" s="38" t="n">
        <f aca="false">H62*INDEX(Régions!$X$2:$X$6,MATCH($B62,Régions!$A$2:$A$6,0))</f>
        <v>1213.23971915747</v>
      </c>
      <c r="V62" s="38" t="n">
        <f aca="false">I62*INDEX(Régions!$Y$2:$Y$6,MATCH($B62,Régions!$A$2:$A$6,0))</f>
        <v>716.29392971246</v>
      </c>
      <c r="W62" s="38" t="n">
        <f aca="false">Q62+(AU62/100)*J62*Régions!$O$2</f>
        <v>2505.75648026237</v>
      </c>
      <c r="X62" s="38" t="n">
        <f aca="false">R62+(AV62/100)*J62*Régions!$O$2</f>
        <v>5113.43172466236</v>
      </c>
      <c r="Y62" s="38" t="n">
        <f aca="false">S62+(AW62/100)*J62*Régions!$O$2</f>
        <v>10369.6236687698</v>
      </c>
      <c r="Z62" s="38" t="n">
        <f aca="false">T62+(AX62/100)*J62*Régions!$O$2</f>
        <v>6804.77554504218</v>
      </c>
      <c r="AA62" s="38" t="n">
        <f aca="false">U62</f>
        <v>1213.23971915747</v>
      </c>
      <c r="AB62" s="38" t="n">
        <f aca="false">V62</f>
        <v>716.29392971246</v>
      </c>
      <c r="AC62" s="38" t="n">
        <f aca="false">D62*INDEX(Régions!$Z$2:$Z$6,MATCH($B62,Régions!$A$2:$A$6,0))</f>
        <v>2929.28035982009</v>
      </c>
      <c r="AD62" s="38" t="n">
        <f aca="false">E62*INDEX(Régions!$AA$2:$AA$6,MATCH($B62,Régions!$A$2:$A$6,0))</f>
        <v>5852.35466823253</v>
      </c>
      <c r="AE62" s="38" t="n">
        <f aca="false">F62*INDEX(Régions!$AB$2:$AB$6,MATCH($B62,Régions!$A$2:$A$6,0))</f>
        <v>12210.2437923251</v>
      </c>
      <c r="AF62" s="38" t="n">
        <f aca="false">G62*INDEX(Régions!$AC$2:$AC$6,MATCH($B62,Régions!$A$2:$A$6,0))</f>
        <v>7164.01124648547</v>
      </c>
      <c r="AG62" s="38" t="n">
        <f aca="false">H62*INDEX(Régions!$AD$2:$AD$6,MATCH($B62,Régions!$A$2:$A$6,0))</f>
        <v>1713.70110330993</v>
      </c>
      <c r="AH62" s="38" t="n">
        <f aca="false">I62*INDEX(Régions!$AE$2:$AE$6,MATCH($B62,Régions!$A$2:$A$6,0))</f>
        <v>1898.17891373802</v>
      </c>
      <c r="AI62" s="38" t="n">
        <f aca="false">D62*INDEX(Régions!$AF$2:$AF$6,MATCH($B62,Régions!$A$2:$A$6,0))</f>
        <v>1872.81859070465</v>
      </c>
      <c r="AJ62" s="38" t="n">
        <f aca="false">E62*INDEX(Régions!$AG$2:$AG$6,MATCH($B62,Régions!$A$2:$A$6,0))</f>
        <v>4816.81738109219</v>
      </c>
      <c r="AK62" s="38" t="n">
        <f aca="false">F62*INDEX(Régions!$AH$2:$AH$6,MATCH($B62,Régions!$A$2:$A$6,0))</f>
        <v>8240.41083521445</v>
      </c>
      <c r="AL62" s="38" t="n">
        <f aca="false">G62*INDEX(Régions!$AI$2:$AI$6,MATCH($B62,Régions!$A$2:$A$6,0))</f>
        <v>5432.05248359888</v>
      </c>
      <c r="AM62" s="38" t="n">
        <f aca="false">H62*INDEX(Régions!$AJ$2:$AJ$6,MATCH($B62,Régions!$A$2:$A$6,0))</f>
        <v>712.778335005015</v>
      </c>
      <c r="AN62" s="38" t="n">
        <f aca="false">I62*INDEX(Régions!$AK$2:$AK$6,MATCH($B62,Régions!$A$2:$A$6,0))</f>
        <v>0</v>
      </c>
      <c r="AO62" s="40" t="str">
        <f aca="false">INDEX({"CAQ","PLQ","QS","PQ","PCQ","Autre"},MATCH(MAX(Q62:V62),Q62:V62,0))</f>
        <v>QS</v>
      </c>
      <c r="AP62" s="40" t="str">
        <f aca="false">INDEX({"CAQ","PLQ","QS","PQ","PCQ","Autre"},MATCH(MAX(W62:AB62),W62:AB62,0))</f>
        <v>QS</v>
      </c>
      <c r="AQ62" s="40" t="str">
        <f aca="false">INDEX({"CAQ","PLQ","QS","PQ","PCQ","Autre"},MATCH(MAX(AC62:AH62),AC62:AH62,0))</f>
        <v>QS</v>
      </c>
      <c r="AR62" s="40" t="str">
        <f aca="false">INDEX({"CAQ","PLQ","QS","PQ","PCQ","Autre"},MATCH(MAX(AI62:AN62),AI62:AN62,0))</f>
        <v>QS</v>
      </c>
      <c r="AS62" s="41" t="n">
        <f aca="false">(MAX(K62:P62)-LARGE(K62:P62,2))*100</f>
        <v>29.2238948100941</v>
      </c>
      <c r="AT62" s="42" t="str">
        <f aca="false">IF(AS62&lt;5,"Oui","Non")</f>
        <v>Non</v>
      </c>
      <c r="AU62" s="43" t="n">
        <v>0.767</v>
      </c>
      <c r="AV62" s="43" t="n">
        <v>-1.62</v>
      </c>
      <c r="AW62" s="43" t="n">
        <v>1.057</v>
      </c>
      <c r="AX62" s="43" t="n">
        <v>3.712</v>
      </c>
    </row>
    <row r="63" customFormat="false" ht="15" hidden="false" customHeight="true" outlineLevel="0" collapsed="false">
      <c r="A63" s="44" t="s">
        <v>134</v>
      </c>
      <c r="B63" s="44" t="s">
        <v>80</v>
      </c>
      <c r="C63" s="45" t="s">
        <v>3</v>
      </c>
      <c r="D63" s="46" t="n">
        <v>10599</v>
      </c>
      <c r="E63" s="46" t="n">
        <v>9546</v>
      </c>
      <c r="F63" s="46" t="n">
        <v>5542</v>
      </c>
      <c r="G63" s="46" t="n">
        <v>4293</v>
      </c>
      <c r="H63" s="46" t="n">
        <v>2852</v>
      </c>
      <c r="I63" s="46" t="n">
        <v>398</v>
      </c>
      <c r="J63" s="47" t="n">
        <f aca="false">SUM(D63:I63)</f>
        <v>33230</v>
      </c>
      <c r="K63" s="48" t="n">
        <f aca="false">IFERROR(D63/J63,0)</f>
        <v>0.318958772193801</v>
      </c>
      <c r="L63" s="48" t="n">
        <f aca="false">IFERROR(E63/J63,0)</f>
        <v>0.287270538669877</v>
      </c>
      <c r="M63" s="48" t="n">
        <f aca="false">IFERROR(F63/J63,0)</f>
        <v>0.166777008727054</v>
      </c>
      <c r="N63" s="48" t="n">
        <f aca="false">IFERROR(G63/J63,0)</f>
        <v>0.129190490520614</v>
      </c>
      <c r="O63" s="48" t="n">
        <f aca="false">IFERROR(H63/J63,0)</f>
        <v>0.0858260607884442</v>
      </c>
      <c r="P63" s="48" t="n">
        <f aca="false">IFERROR(I63/J63,0)</f>
        <v>0.0119771291002107</v>
      </c>
      <c r="Q63" s="47" t="n">
        <f aca="false">D63*INDEX(Régions!$T$2:$T$6,MATCH($B63,Régions!$A$2:$A$6,0))</f>
        <v>7492.11398277005</v>
      </c>
      <c r="R63" s="47" t="n">
        <f aca="false">E63*INDEX(Régions!$U$2:$U$6,MATCH($B63,Régions!$A$2:$A$6,0))</f>
        <v>12195.0319375444</v>
      </c>
      <c r="S63" s="47" t="n">
        <f aca="false">F63*INDEX(Régions!$V$2:$V$6,MATCH($B63,Régions!$A$2:$A$6,0))</f>
        <v>2794.95677233429</v>
      </c>
      <c r="T63" s="47" t="n">
        <f aca="false">G63*INDEX(Régions!$W$2:$W$6,MATCH($B63,Régions!$A$2:$A$6,0))</f>
        <v>8450.7874015748</v>
      </c>
      <c r="U63" s="47" t="n">
        <f aca="false">H63*INDEX(Régions!$X$2:$X$6,MATCH($B63,Régions!$A$2:$A$6,0))</f>
        <v>3329.18287937743</v>
      </c>
      <c r="V63" s="47" t="n">
        <f aca="false">I63*INDEX(Régions!$Y$2:$Y$6,MATCH($B63,Régions!$A$2:$A$6,0))</f>
        <v>320.967741935484</v>
      </c>
      <c r="W63" s="47" t="n">
        <f aca="false">Q63+(AU63/100)*J63*Régions!$O$2</f>
        <v>7158.31863277005</v>
      </c>
      <c r="X63" s="47" t="n">
        <f aca="false">R63+(AV63/100)*J63*Régions!$O$2</f>
        <v>12873.0900875444</v>
      </c>
      <c r="Y63" s="47" t="n">
        <f aca="false">S63+(AW63/100)*J63*Régions!$O$2</f>
        <v>2864.57362233429</v>
      </c>
      <c r="Z63" s="47" t="n">
        <f aca="false">T63+(AX63/100)*J63*Régions!$O$2</f>
        <v>8539.8438015748</v>
      </c>
      <c r="AA63" s="47" t="n">
        <f aca="false">U63</f>
        <v>3329.18287937743</v>
      </c>
      <c r="AB63" s="47" t="n">
        <f aca="false">V63</f>
        <v>320.967741935484</v>
      </c>
      <c r="AC63" s="47" t="n">
        <f aca="false">D63*INDEX(Régions!$Z$2:$Z$6,MATCH($B63,Régions!$A$2:$A$6,0))</f>
        <v>8264.73823724321</v>
      </c>
      <c r="AD63" s="47" t="n">
        <f aca="false">E63*INDEX(Régions!$AA$2:$AA$6,MATCH($B63,Régions!$A$2:$A$6,0))</f>
        <v>14430.7877927608</v>
      </c>
      <c r="AE63" s="47" t="n">
        <f aca="false">F63*INDEX(Régions!$AB$2:$AB$6,MATCH($B63,Régions!$A$2:$A$6,0))</f>
        <v>4112.57925072046</v>
      </c>
      <c r="AF63" s="47" t="n">
        <f aca="false">G63*INDEX(Régions!$AC$2:$AC$6,MATCH($B63,Régions!$A$2:$A$6,0))</f>
        <v>9380.37401574803</v>
      </c>
      <c r="AG63" s="47" t="n">
        <f aca="false">H63*INDEX(Régions!$AD$2:$AD$6,MATCH($B63,Régions!$A$2:$A$6,0))</f>
        <v>4244.70817120623</v>
      </c>
      <c r="AH63" s="47" t="n">
        <f aca="false">I63*INDEX(Régions!$AE$2:$AE$6,MATCH($B63,Régions!$A$2:$A$6,0))</f>
        <v>1380.16129032258</v>
      </c>
      <c r="AI63" s="47" t="n">
        <f aca="false">D63*INDEX(Régions!$AF$2:$AF$6,MATCH($B63,Régions!$A$2:$A$6,0))</f>
        <v>6719.48972829689</v>
      </c>
      <c r="AJ63" s="47" t="n">
        <f aca="false">E63*INDEX(Régions!$AG$2:$AG$6,MATCH($B63,Régions!$A$2:$A$6,0))</f>
        <v>9959.27608232789</v>
      </c>
      <c r="AK63" s="47" t="n">
        <f aca="false">F63*INDEX(Régions!$AH$2:$AH$6,MATCH($B63,Régions!$A$2:$A$6,0))</f>
        <v>1477.33429394813</v>
      </c>
      <c r="AL63" s="47" t="n">
        <f aca="false">G63*INDEX(Régions!$AI$2:$AI$6,MATCH($B63,Régions!$A$2:$A$6,0))</f>
        <v>7521.20078740157</v>
      </c>
      <c r="AM63" s="47" t="n">
        <f aca="false">H63*INDEX(Régions!$AJ$2:$AJ$6,MATCH($B63,Régions!$A$2:$A$6,0))</f>
        <v>2413.65758754864</v>
      </c>
      <c r="AN63" s="47" t="n">
        <f aca="false">I63*INDEX(Régions!$AK$2:$AK$6,MATCH($B63,Régions!$A$2:$A$6,0))</f>
        <v>0</v>
      </c>
      <c r="AO63" s="49" t="str">
        <f aca="false">INDEX({"CAQ","PLQ","QS","PQ","PCQ","Autre"},MATCH(MAX(Q63:V63),Q63:V63,0))</f>
        <v>PLQ</v>
      </c>
      <c r="AP63" s="49" t="str">
        <f aca="false">INDEX({"CAQ","PLQ","QS","PQ","PCQ","Autre"},MATCH(MAX(W63:AB63),W63:AB63,0))</f>
        <v>PLQ</v>
      </c>
      <c r="AQ63" s="49" t="str">
        <f aca="false">INDEX({"CAQ","PLQ","QS","PQ","PCQ","Autre"},MATCH(MAX(AC63:AH63),AC63:AH63,0))</f>
        <v>PLQ</v>
      </c>
      <c r="AR63" s="49" t="str">
        <f aca="false">INDEX({"CAQ","PLQ","QS","PQ","PCQ","Autre"},MATCH(MAX(AI63:AN63),AI63:AN63,0))</f>
        <v>PLQ</v>
      </c>
      <c r="AS63" s="50" t="n">
        <f aca="false">(MAX(K63:P63)-LARGE(K63:P63,2))*100</f>
        <v>3.16882335239241</v>
      </c>
      <c r="AT63" s="51" t="str">
        <f aca="false">IF(AS63&lt;5,"Oui","Non")</f>
        <v>Oui</v>
      </c>
      <c r="AU63" s="52" t="n">
        <v>-2.009</v>
      </c>
      <c r="AV63" s="52" t="n">
        <v>4.081</v>
      </c>
      <c r="AW63" s="52" t="n">
        <v>0.419</v>
      </c>
      <c r="AX63" s="52" t="n">
        <v>0.536</v>
      </c>
    </row>
    <row r="64" customFormat="false" ht="15" hidden="false" customHeight="true" outlineLevel="0" collapsed="false">
      <c r="A64" s="35" t="s">
        <v>135</v>
      </c>
      <c r="B64" s="35" t="s">
        <v>70</v>
      </c>
      <c r="C64" s="36" t="s">
        <v>3</v>
      </c>
      <c r="D64" s="37" t="n">
        <v>19418</v>
      </c>
      <c r="E64" s="37" t="n">
        <v>1875</v>
      </c>
      <c r="F64" s="37" t="n">
        <v>3568</v>
      </c>
      <c r="G64" s="37" t="n">
        <v>6010</v>
      </c>
      <c r="H64" s="37" t="n">
        <v>6287</v>
      </c>
      <c r="I64" s="37" t="n">
        <v>385</v>
      </c>
      <c r="J64" s="38" t="n">
        <f aca="false">SUM(D64:I64)</f>
        <v>37543</v>
      </c>
      <c r="K64" s="39" t="n">
        <f aca="false">IFERROR(D64/J64,0)</f>
        <v>0.517220254108622</v>
      </c>
      <c r="L64" s="39" t="n">
        <f aca="false">IFERROR(E64/J64,0)</f>
        <v>0.0499427323335908</v>
      </c>
      <c r="M64" s="39" t="n">
        <f aca="false">IFERROR(F64/J64,0)</f>
        <v>0.0950376901153344</v>
      </c>
      <c r="N64" s="39" t="n">
        <f aca="false">IFERROR(G64/J64,0)</f>
        <v>0.160083104706603</v>
      </c>
      <c r="O64" s="39" t="n">
        <f aca="false">IFERROR(H64/J64,0)</f>
        <v>0.167461311030019</v>
      </c>
      <c r="P64" s="39" t="n">
        <f aca="false">IFERROR(I64/J64,0)</f>
        <v>0.0102549077058306</v>
      </c>
      <c r="Q64" s="38" t="n">
        <f aca="false">D64*INDEX(Régions!$T$2:$T$6,MATCH($B64,Régions!$A$2:$A$6,0))</f>
        <v>11470.5485232068</v>
      </c>
      <c r="R64" s="38" t="n">
        <f aca="false">E64*INDEX(Régions!$U$2:$U$6,MATCH($B64,Régions!$A$2:$A$6,0))</f>
        <v>4291.84549356223</v>
      </c>
      <c r="S64" s="38" t="n">
        <f aca="false">F64*INDEX(Régions!$V$2:$V$6,MATCH($B64,Régions!$A$2:$A$6,0))</f>
        <v>2138.12734082397</v>
      </c>
      <c r="T64" s="38" t="n">
        <f aca="false">G64*INDEX(Régions!$W$2:$W$6,MATCH($B64,Régions!$A$2:$A$6,0))</f>
        <v>10505.7263411694</v>
      </c>
      <c r="U64" s="38" t="n">
        <f aca="false">H64*INDEX(Régions!$X$2:$X$6,MATCH($B64,Régions!$A$2:$A$6,0))</f>
        <v>7144.31818181818</v>
      </c>
      <c r="V64" s="38" t="n">
        <f aca="false">I64*INDEX(Régions!$Y$2:$Y$6,MATCH($B64,Régions!$A$2:$A$6,0))</f>
        <v>542.253521126761</v>
      </c>
      <c r="W64" s="38" t="n">
        <f aca="false">Q64+(AU64/100)*J64*Régions!$O$2</f>
        <v>11489.1323082068</v>
      </c>
      <c r="X64" s="38" t="n">
        <f aca="false">R64+(AV64/100)*J64*Régions!$O$2</f>
        <v>3727.94963356223</v>
      </c>
      <c r="Y64" s="38" t="n">
        <f aca="false">S64+(AW64/100)*J64*Régions!$O$2</f>
        <v>1279.89436082397</v>
      </c>
      <c r="Z64" s="38" t="n">
        <f aca="false">T64+(AX64/100)*J64*Régions!$O$2</f>
        <v>11359.8295911694</v>
      </c>
      <c r="AA64" s="38" t="n">
        <f aca="false">U64</f>
        <v>7144.31818181818</v>
      </c>
      <c r="AB64" s="38" t="n">
        <f aca="false">V64</f>
        <v>542.253521126761</v>
      </c>
      <c r="AC64" s="38" t="n">
        <f aca="false">D64*INDEX(Régions!$Z$2:$Z$6,MATCH($B64,Régions!$A$2:$A$6,0))</f>
        <v>12822.4345991561</v>
      </c>
      <c r="AD64" s="38" t="n">
        <f aca="false">E64*INDEX(Régions!$AA$2:$AA$6,MATCH($B64,Régions!$A$2:$A$6,0))</f>
        <v>5177.03862660944</v>
      </c>
      <c r="AE64" s="38" t="n">
        <f aca="false">F64*INDEX(Régions!$AB$2:$AB$6,MATCH($B64,Régions!$A$2:$A$6,0))</f>
        <v>3020.10486891386</v>
      </c>
      <c r="AF64" s="38" t="n">
        <f aca="false">G64*INDEX(Régions!$AC$2:$AC$6,MATCH($B64,Régions!$A$2:$A$6,0))</f>
        <v>11701.2055455093</v>
      </c>
      <c r="AG64" s="38" t="n">
        <f aca="false">H64*INDEX(Régions!$AD$2:$AD$6,MATCH($B64,Régions!$A$2:$A$6,0))</f>
        <v>8531.1564171123</v>
      </c>
      <c r="AH64" s="38" t="n">
        <f aca="false">I64*INDEX(Régions!$AE$2:$AE$6,MATCH($B64,Régions!$A$2:$A$6,0))</f>
        <v>2331.69014084507</v>
      </c>
      <c r="AI64" s="38" t="n">
        <f aca="false">D64*INDEX(Régions!$AF$2:$AF$6,MATCH($B64,Régions!$A$2:$A$6,0))</f>
        <v>10118.6624472574</v>
      </c>
      <c r="AJ64" s="38" t="n">
        <f aca="false">E64*INDEX(Régions!$AG$2:$AG$6,MATCH($B64,Régions!$A$2:$A$6,0))</f>
        <v>3406.65236051502</v>
      </c>
      <c r="AK64" s="38" t="n">
        <f aca="false">F64*INDEX(Régions!$AH$2:$AH$6,MATCH($B64,Régions!$A$2:$A$6,0))</f>
        <v>1256.14981273408</v>
      </c>
      <c r="AL64" s="38" t="n">
        <f aca="false">G64*INDEX(Régions!$AI$2:$AI$6,MATCH($B64,Régions!$A$2:$A$6,0))</f>
        <v>9310.24713682942</v>
      </c>
      <c r="AM64" s="38" t="n">
        <f aca="false">H64*INDEX(Régions!$AJ$2:$AJ$6,MATCH($B64,Régions!$A$2:$A$6,0))</f>
        <v>5757.47994652406</v>
      </c>
      <c r="AN64" s="38" t="n">
        <f aca="false">I64*INDEX(Régions!$AK$2:$AK$6,MATCH($B64,Régions!$A$2:$A$6,0))</f>
        <v>0</v>
      </c>
      <c r="AO64" s="40" t="str">
        <f aca="false">INDEX({"CAQ","PLQ","QS","PQ","PCQ","Autre"},MATCH(MAX(Q64:V64),Q64:V64,0))</f>
        <v>CAQ</v>
      </c>
      <c r="AP64" s="40" t="str">
        <f aca="false">INDEX({"CAQ","PLQ","QS","PQ","PCQ","Autre"},MATCH(MAX(W64:AB64),W64:AB64,0))</f>
        <v>CAQ</v>
      </c>
      <c r="AQ64" s="40" t="str">
        <f aca="false">INDEX({"CAQ","PLQ","QS","PQ","PCQ","Autre"},MATCH(MAX(AC64:AH64),AC64:AH64,0))</f>
        <v>CAQ</v>
      </c>
      <c r="AR64" s="40" t="str">
        <f aca="false">INDEX({"CAQ","PLQ","QS","PQ","PCQ","Autre"},MATCH(MAX(AI64:AN64),AI64:AN64,0))</f>
        <v>CAQ</v>
      </c>
      <c r="AS64" s="41" t="n">
        <f aca="false">(MAX(K64:P64)-LARGE(K64:P64,2))*100</f>
        <v>34.9758943078603</v>
      </c>
      <c r="AT64" s="42" t="str">
        <f aca="false">IF(AS64&lt;5,"Oui","Non")</f>
        <v>Non</v>
      </c>
      <c r="AU64" s="43" t="n">
        <v>0.099</v>
      </c>
      <c r="AV64" s="43" t="n">
        <v>-3.004</v>
      </c>
      <c r="AW64" s="43" t="n">
        <v>-4.572</v>
      </c>
      <c r="AX64" s="43" t="n">
        <v>4.55</v>
      </c>
    </row>
    <row r="65" customFormat="false" ht="15" hidden="false" customHeight="true" outlineLevel="0" collapsed="false">
      <c r="A65" s="44" t="s">
        <v>136</v>
      </c>
      <c r="B65" s="44" t="s">
        <v>80</v>
      </c>
      <c r="C65" s="45" t="s">
        <v>3</v>
      </c>
      <c r="D65" s="46" t="n">
        <v>13922</v>
      </c>
      <c r="E65" s="46" t="n">
        <v>1895</v>
      </c>
      <c r="F65" s="46" t="n">
        <v>3668</v>
      </c>
      <c r="G65" s="46" t="n">
        <v>4444</v>
      </c>
      <c r="H65" s="46" t="n">
        <v>3333</v>
      </c>
      <c r="I65" s="46" t="n">
        <v>282</v>
      </c>
      <c r="J65" s="47" t="n">
        <f aca="false">SUM(D65:I65)</f>
        <v>27544</v>
      </c>
      <c r="K65" s="48" t="n">
        <f aca="false">IFERROR(D65/J65,0)</f>
        <v>0.505445832123148</v>
      </c>
      <c r="L65" s="48" t="n">
        <f aca="false">IFERROR(E65/J65,0)</f>
        <v>0.0687990124891083</v>
      </c>
      <c r="M65" s="48" t="n">
        <f aca="false">IFERROR(F65/J65,0)</f>
        <v>0.133168748184723</v>
      </c>
      <c r="N65" s="48" t="n">
        <f aca="false">IFERROR(G65/J65,0)</f>
        <v>0.161341853035144</v>
      </c>
      <c r="O65" s="48" t="n">
        <f aca="false">IFERROR(H65/J65,0)</f>
        <v>0.121006389776358</v>
      </c>
      <c r="P65" s="48" t="n">
        <f aca="false">IFERROR(I65/J65,0)</f>
        <v>0.010238164391519</v>
      </c>
      <c r="Q65" s="47" t="n">
        <f aca="false">D65*INDEX(Régions!$T$2:$T$6,MATCH($B65,Régions!$A$2:$A$6,0))</f>
        <v>9841.04263309035</v>
      </c>
      <c r="R65" s="47" t="n">
        <f aca="false">E65*INDEX(Régions!$U$2:$U$6,MATCH($B65,Régions!$A$2:$A$6,0))</f>
        <v>2420.8658623137</v>
      </c>
      <c r="S65" s="47" t="n">
        <f aca="false">F65*INDEX(Régions!$V$2:$V$6,MATCH($B65,Régions!$A$2:$A$6,0))</f>
        <v>1849.85590778098</v>
      </c>
      <c r="T65" s="47" t="n">
        <f aca="false">G65*INDEX(Régions!$W$2:$W$6,MATCH($B65,Régions!$A$2:$A$6,0))</f>
        <v>8748.03149606299</v>
      </c>
      <c r="U65" s="47" t="n">
        <f aca="false">H65*INDEX(Régions!$X$2:$X$6,MATCH($B65,Régions!$A$2:$A$6,0))</f>
        <v>3890.66147859922</v>
      </c>
      <c r="V65" s="47" t="n">
        <f aca="false">I65*INDEX(Régions!$Y$2:$Y$6,MATCH($B65,Régions!$A$2:$A$6,0))</f>
        <v>227.41935483871</v>
      </c>
      <c r="W65" s="47" t="n">
        <f aca="false">Q65+(AU65/100)*J65*Régions!$O$2</f>
        <v>9311.78467309035</v>
      </c>
      <c r="X65" s="47" t="n">
        <f aca="false">R65+(AV65/100)*J65*Régions!$O$2</f>
        <v>3214.6839423137</v>
      </c>
      <c r="Y65" s="47" t="n">
        <f aca="false">S65+(AW65/100)*J65*Régions!$O$2</f>
        <v>1872.44198778098</v>
      </c>
      <c r="Z65" s="47" t="n">
        <f aca="false">T65+(AX65/100)*J65*Régions!$O$2</f>
        <v>8120.30373606299</v>
      </c>
      <c r="AA65" s="47" t="n">
        <f aca="false">U65</f>
        <v>3890.66147859922</v>
      </c>
      <c r="AB65" s="47" t="n">
        <f aca="false">V65</f>
        <v>227.41935483871</v>
      </c>
      <c r="AC65" s="47" t="n">
        <f aca="false">D65*INDEX(Régions!$Z$2:$Z$6,MATCH($B65,Régions!$A$2:$A$6,0))</f>
        <v>10855.9001546278</v>
      </c>
      <c r="AD65" s="47" t="n">
        <f aca="false">E65*INDEX(Régions!$AA$2:$AA$6,MATCH($B65,Régions!$A$2:$A$6,0))</f>
        <v>2864.69127040454</v>
      </c>
      <c r="AE65" s="47" t="n">
        <f aca="false">F65*INDEX(Régions!$AB$2:$AB$6,MATCH($B65,Régions!$A$2:$A$6,0))</f>
        <v>2721.93083573487</v>
      </c>
      <c r="AF65" s="47" t="n">
        <f aca="false">G65*INDEX(Régions!$AC$2:$AC$6,MATCH($B65,Régions!$A$2:$A$6,0))</f>
        <v>9710.31496062992</v>
      </c>
      <c r="AG65" s="47" t="n">
        <f aca="false">H65*INDEX(Régions!$AD$2:$AD$6,MATCH($B65,Régions!$A$2:$A$6,0))</f>
        <v>4960.59338521401</v>
      </c>
      <c r="AH65" s="47" t="n">
        <f aca="false">I65*INDEX(Régions!$AE$2:$AE$6,MATCH($B65,Régions!$A$2:$A$6,0))</f>
        <v>977.903225806452</v>
      </c>
      <c r="AI65" s="47" t="n">
        <f aca="false">D65*INDEX(Régions!$AF$2:$AF$6,MATCH($B65,Régions!$A$2:$A$6,0))</f>
        <v>8826.1851115529</v>
      </c>
      <c r="AJ65" s="47" t="n">
        <f aca="false">E65*INDEX(Régions!$AG$2:$AG$6,MATCH($B65,Régions!$A$2:$A$6,0))</f>
        <v>1977.04045422285</v>
      </c>
      <c r="AK65" s="47" t="n">
        <f aca="false">F65*INDEX(Régions!$AH$2:$AH$6,MATCH($B65,Régions!$A$2:$A$6,0))</f>
        <v>977.780979827089</v>
      </c>
      <c r="AL65" s="47" t="n">
        <f aca="false">G65*INDEX(Régions!$AI$2:$AI$6,MATCH($B65,Régions!$A$2:$A$6,0))</f>
        <v>7785.74803149606</v>
      </c>
      <c r="AM65" s="47" t="n">
        <f aca="false">H65*INDEX(Régions!$AJ$2:$AJ$6,MATCH($B65,Régions!$A$2:$A$6,0))</f>
        <v>2820.72957198444</v>
      </c>
      <c r="AN65" s="47" t="n">
        <f aca="false">I65*INDEX(Régions!$AK$2:$AK$6,MATCH($B65,Régions!$A$2:$A$6,0))</f>
        <v>0</v>
      </c>
      <c r="AO65" s="49" t="str">
        <f aca="false">INDEX({"CAQ","PLQ","QS","PQ","PCQ","Autre"},MATCH(MAX(Q65:V65),Q65:V65,0))</f>
        <v>CAQ</v>
      </c>
      <c r="AP65" s="49" t="str">
        <f aca="false">INDEX({"CAQ","PLQ","QS","PQ","PCQ","Autre"},MATCH(MAX(W65:AB65),W65:AB65,0))</f>
        <v>CAQ</v>
      </c>
      <c r="AQ65" s="49" t="str">
        <f aca="false">INDEX({"CAQ","PLQ","QS","PQ","PCQ","Autre"},MATCH(MAX(AC65:AH65),AC65:AH65,0))</f>
        <v>CAQ</v>
      </c>
      <c r="AR65" s="49" t="str">
        <f aca="false">INDEX({"CAQ","PLQ","QS","PQ","PCQ","Autre"},MATCH(MAX(AI65:AN65),AI65:AN65,0))</f>
        <v>CAQ</v>
      </c>
      <c r="AS65" s="50" t="n">
        <f aca="false">(MAX(K65:P65)-LARGE(K65:P65,2))*100</f>
        <v>34.4103979088005</v>
      </c>
      <c r="AT65" s="51" t="str">
        <f aca="false">IF(AS65&lt;5,"Oui","Non")</f>
        <v>Non</v>
      </c>
      <c r="AU65" s="52" t="n">
        <v>-3.843</v>
      </c>
      <c r="AV65" s="52" t="n">
        <v>5.764</v>
      </c>
      <c r="AW65" s="52" t="n">
        <v>0.164</v>
      </c>
      <c r="AX65" s="52" t="n">
        <v>-4.558</v>
      </c>
    </row>
    <row r="66" customFormat="false" ht="15" hidden="false" customHeight="true" outlineLevel="0" collapsed="false">
      <c r="A66" s="35" t="s">
        <v>137</v>
      </c>
      <c r="B66" s="35" t="s">
        <v>94</v>
      </c>
      <c r="C66" s="36" t="s">
        <v>3</v>
      </c>
      <c r="D66" s="37" t="n">
        <v>18051</v>
      </c>
      <c r="E66" s="37" t="n">
        <v>1899</v>
      </c>
      <c r="F66" s="37" t="n">
        <v>4244</v>
      </c>
      <c r="G66" s="37" t="n">
        <v>4775</v>
      </c>
      <c r="H66" s="37" t="n">
        <v>7677</v>
      </c>
      <c r="I66" s="37" t="n">
        <v>351</v>
      </c>
      <c r="J66" s="38" t="n">
        <f aca="false">SUM(D66:I66)</f>
        <v>36997</v>
      </c>
      <c r="K66" s="39" t="n">
        <f aca="false">IFERROR(D66/J66,0)</f>
        <v>0.487904424683082</v>
      </c>
      <c r="L66" s="39" t="n">
        <f aca="false">IFERROR(E66/J66,0)</f>
        <v>0.051328486093467</v>
      </c>
      <c r="M66" s="39" t="n">
        <f aca="false">IFERROR(F66/J66,0)</f>
        <v>0.114712003675974</v>
      </c>
      <c r="N66" s="39" t="n">
        <f aca="false">IFERROR(G66/J66,0)</f>
        <v>0.129064518744763</v>
      </c>
      <c r="O66" s="39" t="n">
        <f aca="false">IFERROR(H66/J66,0)</f>
        <v>0.207503311079277</v>
      </c>
      <c r="P66" s="39" t="n">
        <f aca="false">IFERROR(I66/J66,0)</f>
        <v>0.00948725572343704</v>
      </c>
      <c r="Q66" s="38" t="n">
        <f aca="false">D66*INDEX(Régions!$T$2:$T$6,MATCH($B66,Régions!$A$2:$A$6,0))</f>
        <v>15059.9304750869</v>
      </c>
      <c r="R66" s="38" t="n">
        <f aca="false">E66*INDEX(Régions!$U$2:$U$6,MATCH($B66,Régions!$A$2:$A$6,0))</f>
        <v>2276.19863013699</v>
      </c>
      <c r="S66" s="38" t="n">
        <f aca="false">F66*INDEX(Régions!$V$2:$V$6,MATCH($B66,Régions!$A$2:$A$6,0))</f>
        <v>1667.58349705305</v>
      </c>
      <c r="T66" s="38" t="n">
        <f aca="false">G66*INDEX(Régions!$W$2:$W$6,MATCH($B66,Régions!$A$2:$A$6,0))</f>
        <v>10075.3579502638</v>
      </c>
      <c r="U66" s="38" t="n">
        <f aca="false">H66*INDEX(Régions!$X$2:$X$6,MATCH($B66,Régions!$A$2:$A$6,0))</f>
        <v>7884.87394957983</v>
      </c>
      <c r="V66" s="38" t="n">
        <f aca="false">I66*INDEX(Régions!$Y$2:$Y$6,MATCH($B66,Régions!$A$2:$A$6,0))</f>
        <v>331.132075471698</v>
      </c>
      <c r="W66" s="38" t="n">
        <f aca="false">Q66+(AU66/100)*J66*Régions!$O$2</f>
        <v>13986.2775350869</v>
      </c>
      <c r="X66" s="38" t="n">
        <f aca="false">R66+(AV66/100)*J66*Régions!$O$2</f>
        <v>3309.52484013699</v>
      </c>
      <c r="Y66" s="38" t="n">
        <f aca="false">S66+(AW66/100)*J66*Régions!$O$2</f>
        <v>1759.52104205305</v>
      </c>
      <c r="Z66" s="38" t="n">
        <f aca="false">T66+(AX66/100)*J66*Régions!$O$2</f>
        <v>10221.1261302638</v>
      </c>
      <c r="AA66" s="38" t="n">
        <f aca="false">U66</f>
        <v>7884.87394957983</v>
      </c>
      <c r="AB66" s="38" t="n">
        <f aca="false">V66</f>
        <v>331.132075471698</v>
      </c>
      <c r="AC66" s="38" t="n">
        <f aca="false">D66*INDEX(Régions!$Z$2:$Z$6,MATCH($B66,Régions!$A$2:$A$6,0))</f>
        <v>16440.4241019699</v>
      </c>
      <c r="AD66" s="38" t="n">
        <f aca="false">E66*INDEX(Régions!$AA$2:$AA$6,MATCH($B66,Régions!$A$2:$A$6,0))</f>
        <v>3349.26369863014</v>
      </c>
      <c r="AE66" s="38" t="n">
        <f aca="false">F66*INDEX(Régions!$AB$2:$AB$6,MATCH($B66,Régions!$A$2:$A$6,0))</f>
        <v>2584.75442043222</v>
      </c>
      <c r="AF66" s="38" t="n">
        <f aca="false">G66*INDEX(Régions!$AC$2:$AC$6,MATCH($B66,Régions!$A$2:$A$6,0))</f>
        <v>11262.8108515448</v>
      </c>
      <c r="AG66" s="38" t="n">
        <f aca="false">H66*INDEX(Régions!$AD$2:$AD$6,MATCH($B66,Régions!$A$2:$A$6,0))</f>
        <v>9067.60504201681</v>
      </c>
      <c r="AH66" s="38" t="n">
        <f aca="false">I66*INDEX(Régions!$AE$2:$AE$6,MATCH($B66,Régions!$A$2:$A$6,0))</f>
        <v>1423.8679245283</v>
      </c>
      <c r="AI66" s="38" t="n">
        <f aca="false">D66*INDEX(Régions!$AF$2:$AF$6,MATCH($B66,Régions!$A$2:$A$6,0))</f>
        <v>13679.4368482039</v>
      </c>
      <c r="AJ66" s="38" t="n">
        <f aca="false">E66*INDEX(Régions!$AG$2:$AG$6,MATCH($B66,Régions!$A$2:$A$6,0))</f>
        <v>1203.13356164384</v>
      </c>
      <c r="AK66" s="38" t="n">
        <f aca="false">F66*INDEX(Régions!$AH$2:$AH$6,MATCH($B66,Régions!$A$2:$A$6,0))</f>
        <v>750.41257367387</v>
      </c>
      <c r="AL66" s="38" t="n">
        <f aca="false">G66*INDEX(Régions!$AI$2:$AI$6,MATCH($B66,Régions!$A$2:$A$6,0))</f>
        <v>8887.90504898267</v>
      </c>
      <c r="AM66" s="38" t="n">
        <f aca="false">H66*INDEX(Régions!$AJ$2:$AJ$6,MATCH($B66,Régions!$A$2:$A$6,0))</f>
        <v>6702.14285714286</v>
      </c>
      <c r="AN66" s="38" t="n">
        <f aca="false">I66*INDEX(Régions!$AK$2:$AK$6,MATCH($B66,Régions!$A$2:$A$6,0))</f>
        <v>0</v>
      </c>
      <c r="AO66" s="40" t="str">
        <f aca="false">INDEX({"CAQ","PLQ","QS","PQ","PCQ","Autre"},MATCH(MAX(Q66:V66),Q66:V66,0))</f>
        <v>CAQ</v>
      </c>
      <c r="AP66" s="40" t="str">
        <f aca="false">INDEX({"CAQ","PLQ","QS","PQ","PCQ","Autre"},MATCH(MAX(W66:AB66),W66:AB66,0))</f>
        <v>CAQ</v>
      </c>
      <c r="AQ66" s="40" t="str">
        <f aca="false">INDEX({"CAQ","PLQ","QS","PQ","PCQ","Autre"},MATCH(MAX(AC66:AH66),AC66:AH66,0))</f>
        <v>CAQ</v>
      </c>
      <c r="AR66" s="40" t="str">
        <f aca="false">INDEX({"CAQ","PLQ","QS","PQ","PCQ","Autre"},MATCH(MAX(AI66:AN66),AI66:AN66,0))</f>
        <v>CAQ</v>
      </c>
      <c r="AS66" s="41" t="n">
        <f aca="false">(MAX(K66:P66)-LARGE(K66:P66,2))*100</f>
        <v>28.0401113603806</v>
      </c>
      <c r="AT66" s="42" t="str">
        <f aca="false">IF(AS66&lt;5,"Oui","Non")</f>
        <v>Non</v>
      </c>
      <c r="AU66" s="43" t="n">
        <v>-5.804</v>
      </c>
      <c r="AV66" s="43" t="n">
        <v>5.586</v>
      </c>
      <c r="AW66" s="43" t="n">
        <v>0.497</v>
      </c>
      <c r="AX66" s="43" t="n">
        <v>0.788</v>
      </c>
    </row>
    <row r="67" customFormat="false" ht="15" hidden="false" customHeight="true" outlineLevel="0" collapsed="false">
      <c r="A67" s="44" t="s">
        <v>138</v>
      </c>
      <c r="B67" s="44" t="s">
        <v>70</v>
      </c>
      <c r="C67" s="45" t="s">
        <v>3</v>
      </c>
      <c r="D67" s="46" t="n">
        <v>18330</v>
      </c>
      <c r="E67" s="46" t="n">
        <v>2483</v>
      </c>
      <c r="F67" s="46" t="n">
        <v>3925</v>
      </c>
      <c r="G67" s="46" t="n">
        <v>3688</v>
      </c>
      <c r="H67" s="46" t="n">
        <v>13503</v>
      </c>
      <c r="I67" s="46" t="n">
        <v>0</v>
      </c>
      <c r="J67" s="47" t="n">
        <f aca="false">SUM(D67:I67)</f>
        <v>41929</v>
      </c>
      <c r="K67" s="48" t="n">
        <f aca="false">IFERROR(D67/J67,0)</f>
        <v>0.437167592835508</v>
      </c>
      <c r="L67" s="48" t="n">
        <f aca="false">IFERROR(E67/J67,0)</f>
        <v>0.0592191561926113</v>
      </c>
      <c r="M67" s="48" t="n">
        <f aca="false">IFERROR(F67/J67,0)</f>
        <v>0.0936106274893272</v>
      </c>
      <c r="N67" s="48" t="n">
        <f aca="false">IFERROR(G67/J67,0)</f>
        <v>0.0879582150778697</v>
      </c>
      <c r="O67" s="48" t="n">
        <f aca="false">IFERROR(H67/J67,0)</f>
        <v>0.322044408404684</v>
      </c>
      <c r="P67" s="48" t="n">
        <f aca="false">IFERROR(I67/J67,0)</f>
        <v>0</v>
      </c>
      <c r="Q67" s="47" t="n">
        <f aca="false">D67*INDEX(Régions!$T$2:$T$6,MATCH($B67,Régions!$A$2:$A$6,0))</f>
        <v>10827.8481012658</v>
      </c>
      <c r="R67" s="47" t="n">
        <f aca="false">E67*INDEX(Régions!$U$2:$U$6,MATCH($B67,Régions!$A$2:$A$6,0))</f>
        <v>5683.54792560801</v>
      </c>
      <c r="S67" s="47" t="n">
        <f aca="false">F67*INDEX(Régions!$V$2:$V$6,MATCH($B67,Régions!$A$2:$A$6,0))</f>
        <v>2352.05992509363</v>
      </c>
      <c r="T67" s="47" t="n">
        <f aca="false">G67*INDEX(Régions!$W$2:$W$6,MATCH($B67,Régions!$A$2:$A$6,0))</f>
        <v>6446.77516576251</v>
      </c>
      <c r="U67" s="47" t="n">
        <f aca="false">H67*INDEX(Régions!$X$2:$X$6,MATCH($B67,Régions!$A$2:$A$6,0))</f>
        <v>15344.3181818182</v>
      </c>
      <c r="V67" s="47" t="n">
        <f aca="false">I67*INDEX(Régions!$Y$2:$Y$6,MATCH($B67,Régions!$A$2:$A$6,0))</f>
        <v>0</v>
      </c>
      <c r="W67" s="47" t="n">
        <f aca="false">Q67+(AU67/100)*J67*Régions!$O$2</f>
        <v>7414.40821126582</v>
      </c>
      <c r="X67" s="47" t="n">
        <f aca="false">R67+(AV67/100)*J67*Régions!$O$2</f>
        <v>5316.45953060801</v>
      </c>
      <c r="Y67" s="47" t="n">
        <f aca="false">S67+(AW67/100)*J67*Régions!$O$2</f>
        <v>2543.46581009363</v>
      </c>
      <c r="Z67" s="47" t="n">
        <f aca="false">T67+(AX67/100)*J67*Régions!$O$2</f>
        <v>7184.93521076251</v>
      </c>
      <c r="AA67" s="47" t="n">
        <f aca="false">U67</f>
        <v>15344.3181818182</v>
      </c>
      <c r="AB67" s="47" t="n">
        <f aca="false">V67</f>
        <v>0</v>
      </c>
      <c r="AC67" s="47" t="n">
        <f aca="false">D67*INDEX(Régions!$Z$2:$Z$6,MATCH($B67,Régions!$A$2:$A$6,0))</f>
        <v>12103.9873417722</v>
      </c>
      <c r="AD67" s="47" t="n">
        <f aca="false">E67*INDEX(Régions!$AA$2:$AA$6,MATCH($B67,Régions!$A$2:$A$6,0))</f>
        <v>6855.77968526466</v>
      </c>
      <c r="AE67" s="47" t="n">
        <f aca="false">F67*INDEX(Régions!$AB$2:$AB$6,MATCH($B67,Régions!$A$2:$A$6,0))</f>
        <v>3322.28464419476</v>
      </c>
      <c r="AF67" s="47" t="n">
        <f aca="false">G67*INDEX(Régions!$AC$2:$AC$6,MATCH($B67,Régions!$A$2:$A$6,0))</f>
        <v>7180.3737191079</v>
      </c>
      <c r="AG67" s="47" t="n">
        <f aca="false">H67*INDEX(Régions!$AD$2:$AD$6,MATCH($B67,Régions!$A$2:$A$6,0))</f>
        <v>18322.9211229947</v>
      </c>
      <c r="AH67" s="47" t="n">
        <f aca="false">I67*INDEX(Régions!$AE$2:$AE$6,MATCH($B67,Régions!$A$2:$A$6,0))</f>
        <v>0</v>
      </c>
      <c r="AI67" s="47" t="n">
        <f aca="false">D67*INDEX(Régions!$AF$2:$AF$6,MATCH($B67,Régions!$A$2:$A$6,0))</f>
        <v>9551.70886075949</v>
      </c>
      <c r="AJ67" s="47" t="n">
        <f aca="false">E67*INDEX(Régions!$AG$2:$AG$6,MATCH($B67,Régions!$A$2:$A$6,0))</f>
        <v>4511.31616595136</v>
      </c>
      <c r="AK67" s="47" t="n">
        <f aca="false">F67*INDEX(Régions!$AH$2:$AH$6,MATCH($B67,Régions!$A$2:$A$6,0))</f>
        <v>1381.83520599251</v>
      </c>
      <c r="AL67" s="47" t="n">
        <f aca="false">G67*INDEX(Régions!$AI$2:$AI$6,MATCH($B67,Régions!$A$2:$A$6,0))</f>
        <v>5713.17661241712</v>
      </c>
      <c r="AM67" s="47" t="n">
        <f aca="false">H67*INDEX(Régions!$AJ$2:$AJ$6,MATCH($B67,Régions!$A$2:$A$6,0))</f>
        <v>12365.7152406417</v>
      </c>
      <c r="AN67" s="47" t="n">
        <f aca="false">I67*INDEX(Régions!$AK$2:$AK$6,MATCH($B67,Régions!$A$2:$A$6,0))</f>
        <v>0</v>
      </c>
      <c r="AO67" s="49" t="str">
        <f aca="false">INDEX({"CAQ","PLQ","QS","PQ","PCQ","Autre"},MATCH(MAX(Q67:V67),Q67:V67,0))</f>
        <v>PCQ</v>
      </c>
      <c r="AP67" s="49" t="str">
        <f aca="false">INDEX({"CAQ","PLQ","QS","PQ","PCQ","Autre"},MATCH(MAX(W67:AB67),W67:AB67,0))</f>
        <v>PCQ</v>
      </c>
      <c r="AQ67" s="49" t="str">
        <f aca="false">INDEX({"CAQ","PLQ","QS","PQ","PCQ","Autre"},MATCH(MAX(AC67:AH67),AC67:AH67,0))</f>
        <v>PCQ</v>
      </c>
      <c r="AR67" s="49" t="str">
        <f aca="false">INDEX({"CAQ","PLQ","QS","PQ","PCQ","Autre"},MATCH(MAX(AI67:AN67),AI67:AN67,0))</f>
        <v>PCQ</v>
      </c>
      <c r="AS67" s="50" t="n">
        <f aca="false">(MAX(K67:P67)-LARGE(K67:P67,2))*100</f>
        <v>11.5123184430824</v>
      </c>
      <c r="AT67" s="51" t="str">
        <f aca="false">IF(AS67&lt;5,"Oui","Non")</f>
        <v>Non</v>
      </c>
      <c r="AU67" s="52" t="n">
        <v>-16.282</v>
      </c>
      <c r="AV67" s="52" t="n">
        <v>-1.751</v>
      </c>
      <c r="AW67" s="52" t="n">
        <v>0.913</v>
      </c>
      <c r="AX67" s="52" t="n">
        <v>3.521</v>
      </c>
    </row>
    <row r="68" customFormat="false" ht="15" hidden="false" customHeight="true" outlineLevel="0" collapsed="false">
      <c r="A68" s="35" t="s">
        <v>139</v>
      </c>
      <c r="B68" s="35" t="s">
        <v>94</v>
      </c>
      <c r="C68" s="36" t="s">
        <v>3</v>
      </c>
      <c r="D68" s="37" t="n">
        <v>17803</v>
      </c>
      <c r="E68" s="37" t="n">
        <v>3283</v>
      </c>
      <c r="F68" s="37" t="n">
        <v>4537</v>
      </c>
      <c r="G68" s="37" t="n">
        <v>6228</v>
      </c>
      <c r="H68" s="37" t="n">
        <v>5509</v>
      </c>
      <c r="I68" s="37" t="n">
        <v>350</v>
      </c>
      <c r="J68" s="38" t="n">
        <f aca="false">SUM(D68:I68)</f>
        <v>37710</v>
      </c>
      <c r="K68" s="39" t="n">
        <f aca="false">IFERROR(D68/J68,0)</f>
        <v>0.472102890479979</v>
      </c>
      <c r="L68" s="39" t="n">
        <f aca="false">IFERROR(E68/J68,0)</f>
        <v>0.0870591355078229</v>
      </c>
      <c r="M68" s="39" t="n">
        <f aca="false">IFERROR(F68/J68,0)</f>
        <v>0.120312914346327</v>
      </c>
      <c r="N68" s="39" t="n">
        <f aca="false">IFERROR(G68/J68,0)</f>
        <v>0.165155131264916</v>
      </c>
      <c r="O68" s="39" t="n">
        <f aca="false">IFERROR(H68/J68,0)</f>
        <v>0.14608857067091</v>
      </c>
      <c r="P68" s="39" t="n">
        <f aca="false">IFERROR(I68/J68,0)</f>
        <v>0.00928135773004508</v>
      </c>
      <c r="Q68" s="38" t="n">
        <f aca="false">D68*INDEX(Régions!$T$2:$T$6,MATCH($B68,Régions!$A$2:$A$6,0))</f>
        <v>14853.0243337196</v>
      </c>
      <c r="R68" s="38" t="n">
        <f aca="false">E68*INDEX(Régions!$U$2:$U$6,MATCH($B68,Régions!$A$2:$A$6,0))</f>
        <v>3935.10273972603</v>
      </c>
      <c r="S68" s="38" t="n">
        <f aca="false">F68*INDEX(Régions!$V$2:$V$6,MATCH($B68,Régions!$A$2:$A$6,0))</f>
        <v>1782.71119842829</v>
      </c>
      <c r="T68" s="38" t="n">
        <f aca="false">G68*INDEX(Régions!$W$2:$W$6,MATCH($B68,Régions!$A$2:$A$6,0))</f>
        <v>13141.2207987943</v>
      </c>
      <c r="U68" s="38" t="n">
        <f aca="false">H68*INDEX(Régions!$X$2:$X$6,MATCH($B68,Régions!$A$2:$A$6,0))</f>
        <v>5658.16993464052</v>
      </c>
      <c r="V68" s="38" t="n">
        <f aca="false">I68*INDEX(Régions!$Y$2:$Y$6,MATCH($B68,Régions!$A$2:$A$6,0))</f>
        <v>330.188679245283</v>
      </c>
      <c r="W68" s="38" t="n">
        <f aca="false">Q68+(AU68/100)*J68*Régions!$O$2</f>
        <v>15856.1103337196</v>
      </c>
      <c r="X68" s="38" t="n">
        <f aca="false">R68+(AV68/100)*J68*Régions!$O$2</f>
        <v>3369.64128972603</v>
      </c>
      <c r="Y68" s="38" t="n">
        <f aca="false">S68+(AW68/100)*J68*Régions!$O$2</f>
        <v>2110.59964842829</v>
      </c>
      <c r="Z68" s="38" t="n">
        <f aca="false">T68+(AX68/100)*J68*Régions!$O$2</f>
        <v>13560.1788987943</v>
      </c>
      <c r="AA68" s="38" t="n">
        <f aca="false">U68</f>
        <v>5658.16993464052</v>
      </c>
      <c r="AB68" s="38" t="n">
        <f aca="false">V68</f>
        <v>330.188679245283</v>
      </c>
      <c r="AC68" s="38" t="n">
        <f aca="false">D68*INDEX(Régions!$Z$2:$Z$6,MATCH($B68,Régions!$A$2:$A$6,0))</f>
        <v>16214.5515643105</v>
      </c>
      <c r="AD68" s="38" t="n">
        <f aca="false">E68*INDEX(Régions!$AA$2:$AA$6,MATCH($B68,Régions!$A$2:$A$6,0))</f>
        <v>5790.22260273973</v>
      </c>
      <c r="AE68" s="38" t="n">
        <f aca="false">F68*INDEX(Régions!$AB$2:$AB$6,MATCH($B68,Régions!$A$2:$A$6,0))</f>
        <v>2763.20235756385</v>
      </c>
      <c r="AF68" s="38" t="n">
        <f aca="false">G68*INDEX(Régions!$AC$2:$AC$6,MATCH($B68,Régions!$A$2:$A$6,0))</f>
        <v>14690.007535795</v>
      </c>
      <c r="AG68" s="38" t="n">
        <f aca="false">H68*INDEX(Régions!$AD$2:$AD$6,MATCH($B68,Régions!$A$2:$A$6,0))</f>
        <v>6506.8954248366</v>
      </c>
      <c r="AH68" s="38" t="n">
        <f aca="false">I68*INDEX(Régions!$AE$2:$AE$6,MATCH($B68,Régions!$A$2:$A$6,0))</f>
        <v>1419.81132075472</v>
      </c>
      <c r="AI68" s="38" t="n">
        <f aca="false">D68*INDEX(Régions!$AF$2:$AF$6,MATCH($B68,Régions!$A$2:$A$6,0))</f>
        <v>13491.4971031286</v>
      </c>
      <c r="AJ68" s="38" t="n">
        <f aca="false">E68*INDEX(Régions!$AG$2:$AG$6,MATCH($B68,Régions!$A$2:$A$6,0))</f>
        <v>2079.98287671233</v>
      </c>
      <c r="AK68" s="38" t="n">
        <f aca="false">F68*INDEX(Régions!$AH$2:$AH$6,MATCH($B68,Régions!$A$2:$A$6,0))</f>
        <v>802.220039292731</v>
      </c>
      <c r="AL68" s="38" t="n">
        <f aca="false">G68*INDEX(Régions!$AI$2:$AI$6,MATCH($B68,Régions!$A$2:$A$6,0))</f>
        <v>11592.4340617935</v>
      </c>
      <c r="AM68" s="38" t="n">
        <f aca="false">H68*INDEX(Régions!$AJ$2:$AJ$6,MATCH($B68,Régions!$A$2:$A$6,0))</f>
        <v>4809.44444444444</v>
      </c>
      <c r="AN68" s="38" t="n">
        <f aca="false">I68*INDEX(Régions!$AK$2:$AK$6,MATCH($B68,Régions!$A$2:$A$6,0))</f>
        <v>0</v>
      </c>
      <c r="AO68" s="40" t="str">
        <f aca="false">INDEX({"CAQ","PLQ","QS","PQ","PCQ","Autre"},MATCH(MAX(Q68:V68),Q68:V68,0))</f>
        <v>CAQ</v>
      </c>
      <c r="AP68" s="40" t="str">
        <f aca="false">INDEX({"CAQ","PLQ","QS","PQ","PCQ","Autre"},MATCH(MAX(W68:AB68),W68:AB68,0))</f>
        <v>CAQ</v>
      </c>
      <c r="AQ68" s="40" t="str">
        <f aca="false">INDEX({"CAQ","PLQ","QS","PQ","PCQ","Autre"},MATCH(MAX(AC68:AH68),AC68:AH68,0))</f>
        <v>CAQ</v>
      </c>
      <c r="AR68" s="40" t="str">
        <f aca="false">INDEX({"CAQ","PLQ","QS","PQ","PCQ","Autre"},MATCH(MAX(AI68:AN68),AI68:AN68,0))</f>
        <v>CAQ</v>
      </c>
      <c r="AS68" s="41" t="n">
        <f aca="false">(MAX(K68:P68)-LARGE(K68:P68,2))*100</f>
        <v>30.6947759215062</v>
      </c>
      <c r="AT68" s="42" t="str">
        <f aca="false">IF(AS68&lt;5,"Oui","Non")</f>
        <v>Non</v>
      </c>
      <c r="AU68" s="43" t="n">
        <v>5.32</v>
      </c>
      <c r="AV68" s="43" t="n">
        <v>-2.999</v>
      </c>
      <c r="AW68" s="43" t="n">
        <v>1.739</v>
      </c>
      <c r="AX68" s="43" t="n">
        <v>2.222</v>
      </c>
    </row>
    <row r="69" customFormat="false" ht="15" hidden="false" customHeight="true" outlineLevel="0" collapsed="false">
      <c r="A69" s="44" t="s">
        <v>140</v>
      </c>
      <c r="B69" s="44" t="s">
        <v>73</v>
      </c>
      <c r="C69" s="45" t="s">
        <v>4</v>
      </c>
      <c r="D69" s="46" t="n">
        <v>6533</v>
      </c>
      <c r="E69" s="46" t="n">
        <v>12635</v>
      </c>
      <c r="F69" s="46" t="n">
        <v>2898</v>
      </c>
      <c r="G69" s="46" t="n">
        <v>1966</v>
      </c>
      <c r="H69" s="46" t="n">
        <v>3103</v>
      </c>
      <c r="I69" s="46" t="n">
        <v>1081</v>
      </c>
      <c r="J69" s="47" t="n">
        <f aca="false">SUM(D69:I69)</f>
        <v>28216</v>
      </c>
      <c r="K69" s="48" t="n">
        <f aca="false">IFERROR(D69/J69,0)</f>
        <v>0.231535299121066</v>
      </c>
      <c r="L69" s="48" t="n">
        <f aca="false">IFERROR(E69/J69,0)</f>
        <v>0.447795576977601</v>
      </c>
      <c r="M69" s="48" t="n">
        <f aca="false">IFERROR(F69/J69,0)</f>
        <v>0.102707683583782</v>
      </c>
      <c r="N69" s="48" t="n">
        <f aca="false">IFERROR(G69/J69,0)</f>
        <v>0.0696767791324072</v>
      </c>
      <c r="O69" s="48" t="n">
        <f aca="false">IFERROR(H69/J69,0)</f>
        <v>0.109973064927701</v>
      </c>
      <c r="P69" s="48" t="n">
        <f aca="false">IFERROR(I69/J69,0)</f>
        <v>0.0383115962574426</v>
      </c>
      <c r="Q69" s="47" t="n">
        <f aca="false">D69*INDEX(Régions!$T$2:$T$6,MATCH($B69,Régions!$A$2:$A$6,0))</f>
        <v>4897.30134932534</v>
      </c>
      <c r="R69" s="47" t="n">
        <f aca="false">E69*INDEX(Régions!$U$2:$U$6,MATCH($B69,Régions!$A$2:$A$6,0))</f>
        <v>12612.7422196124</v>
      </c>
      <c r="S69" s="47" t="n">
        <f aca="false">F69*INDEX(Régions!$V$2:$V$6,MATCH($B69,Régions!$A$2:$A$6,0))</f>
        <v>2224.19864559819</v>
      </c>
      <c r="T69" s="47" t="n">
        <f aca="false">G69*INDEX(Régions!$W$2:$W$6,MATCH($B69,Régions!$A$2:$A$6,0))</f>
        <v>4422.11808809747</v>
      </c>
      <c r="U69" s="47" t="n">
        <f aca="false">H69*INDEX(Régions!$X$2:$X$6,MATCH($B69,Régions!$A$2:$A$6,0))</f>
        <v>2489.86960882648</v>
      </c>
      <c r="V69" s="47" t="n">
        <f aca="false">I69*INDEX(Régions!$Y$2:$Y$6,MATCH($B69,Régions!$A$2:$A$6,0))</f>
        <v>690.73482428115</v>
      </c>
      <c r="W69" s="47" t="n">
        <f aca="false">Q69+(AU69/100)*J69*Régions!$O$2</f>
        <v>4553.34830932534</v>
      </c>
      <c r="X69" s="47" t="n">
        <f aca="false">R69+(AV69/100)*J69*Régions!$O$2</f>
        <v>12592.8499396124</v>
      </c>
      <c r="Y69" s="47" t="n">
        <f aca="false">S69+(AW69/100)*J69*Régions!$O$2</f>
        <v>2090.31372559819</v>
      </c>
      <c r="Z69" s="47" t="n">
        <f aca="false">T69+(AX69/100)*J69*Régions!$O$2</f>
        <v>4389.52860809747</v>
      </c>
      <c r="AA69" s="47" t="n">
        <f aca="false">U69</f>
        <v>2489.86960882648</v>
      </c>
      <c r="AB69" s="47" t="n">
        <f aca="false">V69</f>
        <v>690.73482428115</v>
      </c>
      <c r="AC69" s="47" t="n">
        <f aca="false">D69*INDEX(Régions!$Z$2:$Z$6,MATCH($B69,Régions!$A$2:$A$6,0))</f>
        <v>5974.70764617691</v>
      </c>
      <c r="AD69" s="47" t="n">
        <f aca="false">E69*INDEX(Régions!$AA$2:$AA$6,MATCH($B69,Régions!$A$2:$A$6,0))</f>
        <v>13836.9201409278</v>
      </c>
      <c r="AE69" s="47" t="n">
        <f aca="false">F69*INDEX(Régions!$AB$2:$AB$6,MATCH($B69,Régions!$A$2:$A$6,0))</f>
        <v>2655.95485327314</v>
      </c>
      <c r="AF69" s="47" t="n">
        <f aca="false">G69*INDEX(Régions!$AC$2:$AC$6,MATCH($B69,Régions!$A$2:$A$6,0))</f>
        <v>5030.15932521087</v>
      </c>
      <c r="AG69" s="47" t="n">
        <f aca="false">H69*INDEX(Régions!$AD$2:$AD$6,MATCH($B69,Régions!$A$2:$A$6,0))</f>
        <v>3516.9408224674</v>
      </c>
      <c r="AH69" s="47" t="n">
        <f aca="false">I69*INDEX(Régions!$AE$2:$AE$6,MATCH($B69,Régions!$A$2:$A$6,0))</f>
        <v>1830.44728434505</v>
      </c>
      <c r="AI69" s="47" t="n">
        <f aca="false">D69*INDEX(Régions!$AF$2:$AF$6,MATCH($B69,Régions!$A$2:$A$6,0))</f>
        <v>3819.89505247376</v>
      </c>
      <c r="AJ69" s="47" t="n">
        <f aca="false">E69*INDEX(Régions!$AG$2:$AG$6,MATCH($B69,Régions!$A$2:$A$6,0))</f>
        <v>11388.5642982971</v>
      </c>
      <c r="AK69" s="47" t="n">
        <f aca="false">F69*INDEX(Régions!$AH$2:$AH$6,MATCH($B69,Régions!$A$2:$A$6,0))</f>
        <v>1792.44243792325</v>
      </c>
      <c r="AL69" s="47" t="n">
        <f aca="false">G69*INDEX(Régions!$AI$2:$AI$6,MATCH($B69,Régions!$A$2:$A$6,0))</f>
        <v>3814.07685098407</v>
      </c>
      <c r="AM69" s="47" t="n">
        <f aca="false">H69*INDEX(Régions!$AJ$2:$AJ$6,MATCH($B69,Régions!$A$2:$A$6,0))</f>
        <v>1462.79839518556</v>
      </c>
      <c r="AN69" s="47" t="n">
        <f aca="false">I69*INDEX(Régions!$AK$2:$AK$6,MATCH($B69,Régions!$A$2:$A$6,0))</f>
        <v>0</v>
      </c>
      <c r="AO69" s="49" t="str">
        <f aca="false">INDEX({"CAQ","PLQ","QS","PQ","PCQ","Autre"},MATCH(MAX(Q69:V69),Q69:V69,0))</f>
        <v>PLQ</v>
      </c>
      <c r="AP69" s="49" t="str">
        <f aca="false">INDEX({"CAQ","PLQ","QS","PQ","PCQ","Autre"},MATCH(MAX(W69:AB69),W69:AB69,0))</f>
        <v>PLQ</v>
      </c>
      <c r="AQ69" s="49" t="str">
        <f aca="false">INDEX({"CAQ","PLQ","QS","PQ","PCQ","Autre"},MATCH(MAX(AC69:AH69),AC69:AH69,0))</f>
        <v>PLQ</v>
      </c>
      <c r="AR69" s="49" t="str">
        <f aca="false">INDEX({"CAQ","PLQ","QS","PQ","PCQ","Autre"},MATCH(MAX(AI69:AN69),AI69:AN69,0))</f>
        <v>PLQ</v>
      </c>
      <c r="AS69" s="50" t="n">
        <f aca="false">(MAX(K69:P69)-LARGE(K69:P69,2))*100</f>
        <v>21.6260277856535</v>
      </c>
      <c r="AT69" s="51" t="str">
        <f aca="false">IF(AS69&lt;5,"Oui","Non")</f>
        <v>Non</v>
      </c>
      <c r="AU69" s="52" t="n">
        <v>-2.438</v>
      </c>
      <c r="AV69" s="52" t="n">
        <v>-0.141</v>
      </c>
      <c r="AW69" s="52" t="n">
        <v>-0.949</v>
      </c>
      <c r="AX69" s="52" t="n">
        <v>-0.231</v>
      </c>
    </row>
    <row r="70" customFormat="false" ht="15" hidden="false" customHeight="true" outlineLevel="0" collapsed="false">
      <c r="A70" s="35" t="s">
        <v>141</v>
      </c>
      <c r="B70" s="35" t="s">
        <v>80</v>
      </c>
      <c r="C70" s="36" t="s">
        <v>3</v>
      </c>
      <c r="D70" s="37" t="n">
        <v>9212</v>
      </c>
      <c r="E70" s="37" t="n">
        <v>2793</v>
      </c>
      <c r="F70" s="37" t="n">
        <v>6307</v>
      </c>
      <c r="G70" s="37" t="n">
        <v>6913</v>
      </c>
      <c r="H70" s="37" t="n">
        <v>1952</v>
      </c>
      <c r="I70" s="37" t="n">
        <v>643</v>
      </c>
      <c r="J70" s="38" t="n">
        <f aca="false">SUM(D70:I70)</f>
        <v>27820</v>
      </c>
      <c r="K70" s="39" t="n">
        <f aca="false">IFERROR(D70/J70,0)</f>
        <v>0.331128684399712</v>
      </c>
      <c r="L70" s="39" t="n">
        <f aca="false">IFERROR(E70/J70,0)</f>
        <v>0.10039539899353</v>
      </c>
      <c r="M70" s="39" t="n">
        <f aca="false">IFERROR(F70/J70,0)</f>
        <v>0.226707404744788</v>
      </c>
      <c r="N70" s="39" t="n">
        <f aca="false">IFERROR(G70/J70,0)</f>
        <v>0.248490294751977</v>
      </c>
      <c r="O70" s="39" t="n">
        <f aca="false">IFERROR(H70/J70,0)</f>
        <v>0.0701653486700216</v>
      </c>
      <c r="P70" s="39" t="n">
        <f aca="false">IFERROR(I70/J70,0)</f>
        <v>0.0231128684399712</v>
      </c>
      <c r="Q70" s="38" t="n">
        <f aca="false">D70*INDEX(Régions!$T$2:$T$6,MATCH($B70,Régions!$A$2:$A$6,0))</f>
        <v>6511.68544289817</v>
      </c>
      <c r="R70" s="38" t="n">
        <f aca="false">E70*INDEX(Régions!$U$2:$U$6,MATCH($B70,Régions!$A$2:$A$6,0))</f>
        <v>3568.0624556423</v>
      </c>
      <c r="S70" s="38" t="n">
        <f aca="false">F70*INDEX(Régions!$V$2:$V$6,MATCH($B70,Régions!$A$2:$A$6,0))</f>
        <v>3180.76368876081</v>
      </c>
      <c r="T70" s="38" t="n">
        <f aca="false">G70*INDEX(Régions!$W$2:$W$6,MATCH($B70,Régions!$A$2:$A$6,0))</f>
        <v>13608.2677165354</v>
      </c>
      <c r="U70" s="38" t="n">
        <f aca="false">H70*INDEX(Régions!$X$2:$X$6,MATCH($B70,Régions!$A$2:$A$6,0))</f>
        <v>2278.59922178988</v>
      </c>
      <c r="V70" s="38" t="n">
        <f aca="false">I70*INDEX(Régions!$Y$2:$Y$6,MATCH($B70,Régions!$A$2:$A$6,0))</f>
        <v>518.548387096774</v>
      </c>
      <c r="W70" s="38" t="n">
        <f aca="false">Q70+(AU70/100)*J70*Régions!$O$2</f>
        <v>6727.56864289817</v>
      </c>
      <c r="X70" s="38" t="n">
        <f aca="false">R70+(AV70/100)*J70*Régions!$O$2</f>
        <v>3807.4535556423</v>
      </c>
      <c r="Y70" s="38" t="n">
        <f aca="false">S70+(AW70/100)*J70*Régions!$O$2</f>
        <v>3417.65098876081</v>
      </c>
      <c r="Z70" s="38" t="n">
        <f aca="false">T70+(AX70/100)*J70*Régions!$O$2</f>
        <v>13198.0618165354</v>
      </c>
      <c r="AA70" s="38" t="n">
        <f aca="false">U70</f>
        <v>2278.59922178988</v>
      </c>
      <c r="AB70" s="38" t="n">
        <f aca="false">V70</f>
        <v>518.548387096774</v>
      </c>
      <c r="AC70" s="38" t="n">
        <f aca="false">D70*INDEX(Régions!$Z$2:$Z$6,MATCH($B70,Régions!$A$2:$A$6,0))</f>
        <v>7183.20300419704</v>
      </c>
      <c r="AD70" s="38" t="n">
        <f aca="false">E70*INDEX(Régions!$AA$2:$AA$6,MATCH($B70,Régions!$A$2:$A$6,0))</f>
        <v>4222.20723917672</v>
      </c>
      <c r="AE70" s="38" t="n">
        <f aca="false">F70*INDEX(Régions!$AB$2:$AB$6,MATCH($B70,Régions!$A$2:$A$6,0))</f>
        <v>4680.26657060519</v>
      </c>
      <c r="AF70" s="38" t="n">
        <f aca="false">G70*INDEX(Régions!$AC$2:$AC$6,MATCH($B70,Régions!$A$2:$A$6,0))</f>
        <v>15105.1771653543</v>
      </c>
      <c r="AG70" s="38" t="n">
        <f aca="false">H70*INDEX(Régions!$AD$2:$AD$6,MATCH($B70,Régions!$A$2:$A$6,0))</f>
        <v>2905.2140077821</v>
      </c>
      <c r="AH70" s="38" t="n">
        <f aca="false">I70*INDEX(Régions!$AE$2:$AE$6,MATCH($B70,Régions!$A$2:$A$6,0))</f>
        <v>2229.75806451613</v>
      </c>
      <c r="AI70" s="38" t="n">
        <f aca="false">D70*INDEX(Régions!$AF$2:$AF$6,MATCH($B70,Régions!$A$2:$A$6,0))</f>
        <v>5840.16788159929</v>
      </c>
      <c r="AJ70" s="38" t="n">
        <f aca="false">E70*INDEX(Régions!$AG$2:$AG$6,MATCH($B70,Régions!$A$2:$A$6,0))</f>
        <v>2913.91767210788</v>
      </c>
      <c r="AK70" s="38" t="n">
        <f aca="false">F70*INDEX(Régions!$AH$2:$AH$6,MATCH($B70,Régions!$A$2:$A$6,0))</f>
        <v>1681.26080691643</v>
      </c>
      <c r="AL70" s="38" t="n">
        <f aca="false">G70*INDEX(Régions!$AI$2:$AI$6,MATCH($B70,Régions!$A$2:$A$6,0))</f>
        <v>12111.3582677165</v>
      </c>
      <c r="AM70" s="38" t="n">
        <f aca="false">H70*INDEX(Régions!$AJ$2:$AJ$6,MATCH($B70,Régions!$A$2:$A$6,0))</f>
        <v>1651.98443579767</v>
      </c>
      <c r="AN70" s="38" t="n">
        <f aca="false">I70*INDEX(Régions!$AK$2:$AK$6,MATCH($B70,Régions!$A$2:$A$6,0))</f>
        <v>0</v>
      </c>
      <c r="AO70" s="40" t="str">
        <f aca="false">INDEX({"CAQ","PLQ","QS","PQ","PCQ","Autre"},MATCH(MAX(Q70:V70),Q70:V70,0))</f>
        <v>PQ</v>
      </c>
      <c r="AP70" s="40" t="str">
        <f aca="false">INDEX({"CAQ","PLQ","QS","PQ","PCQ","Autre"},MATCH(MAX(W70:AB70),W70:AB70,0))</f>
        <v>PQ</v>
      </c>
      <c r="AQ70" s="40" t="str">
        <f aca="false">INDEX({"CAQ","PLQ","QS","PQ","PCQ","Autre"},MATCH(MAX(AC70:AH70),AC70:AH70,0))</f>
        <v>PQ</v>
      </c>
      <c r="AR70" s="40" t="str">
        <f aca="false">INDEX({"CAQ","PLQ","QS","PQ","PCQ","Autre"},MATCH(MAX(AI70:AN70),AI70:AN70,0))</f>
        <v>PQ</v>
      </c>
      <c r="AS70" s="41" t="n">
        <f aca="false">(MAX(K70:P70)-LARGE(K70:P70,2))*100</f>
        <v>8.26383896477355</v>
      </c>
      <c r="AT70" s="42" t="str">
        <f aca="false">IF(AS70&lt;5,"Oui","Non")</f>
        <v>Non</v>
      </c>
      <c r="AU70" s="43" t="n">
        <v>1.552</v>
      </c>
      <c r="AV70" s="43" t="n">
        <v>1.721</v>
      </c>
      <c r="AW70" s="43" t="n">
        <v>1.703</v>
      </c>
      <c r="AX70" s="43" t="n">
        <v>-2.949</v>
      </c>
    </row>
    <row r="71" customFormat="false" ht="15" hidden="false" customHeight="true" outlineLevel="0" collapsed="false">
      <c r="A71" s="44" t="s">
        <v>142</v>
      </c>
      <c r="B71" s="44" t="s">
        <v>73</v>
      </c>
      <c r="C71" s="45" t="s">
        <v>4</v>
      </c>
      <c r="D71" s="46" t="n">
        <v>5722</v>
      </c>
      <c r="E71" s="46" t="n">
        <v>12255</v>
      </c>
      <c r="F71" s="46" t="n">
        <v>2956</v>
      </c>
      <c r="G71" s="46" t="n">
        <v>2114</v>
      </c>
      <c r="H71" s="46" t="n">
        <v>2395</v>
      </c>
      <c r="I71" s="46" t="n">
        <v>782</v>
      </c>
      <c r="J71" s="47" t="n">
        <f aca="false">SUM(D71:I71)</f>
        <v>26224</v>
      </c>
      <c r="K71" s="48" t="n">
        <f aca="false">IFERROR(D71/J71,0)</f>
        <v>0.218197071384991</v>
      </c>
      <c r="L71" s="48" t="n">
        <f aca="false">IFERROR(E71/J71,0)</f>
        <v>0.467320012202563</v>
      </c>
      <c r="M71" s="48" t="n">
        <f aca="false">IFERROR(F71/J71,0)</f>
        <v>0.112721171446004</v>
      </c>
      <c r="N71" s="48" t="n">
        <f aca="false">IFERROR(G71/J71,0)</f>
        <v>0.0806131787675412</v>
      </c>
      <c r="O71" s="48" t="n">
        <f aca="false">IFERROR(H71/J71,0)</f>
        <v>0.0913285539963392</v>
      </c>
      <c r="P71" s="48" t="n">
        <f aca="false">IFERROR(I71/J71,0)</f>
        <v>0.0298200122025625</v>
      </c>
      <c r="Q71" s="47" t="n">
        <f aca="false">D71*INDEX(Régions!$T$2:$T$6,MATCH($B71,Régions!$A$2:$A$6,0))</f>
        <v>4289.35532233883</v>
      </c>
      <c r="R71" s="47" t="n">
        <f aca="false">E71*INDEX(Régions!$U$2:$U$6,MATCH($B71,Régions!$A$2:$A$6,0))</f>
        <v>12233.4116265414</v>
      </c>
      <c r="S71" s="47" t="n">
        <f aca="false">F71*INDEX(Régions!$V$2:$V$6,MATCH($B71,Régions!$A$2:$A$6,0))</f>
        <v>2268.71331828442</v>
      </c>
      <c r="T71" s="47" t="n">
        <f aca="false">G71*INDEX(Régions!$W$2:$W$6,MATCH($B71,Régions!$A$2:$A$6,0))</f>
        <v>4755.01405810684</v>
      </c>
      <c r="U71" s="47" t="n">
        <f aca="false">H71*INDEX(Régions!$X$2:$X$6,MATCH($B71,Régions!$A$2:$A$6,0))</f>
        <v>1921.76529588766</v>
      </c>
      <c r="V71" s="47" t="n">
        <f aca="false">I71*INDEX(Régions!$Y$2:$Y$6,MATCH($B71,Régions!$A$2:$A$6,0))</f>
        <v>499.680511182109</v>
      </c>
      <c r="W71" s="47" t="n">
        <f aca="false">Q71+(AU71/100)*J71*Régions!$O$2</f>
        <v>3157.00300233883</v>
      </c>
      <c r="X71" s="47" t="n">
        <f aca="false">R71+(AV71/100)*J71*Régions!$O$2</f>
        <v>13834.5179465414</v>
      </c>
      <c r="Y71" s="47" t="n">
        <f aca="false">S71+(AW71/100)*J71*Régions!$O$2</f>
        <v>2182.30523828442</v>
      </c>
      <c r="Z71" s="47" t="n">
        <f aca="false">T71+(AX71/100)*J71*Régions!$O$2</f>
        <v>4955.36541810684</v>
      </c>
      <c r="AA71" s="47" t="n">
        <f aca="false">U71</f>
        <v>1921.76529588766</v>
      </c>
      <c r="AB71" s="47" t="n">
        <f aca="false">V71</f>
        <v>499.680511182109</v>
      </c>
      <c r="AC71" s="47" t="n">
        <f aca="false">D71*INDEX(Régions!$Z$2:$Z$6,MATCH($B71,Régions!$A$2:$A$6,0))</f>
        <v>5233.01349325337</v>
      </c>
      <c r="AD71" s="47" t="n">
        <f aca="false">E71*INDEX(Régions!$AA$2:$AA$6,MATCH($B71,Régions!$A$2:$A$6,0))</f>
        <v>13420.7721667645</v>
      </c>
      <c r="AE71" s="47" t="n">
        <f aca="false">F71*INDEX(Régions!$AB$2:$AB$6,MATCH($B71,Régions!$A$2:$A$6,0))</f>
        <v>2709.11060948081</v>
      </c>
      <c r="AF71" s="47" t="n">
        <f aca="false">G71*INDEX(Régions!$AC$2:$AC$6,MATCH($B71,Régions!$A$2:$A$6,0))</f>
        <v>5408.82849109653</v>
      </c>
      <c r="AG71" s="47" t="n">
        <f aca="false">H71*INDEX(Régions!$AD$2:$AD$6,MATCH($B71,Régions!$A$2:$A$6,0))</f>
        <v>2714.49348044132</v>
      </c>
      <c r="AH71" s="47" t="n">
        <f aca="false">I71*INDEX(Régions!$AE$2:$AE$6,MATCH($B71,Régions!$A$2:$A$6,0))</f>
        <v>1324.15335463259</v>
      </c>
      <c r="AI71" s="47" t="n">
        <f aca="false">D71*INDEX(Régions!$AF$2:$AF$6,MATCH($B71,Régions!$A$2:$A$6,0))</f>
        <v>3345.69715142429</v>
      </c>
      <c r="AJ71" s="47" t="n">
        <f aca="false">E71*INDEX(Régions!$AG$2:$AG$6,MATCH($B71,Régions!$A$2:$A$6,0))</f>
        <v>11046.0510863183</v>
      </c>
      <c r="AK71" s="47" t="n">
        <f aca="false">F71*INDEX(Régions!$AH$2:$AH$6,MATCH($B71,Régions!$A$2:$A$6,0))</f>
        <v>1828.31602708804</v>
      </c>
      <c r="AL71" s="47" t="n">
        <f aca="false">G71*INDEX(Régions!$AI$2:$AI$6,MATCH($B71,Régions!$A$2:$A$6,0))</f>
        <v>4101.19962511715</v>
      </c>
      <c r="AM71" s="47" t="n">
        <f aca="false">H71*INDEX(Régions!$AJ$2:$AJ$6,MATCH($B71,Régions!$A$2:$A$6,0))</f>
        <v>1129.037111334</v>
      </c>
      <c r="AN71" s="47" t="n">
        <f aca="false">I71*INDEX(Régions!$AK$2:$AK$6,MATCH($B71,Régions!$A$2:$A$6,0))</f>
        <v>0</v>
      </c>
      <c r="AO71" s="49" t="str">
        <f aca="false">INDEX({"CAQ","PLQ","QS","PQ","PCQ","Autre"},MATCH(MAX(Q71:V71),Q71:V71,0))</f>
        <v>PLQ</v>
      </c>
      <c r="AP71" s="49" t="str">
        <f aca="false">INDEX({"CAQ","PLQ","QS","PQ","PCQ","Autre"},MATCH(MAX(W71:AB71),W71:AB71,0))</f>
        <v>PLQ</v>
      </c>
      <c r="AQ71" s="49" t="str">
        <f aca="false">INDEX({"CAQ","PLQ","QS","PQ","PCQ","Autre"},MATCH(MAX(AC71:AH71),AC71:AH71,0))</f>
        <v>PLQ</v>
      </c>
      <c r="AR71" s="49" t="str">
        <f aca="false">INDEX({"CAQ","PLQ","QS","PQ","PCQ","Autre"},MATCH(MAX(AI71:AN71),AI71:AN71,0))</f>
        <v>PLQ</v>
      </c>
      <c r="AS71" s="50" t="n">
        <f aca="false">(MAX(K71:P71)-LARGE(K71:P71,2))*100</f>
        <v>24.9122940817572</v>
      </c>
      <c r="AT71" s="51" t="str">
        <f aca="false">IF(AS71&lt;5,"Oui","Non")</f>
        <v>Non</v>
      </c>
      <c r="AU71" s="52" t="n">
        <v>-8.636</v>
      </c>
      <c r="AV71" s="52" t="n">
        <v>12.211</v>
      </c>
      <c r="AW71" s="52" t="n">
        <v>-0.659</v>
      </c>
      <c r="AX71" s="52" t="n">
        <v>1.528</v>
      </c>
    </row>
    <row r="72" customFormat="false" ht="15" hidden="false" customHeight="true" outlineLevel="0" collapsed="false">
      <c r="A72" s="35" t="s">
        <v>143</v>
      </c>
      <c r="B72" s="35" t="s">
        <v>70</v>
      </c>
      <c r="C72" s="36" t="s">
        <v>3</v>
      </c>
      <c r="D72" s="37" t="n">
        <v>17096</v>
      </c>
      <c r="E72" s="37" t="n">
        <v>1619</v>
      </c>
      <c r="F72" s="37" t="n">
        <v>3162</v>
      </c>
      <c r="G72" s="37" t="n">
        <v>4519</v>
      </c>
      <c r="H72" s="37" t="n">
        <v>5131</v>
      </c>
      <c r="I72" s="37" t="n">
        <v>426</v>
      </c>
      <c r="J72" s="38" t="n">
        <f aca="false">SUM(D72:I72)</f>
        <v>31953</v>
      </c>
      <c r="K72" s="39" t="n">
        <f aca="false">IFERROR(D72/J72,0)</f>
        <v>0.535035833881013</v>
      </c>
      <c r="L72" s="39" t="n">
        <f aca="false">IFERROR(E72/J72,0)</f>
        <v>0.0506681688730323</v>
      </c>
      <c r="M72" s="39" t="n">
        <f aca="false">IFERROR(F72/J72,0)</f>
        <v>0.0989578443338654</v>
      </c>
      <c r="N72" s="39" t="n">
        <f aca="false">IFERROR(G72/J72,0)</f>
        <v>0.141426470128001</v>
      </c>
      <c r="O72" s="39" t="n">
        <f aca="false">IFERROR(H72/J72,0)</f>
        <v>0.160579601289394</v>
      </c>
      <c r="P72" s="39" t="n">
        <f aca="false">IFERROR(I72/J72,0)</f>
        <v>0.0133320814946953</v>
      </c>
      <c r="Q72" s="38" t="n">
        <f aca="false">D72*INDEX(Régions!$T$2:$T$6,MATCH($B72,Régions!$A$2:$A$6,0))</f>
        <v>10098.9029535865</v>
      </c>
      <c r="R72" s="38" t="n">
        <f aca="false">E72*INDEX(Régions!$U$2:$U$6,MATCH($B72,Régions!$A$2:$A$6,0))</f>
        <v>3705.86552217454</v>
      </c>
      <c r="S72" s="38" t="n">
        <f aca="false">F72*INDEX(Régions!$V$2:$V$6,MATCH($B72,Régions!$A$2:$A$6,0))</f>
        <v>1894.83146067416</v>
      </c>
      <c r="T72" s="38" t="n">
        <f aca="false">G72*INDEX(Régions!$W$2:$W$6,MATCH($B72,Régions!$A$2:$A$6,0))</f>
        <v>7899.39722724533</v>
      </c>
      <c r="U72" s="38" t="n">
        <f aca="false">H72*INDEX(Régions!$X$2:$X$6,MATCH($B72,Régions!$A$2:$A$6,0))</f>
        <v>5830.68181818182</v>
      </c>
      <c r="V72" s="38" t="n">
        <f aca="false">I72*INDEX(Régions!$Y$2:$Y$6,MATCH($B72,Régions!$A$2:$A$6,0))</f>
        <v>600</v>
      </c>
      <c r="W72" s="38" t="n">
        <f aca="false">Q72+(AU72/100)*J72*Régions!$O$2</f>
        <v>10876.6389735865</v>
      </c>
      <c r="X72" s="38" t="n">
        <f aca="false">R72+(AV72/100)*J72*Régions!$O$2</f>
        <v>2098.94915217454</v>
      </c>
      <c r="Y72" s="38" t="n">
        <f aca="false">S72+(AW72/100)*J72*Régions!$O$2</f>
        <v>1709.82359067416</v>
      </c>
      <c r="Z72" s="38" t="n">
        <f aca="false">T72+(AX72/100)*J72*Régions!$O$2</f>
        <v>8784.33556224533</v>
      </c>
      <c r="AA72" s="38" t="n">
        <f aca="false">U72</f>
        <v>5830.68181818182</v>
      </c>
      <c r="AB72" s="38" t="n">
        <f aca="false">V72</f>
        <v>600</v>
      </c>
      <c r="AC72" s="38" t="n">
        <f aca="false">D72*INDEX(Régions!$Z$2:$Z$6,MATCH($B72,Régions!$A$2:$A$6,0))</f>
        <v>11289.1308016878</v>
      </c>
      <c r="AD72" s="38" t="n">
        <f aca="false">E72*INDEX(Régions!$AA$2:$AA$6,MATCH($B72,Régions!$A$2:$A$6,0))</f>
        <v>4470.20028612303</v>
      </c>
      <c r="AE72" s="38" t="n">
        <f aca="false">F72*INDEX(Régions!$AB$2:$AB$6,MATCH($B72,Régions!$A$2:$A$6,0))</f>
        <v>2676.44943820225</v>
      </c>
      <c r="AF72" s="38" t="n">
        <f aca="false">G72*INDEX(Régions!$AC$2:$AC$6,MATCH($B72,Régions!$A$2:$A$6,0))</f>
        <v>8798.29415310428</v>
      </c>
      <c r="AG72" s="38" t="n">
        <f aca="false">H72*INDEX(Régions!$AD$2:$AD$6,MATCH($B72,Régions!$A$2:$A$6,0))</f>
        <v>6962.52005347594</v>
      </c>
      <c r="AH72" s="38" t="n">
        <f aca="false">I72*INDEX(Régions!$AE$2:$AE$6,MATCH($B72,Régions!$A$2:$A$6,0))</f>
        <v>2580</v>
      </c>
      <c r="AI72" s="38" t="n">
        <f aca="false">D72*INDEX(Régions!$AF$2:$AF$6,MATCH($B72,Régions!$A$2:$A$6,0))</f>
        <v>8908.67510548523</v>
      </c>
      <c r="AJ72" s="38" t="n">
        <f aca="false">E72*INDEX(Régions!$AG$2:$AG$6,MATCH($B72,Régions!$A$2:$A$6,0))</f>
        <v>2941.53075822604</v>
      </c>
      <c r="AK72" s="38" t="n">
        <f aca="false">F72*INDEX(Régions!$AH$2:$AH$6,MATCH($B72,Régions!$A$2:$A$6,0))</f>
        <v>1113.21348314607</v>
      </c>
      <c r="AL72" s="38" t="n">
        <f aca="false">G72*INDEX(Régions!$AI$2:$AI$6,MATCH($B72,Régions!$A$2:$A$6,0))</f>
        <v>7000.50030138638</v>
      </c>
      <c r="AM72" s="38" t="n">
        <f aca="false">H72*INDEX(Régions!$AJ$2:$AJ$6,MATCH($B72,Régions!$A$2:$A$6,0))</f>
        <v>4698.8435828877</v>
      </c>
      <c r="AN72" s="38" t="n">
        <f aca="false">I72*INDEX(Régions!$AK$2:$AK$6,MATCH($B72,Régions!$A$2:$A$6,0))</f>
        <v>0</v>
      </c>
      <c r="AO72" s="40" t="str">
        <f aca="false">INDEX({"CAQ","PLQ","QS","PQ","PCQ","Autre"},MATCH(MAX(Q72:V72),Q72:V72,0))</f>
        <v>CAQ</v>
      </c>
      <c r="AP72" s="40" t="str">
        <f aca="false">INDEX({"CAQ","PLQ","QS","PQ","PCQ","Autre"},MATCH(MAX(W72:AB72),W72:AB72,0))</f>
        <v>CAQ</v>
      </c>
      <c r="AQ72" s="40" t="str">
        <f aca="false">INDEX({"CAQ","PLQ","QS","PQ","PCQ","Autre"},MATCH(MAX(AC72:AH72),AC72:AH72,0))</f>
        <v>CAQ</v>
      </c>
      <c r="AR72" s="40" t="str">
        <f aca="false">INDEX({"CAQ","PLQ","QS","PQ","PCQ","Autre"},MATCH(MAX(AI72:AN72),AI72:AN72,0))</f>
        <v>CAQ</v>
      </c>
      <c r="AS72" s="41" t="n">
        <f aca="false">(MAX(K72:P72)-LARGE(K72:P72,2))*100</f>
        <v>37.4456232591619</v>
      </c>
      <c r="AT72" s="42" t="str">
        <f aca="false">IF(AS72&lt;5,"Oui","Non")</f>
        <v>Non</v>
      </c>
      <c r="AU72" s="43" t="n">
        <v>4.868</v>
      </c>
      <c r="AV72" s="43" t="n">
        <v>-10.058</v>
      </c>
      <c r="AW72" s="43" t="n">
        <v>-1.158</v>
      </c>
      <c r="AX72" s="43" t="n">
        <v>5.539</v>
      </c>
    </row>
    <row r="73" customFormat="false" ht="15" hidden="false" customHeight="true" outlineLevel="0" collapsed="false">
      <c r="A73" s="44" t="s">
        <v>144</v>
      </c>
      <c r="B73" s="44" t="s">
        <v>80</v>
      </c>
      <c r="C73" s="45" t="s">
        <v>3</v>
      </c>
      <c r="D73" s="46" t="n">
        <v>18195</v>
      </c>
      <c r="E73" s="46" t="n">
        <v>2723</v>
      </c>
      <c r="F73" s="46" t="n">
        <v>4610</v>
      </c>
      <c r="G73" s="46" t="n">
        <v>6432</v>
      </c>
      <c r="H73" s="46" t="n">
        <v>2972</v>
      </c>
      <c r="I73" s="46" t="n">
        <v>332</v>
      </c>
      <c r="J73" s="47" t="n">
        <f aca="false">SUM(D73:I73)</f>
        <v>35264</v>
      </c>
      <c r="K73" s="48" t="n">
        <f aca="false">IFERROR(D73/J73,0)</f>
        <v>0.515965290381125</v>
      </c>
      <c r="L73" s="48" t="n">
        <f aca="false">IFERROR(E73/J73,0)</f>
        <v>0.0772175589836661</v>
      </c>
      <c r="M73" s="48" t="n">
        <f aca="false">IFERROR(F73/J73,0)</f>
        <v>0.130728221415608</v>
      </c>
      <c r="N73" s="48" t="n">
        <f aca="false">IFERROR(G73/J73,0)</f>
        <v>0.182395644283122</v>
      </c>
      <c r="O73" s="48" t="n">
        <f aca="false">IFERROR(H73/J73,0)</f>
        <v>0.0842785843920145</v>
      </c>
      <c r="P73" s="48" t="n">
        <f aca="false">IFERROR(I73/J73,0)</f>
        <v>0.00941470054446461</v>
      </c>
      <c r="Q73" s="47" t="n">
        <f aca="false">D73*INDEX(Régions!$T$2:$T$6,MATCH($B73,Régions!$A$2:$A$6,0))</f>
        <v>12861.4976805832</v>
      </c>
      <c r="R73" s="47" t="n">
        <f aca="false">E73*INDEX(Régions!$U$2:$U$6,MATCH($B73,Régions!$A$2:$A$6,0))</f>
        <v>3478.63733144074</v>
      </c>
      <c r="S73" s="47" t="n">
        <f aca="false">F73*INDEX(Régions!$V$2:$V$6,MATCH($B73,Régions!$A$2:$A$6,0))</f>
        <v>2324.92795389049</v>
      </c>
      <c r="T73" s="47" t="n">
        <f aca="false">G73*INDEX(Régions!$W$2:$W$6,MATCH($B73,Régions!$A$2:$A$6,0))</f>
        <v>12661.4173228346</v>
      </c>
      <c r="U73" s="47" t="n">
        <f aca="false">H73*INDEX(Régions!$X$2:$X$6,MATCH($B73,Régions!$A$2:$A$6,0))</f>
        <v>3469.26070038911</v>
      </c>
      <c r="V73" s="47" t="n">
        <f aca="false">I73*INDEX(Régions!$Y$2:$Y$6,MATCH($B73,Régions!$A$2:$A$6,0))</f>
        <v>267.741935483871</v>
      </c>
      <c r="W73" s="47" t="n">
        <f aca="false">Q73+(AU73/100)*J73*Régions!$O$2</f>
        <v>12046.0176805832</v>
      </c>
      <c r="X73" s="47" t="n">
        <f aca="false">R73+(AV73/100)*J73*Régions!$O$2</f>
        <v>4134.72405144074</v>
      </c>
      <c r="Y73" s="47" t="n">
        <f aca="false">S73+(AW73/100)*J73*Régions!$O$2</f>
        <v>2383.46619389049</v>
      </c>
      <c r="Z73" s="47" t="n">
        <f aca="false">T73+(AX73/100)*J73*Régions!$O$2</f>
        <v>12933.8317228346</v>
      </c>
      <c r="AA73" s="47" t="n">
        <f aca="false">U73</f>
        <v>3469.26070038911</v>
      </c>
      <c r="AB73" s="47" t="n">
        <f aca="false">V73</f>
        <v>267.741935483871</v>
      </c>
      <c r="AC73" s="47" t="n">
        <f aca="false">D73*INDEX(Régions!$Z$2:$Z$6,MATCH($B73,Régions!$A$2:$A$6,0))</f>
        <v>14187.8396288933</v>
      </c>
      <c r="AD73" s="47" t="n">
        <f aca="false">E73*INDEX(Régions!$AA$2:$AA$6,MATCH($B73,Régions!$A$2:$A$6,0))</f>
        <v>4116.38750887154</v>
      </c>
      <c r="AE73" s="47" t="n">
        <f aca="false">F73*INDEX(Régions!$AB$2:$AB$6,MATCH($B73,Régions!$A$2:$A$6,0))</f>
        <v>3420.96541786744</v>
      </c>
      <c r="AF73" s="47" t="n">
        <f aca="false">G73*INDEX(Régions!$AC$2:$AC$6,MATCH($B73,Régions!$A$2:$A$6,0))</f>
        <v>14054.1732283465</v>
      </c>
      <c r="AG73" s="47" t="n">
        <f aca="false">H73*INDEX(Régions!$AD$2:$AD$6,MATCH($B73,Régions!$A$2:$A$6,0))</f>
        <v>4423.30739299611</v>
      </c>
      <c r="AH73" s="47" t="n">
        <f aca="false">I73*INDEX(Régions!$AE$2:$AE$6,MATCH($B73,Régions!$A$2:$A$6,0))</f>
        <v>1151.29032258065</v>
      </c>
      <c r="AI73" s="47" t="n">
        <f aca="false">D73*INDEX(Régions!$AF$2:$AF$6,MATCH($B73,Régions!$A$2:$A$6,0))</f>
        <v>11535.155732273</v>
      </c>
      <c r="AJ73" s="47" t="n">
        <f aca="false">E73*INDEX(Régions!$AG$2:$AG$6,MATCH($B73,Régions!$A$2:$A$6,0))</f>
        <v>2840.88715400994</v>
      </c>
      <c r="AK73" s="47" t="n">
        <f aca="false">F73*INDEX(Régions!$AH$2:$AH$6,MATCH($B73,Régions!$A$2:$A$6,0))</f>
        <v>1228.89048991354</v>
      </c>
      <c r="AL73" s="47" t="n">
        <f aca="false">G73*INDEX(Régions!$AI$2:$AI$6,MATCH($B73,Régions!$A$2:$A$6,0))</f>
        <v>11268.6614173228</v>
      </c>
      <c r="AM73" s="47" t="n">
        <f aca="false">H73*INDEX(Régions!$AJ$2:$AJ$6,MATCH($B73,Régions!$A$2:$A$6,0))</f>
        <v>2515.2140077821</v>
      </c>
      <c r="AN73" s="47" t="n">
        <f aca="false">I73*INDEX(Régions!$AK$2:$AK$6,MATCH($B73,Régions!$A$2:$A$6,0))</f>
        <v>0</v>
      </c>
      <c r="AO73" s="49" t="str">
        <f aca="false">INDEX({"CAQ","PLQ","QS","PQ","PCQ","Autre"},MATCH(MAX(Q73:V73),Q73:V73,0))</f>
        <v>CAQ</v>
      </c>
      <c r="AP73" s="49" t="str">
        <f aca="false">INDEX({"CAQ","PLQ","QS","PQ","PCQ","Autre"},MATCH(MAX(W73:AB73),W73:AB73,0))</f>
        <v>PQ</v>
      </c>
      <c r="AQ73" s="49" t="str">
        <f aca="false">INDEX({"CAQ","PLQ","QS","PQ","PCQ","Autre"},MATCH(MAX(AC73:AH73),AC73:AH73,0))</f>
        <v>CAQ</v>
      </c>
      <c r="AR73" s="49" t="str">
        <f aca="false">INDEX({"CAQ","PLQ","QS","PQ","PCQ","Autre"},MATCH(MAX(AI73:AN73),AI73:AN73,0))</f>
        <v>CAQ</v>
      </c>
      <c r="AS73" s="50" t="n">
        <f aca="false">(MAX(K73:P73)-LARGE(K73:P73,2))*100</f>
        <v>33.3569646098004</v>
      </c>
      <c r="AT73" s="51" t="str">
        <f aca="false">IF(AS73&lt;5,"Oui","Non")</f>
        <v>Non</v>
      </c>
      <c r="AU73" s="52" t="n">
        <v>-4.625</v>
      </c>
      <c r="AV73" s="52" t="n">
        <v>3.721</v>
      </c>
      <c r="AW73" s="52" t="n">
        <v>0.332</v>
      </c>
      <c r="AX73" s="52" t="n">
        <v>1.545</v>
      </c>
    </row>
    <row r="74" customFormat="false" ht="15" hidden="false" customHeight="true" outlineLevel="0" collapsed="false">
      <c r="A74" s="35" t="s">
        <v>145</v>
      </c>
      <c r="B74" s="35" t="s">
        <v>70</v>
      </c>
      <c r="C74" s="36" t="s">
        <v>6</v>
      </c>
      <c r="D74" s="37" t="n">
        <v>5163</v>
      </c>
      <c r="E74" s="37" t="n">
        <v>637</v>
      </c>
      <c r="F74" s="37" t="n">
        <v>1450</v>
      </c>
      <c r="G74" s="37" t="n">
        <v>20057</v>
      </c>
      <c r="H74" s="37" t="n">
        <v>2316</v>
      </c>
      <c r="I74" s="37" t="n">
        <v>123</v>
      </c>
      <c r="J74" s="38" t="n">
        <f aca="false">SUM(D74:I74)</f>
        <v>29746</v>
      </c>
      <c r="K74" s="39" t="n">
        <f aca="false">IFERROR(D74/J74,0)</f>
        <v>0.173569555570497</v>
      </c>
      <c r="L74" s="39" t="n">
        <f aca="false">IFERROR(E74/J74,0)</f>
        <v>0.021414643985746</v>
      </c>
      <c r="M74" s="39" t="n">
        <f aca="false">IFERROR(F74/J74,0)</f>
        <v>0.0487460498890607</v>
      </c>
      <c r="N74" s="39" t="n">
        <f aca="false">IFERROR(G74/J74,0)</f>
        <v>0.674275532844752</v>
      </c>
      <c r="O74" s="39" t="n">
        <f aca="false">IFERROR(H74/J74,0)</f>
        <v>0.0778592079607342</v>
      </c>
      <c r="P74" s="39" t="n">
        <f aca="false">IFERROR(I74/J74,0)</f>
        <v>0.00413500974920998</v>
      </c>
      <c r="Q74" s="38" t="n">
        <f aca="false">D74*INDEX(Régions!$T$2:$T$6,MATCH($B74,Régions!$A$2:$A$6,0))</f>
        <v>3049.87341772152</v>
      </c>
      <c r="R74" s="38" t="n">
        <f aca="false">E74*INDEX(Régions!$U$2:$U$6,MATCH($B74,Régions!$A$2:$A$6,0))</f>
        <v>1458.08297567954</v>
      </c>
      <c r="S74" s="38" t="n">
        <f aca="false">F74*INDEX(Régions!$V$2:$V$6,MATCH($B74,Régions!$A$2:$A$6,0))</f>
        <v>868.913857677903</v>
      </c>
      <c r="T74" s="38" t="n">
        <f aca="false">G74*INDEX(Régions!$W$2:$W$6,MATCH($B74,Régions!$A$2:$A$6,0))</f>
        <v>35060.4581072936</v>
      </c>
      <c r="U74" s="38" t="n">
        <f aca="false">H74*INDEX(Régions!$X$2:$X$6,MATCH($B74,Régions!$A$2:$A$6,0))</f>
        <v>2631.81818181818</v>
      </c>
      <c r="V74" s="38" t="n">
        <f aca="false">I74*INDEX(Régions!$Y$2:$Y$6,MATCH($B74,Régions!$A$2:$A$6,0))</f>
        <v>173.239436619718</v>
      </c>
      <c r="W74" s="38" t="n">
        <f aca="false">Q74+(AU74/100)*J74*Régions!$O$2</f>
        <v>3017.30154772152</v>
      </c>
      <c r="X74" s="38" t="n">
        <f aca="false">R74+(AV74/100)*J74*Régions!$O$2</f>
        <v>2001.39366567954</v>
      </c>
      <c r="Y74" s="38" t="n">
        <f aca="false">S74+(AW74/100)*J74*Régions!$O$2</f>
        <v>889.884787677903</v>
      </c>
      <c r="Z74" s="38" t="n">
        <f aca="false">T74+(AX74/100)*J74*Régions!$O$2</f>
        <v>35384.5407772936</v>
      </c>
      <c r="AA74" s="38" t="n">
        <f aca="false">U74</f>
        <v>2631.81818181818</v>
      </c>
      <c r="AB74" s="38" t="n">
        <f aca="false">V74</f>
        <v>173.239436619718</v>
      </c>
      <c r="AC74" s="38" t="n">
        <f aca="false">D74*INDEX(Régions!$Z$2:$Z$6,MATCH($B74,Régions!$A$2:$A$6,0))</f>
        <v>3409.32278481013</v>
      </c>
      <c r="AD74" s="38" t="n">
        <f aca="false">E74*INDEX(Régions!$AA$2:$AA$6,MATCH($B74,Régions!$A$2:$A$6,0))</f>
        <v>1758.81258941345</v>
      </c>
      <c r="AE74" s="38" t="n">
        <f aca="false">F74*INDEX(Régions!$AB$2:$AB$6,MATCH($B74,Régions!$A$2:$A$6,0))</f>
        <v>1227.34082397004</v>
      </c>
      <c r="AF74" s="38" t="n">
        <f aca="false">G74*INDEX(Régions!$AC$2:$AC$6,MATCH($B74,Régions!$A$2:$A$6,0))</f>
        <v>39050.0964436407</v>
      </c>
      <c r="AG74" s="38" t="n">
        <f aca="false">H74*INDEX(Régions!$AD$2:$AD$6,MATCH($B74,Régions!$A$2:$A$6,0))</f>
        <v>3142.70053475936</v>
      </c>
      <c r="AH74" s="38" t="n">
        <f aca="false">I74*INDEX(Régions!$AE$2:$AE$6,MATCH($B74,Régions!$A$2:$A$6,0))</f>
        <v>744.929577464789</v>
      </c>
      <c r="AI74" s="38" t="n">
        <f aca="false">D74*INDEX(Régions!$AF$2:$AF$6,MATCH($B74,Régions!$A$2:$A$6,0))</f>
        <v>2690.42405063291</v>
      </c>
      <c r="AJ74" s="38" t="n">
        <f aca="false">E74*INDEX(Régions!$AG$2:$AG$6,MATCH($B74,Régions!$A$2:$A$6,0))</f>
        <v>1157.35336194564</v>
      </c>
      <c r="AK74" s="38" t="n">
        <f aca="false">F74*INDEX(Régions!$AH$2:$AH$6,MATCH($B74,Régions!$A$2:$A$6,0))</f>
        <v>510.486891385768</v>
      </c>
      <c r="AL74" s="38" t="n">
        <f aca="false">G74*INDEX(Régions!$AI$2:$AI$6,MATCH($B74,Régions!$A$2:$A$6,0))</f>
        <v>31070.8197709464</v>
      </c>
      <c r="AM74" s="38" t="n">
        <f aca="false">H74*INDEX(Régions!$AJ$2:$AJ$6,MATCH($B74,Régions!$A$2:$A$6,0))</f>
        <v>2120.93582887701</v>
      </c>
      <c r="AN74" s="38" t="n">
        <f aca="false">I74*INDEX(Régions!$AK$2:$AK$6,MATCH($B74,Régions!$A$2:$A$6,0))</f>
        <v>0</v>
      </c>
      <c r="AO74" s="40" t="str">
        <f aca="false">INDEX({"CAQ","PLQ","QS","PQ","PCQ","Autre"},MATCH(MAX(Q74:V74),Q74:V74,0))</f>
        <v>PQ</v>
      </c>
      <c r="AP74" s="40" t="str">
        <f aca="false">INDEX({"CAQ","PLQ","QS","PQ","PCQ","Autre"},MATCH(MAX(W74:AB74),W74:AB74,0))</f>
        <v>PQ</v>
      </c>
      <c r="AQ74" s="40" t="str">
        <f aca="false">INDEX({"CAQ","PLQ","QS","PQ","PCQ","Autre"},MATCH(MAX(AC74:AH74),AC74:AH74,0))</f>
        <v>PQ</v>
      </c>
      <c r="AR74" s="40" t="str">
        <f aca="false">INDEX({"CAQ","PLQ","QS","PQ","PCQ","Autre"},MATCH(MAX(AI74:AN74),AI74:AN74,0))</f>
        <v>PQ</v>
      </c>
      <c r="AS74" s="41" t="n">
        <f aca="false">(MAX(K74:P74)-LARGE(K74:P74,2))*100</f>
        <v>50.0705977274255</v>
      </c>
      <c r="AT74" s="42" t="str">
        <f aca="false">IF(AS74&lt;5,"Oui","Non")</f>
        <v>Non</v>
      </c>
      <c r="AU74" s="43" t="n">
        <v>-0.219</v>
      </c>
      <c r="AV74" s="43" t="n">
        <v>3.653</v>
      </c>
      <c r="AW74" s="43" t="n">
        <v>0.141</v>
      </c>
      <c r="AX74" s="43" t="n">
        <v>2.179</v>
      </c>
    </row>
    <row r="75" customFormat="false" ht="15" hidden="false" customHeight="true" outlineLevel="0" collapsed="false">
      <c r="A75" s="44" t="s">
        <v>146</v>
      </c>
      <c r="B75" s="44" t="s">
        <v>73</v>
      </c>
      <c r="C75" s="45" t="s">
        <v>5</v>
      </c>
      <c r="D75" s="46" t="n">
        <v>8542</v>
      </c>
      <c r="E75" s="46" t="n">
        <v>5414</v>
      </c>
      <c r="F75" s="46" t="n">
        <v>10903</v>
      </c>
      <c r="G75" s="46" t="n">
        <v>4612</v>
      </c>
      <c r="H75" s="46" t="n">
        <v>1322</v>
      </c>
      <c r="I75" s="46" t="n">
        <v>654</v>
      </c>
      <c r="J75" s="47" t="n">
        <f aca="false">SUM(D75:I75)</f>
        <v>31447</v>
      </c>
      <c r="K75" s="48" t="n">
        <f aca="false">IFERROR(D75/J75,0)</f>
        <v>0.271631634178141</v>
      </c>
      <c r="L75" s="48" t="n">
        <f aca="false">IFERROR(E75/J75,0)</f>
        <v>0.172162686424778</v>
      </c>
      <c r="M75" s="48" t="n">
        <f aca="false">IFERROR(F75/J75,0)</f>
        <v>0.346710338029065</v>
      </c>
      <c r="N75" s="48" t="n">
        <f aca="false">IFERROR(G75/J75,0)</f>
        <v>0.146659458771902</v>
      </c>
      <c r="O75" s="48" t="n">
        <f aca="false">IFERROR(H75/J75,0)</f>
        <v>0.042038986230801</v>
      </c>
      <c r="P75" s="48" t="n">
        <f aca="false">IFERROR(I75/J75,0)</f>
        <v>0.0207968963653131</v>
      </c>
      <c r="Q75" s="47" t="n">
        <f aca="false">D75*INDEX(Régions!$T$2:$T$6,MATCH($B75,Régions!$A$2:$A$6,0))</f>
        <v>6403.29835082459</v>
      </c>
      <c r="R75" s="47" t="n">
        <f aca="false">E75*INDEX(Régions!$U$2:$U$6,MATCH($B75,Régions!$A$2:$A$6,0))</f>
        <v>5404.46271285966</v>
      </c>
      <c r="S75" s="47" t="n">
        <f aca="false">F75*INDEX(Régions!$V$2:$V$6,MATCH($B75,Régions!$A$2:$A$6,0))</f>
        <v>8367.99097065463</v>
      </c>
      <c r="T75" s="47" t="n">
        <f aca="false">G75*INDEX(Régions!$W$2:$W$6,MATCH($B75,Régions!$A$2:$A$6,0))</f>
        <v>10373.7582005623</v>
      </c>
      <c r="U75" s="47" t="n">
        <f aca="false">H75*INDEX(Régions!$X$2:$X$6,MATCH($B75,Régions!$A$2:$A$6,0))</f>
        <v>1060.78234704112</v>
      </c>
      <c r="V75" s="47" t="n">
        <f aca="false">I75*INDEX(Régions!$Y$2:$Y$6,MATCH($B75,Régions!$A$2:$A$6,0))</f>
        <v>417.891373801917</v>
      </c>
      <c r="W75" s="47" t="n">
        <f aca="false">Q75+(AU75/100)*J75*Régions!$O$2</f>
        <v>7236.64385082459</v>
      </c>
      <c r="X75" s="47" t="n">
        <f aca="false">R75+(AV75/100)*J75*Régions!$O$2</f>
        <v>4801.93819285966</v>
      </c>
      <c r="Y75" s="47" t="n">
        <f aca="false">S75+(AW75/100)*J75*Régions!$O$2</f>
        <v>9365.80428065463</v>
      </c>
      <c r="Z75" s="47" t="n">
        <f aca="false">T75+(AX75/100)*J75*Régions!$O$2</f>
        <v>9867.77597056233</v>
      </c>
      <c r="AA75" s="47" t="n">
        <f aca="false">U75</f>
        <v>1060.78234704112</v>
      </c>
      <c r="AB75" s="47" t="n">
        <f aca="false">V75</f>
        <v>417.891373801917</v>
      </c>
      <c r="AC75" s="47" t="n">
        <f aca="false">D75*INDEX(Régions!$Z$2:$Z$6,MATCH($B75,Régions!$A$2:$A$6,0))</f>
        <v>7812.023988006</v>
      </c>
      <c r="AD75" s="47" t="n">
        <f aca="false">E75*INDEX(Régions!$AA$2:$AA$6,MATCH($B75,Régions!$A$2:$A$6,0))</f>
        <v>5929.01350557839</v>
      </c>
      <c r="AE75" s="47" t="n">
        <f aca="false">F75*INDEX(Régions!$AB$2:$AB$6,MATCH($B75,Régions!$A$2:$A$6,0))</f>
        <v>9992.36568848759</v>
      </c>
      <c r="AF75" s="47" t="n">
        <f aca="false">G75*INDEX(Régions!$AC$2:$AC$6,MATCH($B75,Régions!$A$2:$A$6,0))</f>
        <v>11800.1499531396</v>
      </c>
      <c r="AG75" s="47" t="n">
        <f aca="false">H75*INDEX(Régions!$AD$2:$AD$6,MATCH($B75,Régions!$A$2:$A$6,0))</f>
        <v>1498.35506519559</v>
      </c>
      <c r="AH75" s="47" t="n">
        <f aca="false">I75*INDEX(Régions!$AE$2:$AE$6,MATCH($B75,Régions!$A$2:$A$6,0))</f>
        <v>1107.41214057508</v>
      </c>
      <c r="AI75" s="47" t="n">
        <f aca="false">D75*INDEX(Régions!$AF$2:$AF$6,MATCH($B75,Régions!$A$2:$A$6,0))</f>
        <v>4994.57271364318</v>
      </c>
      <c r="AJ75" s="47" t="n">
        <f aca="false">E75*INDEX(Régions!$AG$2:$AG$6,MATCH($B75,Régions!$A$2:$A$6,0))</f>
        <v>4879.91192014093</v>
      </c>
      <c r="AK75" s="47" t="n">
        <f aca="false">F75*INDEX(Régions!$AH$2:$AH$6,MATCH($B75,Régions!$A$2:$A$6,0))</f>
        <v>6743.61625282167</v>
      </c>
      <c r="AL75" s="47" t="n">
        <f aca="false">G75*INDEX(Régions!$AI$2:$AI$6,MATCH($B75,Régions!$A$2:$A$6,0))</f>
        <v>8947.36644798501</v>
      </c>
      <c r="AM75" s="47" t="n">
        <f aca="false">H75*INDEX(Régions!$AJ$2:$AJ$6,MATCH($B75,Régions!$A$2:$A$6,0))</f>
        <v>623.20962888666</v>
      </c>
      <c r="AN75" s="47" t="n">
        <f aca="false">I75*INDEX(Régions!$AK$2:$AK$6,MATCH($B75,Régions!$A$2:$A$6,0))</f>
        <v>0</v>
      </c>
      <c r="AO75" s="49" t="str">
        <f aca="false">INDEX({"CAQ","PLQ","QS","PQ","PCQ","Autre"},MATCH(MAX(Q75:V75),Q75:V75,0))</f>
        <v>PQ</v>
      </c>
      <c r="AP75" s="49" t="str">
        <f aca="false">INDEX({"CAQ","PLQ","QS","PQ","PCQ","Autre"},MATCH(MAX(W75:AB75),W75:AB75,0))</f>
        <v>PQ</v>
      </c>
      <c r="AQ75" s="49" t="str">
        <f aca="false">INDEX({"CAQ","PLQ","QS","PQ","PCQ","Autre"},MATCH(MAX(AC75:AH75),AC75:AH75,0))</f>
        <v>PQ</v>
      </c>
      <c r="AR75" s="49" t="str">
        <f aca="false">INDEX({"CAQ","PLQ","QS","PQ","PCQ","Autre"},MATCH(MAX(AI75:AN75),AI75:AN75,0))</f>
        <v>PQ</v>
      </c>
      <c r="AS75" s="50" t="n">
        <f aca="false">(MAX(K75:P75)-LARGE(K75:P75,2))*100</f>
        <v>7.50787038509237</v>
      </c>
      <c r="AT75" s="51" t="str">
        <f aca="false">IF(AS75&lt;5,"Oui","Non")</f>
        <v>Non</v>
      </c>
      <c r="AU75" s="52" t="n">
        <v>5.3</v>
      </c>
      <c r="AV75" s="52" t="n">
        <v>-3.832</v>
      </c>
      <c r="AW75" s="52" t="n">
        <v>6.346</v>
      </c>
      <c r="AX75" s="52" t="n">
        <v>-3.218</v>
      </c>
    </row>
    <row r="76" customFormat="false" ht="15" hidden="false" customHeight="true" outlineLevel="0" collapsed="false">
      <c r="A76" s="35" t="s">
        <v>147</v>
      </c>
      <c r="B76" s="35" t="s">
        <v>70</v>
      </c>
      <c r="C76" s="36" t="s">
        <v>3</v>
      </c>
      <c r="D76" s="37" t="n">
        <v>12973</v>
      </c>
      <c r="E76" s="37" t="n">
        <v>1604</v>
      </c>
      <c r="F76" s="37" t="n">
        <v>3592</v>
      </c>
      <c r="G76" s="37" t="n">
        <v>3588</v>
      </c>
      <c r="H76" s="37" t="n">
        <v>6252</v>
      </c>
      <c r="I76" s="37" t="n">
        <v>89</v>
      </c>
      <c r="J76" s="38" t="n">
        <f aca="false">SUM(D76:I76)</f>
        <v>28098</v>
      </c>
      <c r="K76" s="39" t="n">
        <f aca="false">IFERROR(D76/J76,0)</f>
        <v>0.461705459463307</v>
      </c>
      <c r="L76" s="39" t="n">
        <f aca="false">IFERROR(E76/J76,0)</f>
        <v>0.0570859135881557</v>
      </c>
      <c r="M76" s="39" t="n">
        <f aca="false">IFERROR(F76/J76,0)</f>
        <v>0.127838280304648</v>
      </c>
      <c r="N76" s="39" t="n">
        <f aca="false">IFERROR(G76/J76,0)</f>
        <v>0.127695921417895</v>
      </c>
      <c r="O76" s="39" t="n">
        <f aca="false">IFERROR(H76/J76,0)</f>
        <v>0.222506939995729</v>
      </c>
      <c r="P76" s="39" t="n">
        <f aca="false">IFERROR(I76/J76,0)</f>
        <v>0.0031674852302655</v>
      </c>
      <c r="Q76" s="38" t="n">
        <f aca="false">D76*INDEX(Régions!$T$2:$T$6,MATCH($B76,Régions!$A$2:$A$6,0))</f>
        <v>7663.37552742616</v>
      </c>
      <c r="R76" s="38" t="n">
        <f aca="false">E76*INDEX(Régions!$U$2:$U$6,MATCH($B76,Régions!$A$2:$A$6,0))</f>
        <v>3671.53075822604</v>
      </c>
      <c r="S76" s="38" t="n">
        <f aca="false">F76*INDEX(Régions!$V$2:$V$6,MATCH($B76,Régions!$A$2:$A$6,0))</f>
        <v>2152.50936329588</v>
      </c>
      <c r="T76" s="38" t="n">
        <f aca="false">G76*INDEX(Régions!$W$2:$W$6,MATCH($B76,Régions!$A$2:$A$6,0))</f>
        <v>6271.97106690778</v>
      </c>
      <c r="U76" s="38" t="n">
        <f aca="false">H76*INDEX(Régions!$X$2:$X$6,MATCH($B76,Régions!$A$2:$A$6,0))</f>
        <v>7104.54545454545</v>
      </c>
      <c r="V76" s="38" t="n">
        <f aca="false">I76*INDEX(Régions!$Y$2:$Y$6,MATCH($B76,Régions!$A$2:$A$6,0))</f>
        <v>125.352112676056</v>
      </c>
      <c r="W76" s="38" t="n">
        <f aca="false">Q76+(AU76/100)*J76*Régions!$O$2</f>
        <v>6598.88279742616</v>
      </c>
      <c r="X76" s="38" t="n">
        <f aca="false">R76+(AV76/100)*J76*Régions!$O$2</f>
        <v>3481.16680822604</v>
      </c>
      <c r="Y76" s="38" t="n">
        <f aca="false">S76+(AW76/100)*J76*Régions!$O$2</f>
        <v>1852.98468329588</v>
      </c>
      <c r="Z76" s="38" t="n">
        <f aca="false">T76+(AX76/100)*J76*Régions!$O$2</f>
        <v>6894.34176690778</v>
      </c>
      <c r="AA76" s="38" t="n">
        <f aca="false">U76</f>
        <v>7104.54545454545</v>
      </c>
      <c r="AB76" s="38" t="n">
        <f aca="false">V76</f>
        <v>125.352112676056</v>
      </c>
      <c r="AC76" s="38" t="n">
        <f aca="false">D76*INDEX(Régions!$Z$2:$Z$6,MATCH($B76,Régions!$A$2:$A$6,0))</f>
        <v>8566.55907172996</v>
      </c>
      <c r="AD76" s="38" t="n">
        <f aca="false">E76*INDEX(Régions!$AA$2:$AA$6,MATCH($B76,Régions!$A$2:$A$6,0))</f>
        <v>4428.78397711016</v>
      </c>
      <c r="AE76" s="38" t="n">
        <f aca="false">F76*INDEX(Régions!$AB$2:$AB$6,MATCH($B76,Régions!$A$2:$A$6,0))</f>
        <v>3040.41947565543</v>
      </c>
      <c r="AF76" s="38" t="n">
        <f aca="false">G76*INDEX(Régions!$AC$2:$AC$6,MATCH($B76,Régions!$A$2:$A$6,0))</f>
        <v>6985.67811934901</v>
      </c>
      <c r="AG76" s="38" t="n">
        <f aca="false">H76*INDEX(Régions!$AD$2:$AD$6,MATCH($B76,Régions!$A$2:$A$6,0))</f>
        <v>8483.66310160428</v>
      </c>
      <c r="AH76" s="38" t="n">
        <f aca="false">I76*INDEX(Régions!$AE$2:$AE$6,MATCH($B76,Régions!$A$2:$A$6,0))</f>
        <v>539.014084507042</v>
      </c>
      <c r="AI76" s="38" t="n">
        <f aca="false">D76*INDEX(Régions!$AF$2:$AF$6,MATCH($B76,Régions!$A$2:$A$6,0))</f>
        <v>6760.19198312236</v>
      </c>
      <c r="AJ76" s="38" t="n">
        <f aca="false">E76*INDEX(Régions!$AG$2:$AG$6,MATCH($B76,Régions!$A$2:$A$6,0))</f>
        <v>2914.27753934192</v>
      </c>
      <c r="AK76" s="38" t="n">
        <f aca="false">F76*INDEX(Régions!$AH$2:$AH$6,MATCH($B76,Régions!$A$2:$A$6,0))</f>
        <v>1264.59925093633</v>
      </c>
      <c r="AL76" s="38" t="n">
        <f aca="false">G76*INDEX(Régions!$AI$2:$AI$6,MATCH($B76,Régions!$A$2:$A$6,0))</f>
        <v>5558.26401446655</v>
      </c>
      <c r="AM76" s="38" t="n">
        <f aca="false">H76*INDEX(Régions!$AJ$2:$AJ$6,MATCH($B76,Régions!$A$2:$A$6,0))</f>
        <v>5725.42780748663</v>
      </c>
      <c r="AN76" s="38" t="n">
        <f aca="false">I76*INDEX(Régions!$AK$2:$AK$6,MATCH($B76,Régions!$A$2:$A$6,0))</f>
        <v>0</v>
      </c>
      <c r="AO76" s="40" t="str">
        <f aca="false">INDEX({"CAQ","PLQ","QS","PQ","PCQ","Autre"},MATCH(MAX(Q76:V76),Q76:V76,0))</f>
        <v>CAQ</v>
      </c>
      <c r="AP76" s="40" t="str">
        <f aca="false">INDEX({"CAQ","PLQ","QS","PQ","PCQ","Autre"},MATCH(MAX(W76:AB76),W76:AB76,0))</f>
        <v>PCQ</v>
      </c>
      <c r="AQ76" s="40" t="str">
        <f aca="false">INDEX({"CAQ","PLQ","QS","PQ","PCQ","Autre"},MATCH(MAX(AC76:AH76),AC76:AH76,0))</f>
        <v>CAQ</v>
      </c>
      <c r="AR76" s="40" t="str">
        <f aca="false">INDEX({"CAQ","PLQ","QS","PQ","PCQ","Autre"},MATCH(MAX(AI76:AN76),AI76:AN76,0))</f>
        <v>CAQ</v>
      </c>
      <c r="AS76" s="41" t="n">
        <f aca="false">(MAX(K76:P76)-LARGE(K76:P76,2))*100</f>
        <v>23.9198519467578</v>
      </c>
      <c r="AT76" s="42" t="str">
        <f aca="false">IF(AS76&lt;5,"Oui","Non")</f>
        <v>Non</v>
      </c>
      <c r="AU76" s="43" t="n">
        <v>-7.577</v>
      </c>
      <c r="AV76" s="43" t="n">
        <v>-1.355</v>
      </c>
      <c r="AW76" s="43" t="n">
        <v>-2.132</v>
      </c>
      <c r="AX76" s="43" t="n">
        <v>4.43</v>
      </c>
    </row>
    <row r="77" customFormat="false" ht="15" hidden="false" customHeight="true" outlineLevel="0" collapsed="false">
      <c r="A77" s="44" t="s">
        <v>148</v>
      </c>
      <c r="B77" s="44" t="s">
        <v>73</v>
      </c>
      <c r="C77" s="45" t="s">
        <v>5</v>
      </c>
      <c r="D77" s="46" t="n">
        <v>2814</v>
      </c>
      <c r="E77" s="46" t="n">
        <v>3837</v>
      </c>
      <c r="F77" s="46" t="n">
        <v>14755</v>
      </c>
      <c r="G77" s="46" t="n">
        <v>3986</v>
      </c>
      <c r="H77" s="46" t="n">
        <v>1051</v>
      </c>
      <c r="I77" s="46" t="n">
        <v>920</v>
      </c>
      <c r="J77" s="47" t="n">
        <f aca="false">SUM(D77:I77)</f>
        <v>27363</v>
      </c>
      <c r="K77" s="48" t="n">
        <f aca="false">IFERROR(D77/J77,0)</f>
        <v>0.102839600920952</v>
      </c>
      <c r="L77" s="48" t="n">
        <f aca="false">IFERROR(E77/J77,0)</f>
        <v>0.140225852428462</v>
      </c>
      <c r="M77" s="48" t="n">
        <f aca="false">IFERROR(F77/J77,0)</f>
        <v>0.539231809377627</v>
      </c>
      <c r="N77" s="48" t="n">
        <f aca="false">IFERROR(G77/J77,0)</f>
        <v>0.145671161787816</v>
      </c>
      <c r="O77" s="48" t="n">
        <f aca="false">IFERROR(H77/J77,0)</f>
        <v>0.0384095311186639</v>
      </c>
      <c r="P77" s="48" t="n">
        <f aca="false">IFERROR(I77/J77,0)</f>
        <v>0.0336220443664803</v>
      </c>
      <c r="Q77" s="47" t="n">
        <f aca="false">D77*INDEX(Régions!$T$2:$T$6,MATCH($B77,Régions!$A$2:$A$6,0))</f>
        <v>2109.44527736132</v>
      </c>
      <c r="R77" s="47" t="n">
        <f aca="false">E77*INDEX(Régions!$U$2:$U$6,MATCH($B77,Régions!$A$2:$A$6,0))</f>
        <v>3830.2407516148</v>
      </c>
      <c r="S77" s="47" t="n">
        <f aca="false">F77*INDEX(Régions!$V$2:$V$6,MATCH($B77,Régions!$A$2:$A$6,0))</f>
        <v>11324.3792325056</v>
      </c>
      <c r="T77" s="47" t="n">
        <f aca="false">G77*INDEX(Régions!$W$2:$W$6,MATCH($B77,Régions!$A$2:$A$6,0))</f>
        <v>8965.69821930647</v>
      </c>
      <c r="U77" s="47" t="n">
        <f aca="false">H77*INDEX(Régions!$X$2:$X$6,MATCH($B77,Régions!$A$2:$A$6,0))</f>
        <v>843.32998996991</v>
      </c>
      <c r="V77" s="47" t="n">
        <f aca="false">I77*INDEX(Régions!$Y$2:$Y$6,MATCH($B77,Régions!$A$2:$A$6,0))</f>
        <v>587.859424920128</v>
      </c>
      <c r="W77" s="47" t="n">
        <f aca="false">Q77+(AU77/100)*J77*Régions!$O$2</f>
        <v>2127.77848736132</v>
      </c>
      <c r="X77" s="47" t="n">
        <f aca="false">R77+(AV77/100)*J77*Régions!$O$2</f>
        <v>4484.6268966148</v>
      </c>
      <c r="Y77" s="47" t="n">
        <f aca="false">S77+(AW77/100)*J77*Régions!$O$2</f>
        <v>11182.2284475056</v>
      </c>
      <c r="Z77" s="47" t="n">
        <f aca="false">T77+(AX77/100)*J77*Régions!$O$2</f>
        <v>9470.13512430647</v>
      </c>
      <c r="AA77" s="47" t="n">
        <f aca="false">U77</f>
        <v>843.32998996991</v>
      </c>
      <c r="AB77" s="47" t="n">
        <f aca="false">V77</f>
        <v>587.859424920128</v>
      </c>
      <c r="AC77" s="47" t="n">
        <f aca="false">D77*INDEX(Régions!$Z$2:$Z$6,MATCH($B77,Régions!$A$2:$A$6,0))</f>
        <v>2573.52323838081</v>
      </c>
      <c r="AD77" s="47" t="n">
        <f aca="false">E77*INDEX(Régions!$AA$2:$AA$6,MATCH($B77,Régions!$A$2:$A$6,0))</f>
        <v>4201.99941280094</v>
      </c>
      <c r="AE77" s="47" t="n">
        <f aca="false">F77*INDEX(Régions!$AB$2:$AB$6,MATCH($B77,Régions!$A$2:$A$6,0))</f>
        <v>13522.6410835214</v>
      </c>
      <c r="AF77" s="47" t="n">
        <f aca="false">G77*INDEX(Régions!$AC$2:$AC$6,MATCH($B77,Régions!$A$2:$A$6,0))</f>
        <v>10198.4817244611</v>
      </c>
      <c r="AG77" s="47" t="n">
        <f aca="false">H77*INDEX(Régions!$AD$2:$AD$6,MATCH($B77,Régions!$A$2:$A$6,0))</f>
        <v>1191.2036108325</v>
      </c>
      <c r="AH77" s="47" t="n">
        <f aca="false">I77*INDEX(Régions!$AE$2:$AE$6,MATCH($B77,Régions!$A$2:$A$6,0))</f>
        <v>1557.82747603834</v>
      </c>
      <c r="AI77" s="47" t="n">
        <f aca="false">D77*INDEX(Régions!$AF$2:$AF$6,MATCH($B77,Régions!$A$2:$A$6,0))</f>
        <v>1645.36731634183</v>
      </c>
      <c r="AJ77" s="47" t="n">
        <f aca="false">E77*INDEX(Régions!$AG$2:$AG$6,MATCH($B77,Régions!$A$2:$A$6,0))</f>
        <v>3458.48209042866</v>
      </c>
      <c r="AK77" s="47" t="n">
        <f aca="false">F77*INDEX(Régions!$AH$2:$AH$6,MATCH($B77,Régions!$A$2:$A$6,0))</f>
        <v>9126.11738148984</v>
      </c>
      <c r="AL77" s="47" t="n">
        <f aca="false">G77*INDEX(Régions!$AI$2:$AI$6,MATCH($B77,Régions!$A$2:$A$6,0))</f>
        <v>7732.91471415183</v>
      </c>
      <c r="AM77" s="47" t="n">
        <f aca="false">H77*INDEX(Régions!$AJ$2:$AJ$6,MATCH($B77,Régions!$A$2:$A$6,0))</f>
        <v>495.456369107322</v>
      </c>
      <c r="AN77" s="47" t="n">
        <f aca="false">I77*INDEX(Régions!$AK$2:$AK$6,MATCH($B77,Régions!$A$2:$A$6,0))</f>
        <v>0</v>
      </c>
      <c r="AO77" s="49" t="str">
        <f aca="false">INDEX({"CAQ","PLQ","QS","PQ","PCQ","Autre"},MATCH(MAX(Q77:V77),Q77:V77,0))</f>
        <v>QS</v>
      </c>
      <c r="AP77" s="49" t="str">
        <f aca="false">INDEX({"CAQ","PLQ","QS","PQ","PCQ","Autre"},MATCH(MAX(W77:AB77),W77:AB77,0))</f>
        <v>QS</v>
      </c>
      <c r="AQ77" s="49" t="str">
        <f aca="false">INDEX({"CAQ","PLQ","QS","PQ","PCQ","Autre"},MATCH(MAX(AC77:AH77),AC77:AH77,0))</f>
        <v>QS</v>
      </c>
      <c r="AR77" s="49" t="str">
        <f aca="false">INDEX({"CAQ","PLQ","QS","PQ","PCQ","Autre"},MATCH(MAX(AI77:AN77),AI77:AN77,0))</f>
        <v>QS</v>
      </c>
      <c r="AS77" s="50" t="n">
        <f aca="false">(MAX(K77:P77)-LARGE(K77:P77,2))*100</f>
        <v>39.3560647589811</v>
      </c>
      <c r="AT77" s="51" t="str">
        <f aca="false">IF(AS77&lt;5,"Oui","Non")</f>
        <v>Non</v>
      </c>
      <c r="AU77" s="52" t="n">
        <v>0.134</v>
      </c>
      <c r="AV77" s="52" t="n">
        <v>4.783</v>
      </c>
      <c r="AW77" s="52" t="n">
        <v>-1.039</v>
      </c>
      <c r="AX77" s="52" t="n">
        <v>3.687</v>
      </c>
    </row>
    <row r="78" customFormat="false" ht="15" hidden="false" customHeight="true" outlineLevel="0" collapsed="false">
      <c r="A78" s="35" t="s">
        <v>149</v>
      </c>
      <c r="B78" s="35" t="s">
        <v>80</v>
      </c>
      <c r="C78" s="36" t="s">
        <v>4</v>
      </c>
      <c r="D78" s="37" t="n">
        <v>9097</v>
      </c>
      <c r="E78" s="37" t="n">
        <v>9522</v>
      </c>
      <c r="F78" s="37" t="n">
        <v>3789</v>
      </c>
      <c r="G78" s="37" t="n">
        <v>3551</v>
      </c>
      <c r="H78" s="37" t="n">
        <v>3105</v>
      </c>
      <c r="I78" s="37" t="n">
        <v>346</v>
      </c>
      <c r="J78" s="38" t="n">
        <f aca="false">SUM(D78:I78)</f>
        <v>29410</v>
      </c>
      <c r="K78" s="39" t="n">
        <f aca="false">IFERROR(D78/J78,0)</f>
        <v>0.30931655899354</v>
      </c>
      <c r="L78" s="39" t="n">
        <f aca="false">IFERROR(E78/J78,0)</f>
        <v>0.323767426045563</v>
      </c>
      <c r="M78" s="39" t="n">
        <f aca="false">IFERROR(F78/J78,0)</f>
        <v>0.128833730023801</v>
      </c>
      <c r="N78" s="39" t="n">
        <f aca="false">IFERROR(G78/J78,0)</f>
        <v>0.120741244474668</v>
      </c>
      <c r="O78" s="39" t="n">
        <f aca="false">IFERROR(H78/J78,0)</f>
        <v>0.105576334580075</v>
      </c>
      <c r="P78" s="39" t="n">
        <f aca="false">IFERROR(I78/J78,0)</f>
        <v>0.0117647058823529</v>
      </c>
      <c r="Q78" s="38" t="n">
        <f aca="false">D78*INDEX(Régions!$T$2:$T$6,MATCH($B78,Régions!$A$2:$A$6,0))</f>
        <v>6430.3954053457</v>
      </c>
      <c r="R78" s="38" t="n">
        <f aca="false">E78*INDEX(Régions!$U$2:$U$6,MATCH($B78,Régions!$A$2:$A$6,0))</f>
        <v>12164.371894961</v>
      </c>
      <c r="S78" s="38" t="n">
        <f aca="false">F78*INDEX(Régions!$V$2:$V$6,MATCH($B78,Régions!$A$2:$A$6,0))</f>
        <v>1910.87896253602</v>
      </c>
      <c r="T78" s="38" t="n">
        <f aca="false">G78*INDEX(Régions!$W$2:$W$6,MATCH($B78,Régions!$A$2:$A$6,0))</f>
        <v>6990.15748031496</v>
      </c>
      <c r="U78" s="38" t="n">
        <f aca="false">H78*INDEX(Régions!$X$2:$X$6,MATCH($B78,Régions!$A$2:$A$6,0))</f>
        <v>3624.51361867704</v>
      </c>
      <c r="V78" s="38" t="n">
        <f aca="false">I78*INDEX(Régions!$Y$2:$Y$6,MATCH($B78,Régions!$A$2:$A$6,0))</f>
        <v>279.032258064516</v>
      </c>
      <c r="W78" s="38" t="n">
        <f aca="false">Q78+(AU78/100)*J78*Régions!$O$2</f>
        <v>5855.7240053457</v>
      </c>
      <c r="X78" s="38" t="n">
        <f aca="false">R78+(AV78/100)*J78*Régions!$O$2</f>
        <v>12671.547344961</v>
      </c>
      <c r="Y78" s="38" t="n">
        <f aca="false">S78+(AW78/100)*J78*Régions!$O$2</f>
        <v>2030.57766253602</v>
      </c>
      <c r="Z78" s="38" t="n">
        <f aca="false">T78+(AX78/100)*J78*Régions!$O$2</f>
        <v>6993.98078031496</v>
      </c>
      <c r="AA78" s="38" t="n">
        <f aca="false">U78</f>
        <v>3624.51361867704</v>
      </c>
      <c r="AB78" s="38" t="n">
        <f aca="false">V78</f>
        <v>279.032258064516</v>
      </c>
      <c r="AC78" s="38" t="n">
        <f aca="false">D78*INDEX(Régions!$Z$2:$Z$6,MATCH($B78,Régions!$A$2:$A$6,0))</f>
        <v>7093.52993152198</v>
      </c>
      <c r="AD78" s="38" t="n">
        <f aca="false">E78*INDEX(Régions!$AA$2:$AA$6,MATCH($B78,Régions!$A$2:$A$6,0))</f>
        <v>14394.5067423705</v>
      </c>
      <c r="AE78" s="38" t="n">
        <f aca="false">F78*INDEX(Régions!$AB$2:$AB$6,MATCH($B78,Régions!$A$2:$A$6,0))</f>
        <v>2811.72190201729</v>
      </c>
      <c r="AF78" s="38" t="n">
        <f aca="false">G78*INDEX(Régions!$AC$2:$AC$6,MATCH($B78,Régions!$A$2:$A$6,0))</f>
        <v>7759.07480314961</v>
      </c>
      <c r="AG78" s="38" t="n">
        <f aca="false">H78*INDEX(Régions!$AD$2:$AD$6,MATCH($B78,Régions!$A$2:$A$6,0))</f>
        <v>4621.25486381323</v>
      </c>
      <c r="AH78" s="38" t="n">
        <f aca="false">I78*INDEX(Régions!$AE$2:$AE$6,MATCH($B78,Régions!$A$2:$A$6,0))</f>
        <v>1199.83870967742</v>
      </c>
      <c r="AI78" s="38" t="n">
        <f aca="false">D78*INDEX(Régions!$AF$2:$AF$6,MATCH($B78,Régions!$A$2:$A$6,0))</f>
        <v>5767.26087916943</v>
      </c>
      <c r="AJ78" s="38" t="n">
        <f aca="false">E78*INDEX(Régions!$AG$2:$AG$6,MATCH($B78,Régions!$A$2:$A$6,0))</f>
        <v>9934.23704755145</v>
      </c>
      <c r="AK78" s="38" t="n">
        <f aca="false">F78*INDEX(Régions!$AH$2:$AH$6,MATCH($B78,Régions!$A$2:$A$6,0))</f>
        <v>1010.03602305476</v>
      </c>
      <c r="AL78" s="38" t="n">
        <f aca="false">G78*INDEX(Régions!$AI$2:$AI$6,MATCH($B78,Régions!$A$2:$A$6,0))</f>
        <v>6221.24015748032</v>
      </c>
      <c r="AM78" s="38" t="n">
        <f aca="false">H78*INDEX(Régions!$AJ$2:$AJ$6,MATCH($B78,Régions!$A$2:$A$6,0))</f>
        <v>2627.77237354086</v>
      </c>
      <c r="AN78" s="38" t="n">
        <f aca="false">I78*INDEX(Régions!$AK$2:$AK$6,MATCH($B78,Régions!$A$2:$A$6,0))</f>
        <v>0</v>
      </c>
      <c r="AO78" s="40" t="str">
        <f aca="false">INDEX({"CAQ","PLQ","QS","PQ","PCQ","Autre"},MATCH(MAX(Q78:V78),Q78:V78,0))</f>
        <v>PLQ</v>
      </c>
      <c r="AP78" s="40" t="str">
        <f aca="false">INDEX({"CAQ","PLQ","QS","PQ","PCQ","Autre"},MATCH(MAX(W78:AB78),W78:AB78,0))</f>
        <v>PLQ</v>
      </c>
      <c r="AQ78" s="40" t="str">
        <f aca="false">INDEX({"CAQ","PLQ","QS","PQ","PCQ","Autre"},MATCH(MAX(AC78:AH78),AC78:AH78,0))</f>
        <v>PLQ</v>
      </c>
      <c r="AR78" s="40" t="str">
        <f aca="false">INDEX({"CAQ","PLQ","QS","PQ","PCQ","Autre"},MATCH(MAX(AI78:AN78),AI78:AN78,0))</f>
        <v>PLQ</v>
      </c>
      <c r="AS78" s="41" t="n">
        <f aca="false">(MAX(K78:P78)-LARGE(K78:P78,2))*100</f>
        <v>1.44508670520231</v>
      </c>
      <c r="AT78" s="42" t="str">
        <f aca="false">IF(AS78&lt;5,"Oui","Non")</f>
        <v>Oui</v>
      </c>
      <c r="AU78" s="43" t="n">
        <v>-3.908</v>
      </c>
      <c r="AV78" s="43" t="n">
        <v>3.449</v>
      </c>
      <c r="AW78" s="43" t="n">
        <v>0.814</v>
      </c>
      <c r="AX78" s="43" t="n">
        <v>0.026</v>
      </c>
    </row>
    <row r="79" customFormat="false" ht="15" hidden="false" customHeight="true" outlineLevel="0" collapsed="false">
      <c r="A79" s="44" t="s">
        <v>150</v>
      </c>
      <c r="B79" s="44" t="s">
        <v>80</v>
      </c>
      <c r="C79" s="45" t="s">
        <v>3</v>
      </c>
      <c r="D79" s="46" t="n">
        <v>21639</v>
      </c>
      <c r="E79" s="46" t="n">
        <v>2918</v>
      </c>
      <c r="F79" s="46" t="n">
        <v>6222</v>
      </c>
      <c r="G79" s="46" t="n">
        <v>7246</v>
      </c>
      <c r="H79" s="46" t="n">
        <v>4936</v>
      </c>
      <c r="I79" s="46" t="n">
        <v>223</v>
      </c>
      <c r="J79" s="47" t="n">
        <f aca="false">SUM(D79:I79)</f>
        <v>43184</v>
      </c>
      <c r="K79" s="48" t="n">
        <f aca="false">IFERROR(D79/J79,0)</f>
        <v>0.501088366061504</v>
      </c>
      <c r="L79" s="48" t="n">
        <f aca="false">IFERROR(E79/J79,0)</f>
        <v>0.0675713227121156</v>
      </c>
      <c r="M79" s="48" t="n">
        <f aca="false">IFERROR(F79/J79,0)</f>
        <v>0.144081141163394</v>
      </c>
      <c r="N79" s="48" t="n">
        <f aca="false">IFERROR(G79/J79,0)</f>
        <v>0.167793627269359</v>
      </c>
      <c r="O79" s="48" t="n">
        <f aca="false">IFERROR(H79/J79,0)</f>
        <v>0.11430159318266</v>
      </c>
      <c r="P79" s="48" t="n">
        <f aca="false">IFERROR(I79/J79,0)</f>
        <v>0.00516394961096702</v>
      </c>
      <c r="Q79" s="47" t="n">
        <f aca="false">D79*INDEX(Régions!$T$2:$T$6,MATCH($B79,Régions!$A$2:$A$6,0))</f>
        <v>15295.9575878065</v>
      </c>
      <c r="R79" s="47" t="n">
        <f aca="false">E79*INDEX(Régions!$U$2:$U$6,MATCH($B79,Régions!$A$2:$A$6,0))</f>
        <v>3727.7501774308</v>
      </c>
      <c r="S79" s="47" t="n">
        <f aca="false">F79*INDEX(Régions!$V$2:$V$6,MATCH($B79,Régions!$A$2:$A$6,0))</f>
        <v>3137.89625360231</v>
      </c>
      <c r="T79" s="47" t="n">
        <f aca="false">G79*INDEX(Régions!$W$2:$W$6,MATCH($B79,Régions!$A$2:$A$6,0))</f>
        <v>14263.7795275591</v>
      </c>
      <c r="U79" s="47" t="n">
        <f aca="false">H79*INDEX(Régions!$X$2:$X$6,MATCH($B79,Régions!$A$2:$A$6,0))</f>
        <v>5761.86770428016</v>
      </c>
      <c r="V79" s="47" t="n">
        <f aca="false">I79*INDEX(Régions!$Y$2:$Y$6,MATCH($B79,Régions!$A$2:$A$6,0))</f>
        <v>179.838709677419</v>
      </c>
      <c r="W79" s="47" t="n">
        <f aca="false">Q79+(AU79/100)*J79*Régions!$O$2</f>
        <v>13634.8850278065</v>
      </c>
      <c r="X79" s="47" t="n">
        <f aca="false">R79+(AV79/100)*J79*Régions!$O$2</f>
        <v>4749.0517774308</v>
      </c>
      <c r="Y79" s="47" t="n">
        <f aca="false">S79+(AW79/100)*J79*Régions!$O$2</f>
        <v>3170.06833360231</v>
      </c>
      <c r="Z79" s="47" t="n">
        <f aca="false">T79+(AX79/100)*J79*Régions!$O$2</f>
        <v>14627.8206475591</v>
      </c>
      <c r="AA79" s="47" t="n">
        <f aca="false">U79</f>
        <v>5761.86770428016</v>
      </c>
      <c r="AB79" s="47" t="n">
        <f aca="false">V79</f>
        <v>179.838709677419</v>
      </c>
      <c r="AC79" s="47" t="n">
        <f aca="false">D79*INDEX(Régions!$Z$2:$Z$6,MATCH($B79,Régions!$A$2:$A$6,0))</f>
        <v>16873.353214049</v>
      </c>
      <c r="AD79" s="47" t="n">
        <f aca="false">E79*INDEX(Régions!$AA$2:$AA$6,MATCH($B79,Régions!$A$2:$A$6,0))</f>
        <v>4411.17104329312</v>
      </c>
      <c r="AE79" s="47" t="n">
        <f aca="false">F79*INDEX(Régions!$AB$2:$AB$6,MATCH($B79,Régions!$A$2:$A$6,0))</f>
        <v>4617.19020172911</v>
      </c>
      <c r="AF79" s="47" t="n">
        <f aca="false">G79*INDEX(Régions!$AC$2:$AC$6,MATCH($B79,Régions!$A$2:$A$6,0))</f>
        <v>15832.7952755905</v>
      </c>
      <c r="AG79" s="47" t="n">
        <f aca="false">H79*INDEX(Régions!$AD$2:$AD$6,MATCH($B79,Régions!$A$2:$A$6,0))</f>
        <v>7346.3813229572</v>
      </c>
      <c r="AH79" s="47" t="n">
        <f aca="false">I79*INDEX(Régions!$AE$2:$AE$6,MATCH($B79,Régions!$A$2:$A$6,0))</f>
        <v>773.306451612903</v>
      </c>
      <c r="AI79" s="47" t="n">
        <f aca="false">D79*INDEX(Régions!$AF$2:$AF$6,MATCH($B79,Régions!$A$2:$A$6,0))</f>
        <v>13718.5619615639</v>
      </c>
      <c r="AJ79" s="47" t="n">
        <f aca="false">E79*INDEX(Régions!$AG$2:$AG$6,MATCH($B79,Régions!$A$2:$A$6,0))</f>
        <v>3044.32931156849</v>
      </c>
      <c r="AK79" s="47" t="n">
        <f aca="false">F79*INDEX(Régions!$AH$2:$AH$6,MATCH($B79,Régions!$A$2:$A$6,0))</f>
        <v>1658.6023054755</v>
      </c>
      <c r="AL79" s="47" t="n">
        <f aca="false">G79*INDEX(Régions!$AI$2:$AI$6,MATCH($B79,Régions!$A$2:$A$6,0))</f>
        <v>12694.7637795276</v>
      </c>
      <c r="AM79" s="47" t="n">
        <f aca="false">H79*INDEX(Régions!$AJ$2:$AJ$6,MATCH($B79,Régions!$A$2:$A$6,0))</f>
        <v>4177.35408560311</v>
      </c>
      <c r="AN79" s="47" t="n">
        <f aca="false">I79*INDEX(Régions!$AK$2:$AK$6,MATCH($B79,Régions!$A$2:$A$6,0))</f>
        <v>0</v>
      </c>
      <c r="AO79" s="49" t="str">
        <f aca="false">INDEX({"CAQ","PLQ","QS","PQ","PCQ","Autre"},MATCH(MAX(Q79:V79),Q79:V79,0))</f>
        <v>CAQ</v>
      </c>
      <c r="AP79" s="49" t="str">
        <f aca="false">INDEX({"CAQ","PLQ","QS","PQ","PCQ","Autre"},MATCH(MAX(W79:AB79),W79:AB79,0))</f>
        <v>PQ</v>
      </c>
      <c r="AQ79" s="49" t="str">
        <f aca="false">INDEX({"CAQ","PLQ","QS","PQ","PCQ","Autre"},MATCH(MAX(AC79:AH79),AC79:AH79,0))</f>
        <v>CAQ</v>
      </c>
      <c r="AR79" s="49" t="str">
        <f aca="false">INDEX({"CAQ","PLQ","QS","PQ","PCQ","Autre"},MATCH(MAX(AI79:AN79),AI79:AN79,0))</f>
        <v>CAQ</v>
      </c>
      <c r="AS79" s="50" t="n">
        <f aca="false">(MAX(K79:P79)-LARGE(K79:P79,2))*100</f>
        <v>33.3294738792145</v>
      </c>
      <c r="AT79" s="51" t="str">
        <f aca="false">IF(AS79&lt;5,"Oui","Non")</f>
        <v>Non</v>
      </c>
      <c r="AU79" s="52" t="n">
        <v>-7.693</v>
      </c>
      <c r="AV79" s="52" t="n">
        <v>4.73</v>
      </c>
      <c r="AW79" s="52" t="n">
        <v>0.149</v>
      </c>
      <c r="AX79" s="52" t="n">
        <v>1.686</v>
      </c>
    </row>
    <row r="80" customFormat="false" ht="15" hidden="false" customHeight="true" outlineLevel="0" collapsed="false">
      <c r="A80" s="35" t="s">
        <v>151</v>
      </c>
      <c r="B80" s="35" t="s">
        <v>80</v>
      </c>
      <c r="C80" s="36" t="s">
        <v>3</v>
      </c>
      <c r="D80" s="37" t="n">
        <v>19045</v>
      </c>
      <c r="E80" s="37" t="n">
        <v>5090</v>
      </c>
      <c r="F80" s="37" t="n">
        <v>6741</v>
      </c>
      <c r="G80" s="37" t="n">
        <v>7753</v>
      </c>
      <c r="H80" s="37" t="n">
        <v>2124</v>
      </c>
      <c r="I80" s="37" t="n">
        <v>735</v>
      </c>
      <c r="J80" s="38" t="n">
        <f aca="false">SUM(D80:I80)</f>
        <v>41488</v>
      </c>
      <c r="K80" s="39" t="n">
        <f aca="false">IFERROR(D80/J80,0)</f>
        <v>0.459048399537216</v>
      </c>
      <c r="L80" s="39" t="n">
        <f aca="false">IFERROR(E80/J80,0)</f>
        <v>0.122686077902044</v>
      </c>
      <c r="M80" s="39" t="n">
        <f aca="false">IFERROR(F80/J80,0)</f>
        <v>0.16248071731585</v>
      </c>
      <c r="N80" s="39" t="n">
        <f aca="false">IFERROR(G80/J80,0)</f>
        <v>0.186873312765137</v>
      </c>
      <c r="O80" s="39" t="n">
        <f aca="false">IFERROR(H80/J80,0)</f>
        <v>0.0511955264172773</v>
      </c>
      <c r="P80" s="39" t="n">
        <f aca="false">IFERROR(I80/J80,0)</f>
        <v>0.0177159660624759</v>
      </c>
      <c r="Q80" s="38" t="n">
        <f aca="false">D80*INDEX(Régions!$T$2:$T$6,MATCH($B80,Régions!$A$2:$A$6,0))</f>
        <v>13462.3370885796</v>
      </c>
      <c r="R80" s="38" t="n">
        <f aca="false">E80*INDEX(Régions!$U$2:$U$6,MATCH($B80,Régions!$A$2:$A$6,0))</f>
        <v>6502.48403122782</v>
      </c>
      <c r="S80" s="38" t="n">
        <f aca="false">F80*INDEX(Régions!$V$2:$V$6,MATCH($B80,Régions!$A$2:$A$6,0))</f>
        <v>3399.63976945245</v>
      </c>
      <c r="T80" s="38" t="n">
        <f aca="false">G80*INDEX(Régions!$W$2:$W$6,MATCH($B80,Régions!$A$2:$A$6,0))</f>
        <v>15261.811023622</v>
      </c>
      <c r="U80" s="38" t="n">
        <f aca="false">H80*INDEX(Régions!$X$2:$X$6,MATCH($B80,Régions!$A$2:$A$6,0))</f>
        <v>2479.37743190662</v>
      </c>
      <c r="V80" s="38" t="n">
        <f aca="false">I80*INDEX(Régions!$Y$2:$Y$6,MATCH($B80,Régions!$A$2:$A$6,0))</f>
        <v>592.741935483871</v>
      </c>
      <c r="W80" s="38" t="n">
        <f aca="false">Q80+(AU80/100)*J80*Régions!$O$2</f>
        <v>13799.8419685796</v>
      </c>
      <c r="X80" s="38" t="n">
        <f aca="false">R80+(AV80/100)*J80*Régions!$O$2</f>
        <v>5420.89187122782</v>
      </c>
      <c r="Y80" s="38" t="n">
        <f aca="false">S80+(AW80/100)*J80*Régions!$O$2</f>
        <v>3618.48896945245</v>
      </c>
      <c r="Z80" s="38" t="n">
        <f aca="false">T80+(AX80/100)*J80*Régions!$O$2</f>
        <v>16416.0071836221</v>
      </c>
      <c r="AA80" s="38" t="n">
        <f aca="false">U80</f>
        <v>2479.37743190662</v>
      </c>
      <c r="AB80" s="38" t="n">
        <f aca="false">V80</f>
        <v>592.741935483871</v>
      </c>
      <c r="AC80" s="38" t="n">
        <f aca="false">D80*INDEX(Régions!$Z$2:$Z$6,MATCH($B80,Régions!$A$2:$A$6,0))</f>
        <v>14850.6406008394</v>
      </c>
      <c r="AD80" s="38" t="n">
        <f aca="false">E80*INDEX(Régions!$AA$2:$AA$6,MATCH($B80,Régions!$A$2:$A$6,0))</f>
        <v>7694.60610361959</v>
      </c>
      <c r="AE80" s="38" t="n">
        <f aca="false">F80*INDEX(Régions!$AB$2:$AB$6,MATCH($B80,Régions!$A$2:$A$6,0))</f>
        <v>5002.32708933718</v>
      </c>
      <c r="AF80" s="38" t="n">
        <f aca="false">G80*INDEX(Régions!$AC$2:$AC$6,MATCH($B80,Régions!$A$2:$A$6,0))</f>
        <v>16940.6102362205</v>
      </c>
      <c r="AG80" s="38" t="n">
        <f aca="false">H80*INDEX(Régions!$AD$2:$AD$6,MATCH($B80,Régions!$A$2:$A$6,0))</f>
        <v>3161.20622568093</v>
      </c>
      <c r="AH80" s="38" t="n">
        <f aca="false">I80*INDEX(Régions!$AE$2:$AE$6,MATCH($B80,Régions!$A$2:$A$6,0))</f>
        <v>2548.79032258065</v>
      </c>
      <c r="AI80" s="38" t="n">
        <f aca="false">D80*INDEX(Régions!$AF$2:$AF$6,MATCH($B80,Régions!$A$2:$A$6,0))</f>
        <v>12074.0335763199</v>
      </c>
      <c r="AJ80" s="38" t="n">
        <f aca="false">E80*INDEX(Régions!$AG$2:$AG$6,MATCH($B80,Régions!$A$2:$A$6,0))</f>
        <v>5310.36195883605</v>
      </c>
      <c r="AK80" s="38" t="n">
        <f aca="false">F80*INDEX(Régions!$AH$2:$AH$6,MATCH($B80,Régions!$A$2:$A$6,0))</f>
        <v>1796.95244956772</v>
      </c>
      <c r="AL80" s="38" t="n">
        <f aca="false">G80*INDEX(Régions!$AI$2:$AI$6,MATCH($B80,Régions!$A$2:$A$6,0))</f>
        <v>13583.0118110236</v>
      </c>
      <c r="AM80" s="38" t="n">
        <f aca="false">H80*INDEX(Régions!$AJ$2:$AJ$6,MATCH($B80,Régions!$A$2:$A$6,0))</f>
        <v>1797.5486381323</v>
      </c>
      <c r="AN80" s="38" t="n">
        <f aca="false">I80*INDEX(Régions!$AK$2:$AK$6,MATCH($B80,Régions!$A$2:$A$6,0))</f>
        <v>0</v>
      </c>
      <c r="AO80" s="40" t="str">
        <f aca="false">INDEX({"CAQ","PLQ","QS","PQ","PCQ","Autre"},MATCH(MAX(Q80:V80),Q80:V80,0))</f>
        <v>PQ</v>
      </c>
      <c r="AP80" s="40" t="str">
        <f aca="false">INDEX({"CAQ","PLQ","QS","PQ","PCQ","Autre"},MATCH(MAX(W80:AB80),W80:AB80,0))</f>
        <v>PQ</v>
      </c>
      <c r="AQ80" s="40" t="str">
        <f aca="false">INDEX({"CAQ","PLQ","QS","PQ","PCQ","Autre"},MATCH(MAX(AC80:AH80),AC80:AH80,0))</f>
        <v>PQ</v>
      </c>
      <c r="AR80" s="40" t="str">
        <f aca="false">INDEX({"CAQ","PLQ","QS","PQ","PCQ","Autre"},MATCH(MAX(AI80:AN80),AI80:AN80,0))</f>
        <v>PQ</v>
      </c>
      <c r="AS80" s="41" t="n">
        <f aca="false">(MAX(K80:P80)-LARGE(K80:P80,2))*100</f>
        <v>27.2175086772079</v>
      </c>
      <c r="AT80" s="42" t="str">
        <f aca="false">IF(AS80&lt;5,"Oui","Non")</f>
        <v>Non</v>
      </c>
      <c r="AU80" s="43" t="n">
        <v>1.627</v>
      </c>
      <c r="AV80" s="43" t="n">
        <v>-5.214</v>
      </c>
      <c r="AW80" s="43" t="n">
        <v>1.055</v>
      </c>
      <c r="AX80" s="43" t="n">
        <v>5.564</v>
      </c>
    </row>
    <row r="81" customFormat="false" ht="15" hidden="false" customHeight="true" outlineLevel="0" collapsed="false">
      <c r="A81" s="44" t="s">
        <v>152</v>
      </c>
      <c r="B81" s="44" t="s">
        <v>94</v>
      </c>
      <c r="C81" s="45" t="s">
        <v>3</v>
      </c>
      <c r="D81" s="46" t="n">
        <v>19124</v>
      </c>
      <c r="E81" s="46" t="n">
        <v>1969</v>
      </c>
      <c r="F81" s="46" t="n">
        <v>5100</v>
      </c>
      <c r="G81" s="46" t="n">
        <v>4773</v>
      </c>
      <c r="H81" s="46" t="n">
        <v>11031</v>
      </c>
      <c r="I81" s="46" t="n">
        <v>329</v>
      </c>
      <c r="J81" s="47" t="n">
        <f aca="false">SUM(D81:I81)</f>
        <v>42326</v>
      </c>
      <c r="K81" s="48" t="n">
        <f aca="false">IFERROR(D81/J81,0)</f>
        <v>0.451826300619005</v>
      </c>
      <c r="L81" s="48" t="n">
        <f aca="false">IFERROR(E81/J81,0)</f>
        <v>0.0465198695837074</v>
      </c>
      <c r="M81" s="48" t="n">
        <f aca="false">IFERROR(F81/J81,0)</f>
        <v>0.120493313802391</v>
      </c>
      <c r="N81" s="48" t="n">
        <f aca="false">IFERROR(G81/J81,0)</f>
        <v>0.112767566035061</v>
      </c>
      <c r="O81" s="48" t="n">
        <f aca="false">IFERROR(H81/J81,0)</f>
        <v>0.260619949912583</v>
      </c>
      <c r="P81" s="48" t="n">
        <f aca="false">IFERROR(I81/J81,0)</f>
        <v>0.00777300004725228</v>
      </c>
      <c r="Q81" s="47" t="n">
        <f aca="false">D81*INDEX(Régions!$T$2:$T$6,MATCH($B81,Régions!$A$2:$A$6,0))</f>
        <v>15955.1332560834</v>
      </c>
      <c r="R81" s="47" t="n">
        <f aca="false">E81*INDEX(Régions!$U$2:$U$6,MATCH($B81,Régions!$A$2:$A$6,0))</f>
        <v>2360.10273972603</v>
      </c>
      <c r="S81" s="47" t="n">
        <f aca="false">F81*INDEX(Régions!$V$2:$V$6,MATCH($B81,Régions!$A$2:$A$6,0))</f>
        <v>2003.92927308448</v>
      </c>
      <c r="T81" s="47" t="n">
        <f aca="false">G81*INDEX(Régions!$W$2:$W$6,MATCH($B81,Régions!$A$2:$A$6,0))</f>
        <v>10071.137905049</v>
      </c>
      <c r="U81" s="47" t="n">
        <f aca="false">H81*INDEX(Régions!$X$2:$X$6,MATCH($B81,Régions!$A$2:$A$6,0))</f>
        <v>11329.6918767507</v>
      </c>
      <c r="V81" s="47" t="n">
        <f aca="false">I81*INDEX(Régions!$Y$2:$Y$6,MATCH($B81,Régions!$A$2:$A$6,0))</f>
        <v>310.377358490566</v>
      </c>
      <c r="W81" s="47" t="n">
        <f aca="false">Q81+(AU81/100)*J81*Régions!$O$2</f>
        <v>15321.5130360834</v>
      </c>
      <c r="X81" s="47" t="n">
        <f aca="false">R81+(AV81/100)*J81*Régions!$O$2</f>
        <v>2564.96057972603</v>
      </c>
      <c r="Y81" s="47" t="n">
        <f aca="false">S81+(AW81/100)*J81*Régions!$O$2</f>
        <v>1935.78441308448</v>
      </c>
      <c r="Z81" s="47" t="n">
        <f aca="false">T81+(AX81/100)*J81*Régions!$O$2</f>
        <v>9816.97027504898</v>
      </c>
      <c r="AA81" s="47" t="n">
        <f aca="false">U81</f>
        <v>11329.6918767507</v>
      </c>
      <c r="AB81" s="47" t="n">
        <f aca="false">V81</f>
        <v>310.377358490566</v>
      </c>
      <c r="AC81" s="47" t="n">
        <f aca="false">D81*INDEX(Régions!$Z$2:$Z$6,MATCH($B81,Régions!$A$2:$A$6,0))</f>
        <v>17417.6871378911</v>
      </c>
      <c r="AD81" s="47" t="n">
        <f aca="false">E81*INDEX(Régions!$AA$2:$AA$6,MATCH($B81,Régions!$A$2:$A$6,0))</f>
        <v>3472.72260273973</v>
      </c>
      <c r="AE81" s="47" t="n">
        <f aca="false">F81*INDEX(Régions!$AB$2:$AB$6,MATCH($B81,Régions!$A$2:$A$6,0))</f>
        <v>3106.09037328094</v>
      </c>
      <c r="AF81" s="47" t="n">
        <f aca="false">G81*INDEX(Régions!$AC$2:$AC$6,MATCH($B81,Régions!$A$2:$A$6,0))</f>
        <v>11258.0934438583</v>
      </c>
      <c r="AG81" s="47" t="n">
        <f aca="false">H81*INDEX(Régions!$AD$2:$AD$6,MATCH($B81,Régions!$A$2:$A$6,0))</f>
        <v>13029.1456582633</v>
      </c>
      <c r="AH81" s="47" t="n">
        <f aca="false">I81*INDEX(Régions!$AE$2:$AE$6,MATCH($B81,Régions!$A$2:$A$6,0))</f>
        <v>1334.62264150943</v>
      </c>
      <c r="AI81" s="47" t="n">
        <f aca="false">D81*INDEX(Régions!$AF$2:$AF$6,MATCH($B81,Régions!$A$2:$A$6,0))</f>
        <v>14492.5793742758</v>
      </c>
      <c r="AJ81" s="47" t="n">
        <f aca="false">E81*INDEX(Régions!$AG$2:$AG$6,MATCH($B81,Régions!$A$2:$A$6,0))</f>
        <v>1247.48287671233</v>
      </c>
      <c r="AK81" s="47" t="n">
        <f aca="false">F81*INDEX(Régions!$AH$2:$AH$6,MATCH($B81,Régions!$A$2:$A$6,0))</f>
        <v>901.768172888016</v>
      </c>
      <c r="AL81" s="47" t="n">
        <f aca="false">G81*INDEX(Régions!$AI$2:$AI$6,MATCH($B81,Régions!$A$2:$A$6,0))</f>
        <v>8884.18236623964</v>
      </c>
      <c r="AM81" s="47" t="n">
        <f aca="false">H81*INDEX(Régions!$AJ$2:$AJ$6,MATCH($B81,Régions!$A$2:$A$6,0))</f>
        <v>9630.23809523809</v>
      </c>
      <c r="AN81" s="47" t="n">
        <f aca="false">I81*INDEX(Régions!$AK$2:$AK$6,MATCH($B81,Régions!$A$2:$A$6,0))</f>
        <v>0</v>
      </c>
      <c r="AO81" s="49" t="str">
        <f aca="false">INDEX({"CAQ","PLQ","QS","PQ","PCQ","Autre"},MATCH(MAX(Q81:V81),Q81:V81,0))</f>
        <v>CAQ</v>
      </c>
      <c r="AP81" s="49" t="str">
        <f aca="false">INDEX({"CAQ","PLQ","QS","PQ","PCQ","Autre"},MATCH(MAX(W81:AB81),W81:AB81,0))</f>
        <v>CAQ</v>
      </c>
      <c r="AQ81" s="49" t="str">
        <f aca="false">INDEX({"CAQ","PLQ","QS","PQ","PCQ","Autre"},MATCH(MAX(AC81:AH81),AC81:AH81,0))</f>
        <v>CAQ</v>
      </c>
      <c r="AR81" s="49" t="str">
        <f aca="false">INDEX({"CAQ","PLQ","QS","PQ","PCQ","Autre"},MATCH(MAX(AI81:AN81),AI81:AN81,0))</f>
        <v>CAQ</v>
      </c>
      <c r="AS81" s="50" t="n">
        <f aca="false">(MAX(K81:P81)-LARGE(K81:P81,2))*100</f>
        <v>19.1206350706422</v>
      </c>
      <c r="AT81" s="51" t="str">
        <f aca="false">IF(AS81&lt;5,"Oui","Non")</f>
        <v>Non</v>
      </c>
      <c r="AU81" s="52" t="n">
        <v>-2.994</v>
      </c>
      <c r="AV81" s="52" t="n">
        <v>0.968</v>
      </c>
      <c r="AW81" s="52" t="n">
        <v>-0.322</v>
      </c>
      <c r="AX81" s="52" t="n">
        <v>-1.201</v>
      </c>
    </row>
    <row r="82" customFormat="false" ht="15" hidden="false" customHeight="true" outlineLevel="0" collapsed="false">
      <c r="A82" s="35" t="s">
        <v>153</v>
      </c>
      <c r="B82" s="35" t="s">
        <v>73</v>
      </c>
      <c r="C82" s="36" t="s">
        <v>4</v>
      </c>
      <c r="D82" s="37" t="n">
        <v>4677</v>
      </c>
      <c r="E82" s="37" t="n">
        <v>11658</v>
      </c>
      <c r="F82" s="37" t="n">
        <v>6008</v>
      </c>
      <c r="G82" s="37" t="n">
        <v>3385</v>
      </c>
      <c r="H82" s="37" t="n">
        <v>3029</v>
      </c>
      <c r="I82" s="37" t="n">
        <v>872</v>
      </c>
      <c r="J82" s="38" t="n">
        <f aca="false">SUM(D82:I82)</f>
        <v>29629</v>
      </c>
      <c r="K82" s="39" t="n">
        <f aca="false">IFERROR(D82/J82,0)</f>
        <v>0.157852104357218</v>
      </c>
      <c r="L82" s="39" t="n">
        <f aca="false">IFERROR(E82/J82,0)</f>
        <v>0.393465861149549</v>
      </c>
      <c r="M82" s="39" t="n">
        <f aca="false">IFERROR(F82/J82,0)</f>
        <v>0.202774308954065</v>
      </c>
      <c r="N82" s="39" t="n">
        <f aca="false">IFERROR(G82/J82,0)</f>
        <v>0.114246177731277</v>
      </c>
      <c r="O82" s="39" t="n">
        <f aca="false">IFERROR(H82/J82,0)</f>
        <v>0.102230922407101</v>
      </c>
      <c r="P82" s="39" t="n">
        <f aca="false">IFERROR(I82/J82,0)</f>
        <v>0.0294306254007898</v>
      </c>
      <c r="Q82" s="38" t="n">
        <f aca="false">D82*INDEX(Régions!$T$2:$T$6,MATCH($B82,Régions!$A$2:$A$6,0))</f>
        <v>3505.99700149925</v>
      </c>
      <c r="R82" s="38" t="n">
        <f aca="false">E82*INDEX(Régions!$U$2:$U$6,MATCH($B82,Régions!$A$2:$A$6,0))</f>
        <v>11637.4633000587</v>
      </c>
      <c r="S82" s="38" t="n">
        <f aca="false">F82*INDEX(Régions!$V$2:$V$6,MATCH($B82,Régions!$A$2:$A$6,0))</f>
        <v>4611.10609480813</v>
      </c>
      <c r="T82" s="38" t="n">
        <f aca="false">G82*INDEX(Régions!$W$2:$W$6,MATCH($B82,Régions!$A$2:$A$6,0))</f>
        <v>7613.87066541706</v>
      </c>
      <c r="U82" s="38" t="n">
        <f aca="false">H82*INDEX(Régions!$X$2:$X$6,MATCH($B82,Régions!$A$2:$A$6,0))</f>
        <v>2430.49147442327</v>
      </c>
      <c r="V82" s="38" t="n">
        <f aca="false">I82*INDEX(Régions!$Y$2:$Y$6,MATCH($B82,Régions!$A$2:$A$6,0))</f>
        <v>557.188498402556</v>
      </c>
      <c r="W82" s="38" t="n">
        <f aca="false">Q82+(AU82/100)*J82*Régions!$O$2</f>
        <v>3529.99649149925</v>
      </c>
      <c r="X82" s="38" t="n">
        <f aca="false">R82+(AV82/100)*J82*Régions!$O$2</f>
        <v>11115.1040300587</v>
      </c>
      <c r="Y82" s="38" t="n">
        <f aca="false">S82+(AW82/100)*J82*Régions!$O$2</f>
        <v>5258.94417980813</v>
      </c>
      <c r="Z82" s="38" t="n">
        <f aca="false">T82+(AX82/100)*J82*Régions!$O$2</f>
        <v>7748.38632541706</v>
      </c>
      <c r="AA82" s="38" t="n">
        <f aca="false">U82</f>
        <v>2430.49147442327</v>
      </c>
      <c r="AB82" s="38" t="n">
        <f aca="false">V82</f>
        <v>557.188498402556</v>
      </c>
      <c r="AC82" s="38" t="n">
        <f aca="false">D82*INDEX(Régions!$Z$2:$Z$6,MATCH($B82,Régions!$A$2:$A$6,0))</f>
        <v>4277.31634182909</v>
      </c>
      <c r="AD82" s="38" t="n">
        <f aca="false">E82*INDEX(Régions!$AA$2:$AA$6,MATCH($B82,Régions!$A$2:$A$6,0))</f>
        <v>12766.9817968291</v>
      </c>
      <c r="AE82" s="38" t="n">
        <f aca="false">F82*INDEX(Régions!$AB$2:$AB$6,MATCH($B82,Régions!$A$2:$A$6,0))</f>
        <v>5506.20316027088</v>
      </c>
      <c r="AF82" s="38" t="n">
        <f aca="false">G82*INDEX(Régions!$AC$2:$AC$6,MATCH($B82,Régions!$A$2:$A$6,0))</f>
        <v>8660.7778819119</v>
      </c>
      <c r="AG82" s="38" t="n">
        <f aca="false">H82*INDEX(Régions!$AD$2:$AD$6,MATCH($B82,Régions!$A$2:$A$6,0))</f>
        <v>3433.06920762287</v>
      </c>
      <c r="AH82" s="38" t="n">
        <f aca="false">I82*INDEX(Régions!$AE$2:$AE$6,MATCH($B82,Régions!$A$2:$A$6,0))</f>
        <v>1476.54952076677</v>
      </c>
      <c r="AI82" s="38" t="n">
        <f aca="false">D82*INDEX(Régions!$AF$2:$AF$6,MATCH($B82,Régions!$A$2:$A$6,0))</f>
        <v>2734.67766116942</v>
      </c>
      <c r="AJ82" s="38" t="n">
        <f aca="false">E82*INDEX(Régions!$AG$2:$AG$6,MATCH($B82,Régions!$A$2:$A$6,0))</f>
        <v>10507.9448032883</v>
      </c>
      <c r="AK82" s="38" t="n">
        <f aca="false">F82*INDEX(Régions!$AH$2:$AH$6,MATCH($B82,Régions!$A$2:$A$6,0))</f>
        <v>3716.00902934537</v>
      </c>
      <c r="AL82" s="38" t="n">
        <f aca="false">G82*INDEX(Régions!$AI$2:$AI$6,MATCH($B82,Régions!$A$2:$A$6,0))</f>
        <v>6566.96344892221</v>
      </c>
      <c r="AM82" s="38" t="n">
        <f aca="false">H82*INDEX(Régions!$AJ$2:$AJ$6,MATCH($B82,Régions!$A$2:$A$6,0))</f>
        <v>1427.91374122367</v>
      </c>
      <c r="AN82" s="38" t="n">
        <f aca="false">I82*INDEX(Régions!$AK$2:$AK$6,MATCH($B82,Régions!$A$2:$A$6,0))</f>
        <v>0</v>
      </c>
      <c r="AO82" s="40" t="str">
        <f aca="false">INDEX({"CAQ","PLQ","QS","PQ","PCQ","Autre"},MATCH(MAX(Q82:V82),Q82:V82,0))</f>
        <v>PLQ</v>
      </c>
      <c r="AP82" s="40" t="str">
        <f aca="false">INDEX({"CAQ","PLQ","QS","PQ","PCQ","Autre"},MATCH(MAX(W82:AB82),W82:AB82,0))</f>
        <v>PLQ</v>
      </c>
      <c r="AQ82" s="40" t="str">
        <f aca="false">INDEX({"CAQ","PLQ","QS","PQ","PCQ","Autre"},MATCH(MAX(AC82:AH82),AC82:AH82,0))</f>
        <v>PLQ</v>
      </c>
      <c r="AR82" s="40" t="str">
        <f aca="false">INDEX({"CAQ","PLQ","QS","PQ","PCQ","Autre"},MATCH(MAX(AI82:AN82),AI82:AN82,0))</f>
        <v>PLQ</v>
      </c>
      <c r="AS82" s="41" t="n">
        <f aca="false">(MAX(K82:P82)-LARGE(K82:P82,2))*100</f>
        <v>19.0691552195484</v>
      </c>
      <c r="AT82" s="42" t="str">
        <f aca="false">IF(AS82&lt;5,"Oui","Non")</f>
        <v>Non</v>
      </c>
      <c r="AU82" s="43" t="n">
        <v>0.162</v>
      </c>
      <c r="AV82" s="43" t="n">
        <v>-3.526</v>
      </c>
      <c r="AW82" s="43" t="n">
        <v>4.373</v>
      </c>
      <c r="AX82" s="43" t="n">
        <v>0.908</v>
      </c>
    </row>
    <row r="83" customFormat="false" ht="15" hidden="false" customHeight="true" outlineLevel="0" collapsed="false">
      <c r="A83" s="44" t="s">
        <v>154</v>
      </c>
      <c r="B83" s="44" t="s">
        <v>73</v>
      </c>
      <c r="C83" s="45" t="s">
        <v>4</v>
      </c>
      <c r="D83" s="46" t="n">
        <v>5584</v>
      </c>
      <c r="E83" s="46" t="n">
        <v>17454</v>
      </c>
      <c r="F83" s="46" t="n">
        <v>1766</v>
      </c>
      <c r="G83" s="46" t="n">
        <v>1399</v>
      </c>
      <c r="H83" s="46" t="n">
        <v>6075</v>
      </c>
      <c r="I83" s="46" t="n">
        <v>1268</v>
      </c>
      <c r="J83" s="47" t="n">
        <f aca="false">SUM(D83:I83)</f>
        <v>33546</v>
      </c>
      <c r="K83" s="48" t="n">
        <f aca="false">IFERROR(D83/J83,0)</f>
        <v>0.166457997972933</v>
      </c>
      <c r="L83" s="48" t="n">
        <f aca="false">IFERROR(E83/J83,0)</f>
        <v>0.520300482918977</v>
      </c>
      <c r="M83" s="48" t="n">
        <f aca="false">IFERROR(F83/J83,0)</f>
        <v>0.0526441304477434</v>
      </c>
      <c r="N83" s="48" t="n">
        <f aca="false">IFERROR(G83/J83,0)</f>
        <v>0.0417039289334049</v>
      </c>
      <c r="O83" s="48" t="n">
        <f aca="false">IFERROR(H83/J83,0)</f>
        <v>0.181094616347702</v>
      </c>
      <c r="P83" s="48" t="n">
        <f aca="false">IFERROR(I83/J83,0)</f>
        <v>0.0377988433792404</v>
      </c>
      <c r="Q83" s="47" t="n">
        <f aca="false">D83*INDEX(Régions!$T$2:$T$6,MATCH($B83,Régions!$A$2:$A$6,0))</f>
        <v>4185.90704647676</v>
      </c>
      <c r="R83" s="47" t="n">
        <f aca="false">E83*INDEX(Régions!$U$2:$U$6,MATCH($B83,Régions!$A$2:$A$6,0))</f>
        <v>17423.2530827951</v>
      </c>
      <c r="S83" s="47" t="n">
        <f aca="false">F83*INDEX(Régions!$V$2:$V$6,MATCH($B83,Régions!$A$2:$A$6,0))</f>
        <v>1355.39503386005</v>
      </c>
      <c r="T83" s="47" t="n">
        <f aca="false">G83*INDEX(Régions!$W$2:$W$6,MATCH($B83,Régions!$A$2:$A$6,0))</f>
        <v>3146.76663542643</v>
      </c>
      <c r="U83" s="47" t="n">
        <f aca="false">H83*INDEX(Régions!$X$2:$X$6,MATCH($B83,Régions!$A$2:$A$6,0))</f>
        <v>4874.62387161484</v>
      </c>
      <c r="V83" s="47" t="n">
        <f aca="false">I83*INDEX(Régions!$Y$2:$Y$6,MATCH($B83,Régions!$A$2:$A$6,0))</f>
        <v>810.223642172524</v>
      </c>
      <c r="W83" s="47" t="n">
        <f aca="false">Q83+(AU83/100)*J83*Régions!$O$2</f>
        <v>3744.10622647676</v>
      </c>
      <c r="X83" s="47" t="n">
        <f aca="false">R83+(AV83/100)*J83*Régions!$O$2</f>
        <v>16647.3341027951</v>
      </c>
      <c r="Y83" s="47" t="n">
        <f aca="false">S83+(AW83/100)*J83*Régions!$O$2</f>
        <v>1234.12624386005</v>
      </c>
      <c r="Z83" s="47" t="n">
        <f aca="false">T83+(AX83/100)*J83*Régions!$O$2</f>
        <v>3285.64707542643</v>
      </c>
      <c r="AA83" s="47" t="n">
        <f aca="false">U83</f>
        <v>4874.62387161484</v>
      </c>
      <c r="AB83" s="47" t="n">
        <f aca="false">V83</f>
        <v>810.223642172524</v>
      </c>
      <c r="AC83" s="47" t="n">
        <f aca="false">D83*INDEX(Régions!$Z$2:$Z$6,MATCH($B83,Régions!$A$2:$A$6,0))</f>
        <v>5106.80659670165</v>
      </c>
      <c r="AD83" s="47" t="n">
        <f aca="false">E83*INDEX(Régions!$AA$2:$AA$6,MATCH($B83,Régions!$A$2:$A$6,0))</f>
        <v>19114.3335290664</v>
      </c>
      <c r="AE83" s="47" t="n">
        <f aca="false">F83*INDEX(Régions!$AB$2:$AB$6,MATCH($B83,Régions!$A$2:$A$6,0))</f>
        <v>1618.50112866817</v>
      </c>
      <c r="AF83" s="47" t="n">
        <f aca="false">G83*INDEX(Régions!$AC$2:$AC$6,MATCH($B83,Régions!$A$2:$A$6,0))</f>
        <v>3579.44704779756</v>
      </c>
      <c r="AG83" s="47" t="n">
        <f aca="false">H83*INDEX(Régions!$AD$2:$AD$6,MATCH($B83,Régions!$A$2:$A$6,0))</f>
        <v>6885.40621865597</v>
      </c>
      <c r="AH83" s="47" t="n">
        <f aca="false">I83*INDEX(Régions!$AE$2:$AE$6,MATCH($B83,Régions!$A$2:$A$6,0))</f>
        <v>2147.09265175719</v>
      </c>
      <c r="AI83" s="47" t="n">
        <f aca="false">D83*INDEX(Régions!$AF$2:$AF$6,MATCH($B83,Régions!$A$2:$A$6,0))</f>
        <v>3265.00749625187</v>
      </c>
      <c r="AJ83" s="47" t="n">
        <f aca="false">E83*INDEX(Régions!$AG$2:$AG$6,MATCH($B83,Régions!$A$2:$A$6,0))</f>
        <v>15732.1726365238</v>
      </c>
      <c r="AK83" s="47" t="n">
        <f aca="false">F83*INDEX(Régions!$AH$2:$AH$6,MATCH($B83,Régions!$A$2:$A$6,0))</f>
        <v>1092.28893905192</v>
      </c>
      <c r="AL83" s="47" t="n">
        <f aca="false">G83*INDEX(Régions!$AI$2:$AI$6,MATCH($B83,Régions!$A$2:$A$6,0))</f>
        <v>2714.0862230553</v>
      </c>
      <c r="AM83" s="47" t="n">
        <f aca="false">H83*INDEX(Régions!$AJ$2:$AJ$6,MATCH($B83,Régions!$A$2:$A$6,0))</f>
        <v>2863.84152457372</v>
      </c>
      <c r="AN83" s="47" t="n">
        <f aca="false">I83*INDEX(Régions!$AK$2:$AK$6,MATCH($B83,Régions!$A$2:$A$6,0))</f>
        <v>0</v>
      </c>
      <c r="AO83" s="49" t="str">
        <f aca="false">INDEX({"CAQ","PLQ","QS","PQ","PCQ","Autre"},MATCH(MAX(Q83:V83),Q83:V83,0))</f>
        <v>PLQ</v>
      </c>
      <c r="AP83" s="49" t="str">
        <f aca="false">INDEX({"CAQ","PLQ","QS","PQ","PCQ","Autre"},MATCH(MAX(W83:AB83),W83:AB83,0))</f>
        <v>PLQ</v>
      </c>
      <c r="AQ83" s="49" t="str">
        <f aca="false">INDEX({"CAQ","PLQ","QS","PQ","PCQ","Autre"},MATCH(MAX(AC83:AH83),AC83:AH83,0))</f>
        <v>PLQ</v>
      </c>
      <c r="AR83" s="49" t="str">
        <f aca="false">INDEX({"CAQ","PLQ","QS","PQ","PCQ","Autre"},MATCH(MAX(AI83:AN83),AI83:AN83,0))</f>
        <v>PLQ</v>
      </c>
      <c r="AS83" s="50" t="n">
        <f aca="false">(MAX(K83:P83)-LARGE(K83:P83,2))*100</f>
        <v>33.9205866571275</v>
      </c>
      <c r="AT83" s="51" t="str">
        <f aca="false">IF(AS83&lt;5,"Oui","Non")</f>
        <v>Non</v>
      </c>
      <c r="AU83" s="52" t="n">
        <v>-2.634</v>
      </c>
      <c r="AV83" s="52" t="n">
        <v>-4.626</v>
      </c>
      <c r="AW83" s="52" t="n">
        <v>-0.723</v>
      </c>
      <c r="AX83" s="52" t="n">
        <v>0.828</v>
      </c>
    </row>
    <row r="84" customFormat="false" ht="15" hidden="false" customHeight="true" outlineLevel="0" collapsed="false">
      <c r="A84" s="35" t="s">
        <v>155</v>
      </c>
      <c r="B84" s="35" t="s">
        <v>70</v>
      </c>
      <c r="C84" s="36" t="s">
        <v>3</v>
      </c>
      <c r="D84" s="37" t="n">
        <v>13956</v>
      </c>
      <c r="E84" s="37" t="n">
        <v>1406</v>
      </c>
      <c r="F84" s="37" t="n">
        <v>2610</v>
      </c>
      <c r="G84" s="37" t="n">
        <v>5095</v>
      </c>
      <c r="H84" s="37" t="n">
        <v>6595</v>
      </c>
      <c r="I84" s="37" t="n">
        <v>0</v>
      </c>
      <c r="J84" s="38" t="n">
        <f aca="false">SUM(D84:I84)</f>
        <v>29662</v>
      </c>
      <c r="K84" s="39" t="n">
        <f aca="false">IFERROR(D84/J84,0)</f>
        <v>0.470500977681883</v>
      </c>
      <c r="L84" s="39" t="n">
        <f aca="false">IFERROR(E84/J84,0)</f>
        <v>0.0474007147191693</v>
      </c>
      <c r="M84" s="39" t="n">
        <f aca="false">IFERROR(F84/J84,0)</f>
        <v>0.0879913694288989</v>
      </c>
      <c r="N84" s="39" t="n">
        <f aca="false">IFERROR(G84/J84,0)</f>
        <v>0.171768592812353</v>
      </c>
      <c r="O84" s="39" t="n">
        <f aca="false">IFERROR(H84/J84,0)</f>
        <v>0.222338345357697</v>
      </c>
      <c r="P84" s="39" t="n">
        <f aca="false">IFERROR(I84/J84,0)</f>
        <v>0</v>
      </c>
      <c r="Q84" s="38" t="n">
        <f aca="false">D84*INDEX(Régions!$T$2:$T$6,MATCH($B84,Régions!$A$2:$A$6,0))</f>
        <v>8244.05063291139</v>
      </c>
      <c r="R84" s="38" t="n">
        <f aca="false">E84*INDEX(Régions!$U$2:$U$6,MATCH($B84,Régions!$A$2:$A$6,0))</f>
        <v>3218.31187410587</v>
      </c>
      <c r="S84" s="38" t="n">
        <f aca="false">F84*INDEX(Régions!$V$2:$V$6,MATCH($B84,Régions!$A$2:$A$6,0))</f>
        <v>1564.04494382022</v>
      </c>
      <c r="T84" s="38" t="n">
        <f aca="false">G84*INDEX(Régions!$W$2:$W$6,MATCH($B84,Régions!$A$2:$A$6,0))</f>
        <v>8906.26883664858</v>
      </c>
      <c r="U84" s="38" t="n">
        <f aca="false">H84*INDEX(Régions!$X$2:$X$6,MATCH($B84,Régions!$A$2:$A$6,0))</f>
        <v>7494.31818181818</v>
      </c>
      <c r="V84" s="38" t="n">
        <f aca="false">I84*INDEX(Régions!$Y$2:$Y$6,MATCH($B84,Régions!$A$2:$A$6,0))</f>
        <v>0</v>
      </c>
      <c r="W84" s="38" t="n">
        <f aca="false">Q84+(AU84/100)*J84*Régions!$O$2</f>
        <v>6100.52620291139</v>
      </c>
      <c r="X84" s="38" t="n">
        <f aca="false">R84+(AV84/100)*J84*Régions!$O$2</f>
        <v>3951.85313410587</v>
      </c>
      <c r="Y84" s="38" t="n">
        <f aca="false">S84+(AW84/100)*J84*Régions!$O$2</f>
        <v>1193.26994382022</v>
      </c>
      <c r="Z84" s="38" t="n">
        <f aca="false">T84+(AX84/100)*J84*Régions!$O$2</f>
        <v>9747.77977664858</v>
      </c>
      <c r="AA84" s="38" t="n">
        <f aca="false">U84</f>
        <v>7494.31818181818</v>
      </c>
      <c r="AB84" s="38" t="n">
        <f aca="false">V84</f>
        <v>0</v>
      </c>
      <c r="AC84" s="38" t="n">
        <f aca="false">D84*INDEX(Régions!$Z$2:$Z$6,MATCH($B84,Régions!$A$2:$A$6,0))</f>
        <v>9215.67088607595</v>
      </c>
      <c r="AD84" s="38" t="n">
        <f aca="false">E84*INDEX(Régions!$AA$2:$AA$6,MATCH($B84,Régions!$A$2:$A$6,0))</f>
        <v>3882.0886981402</v>
      </c>
      <c r="AE84" s="38" t="n">
        <f aca="false">F84*INDEX(Régions!$AB$2:$AB$6,MATCH($B84,Régions!$A$2:$A$6,0))</f>
        <v>2209.21348314607</v>
      </c>
      <c r="AF84" s="38" t="n">
        <f aca="false">G84*INDEX(Régions!$AC$2:$AC$6,MATCH($B84,Régions!$A$2:$A$6,0))</f>
        <v>9919.74080771549</v>
      </c>
      <c r="AG84" s="38" t="n">
        <f aca="false">H84*INDEX(Régions!$AD$2:$AD$6,MATCH($B84,Régions!$A$2:$A$6,0))</f>
        <v>8949.09759358289</v>
      </c>
      <c r="AH84" s="38" t="n">
        <f aca="false">I84*INDEX(Régions!$AE$2:$AE$6,MATCH($B84,Régions!$A$2:$A$6,0))</f>
        <v>0</v>
      </c>
      <c r="AI84" s="38" t="n">
        <f aca="false">D84*INDEX(Régions!$AF$2:$AF$6,MATCH($B84,Régions!$A$2:$A$6,0))</f>
        <v>7272.43037974684</v>
      </c>
      <c r="AJ84" s="38" t="n">
        <f aca="false">E84*INDEX(Régions!$AG$2:$AG$6,MATCH($B84,Régions!$A$2:$A$6,0))</f>
        <v>2554.53505007153</v>
      </c>
      <c r="AK84" s="38" t="n">
        <f aca="false">F84*INDEX(Régions!$AH$2:$AH$6,MATCH($B84,Régions!$A$2:$A$6,0))</f>
        <v>918.876404494382</v>
      </c>
      <c r="AL84" s="38" t="n">
        <f aca="false">G84*INDEX(Régions!$AI$2:$AI$6,MATCH($B84,Régions!$A$2:$A$6,0))</f>
        <v>7892.79686558168</v>
      </c>
      <c r="AM84" s="38" t="n">
        <f aca="false">H84*INDEX(Régions!$AJ$2:$AJ$6,MATCH($B84,Régions!$A$2:$A$6,0))</f>
        <v>6039.53877005348</v>
      </c>
      <c r="AN84" s="38" t="n">
        <f aca="false">I84*INDEX(Régions!$AK$2:$AK$6,MATCH($B84,Régions!$A$2:$A$6,0))</f>
        <v>0</v>
      </c>
      <c r="AO84" s="40" t="str">
        <f aca="false">INDEX({"CAQ","PLQ","QS","PQ","PCQ","Autre"},MATCH(MAX(Q84:V84),Q84:V84,0))</f>
        <v>PQ</v>
      </c>
      <c r="AP84" s="40" t="str">
        <f aca="false">INDEX({"CAQ","PLQ","QS","PQ","PCQ","Autre"},MATCH(MAX(W84:AB84),W84:AB84,0))</f>
        <v>PQ</v>
      </c>
      <c r="AQ84" s="40" t="str">
        <f aca="false">INDEX({"CAQ","PLQ","QS","PQ","PCQ","Autre"},MATCH(MAX(AC84:AH84),AC84:AH84,0))</f>
        <v>PQ</v>
      </c>
      <c r="AR84" s="40" t="str">
        <f aca="false">INDEX({"CAQ","PLQ","QS","PQ","PCQ","Autre"},MATCH(MAX(AI84:AN84),AI84:AN84,0))</f>
        <v>PQ</v>
      </c>
      <c r="AS84" s="41" t="n">
        <f aca="false">(MAX(K84:P84)-LARGE(K84:P84,2))*100</f>
        <v>24.8162632324186</v>
      </c>
      <c r="AT84" s="42" t="str">
        <f aca="false">IF(AS84&lt;5,"Oui","Non")</f>
        <v>Non</v>
      </c>
      <c r="AU84" s="43" t="n">
        <v>-14.453</v>
      </c>
      <c r="AV84" s="43" t="n">
        <v>4.946</v>
      </c>
      <c r="AW84" s="43" t="n">
        <v>-2.5</v>
      </c>
      <c r="AX84" s="43" t="n">
        <v>5.674</v>
      </c>
    </row>
    <row r="85" customFormat="false" ht="15" hidden="false" customHeight="true" outlineLevel="0" collapsed="false">
      <c r="A85" s="44" t="s">
        <v>156</v>
      </c>
      <c r="B85" s="44" t="s">
        <v>73</v>
      </c>
      <c r="C85" s="45" t="s">
        <v>4</v>
      </c>
      <c r="D85" s="46" t="n">
        <v>1877</v>
      </c>
      <c r="E85" s="46" t="n">
        <v>12918</v>
      </c>
      <c r="F85" s="46" t="n">
        <v>3967</v>
      </c>
      <c r="G85" s="46" t="n">
        <v>1302</v>
      </c>
      <c r="H85" s="46" t="n">
        <v>2810</v>
      </c>
      <c r="I85" s="46" t="n">
        <v>2728</v>
      </c>
      <c r="J85" s="47" t="n">
        <f aca="false">SUM(D85:I85)</f>
        <v>25602</v>
      </c>
      <c r="K85" s="48" t="n">
        <f aca="false">IFERROR(D85/J85,0)</f>
        <v>0.0733145847980627</v>
      </c>
      <c r="L85" s="48" t="n">
        <f aca="false">IFERROR(E85/J85,0)</f>
        <v>0.504569955472229</v>
      </c>
      <c r="M85" s="48" t="n">
        <f aca="false">IFERROR(F85/J85,0)</f>
        <v>0.15494883212249</v>
      </c>
      <c r="N85" s="48" t="n">
        <f aca="false">IFERROR(G85/J85,0)</f>
        <v>0.0508554019217249</v>
      </c>
      <c r="O85" s="48" t="n">
        <f aca="false">IFERROR(H85/J85,0)</f>
        <v>0.109757050230451</v>
      </c>
      <c r="P85" s="48" t="n">
        <f aca="false">IFERROR(I85/J85,0)</f>
        <v>0.106554175455043</v>
      </c>
      <c r="Q85" s="47" t="n">
        <f aca="false">D85*INDEX(Régions!$T$2:$T$6,MATCH($B85,Régions!$A$2:$A$6,0))</f>
        <v>1407.04647676162</v>
      </c>
      <c r="R85" s="47" t="n">
        <f aca="false">E85*INDEX(Régions!$U$2:$U$6,MATCH($B85,Régions!$A$2:$A$6,0))</f>
        <v>12895.2436876101</v>
      </c>
      <c r="S85" s="47" t="n">
        <f aca="false">F85*INDEX(Régions!$V$2:$V$6,MATCH($B85,Régions!$A$2:$A$6,0))</f>
        <v>3044.65011286682</v>
      </c>
      <c r="T85" s="47" t="n">
        <f aca="false">G85*INDEX(Régions!$W$2:$W$6,MATCH($B85,Régions!$A$2:$A$6,0))</f>
        <v>2928.58481724461</v>
      </c>
      <c r="U85" s="47" t="n">
        <f aca="false">H85*INDEX(Régions!$X$2:$X$6,MATCH($B85,Régions!$A$2:$A$6,0))</f>
        <v>2254.76429287864</v>
      </c>
      <c r="V85" s="47" t="n">
        <f aca="false">I85*INDEX(Régions!$Y$2:$Y$6,MATCH($B85,Régions!$A$2:$A$6,0))</f>
        <v>1743.13099041534</v>
      </c>
      <c r="W85" s="47" t="n">
        <f aca="false">Q85+(AU85/100)*J85*Régions!$O$2</f>
        <v>1049.89857676162</v>
      </c>
      <c r="X85" s="47" t="n">
        <f aca="false">R85+(AV85/100)*J85*Régions!$O$2</f>
        <v>12375.5230876101</v>
      </c>
      <c r="Y85" s="47" t="n">
        <f aca="false">S85+(AW85/100)*J85*Régions!$O$2</f>
        <v>3453.38604286682</v>
      </c>
      <c r="Z85" s="47" t="n">
        <f aca="false">T85+(AX85/100)*J85*Régions!$O$2</f>
        <v>3040.20953724461</v>
      </c>
      <c r="AA85" s="47" t="n">
        <f aca="false">U85</f>
        <v>2254.76429287864</v>
      </c>
      <c r="AB85" s="47" t="n">
        <f aca="false">V85</f>
        <v>1743.13099041534</v>
      </c>
      <c r="AC85" s="47" t="n">
        <f aca="false">D85*INDEX(Régions!$Z$2:$Z$6,MATCH($B85,Régions!$A$2:$A$6,0))</f>
        <v>1716.59670164918</v>
      </c>
      <c r="AD85" s="47" t="n">
        <f aca="false">E85*INDEX(Régions!$AA$2:$AA$6,MATCH($B85,Régions!$A$2:$A$6,0))</f>
        <v>14146.8408690546</v>
      </c>
      <c r="AE85" s="47" t="n">
        <f aca="false">F85*INDEX(Régions!$AB$2:$AB$6,MATCH($B85,Régions!$A$2:$A$6,0))</f>
        <v>3635.67042889391</v>
      </c>
      <c r="AF85" s="47" t="n">
        <f aca="false">G85*INDEX(Régions!$AC$2:$AC$6,MATCH($B85,Régions!$A$2:$A$6,0))</f>
        <v>3331.26522961575</v>
      </c>
      <c r="AG85" s="47" t="n">
        <f aca="false">H85*INDEX(Régions!$AD$2:$AD$6,MATCH($B85,Régions!$A$2:$A$6,0))</f>
        <v>3184.85456369107</v>
      </c>
      <c r="AH85" s="47" t="n">
        <f aca="false">I85*INDEX(Régions!$AE$2:$AE$6,MATCH($B85,Régions!$A$2:$A$6,0))</f>
        <v>4619.29712460064</v>
      </c>
      <c r="AI85" s="47" t="n">
        <f aca="false">D85*INDEX(Régions!$AF$2:$AF$6,MATCH($B85,Régions!$A$2:$A$6,0))</f>
        <v>1097.49625187406</v>
      </c>
      <c r="AJ85" s="47" t="n">
        <f aca="false">E85*INDEX(Régions!$AG$2:$AG$6,MATCH($B85,Régions!$A$2:$A$6,0))</f>
        <v>11643.6465061656</v>
      </c>
      <c r="AK85" s="47" t="n">
        <f aca="false">F85*INDEX(Régions!$AH$2:$AH$6,MATCH($B85,Régions!$A$2:$A$6,0))</f>
        <v>2453.62979683973</v>
      </c>
      <c r="AL85" s="47" t="n">
        <f aca="false">G85*INDEX(Régions!$AI$2:$AI$6,MATCH($B85,Régions!$A$2:$A$6,0))</f>
        <v>2525.90440487348</v>
      </c>
      <c r="AM85" s="47" t="n">
        <f aca="false">H85*INDEX(Régions!$AJ$2:$AJ$6,MATCH($B85,Régions!$A$2:$A$6,0))</f>
        <v>1324.6740220662</v>
      </c>
      <c r="AN85" s="47" t="n">
        <f aca="false">I85*INDEX(Régions!$AK$2:$AK$6,MATCH($B85,Régions!$A$2:$A$6,0))</f>
        <v>0</v>
      </c>
      <c r="AO85" s="49" t="str">
        <f aca="false">INDEX({"CAQ","PLQ","QS","PQ","PCQ","Autre"},MATCH(MAX(Q85:V85),Q85:V85,0))</f>
        <v>PLQ</v>
      </c>
      <c r="AP85" s="49" t="str">
        <f aca="false">INDEX({"CAQ","PLQ","QS","PQ","PCQ","Autre"},MATCH(MAX(W85:AB85),W85:AB85,0))</f>
        <v>PLQ</v>
      </c>
      <c r="AQ85" s="49" t="str">
        <f aca="false">INDEX({"CAQ","PLQ","QS","PQ","PCQ","Autre"},MATCH(MAX(AC85:AH85),AC85:AH85,0))</f>
        <v>PLQ</v>
      </c>
      <c r="AR85" s="49" t="str">
        <f aca="false">INDEX({"CAQ","PLQ","QS","PQ","PCQ","Autre"},MATCH(MAX(AI85:AN85),AI85:AN85,0))</f>
        <v>PLQ</v>
      </c>
      <c r="AS85" s="50" t="n">
        <f aca="false">(MAX(K85:P85)-LARGE(K85:P85,2))*100</f>
        <v>34.9621123349738</v>
      </c>
      <c r="AT85" s="51" t="str">
        <f aca="false">IF(AS85&lt;5,"Oui","Non")</f>
        <v>Non</v>
      </c>
      <c r="AU85" s="52" t="n">
        <v>-2.79</v>
      </c>
      <c r="AV85" s="52" t="n">
        <v>-4.06</v>
      </c>
      <c r="AW85" s="52" t="n">
        <v>3.193</v>
      </c>
      <c r="AX85" s="52" t="n">
        <v>0.872</v>
      </c>
    </row>
    <row r="86" customFormat="false" ht="15" hidden="false" customHeight="true" outlineLevel="0" collapsed="false">
      <c r="A86" s="35" t="s">
        <v>157</v>
      </c>
      <c r="B86" s="35" t="s">
        <v>70</v>
      </c>
      <c r="C86" s="36" t="s">
        <v>3</v>
      </c>
      <c r="D86" s="37" t="n">
        <v>14084</v>
      </c>
      <c r="E86" s="37" t="n">
        <v>4917</v>
      </c>
      <c r="F86" s="37" t="n">
        <v>5298</v>
      </c>
      <c r="G86" s="37" t="n">
        <v>4463</v>
      </c>
      <c r="H86" s="37" t="n">
        <v>3921</v>
      </c>
      <c r="I86" s="37" t="n">
        <v>109</v>
      </c>
      <c r="J86" s="38" t="n">
        <f aca="false">SUM(D86:I86)</f>
        <v>32792</v>
      </c>
      <c r="K86" s="39" t="n">
        <f aca="false">IFERROR(D86/J86,0)</f>
        <v>0.42949499878019</v>
      </c>
      <c r="L86" s="39" t="n">
        <f aca="false">IFERROR(E86/J86,0)</f>
        <v>0.149945108563064</v>
      </c>
      <c r="M86" s="39" t="n">
        <f aca="false">IFERROR(F86/J86,0)</f>
        <v>0.161563796047817</v>
      </c>
      <c r="N86" s="39" t="n">
        <f aca="false">IFERROR(G86/J86,0)</f>
        <v>0.136100268358136</v>
      </c>
      <c r="O86" s="39" t="n">
        <f aca="false">IFERROR(H86/J86,0)</f>
        <v>0.1195718467919</v>
      </c>
      <c r="P86" s="39" t="n">
        <f aca="false">IFERROR(I86/J86,0)</f>
        <v>0.00332398145889241</v>
      </c>
      <c r="Q86" s="38" t="n">
        <f aca="false">D86*INDEX(Régions!$T$2:$T$6,MATCH($B86,Régions!$A$2:$A$6,0))</f>
        <v>8319.66244725738</v>
      </c>
      <c r="R86" s="38" t="n">
        <f aca="false">E86*INDEX(Régions!$U$2:$U$6,MATCH($B86,Régions!$A$2:$A$6,0))</f>
        <v>11254.9356223176</v>
      </c>
      <c r="S86" s="38" t="n">
        <f aca="false">F86*INDEX(Régions!$V$2:$V$6,MATCH($B86,Régions!$A$2:$A$6,0))</f>
        <v>3174.83146067416</v>
      </c>
      <c r="T86" s="38" t="n">
        <f aca="false">G86*INDEX(Régions!$W$2:$W$6,MATCH($B86,Régions!$A$2:$A$6,0))</f>
        <v>7801.50693188668</v>
      </c>
      <c r="U86" s="38" t="n">
        <f aca="false">H86*INDEX(Régions!$X$2:$X$6,MATCH($B86,Régions!$A$2:$A$6,0))</f>
        <v>4455.68181818182</v>
      </c>
      <c r="V86" s="38" t="n">
        <f aca="false">I86*INDEX(Régions!$Y$2:$Y$6,MATCH($B86,Régions!$A$2:$A$6,0))</f>
        <v>153.521126760563</v>
      </c>
      <c r="W86" s="38" t="n">
        <f aca="false">Q86+(AU86/100)*J86*Régions!$O$2</f>
        <v>7775.31524725738</v>
      </c>
      <c r="X86" s="38" t="n">
        <f aca="false">R86+(AV86/100)*J86*Régions!$O$2</f>
        <v>11717.6307423176</v>
      </c>
      <c r="Y86" s="38" t="n">
        <f aca="false">S86+(AW86/100)*J86*Régions!$O$2</f>
        <v>3064.81430067416</v>
      </c>
      <c r="Z86" s="38" t="n">
        <f aca="false">T86+(AX86/100)*J86*Régions!$O$2</f>
        <v>8694.26913188668</v>
      </c>
      <c r="AA86" s="38" t="n">
        <f aca="false">U86</f>
        <v>4455.68181818182</v>
      </c>
      <c r="AB86" s="38" t="n">
        <f aca="false">V86</f>
        <v>153.521126760563</v>
      </c>
      <c r="AC86" s="38" t="n">
        <f aca="false">D86*INDEX(Régions!$Z$2:$Z$6,MATCH($B86,Régions!$A$2:$A$6,0))</f>
        <v>9300.19409282701</v>
      </c>
      <c r="AD86" s="38" t="n">
        <f aca="false">E86*INDEX(Régions!$AA$2:$AA$6,MATCH($B86,Régions!$A$2:$A$6,0))</f>
        <v>13576.2660944206</v>
      </c>
      <c r="AE86" s="38" t="n">
        <f aca="false">F86*INDEX(Régions!$AB$2:$AB$6,MATCH($B86,Régions!$A$2:$A$6,0))</f>
        <v>4484.44943820225</v>
      </c>
      <c r="AF86" s="38" t="n">
        <f aca="false">G86*INDEX(Régions!$AC$2:$AC$6,MATCH($B86,Régions!$A$2:$A$6,0))</f>
        <v>8689.2646172393</v>
      </c>
      <c r="AG86" s="38" t="n">
        <f aca="false">H86*INDEX(Régions!$AD$2:$AD$6,MATCH($B86,Régions!$A$2:$A$6,0))</f>
        <v>5320.60828877005</v>
      </c>
      <c r="AH86" s="38" t="n">
        <f aca="false">I86*INDEX(Régions!$AE$2:$AE$6,MATCH($B86,Régions!$A$2:$A$6,0))</f>
        <v>660.140845070423</v>
      </c>
      <c r="AI86" s="38" t="n">
        <f aca="false">D86*INDEX(Régions!$AF$2:$AF$6,MATCH($B86,Régions!$A$2:$A$6,0))</f>
        <v>7339.13080168776</v>
      </c>
      <c r="AJ86" s="38" t="n">
        <f aca="false">E86*INDEX(Régions!$AG$2:$AG$6,MATCH($B86,Régions!$A$2:$A$6,0))</f>
        <v>8933.60515021459</v>
      </c>
      <c r="AK86" s="38" t="n">
        <f aca="false">F86*INDEX(Régions!$AH$2:$AH$6,MATCH($B86,Régions!$A$2:$A$6,0))</f>
        <v>1865.21348314607</v>
      </c>
      <c r="AL86" s="38" t="n">
        <f aca="false">G86*INDEX(Régions!$AI$2:$AI$6,MATCH($B86,Régions!$A$2:$A$6,0))</f>
        <v>6913.74924653406</v>
      </c>
      <c r="AM86" s="38" t="n">
        <f aca="false">H86*INDEX(Régions!$AJ$2:$AJ$6,MATCH($B86,Régions!$A$2:$A$6,0))</f>
        <v>3590.75534759358</v>
      </c>
      <c r="AN86" s="38" t="n">
        <f aca="false">I86*INDEX(Régions!$AK$2:$AK$6,MATCH($B86,Régions!$A$2:$A$6,0))</f>
        <v>0</v>
      </c>
      <c r="AO86" s="40" t="str">
        <f aca="false">INDEX({"CAQ","PLQ","QS","PQ","PCQ","Autre"},MATCH(MAX(Q86:V86),Q86:V86,0))</f>
        <v>PLQ</v>
      </c>
      <c r="AP86" s="40" t="str">
        <f aca="false">INDEX({"CAQ","PLQ","QS","PQ","PCQ","Autre"},MATCH(MAX(W86:AB86),W86:AB86,0))</f>
        <v>PLQ</v>
      </c>
      <c r="AQ86" s="40" t="str">
        <f aca="false">INDEX({"CAQ","PLQ","QS","PQ","PCQ","Autre"},MATCH(MAX(AC86:AH86),AC86:AH86,0))</f>
        <v>PLQ</v>
      </c>
      <c r="AR86" s="40" t="str">
        <f aca="false">INDEX({"CAQ","PLQ","QS","PQ","PCQ","Autre"},MATCH(MAX(AI86:AN86),AI86:AN86,0))</f>
        <v>PLQ</v>
      </c>
      <c r="AS86" s="41" t="n">
        <f aca="false">(MAX(K86:P86)-LARGE(K86:P86,2))*100</f>
        <v>26.7931202732374</v>
      </c>
      <c r="AT86" s="42" t="str">
        <f aca="false">IF(AS86&lt;5,"Oui","Non")</f>
        <v>Non</v>
      </c>
      <c r="AU86" s="43" t="n">
        <v>-3.32</v>
      </c>
      <c r="AV86" s="43" t="n">
        <v>2.822</v>
      </c>
      <c r="AW86" s="43" t="n">
        <v>-0.671</v>
      </c>
      <c r="AX86" s="43" t="n">
        <v>5.445</v>
      </c>
    </row>
    <row r="87" customFormat="false" ht="15" hidden="false" customHeight="true" outlineLevel="0" collapsed="false">
      <c r="A87" s="44" t="s">
        <v>158</v>
      </c>
      <c r="B87" s="44" t="s">
        <v>80</v>
      </c>
      <c r="C87" s="45" t="s">
        <v>3</v>
      </c>
      <c r="D87" s="46" t="n">
        <v>19791</v>
      </c>
      <c r="E87" s="46" t="n">
        <v>3151</v>
      </c>
      <c r="F87" s="46" t="n">
        <v>5164</v>
      </c>
      <c r="G87" s="46" t="n">
        <v>3834</v>
      </c>
      <c r="H87" s="46" t="n">
        <v>4970</v>
      </c>
      <c r="I87" s="46" t="n">
        <v>554</v>
      </c>
      <c r="J87" s="47" t="n">
        <f aca="false">SUM(D87:I87)</f>
        <v>37464</v>
      </c>
      <c r="K87" s="48" t="n">
        <f aca="false">IFERROR(D87/J87,0)</f>
        <v>0.528267136450993</v>
      </c>
      <c r="L87" s="48" t="n">
        <f aca="false">IFERROR(E87/J87,0)</f>
        <v>0.0841074097800555</v>
      </c>
      <c r="M87" s="48" t="n">
        <f aca="false">IFERROR(F87/J87,0)</f>
        <v>0.137838992099082</v>
      </c>
      <c r="N87" s="48" t="n">
        <f aca="false">IFERROR(G87/J87,0)</f>
        <v>0.102338244714926</v>
      </c>
      <c r="O87" s="48" t="n">
        <f aca="false">IFERROR(H87/J87,0)</f>
        <v>0.132660687593423</v>
      </c>
      <c r="P87" s="48" t="n">
        <f aca="false">IFERROR(I87/J87,0)</f>
        <v>0.0147875293615204</v>
      </c>
      <c r="Q87" s="47" t="n">
        <f aca="false">D87*INDEX(Régions!$T$2:$T$6,MATCH($B87,Régions!$A$2:$A$6,0))</f>
        <v>13989.662027833</v>
      </c>
      <c r="R87" s="47" t="n">
        <f aca="false">E87*INDEX(Régions!$U$2:$U$6,MATCH($B87,Régions!$A$2:$A$6,0))</f>
        <v>4025.40809084457</v>
      </c>
      <c r="S87" s="47" t="n">
        <f aca="false">F87*INDEX(Régions!$V$2:$V$6,MATCH($B87,Régions!$A$2:$A$6,0))</f>
        <v>2604.32276657061</v>
      </c>
      <c r="T87" s="47" t="n">
        <f aca="false">G87*INDEX(Régions!$W$2:$W$6,MATCH($B87,Régions!$A$2:$A$6,0))</f>
        <v>7547.24409448819</v>
      </c>
      <c r="U87" s="47" t="n">
        <f aca="false">H87*INDEX(Régions!$X$2:$X$6,MATCH($B87,Régions!$A$2:$A$6,0))</f>
        <v>5801.55642023346</v>
      </c>
      <c r="V87" s="47" t="n">
        <f aca="false">I87*INDEX(Régions!$Y$2:$Y$6,MATCH($B87,Régions!$A$2:$A$6,0))</f>
        <v>446.774193548387</v>
      </c>
      <c r="W87" s="47" t="n">
        <f aca="false">Q87+(AU87/100)*J87*Régions!$O$2</f>
        <v>14499.359747833</v>
      </c>
      <c r="X87" s="47" t="n">
        <f aca="false">R87+(AV87/100)*J87*Régions!$O$2</f>
        <v>2562.81353084457</v>
      </c>
      <c r="Y87" s="47" t="n">
        <f aca="false">S87+(AW87/100)*J87*Régions!$O$2</f>
        <v>2503.54460657061</v>
      </c>
      <c r="Z87" s="47" t="n">
        <f aca="false">T87+(AX87/100)*J87*Régions!$O$2</f>
        <v>8047.01385448819</v>
      </c>
      <c r="AA87" s="47" t="n">
        <f aca="false">U87</f>
        <v>5801.55642023346</v>
      </c>
      <c r="AB87" s="47" t="n">
        <f aca="false">V87</f>
        <v>446.774193548387</v>
      </c>
      <c r="AC87" s="47" t="n">
        <f aca="false">D87*INDEX(Régions!$Z$2:$Z$6,MATCH($B87,Régions!$A$2:$A$6,0))</f>
        <v>15432.3459244533</v>
      </c>
      <c r="AD87" s="47" t="n">
        <f aca="false">E87*INDEX(Régions!$AA$2:$AA$6,MATCH($B87,Régions!$A$2:$A$6,0))</f>
        <v>4763.39957416608</v>
      </c>
      <c r="AE87" s="47" t="n">
        <f aca="false">F87*INDEX(Régions!$AB$2:$AB$6,MATCH($B87,Régions!$A$2:$A$6,0))</f>
        <v>3832.07492795389</v>
      </c>
      <c r="AF87" s="47" t="n">
        <f aca="false">G87*INDEX(Régions!$AC$2:$AC$6,MATCH($B87,Régions!$A$2:$A$6,0))</f>
        <v>8377.44094488189</v>
      </c>
      <c r="AG87" s="47" t="n">
        <f aca="false">H87*INDEX(Régions!$AD$2:$AD$6,MATCH($B87,Régions!$A$2:$A$6,0))</f>
        <v>7396.98443579767</v>
      </c>
      <c r="AH87" s="47" t="n">
        <f aca="false">I87*INDEX(Régions!$AE$2:$AE$6,MATCH($B87,Régions!$A$2:$A$6,0))</f>
        <v>1921.12903225806</v>
      </c>
      <c r="AI87" s="47" t="n">
        <f aca="false">D87*INDEX(Régions!$AF$2:$AF$6,MATCH($B87,Régions!$A$2:$A$6,0))</f>
        <v>12546.9781312127</v>
      </c>
      <c r="AJ87" s="47" t="n">
        <f aca="false">E87*INDEX(Régions!$AG$2:$AG$6,MATCH($B87,Régions!$A$2:$A$6,0))</f>
        <v>3287.41660752307</v>
      </c>
      <c r="AK87" s="47" t="n">
        <f aca="false">F87*INDEX(Régions!$AH$2:$AH$6,MATCH($B87,Régions!$A$2:$A$6,0))</f>
        <v>1376.57060518732</v>
      </c>
      <c r="AL87" s="47" t="n">
        <f aca="false">G87*INDEX(Régions!$AI$2:$AI$6,MATCH($B87,Régions!$A$2:$A$6,0))</f>
        <v>6717.04724409449</v>
      </c>
      <c r="AM87" s="47" t="n">
        <f aca="false">H87*INDEX(Régions!$AJ$2:$AJ$6,MATCH($B87,Régions!$A$2:$A$6,0))</f>
        <v>4206.12840466926</v>
      </c>
      <c r="AN87" s="47" t="n">
        <f aca="false">I87*INDEX(Régions!$AK$2:$AK$6,MATCH($B87,Régions!$A$2:$A$6,0))</f>
        <v>0</v>
      </c>
      <c r="AO87" s="49" t="str">
        <f aca="false">INDEX({"CAQ","PLQ","QS","PQ","PCQ","Autre"},MATCH(MAX(Q87:V87),Q87:V87,0))</f>
        <v>CAQ</v>
      </c>
      <c r="AP87" s="49" t="str">
        <f aca="false">INDEX({"CAQ","PLQ","QS","PQ","PCQ","Autre"},MATCH(MAX(W87:AB87),W87:AB87,0))</f>
        <v>CAQ</v>
      </c>
      <c r="AQ87" s="49" t="str">
        <f aca="false">INDEX({"CAQ","PLQ","QS","PQ","PCQ","Autre"},MATCH(MAX(AC87:AH87),AC87:AH87,0))</f>
        <v>CAQ</v>
      </c>
      <c r="AR87" s="49" t="str">
        <f aca="false">INDEX({"CAQ","PLQ","QS","PQ","PCQ","Autre"},MATCH(MAX(AI87:AN87),AI87:AN87,0))</f>
        <v>CAQ</v>
      </c>
      <c r="AS87" s="50" t="n">
        <f aca="false">(MAX(K87:P87)-LARGE(K87:P87,2))*100</f>
        <v>39.0428144351911</v>
      </c>
      <c r="AT87" s="51" t="str">
        <f aca="false">IF(AS87&lt;5,"Oui","Non")</f>
        <v>Non</v>
      </c>
      <c r="AU87" s="52" t="n">
        <v>2.721</v>
      </c>
      <c r="AV87" s="52" t="n">
        <v>-7.808</v>
      </c>
      <c r="AW87" s="52" t="n">
        <v>-0.538</v>
      </c>
      <c r="AX87" s="52" t="n">
        <v>2.668</v>
      </c>
    </row>
    <row r="88" customFormat="false" ht="15" hidden="false" customHeight="true" outlineLevel="0" collapsed="false">
      <c r="A88" s="35" t="s">
        <v>159</v>
      </c>
      <c r="B88" s="35" t="s">
        <v>73</v>
      </c>
      <c r="C88" s="36" t="s">
        <v>3</v>
      </c>
      <c r="D88" s="37" t="n">
        <v>12156</v>
      </c>
      <c r="E88" s="37" t="n">
        <v>2750</v>
      </c>
      <c r="F88" s="37" t="n">
        <v>4084</v>
      </c>
      <c r="G88" s="37" t="n">
        <v>5265</v>
      </c>
      <c r="H88" s="37" t="n">
        <v>1804</v>
      </c>
      <c r="I88" s="37" t="n">
        <v>436</v>
      </c>
      <c r="J88" s="38" t="n">
        <f aca="false">SUM(D88:I88)</f>
        <v>26495</v>
      </c>
      <c r="K88" s="39" t="n">
        <f aca="false">IFERROR(D88/J88,0)</f>
        <v>0.458803547839215</v>
      </c>
      <c r="L88" s="39" t="n">
        <f aca="false">IFERROR(E88/J88,0)</f>
        <v>0.103793168522363</v>
      </c>
      <c r="M88" s="39" t="n">
        <f aca="false">IFERROR(F88/J88,0)</f>
        <v>0.154142290998302</v>
      </c>
      <c r="N88" s="39" t="n">
        <f aca="false">IFERROR(G88/J88,0)</f>
        <v>0.19871673900736</v>
      </c>
      <c r="O88" s="39" t="n">
        <f aca="false">IFERROR(H88/J88,0)</f>
        <v>0.0680883185506699</v>
      </c>
      <c r="P88" s="39" t="n">
        <f aca="false">IFERROR(I88/J88,0)</f>
        <v>0.016455935082091</v>
      </c>
      <c r="Q88" s="38" t="n">
        <f aca="false">D88*INDEX(Régions!$T$2:$T$6,MATCH($B88,Régions!$A$2:$A$6,0))</f>
        <v>9112.44377811095</v>
      </c>
      <c r="R88" s="38" t="n">
        <f aca="false">E88*INDEX(Régions!$U$2:$U$6,MATCH($B88,Régions!$A$2:$A$6,0))</f>
        <v>2745.15560775103</v>
      </c>
      <c r="S88" s="38" t="n">
        <f aca="false">F88*INDEX(Régions!$V$2:$V$6,MATCH($B88,Régions!$A$2:$A$6,0))</f>
        <v>3134.44695259594</v>
      </c>
      <c r="T88" s="38" t="n">
        <f aca="false">G88*INDEX(Régions!$W$2:$W$6,MATCH($B88,Régions!$A$2:$A$6,0))</f>
        <v>11842.5492033739</v>
      </c>
      <c r="U88" s="38" t="n">
        <f aca="false">H88*INDEX(Régions!$X$2:$X$6,MATCH($B88,Régions!$A$2:$A$6,0))</f>
        <v>1447.54262788365</v>
      </c>
      <c r="V88" s="38" t="n">
        <f aca="false">I88*INDEX(Régions!$Y$2:$Y$6,MATCH($B88,Régions!$A$2:$A$6,0))</f>
        <v>278.594249201278</v>
      </c>
      <c r="W88" s="38" t="n">
        <f aca="false">Q88+(AU88/100)*J88*Régions!$O$2</f>
        <v>9750.04595311095</v>
      </c>
      <c r="X88" s="38" t="n">
        <f aca="false">R88+(AV88/100)*J88*Régions!$O$2</f>
        <v>3578.29088275103</v>
      </c>
      <c r="Y88" s="38" t="n">
        <f aca="false">S88+(AW88/100)*J88*Régions!$O$2</f>
        <v>3146.23722759594</v>
      </c>
      <c r="Z88" s="38" t="n">
        <f aca="false">T88+(AX88/100)*J88*Régions!$O$2</f>
        <v>10374.0638283739</v>
      </c>
      <c r="AA88" s="38" t="n">
        <f aca="false">U88</f>
        <v>1447.54262788365</v>
      </c>
      <c r="AB88" s="38" t="n">
        <f aca="false">V88</f>
        <v>278.594249201278</v>
      </c>
      <c r="AC88" s="38" t="n">
        <f aca="false">D88*INDEX(Régions!$Z$2:$Z$6,MATCH($B88,Régions!$A$2:$A$6,0))</f>
        <v>11117.1814092954</v>
      </c>
      <c r="AD88" s="38" t="n">
        <f aca="false">E88*INDEX(Régions!$AA$2:$AA$6,MATCH($B88,Régions!$A$2:$A$6,0))</f>
        <v>3011.59718144451</v>
      </c>
      <c r="AE88" s="38" t="n">
        <f aca="false">F88*INDEX(Régions!$AB$2:$AB$6,MATCH($B88,Régions!$A$2:$A$6,0))</f>
        <v>3742.89841986456</v>
      </c>
      <c r="AF88" s="38" t="n">
        <f aca="false">G88*INDEX(Régions!$AC$2:$AC$6,MATCH($B88,Régions!$A$2:$A$6,0))</f>
        <v>13470.8997188379</v>
      </c>
      <c r="AG88" s="38" t="n">
        <f aca="false">H88*INDEX(Régions!$AD$2:$AD$6,MATCH($B88,Régions!$A$2:$A$6,0))</f>
        <v>2044.65396188566</v>
      </c>
      <c r="AH88" s="38" t="n">
        <f aca="false">I88*INDEX(Régions!$AE$2:$AE$6,MATCH($B88,Régions!$A$2:$A$6,0))</f>
        <v>738.274760383387</v>
      </c>
      <c r="AI88" s="38" t="n">
        <f aca="false">D88*INDEX(Régions!$AF$2:$AF$6,MATCH($B88,Régions!$A$2:$A$6,0))</f>
        <v>7107.70614692654</v>
      </c>
      <c r="AJ88" s="38" t="n">
        <f aca="false">E88*INDEX(Régions!$AG$2:$AG$6,MATCH($B88,Régions!$A$2:$A$6,0))</f>
        <v>2478.71403405755</v>
      </c>
      <c r="AK88" s="38" t="n">
        <f aca="false">F88*INDEX(Régions!$AH$2:$AH$6,MATCH($B88,Régions!$A$2:$A$6,0))</f>
        <v>2525.99548532731</v>
      </c>
      <c r="AL88" s="38" t="n">
        <f aca="false">G88*INDEX(Régions!$AI$2:$AI$6,MATCH($B88,Régions!$A$2:$A$6,0))</f>
        <v>10214.19868791</v>
      </c>
      <c r="AM88" s="38" t="n">
        <f aca="false">H88*INDEX(Régions!$AJ$2:$AJ$6,MATCH($B88,Régions!$A$2:$A$6,0))</f>
        <v>850.431293881645</v>
      </c>
      <c r="AN88" s="38" t="n">
        <f aca="false">I88*INDEX(Régions!$AK$2:$AK$6,MATCH($B88,Régions!$A$2:$A$6,0))</f>
        <v>0</v>
      </c>
      <c r="AO88" s="40" t="str">
        <f aca="false">INDEX({"CAQ","PLQ","QS","PQ","PCQ","Autre"},MATCH(MAX(Q88:V88),Q88:V88,0))</f>
        <v>PQ</v>
      </c>
      <c r="AP88" s="40" t="str">
        <f aca="false">INDEX({"CAQ","PLQ","QS","PQ","PCQ","Autre"},MATCH(MAX(W88:AB88),W88:AB88,0))</f>
        <v>PQ</v>
      </c>
      <c r="AQ88" s="40" t="str">
        <f aca="false">INDEX({"CAQ","PLQ","QS","PQ","PCQ","Autre"},MATCH(MAX(AC88:AH88),AC88:AH88,0))</f>
        <v>PQ</v>
      </c>
      <c r="AR88" s="40" t="str">
        <f aca="false">INDEX({"CAQ","PLQ","QS","PQ","PCQ","Autre"},MATCH(MAX(AI88:AN88),AI88:AN88,0))</f>
        <v>PQ</v>
      </c>
      <c r="AS88" s="41" t="n">
        <f aca="false">(MAX(K88:P88)-LARGE(K88:P88,2))*100</f>
        <v>26.0086808831855</v>
      </c>
      <c r="AT88" s="42" t="str">
        <f aca="false">IF(AS88&lt;5,"Oui","Non")</f>
        <v>Non</v>
      </c>
      <c r="AU88" s="43" t="n">
        <v>4.813</v>
      </c>
      <c r="AV88" s="43" t="n">
        <v>6.289</v>
      </c>
      <c r="AW88" s="43" t="n">
        <v>0.089</v>
      </c>
      <c r="AX88" s="43" t="n">
        <v>-11.085</v>
      </c>
    </row>
    <row r="89" customFormat="false" ht="15" hidden="false" customHeight="true" outlineLevel="0" collapsed="false">
      <c r="A89" s="44" t="s">
        <v>160</v>
      </c>
      <c r="B89" s="44" t="s">
        <v>70</v>
      </c>
      <c r="C89" s="45" t="s">
        <v>4</v>
      </c>
      <c r="D89" s="46" t="n">
        <v>7056</v>
      </c>
      <c r="E89" s="46" t="n">
        <v>12477</v>
      </c>
      <c r="F89" s="46" t="n">
        <v>2935</v>
      </c>
      <c r="G89" s="46" t="n">
        <v>1887</v>
      </c>
      <c r="H89" s="46" t="n">
        <v>3593</v>
      </c>
      <c r="I89" s="46" t="n">
        <v>616</v>
      </c>
      <c r="J89" s="47" t="n">
        <f aca="false">SUM(D89:I89)</f>
        <v>28564</v>
      </c>
      <c r="K89" s="48" t="n">
        <f aca="false">IFERROR(D89/J89,0)</f>
        <v>0.247024226298838</v>
      </c>
      <c r="L89" s="48" t="n">
        <f aca="false">IFERROR(E89/J89,0)</f>
        <v>0.436808570228259</v>
      </c>
      <c r="M89" s="48" t="n">
        <f aca="false">IFERROR(F89/J89,0)</f>
        <v>0.102751715446016</v>
      </c>
      <c r="N89" s="48" t="n">
        <f aca="false">IFERROR(G89/J89,0)</f>
        <v>0.0660621761658031</v>
      </c>
      <c r="O89" s="48" t="n">
        <f aca="false">IFERROR(H89/J89,0)</f>
        <v>0.125787704803249</v>
      </c>
      <c r="P89" s="48" t="n">
        <f aca="false">IFERROR(I89/J89,0)</f>
        <v>0.021565607057835</v>
      </c>
      <c r="Q89" s="47" t="n">
        <f aca="false">D89*INDEX(Régions!$T$2:$T$6,MATCH($B89,Régions!$A$2:$A$6,0))</f>
        <v>4168.10126582279</v>
      </c>
      <c r="R89" s="47" t="n">
        <f aca="false">E89*INDEX(Régions!$U$2:$U$6,MATCH($B89,Régions!$A$2:$A$6,0))</f>
        <v>28559.6566523605</v>
      </c>
      <c r="S89" s="47" t="n">
        <f aca="false">F89*INDEX(Régions!$V$2:$V$6,MATCH($B89,Régions!$A$2:$A$6,0))</f>
        <v>1758.80149812734</v>
      </c>
      <c r="T89" s="47" t="n">
        <f aca="false">G89*INDEX(Régions!$W$2:$W$6,MATCH($B89,Régions!$A$2:$A$6,0))</f>
        <v>3298.55334538879</v>
      </c>
      <c r="U89" s="47" t="n">
        <f aca="false">H89*INDEX(Régions!$X$2:$X$6,MATCH($B89,Régions!$A$2:$A$6,0))</f>
        <v>4082.95454545455</v>
      </c>
      <c r="V89" s="47" t="n">
        <f aca="false">I89*INDEX(Régions!$Y$2:$Y$6,MATCH($B89,Régions!$A$2:$A$6,0))</f>
        <v>867.605633802817</v>
      </c>
      <c r="W89" s="47" t="n">
        <f aca="false">Q89+(AU89/100)*J89*Régions!$O$2</f>
        <v>3893.31558582278</v>
      </c>
      <c r="X89" s="47" t="n">
        <f aca="false">R89+(AV89/100)*J89*Régions!$O$2</f>
        <v>28926.8468723605</v>
      </c>
      <c r="Y89" s="47" t="n">
        <f aca="false">S89+(AW89/100)*J89*Régions!$O$2</f>
        <v>1841.06581812734</v>
      </c>
      <c r="Z89" s="47" t="n">
        <f aca="false">T89+(AX89/100)*J89*Régions!$O$2</f>
        <v>4056.64190538879</v>
      </c>
      <c r="AA89" s="47" t="n">
        <f aca="false">U89</f>
        <v>4082.95454545455</v>
      </c>
      <c r="AB89" s="47" t="n">
        <f aca="false">V89</f>
        <v>867.605633802817</v>
      </c>
      <c r="AC89" s="47" t="n">
        <f aca="false">D89*INDEX(Régions!$Z$2:$Z$6,MATCH($B89,Régions!$A$2:$A$6,0))</f>
        <v>4659.3417721519</v>
      </c>
      <c r="AD89" s="47" t="n">
        <f aca="false">E89*INDEX(Régions!$AA$2:$AA$6,MATCH($B89,Régions!$A$2:$A$6,0))</f>
        <v>34450.0858369099</v>
      </c>
      <c r="AE89" s="47" t="n">
        <f aca="false">F89*INDEX(Régions!$AB$2:$AB$6,MATCH($B89,Régions!$A$2:$A$6,0))</f>
        <v>2484.30711610487</v>
      </c>
      <c r="AF89" s="47" t="n">
        <f aca="false">G89*INDEX(Régions!$AC$2:$AC$6,MATCH($B89,Régions!$A$2:$A$6,0))</f>
        <v>3673.90596745027</v>
      </c>
      <c r="AG89" s="47" t="n">
        <f aca="false">H89*INDEX(Régions!$AD$2:$AD$6,MATCH($B89,Régions!$A$2:$A$6,0))</f>
        <v>4875.52807486631</v>
      </c>
      <c r="AH89" s="47" t="n">
        <f aca="false">I89*INDEX(Régions!$AE$2:$AE$6,MATCH($B89,Régions!$A$2:$A$6,0))</f>
        <v>3730.70422535211</v>
      </c>
      <c r="AI89" s="47" t="n">
        <f aca="false">D89*INDEX(Régions!$AF$2:$AF$6,MATCH($B89,Régions!$A$2:$A$6,0))</f>
        <v>3676.86075949367</v>
      </c>
      <c r="AJ89" s="47" t="n">
        <f aca="false">E89*INDEX(Régions!$AG$2:$AG$6,MATCH($B89,Régions!$A$2:$A$6,0))</f>
        <v>22669.2274678112</v>
      </c>
      <c r="AK89" s="47" t="n">
        <f aca="false">F89*INDEX(Régions!$AH$2:$AH$6,MATCH($B89,Régions!$A$2:$A$6,0))</f>
        <v>1033.29588014981</v>
      </c>
      <c r="AL89" s="47" t="n">
        <f aca="false">G89*INDEX(Régions!$AI$2:$AI$6,MATCH($B89,Régions!$A$2:$A$6,0))</f>
        <v>2923.20072332731</v>
      </c>
      <c r="AM89" s="47" t="n">
        <f aca="false">H89*INDEX(Régions!$AJ$2:$AJ$6,MATCH($B89,Régions!$A$2:$A$6,0))</f>
        <v>3290.38101604278</v>
      </c>
      <c r="AN89" s="47" t="n">
        <f aca="false">I89*INDEX(Régions!$AK$2:$AK$6,MATCH($B89,Régions!$A$2:$A$6,0))</f>
        <v>0</v>
      </c>
      <c r="AO89" s="49" t="str">
        <f aca="false">INDEX({"CAQ","PLQ","QS","PQ","PCQ","Autre"},MATCH(MAX(Q89:V89),Q89:V89,0))</f>
        <v>PLQ</v>
      </c>
      <c r="AP89" s="49" t="str">
        <f aca="false">INDEX({"CAQ","PLQ","QS","PQ","PCQ","Autre"},MATCH(MAX(W89:AB89),W89:AB89,0))</f>
        <v>PLQ</v>
      </c>
      <c r="AQ89" s="49" t="str">
        <f aca="false">INDEX({"CAQ","PLQ","QS","PQ","PCQ","Autre"},MATCH(MAX(AC89:AH89),AC89:AH89,0))</f>
        <v>PLQ</v>
      </c>
      <c r="AR89" s="49" t="str">
        <f aca="false">INDEX({"CAQ","PLQ","QS","PQ","PCQ","Autre"},MATCH(MAX(AI89:AN89),AI89:AN89,0))</f>
        <v>PLQ</v>
      </c>
      <c r="AS89" s="50" t="n">
        <f aca="false">(MAX(K89:P89)-LARGE(K89:P89,2))*100</f>
        <v>18.9784343929422</v>
      </c>
      <c r="AT89" s="51" t="str">
        <f aca="false">IF(AS89&lt;5,"Oui","Non")</f>
        <v>Non</v>
      </c>
      <c r="AU89" s="52" t="n">
        <v>-1.924</v>
      </c>
      <c r="AV89" s="52" t="n">
        <v>2.571</v>
      </c>
      <c r="AW89" s="52" t="n">
        <v>0.576</v>
      </c>
      <c r="AX89" s="52" t="n">
        <v>5.308</v>
      </c>
    </row>
    <row r="90" customFormat="false" ht="15" hidden="false" customHeight="true" outlineLevel="0" collapsed="false">
      <c r="A90" s="35" t="s">
        <v>161</v>
      </c>
      <c r="B90" s="35" t="s">
        <v>94</v>
      </c>
      <c r="C90" s="36" t="s">
        <v>3</v>
      </c>
      <c r="D90" s="37" t="n">
        <v>15412</v>
      </c>
      <c r="E90" s="37" t="n">
        <v>916</v>
      </c>
      <c r="F90" s="37" t="n">
        <v>2675</v>
      </c>
      <c r="G90" s="37" t="n">
        <v>3203</v>
      </c>
      <c r="H90" s="37" t="n">
        <v>9675</v>
      </c>
      <c r="I90" s="37" t="n">
        <v>648</v>
      </c>
      <c r="J90" s="38" t="n">
        <f aca="false">SUM(D90:I90)</f>
        <v>32529</v>
      </c>
      <c r="K90" s="39" t="n">
        <f aca="false">IFERROR(D90/J90,0)</f>
        <v>0.47379261581973</v>
      </c>
      <c r="L90" s="39" t="n">
        <f aca="false">IFERROR(E90/J90,0)</f>
        <v>0.0281594884564542</v>
      </c>
      <c r="M90" s="39" t="n">
        <f aca="false">IFERROR(F90/J90,0)</f>
        <v>0.0822343139967414</v>
      </c>
      <c r="N90" s="39" t="n">
        <f aca="false">IFERROR(G90/J90,0)</f>
        <v>0.098465984198715</v>
      </c>
      <c r="O90" s="39" t="n">
        <f aca="false">IFERROR(H90/J90,0)</f>
        <v>0.297426911371392</v>
      </c>
      <c r="P90" s="39" t="n">
        <f aca="false">IFERROR(I90/J90,0)</f>
        <v>0.0199206861569676</v>
      </c>
      <c r="Q90" s="38" t="n">
        <f aca="false">D90*INDEX(Régions!$T$2:$T$6,MATCH($B90,Régions!$A$2:$A$6,0))</f>
        <v>12858.2155272306</v>
      </c>
      <c r="R90" s="38" t="n">
        <f aca="false">E90*INDEX(Régions!$U$2:$U$6,MATCH($B90,Régions!$A$2:$A$6,0))</f>
        <v>1097.94520547945</v>
      </c>
      <c r="S90" s="38" t="n">
        <f aca="false">F90*INDEX(Régions!$V$2:$V$6,MATCH($B90,Régions!$A$2:$A$6,0))</f>
        <v>1051.08055009823</v>
      </c>
      <c r="T90" s="38" t="n">
        <f aca="false">G90*INDEX(Régions!$W$2:$W$6,MATCH($B90,Régions!$A$2:$A$6,0))</f>
        <v>6758.40241145441</v>
      </c>
      <c r="U90" s="38" t="n">
        <f aca="false">H90*INDEX(Régions!$X$2:$X$6,MATCH($B90,Régions!$A$2:$A$6,0))</f>
        <v>9936.97478991597</v>
      </c>
      <c r="V90" s="38" t="n">
        <f aca="false">I90*INDEX(Régions!$Y$2:$Y$6,MATCH($B90,Régions!$A$2:$A$6,0))</f>
        <v>611.320754716981</v>
      </c>
      <c r="W90" s="38" t="n">
        <f aca="false">Q90+(AU90/100)*J90*Régions!$O$2</f>
        <v>12169.9018872306</v>
      </c>
      <c r="X90" s="38" t="n">
        <f aca="false">R90+(AV90/100)*J90*Régions!$O$2</f>
        <v>911.554035479452</v>
      </c>
      <c r="Y90" s="38" t="n">
        <f aca="false">S90+(AW90/100)*J90*Régions!$O$2</f>
        <v>655.527910098232</v>
      </c>
      <c r="Z90" s="38" t="n">
        <f aca="false">T90+(AX90/100)*J90*Régions!$O$2</f>
        <v>6550.54210145441</v>
      </c>
      <c r="AA90" s="38" t="n">
        <f aca="false">U90</f>
        <v>9936.97478991597</v>
      </c>
      <c r="AB90" s="38" t="n">
        <f aca="false">V90</f>
        <v>611.320754716981</v>
      </c>
      <c r="AC90" s="38" t="n">
        <f aca="false">D90*INDEX(Régions!$Z$2:$Z$6,MATCH($B90,Régions!$A$2:$A$6,0))</f>
        <v>14036.8852838934</v>
      </c>
      <c r="AD90" s="38" t="n">
        <f aca="false">E90*INDEX(Régions!$AA$2:$AA$6,MATCH($B90,Régions!$A$2:$A$6,0))</f>
        <v>1615.54794520548</v>
      </c>
      <c r="AE90" s="38" t="n">
        <f aca="false">F90*INDEX(Régions!$AB$2:$AB$6,MATCH($B90,Régions!$A$2:$A$6,0))</f>
        <v>1629.17485265226</v>
      </c>
      <c r="AF90" s="38" t="n">
        <f aca="false">G90*INDEX(Régions!$AC$2:$AC$6,MATCH($B90,Régions!$A$2:$A$6,0))</f>
        <v>7554.92840994725</v>
      </c>
      <c r="AG90" s="38" t="n">
        <f aca="false">H90*INDEX(Régions!$AD$2:$AD$6,MATCH($B90,Régions!$A$2:$A$6,0))</f>
        <v>11427.5210084034</v>
      </c>
      <c r="AH90" s="38" t="n">
        <f aca="false">I90*INDEX(Régions!$AE$2:$AE$6,MATCH($B90,Régions!$A$2:$A$6,0))</f>
        <v>2628.67924528302</v>
      </c>
      <c r="AI90" s="38" t="n">
        <f aca="false">D90*INDEX(Régions!$AF$2:$AF$6,MATCH($B90,Régions!$A$2:$A$6,0))</f>
        <v>11679.5457705678</v>
      </c>
      <c r="AJ90" s="38" t="n">
        <f aca="false">E90*INDEX(Régions!$AG$2:$AG$6,MATCH($B90,Régions!$A$2:$A$6,0))</f>
        <v>580.342465753425</v>
      </c>
      <c r="AK90" s="38" t="n">
        <f aca="false">F90*INDEX(Régions!$AH$2:$AH$6,MATCH($B90,Régions!$A$2:$A$6,0))</f>
        <v>472.986247544204</v>
      </c>
      <c r="AL90" s="38" t="n">
        <f aca="false">G90*INDEX(Régions!$AI$2:$AI$6,MATCH($B90,Régions!$A$2:$A$6,0))</f>
        <v>5961.87641296157</v>
      </c>
      <c r="AM90" s="38" t="n">
        <f aca="false">H90*INDEX(Régions!$AJ$2:$AJ$6,MATCH($B90,Régions!$A$2:$A$6,0))</f>
        <v>8446.42857142857</v>
      </c>
      <c r="AN90" s="38" t="n">
        <f aca="false">I90*INDEX(Régions!$AK$2:$AK$6,MATCH($B90,Régions!$A$2:$A$6,0))</f>
        <v>0</v>
      </c>
      <c r="AO90" s="40" t="str">
        <f aca="false">INDEX({"CAQ","PLQ","QS","PQ","PCQ","Autre"},MATCH(MAX(Q90:V90),Q90:V90,0))</f>
        <v>CAQ</v>
      </c>
      <c r="AP90" s="40" t="str">
        <f aca="false">INDEX({"CAQ","PLQ","QS","PQ","PCQ","Autre"},MATCH(MAX(W90:AB90),W90:AB90,0))</f>
        <v>CAQ</v>
      </c>
      <c r="AQ90" s="40" t="str">
        <f aca="false">INDEX({"CAQ","PLQ","QS","PQ","PCQ","Autre"},MATCH(MAX(AC90:AH90),AC90:AH90,0))</f>
        <v>CAQ</v>
      </c>
      <c r="AR90" s="40" t="str">
        <f aca="false">INDEX({"CAQ","PLQ","QS","PQ","PCQ","Autre"},MATCH(MAX(AI90:AN90),AI90:AN90,0))</f>
        <v>CAQ</v>
      </c>
      <c r="AS90" s="41" t="n">
        <f aca="false">(MAX(K90:P90)-LARGE(K90:P90,2))*100</f>
        <v>17.6365704448338</v>
      </c>
      <c r="AT90" s="42" t="str">
        <f aca="false">IF(AS90&lt;5,"Oui","Non")</f>
        <v>Non</v>
      </c>
      <c r="AU90" s="43" t="n">
        <v>-4.232</v>
      </c>
      <c r="AV90" s="43" t="n">
        <v>-1.146</v>
      </c>
      <c r="AW90" s="43" t="n">
        <v>-2.432</v>
      </c>
      <c r="AX90" s="43" t="n">
        <v>-1.278</v>
      </c>
    </row>
    <row r="91" customFormat="false" ht="15" hidden="false" customHeight="true" outlineLevel="0" collapsed="false">
      <c r="A91" s="44" t="s">
        <v>162</v>
      </c>
      <c r="B91" s="44" t="s">
        <v>80</v>
      </c>
      <c r="C91" s="45" t="s">
        <v>3</v>
      </c>
      <c r="D91" s="46" t="n">
        <v>15903</v>
      </c>
      <c r="E91" s="46" t="n">
        <v>2072</v>
      </c>
      <c r="F91" s="46" t="n">
        <v>5196</v>
      </c>
      <c r="G91" s="46" t="n">
        <v>6737</v>
      </c>
      <c r="H91" s="46" t="n">
        <v>4019</v>
      </c>
      <c r="I91" s="46" t="n">
        <v>474</v>
      </c>
      <c r="J91" s="47" t="n">
        <f aca="false">SUM(D91:I91)</f>
        <v>34401</v>
      </c>
      <c r="K91" s="48" t="n">
        <f aca="false">IFERROR(D91/J91,0)</f>
        <v>0.462283073166478</v>
      </c>
      <c r="L91" s="48" t="n">
        <f aca="false">IFERROR(E91/J91,0)</f>
        <v>0.0602308072439755</v>
      </c>
      <c r="M91" s="48" t="n">
        <f aca="false">IFERROR(F91/J91,0)</f>
        <v>0.151042120868579</v>
      </c>
      <c r="N91" s="48" t="n">
        <f aca="false">IFERROR(G91/J91,0)</f>
        <v>0.195837330310165</v>
      </c>
      <c r="O91" s="48" t="n">
        <f aca="false">IFERROR(H91/J91,0)</f>
        <v>0.11682799918607</v>
      </c>
      <c r="P91" s="48" t="n">
        <f aca="false">IFERROR(I91/J91,0)</f>
        <v>0.0137786692247318</v>
      </c>
      <c r="Q91" s="47" t="n">
        <f aca="false">D91*INDEX(Régions!$T$2:$T$6,MATCH($B91,Régions!$A$2:$A$6,0))</f>
        <v>11241.351888668</v>
      </c>
      <c r="R91" s="47" t="n">
        <f aca="false">E91*INDEX(Régions!$U$2:$U$6,MATCH($B91,Régions!$A$2:$A$6,0))</f>
        <v>2646.98367636622</v>
      </c>
      <c r="S91" s="47" t="n">
        <f aca="false">F91*INDEX(Régions!$V$2:$V$6,MATCH($B91,Régions!$A$2:$A$6,0))</f>
        <v>2620.46109510086</v>
      </c>
      <c r="T91" s="47" t="n">
        <f aca="false">G91*INDEX(Régions!$W$2:$W$6,MATCH($B91,Régions!$A$2:$A$6,0))</f>
        <v>13261.811023622</v>
      </c>
      <c r="U91" s="47" t="n">
        <f aca="false">H91*INDEX(Régions!$X$2:$X$6,MATCH($B91,Régions!$A$2:$A$6,0))</f>
        <v>4691.43968871595</v>
      </c>
      <c r="V91" s="47" t="n">
        <f aca="false">I91*INDEX(Régions!$Y$2:$Y$6,MATCH($B91,Régions!$A$2:$A$6,0))</f>
        <v>382.258064516129</v>
      </c>
      <c r="W91" s="47" t="n">
        <f aca="false">Q91+(AU91/100)*J91*Régions!$O$2</f>
        <v>10557.632013668</v>
      </c>
      <c r="X91" s="47" t="n">
        <f aca="false">R91+(AV91/100)*J91*Régions!$O$2</f>
        <v>2658.68001636622</v>
      </c>
      <c r="Y91" s="47" t="n">
        <f aca="false">S91+(AW91/100)*J91*Régions!$O$2</f>
        <v>2938.84235010086</v>
      </c>
      <c r="Z91" s="47" t="n">
        <f aca="false">T91+(AX91/100)*J91*Régions!$O$2</f>
        <v>12941.021698622</v>
      </c>
      <c r="AA91" s="47" t="n">
        <f aca="false">U91</f>
        <v>4691.43968871595</v>
      </c>
      <c r="AB91" s="47" t="n">
        <f aca="false">V91</f>
        <v>382.258064516129</v>
      </c>
      <c r="AC91" s="47" t="n">
        <f aca="false">D91*INDEX(Régions!$Z$2:$Z$6,MATCH($B91,Régions!$A$2:$A$6,0))</f>
        <v>12400.6163021869</v>
      </c>
      <c r="AD91" s="47" t="n">
        <f aca="false">E91*INDEX(Régions!$AA$2:$AA$6,MATCH($B91,Régions!$A$2:$A$6,0))</f>
        <v>3132.26401703336</v>
      </c>
      <c r="AE91" s="47" t="n">
        <f aca="false">F91*INDEX(Régions!$AB$2:$AB$6,MATCH($B91,Régions!$A$2:$A$6,0))</f>
        <v>3855.82132564842</v>
      </c>
      <c r="AF91" s="47" t="n">
        <f aca="false">G91*INDEX(Régions!$AC$2:$AC$6,MATCH($B91,Régions!$A$2:$A$6,0))</f>
        <v>14720.6102362205</v>
      </c>
      <c r="AG91" s="47" t="n">
        <f aca="false">H91*INDEX(Régions!$AD$2:$AD$6,MATCH($B91,Régions!$A$2:$A$6,0))</f>
        <v>5981.58560311284</v>
      </c>
      <c r="AH91" s="47" t="n">
        <f aca="false">I91*INDEX(Régions!$AE$2:$AE$6,MATCH($B91,Régions!$A$2:$A$6,0))</f>
        <v>1643.70967741935</v>
      </c>
      <c r="AI91" s="47" t="n">
        <f aca="false">D91*INDEX(Régions!$AF$2:$AF$6,MATCH($B91,Régions!$A$2:$A$6,0))</f>
        <v>10082.0874751491</v>
      </c>
      <c r="AJ91" s="47" t="n">
        <f aca="false">E91*INDEX(Régions!$AG$2:$AG$6,MATCH($B91,Régions!$A$2:$A$6,0))</f>
        <v>2161.70333569908</v>
      </c>
      <c r="AK91" s="47" t="n">
        <f aca="false">F91*INDEX(Régions!$AH$2:$AH$6,MATCH($B91,Régions!$A$2:$A$6,0))</f>
        <v>1385.10086455331</v>
      </c>
      <c r="AL91" s="47" t="n">
        <f aca="false">G91*INDEX(Régions!$AI$2:$AI$6,MATCH($B91,Régions!$A$2:$A$6,0))</f>
        <v>11803.0118110236</v>
      </c>
      <c r="AM91" s="47" t="n">
        <f aca="false">H91*INDEX(Régions!$AJ$2:$AJ$6,MATCH($B91,Régions!$A$2:$A$6,0))</f>
        <v>3401.29377431907</v>
      </c>
      <c r="AN91" s="47" t="n">
        <f aca="false">I91*INDEX(Régions!$AK$2:$AK$6,MATCH($B91,Régions!$A$2:$A$6,0))</f>
        <v>0</v>
      </c>
      <c r="AO91" s="49" t="str">
        <f aca="false">INDEX({"CAQ","PLQ","QS","PQ","PCQ","Autre"},MATCH(MAX(Q91:V91),Q91:V91,0))</f>
        <v>PQ</v>
      </c>
      <c r="AP91" s="49" t="str">
        <f aca="false">INDEX({"CAQ","PLQ","QS","PQ","PCQ","Autre"},MATCH(MAX(W91:AB91),W91:AB91,0))</f>
        <v>PQ</v>
      </c>
      <c r="AQ91" s="49" t="str">
        <f aca="false">INDEX({"CAQ","PLQ","QS","PQ","PCQ","Autre"},MATCH(MAX(AC91:AH91),AC91:AH91,0))</f>
        <v>PQ</v>
      </c>
      <c r="AR91" s="49" t="str">
        <f aca="false">INDEX({"CAQ","PLQ","QS","PQ","PCQ","Autre"},MATCH(MAX(AI91:AN91),AI91:AN91,0))</f>
        <v>PQ</v>
      </c>
      <c r="AS91" s="50" t="n">
        <f aca="false">(MAX(K91:P91)-LARGE(K91:P91,2))*100</f>
        <v>26.6445742856312</v>
      </c>
      <c r="AT91" s="51" t="str">
        <f aca="false">IF(AS91&lt;5,"Oui","Non")</f>
        <v>Non</v>
      </c>
      <c r="AU91" s="52" t="n">
        <v>-3.975</v>
      </c>
      <c r="AV91" s="52" t="n">
        <v>0.068</v>
      </c>
      <c r="AW91" s="52" t="n">
        <v>1.851</v>
      </c>
      <c r="AX91" s="52" t="n">
        <v>-1.865</v>
      </c>
    </row>
    <row r="92" customFormat="false" ht="15" hidden="false" customHeight="true" outlineLevel="0" collapsed="false">
      <c r="A92" s="35" t="s">
        <v>163</v>
      </c>
      <c r="B92" s="35" t="s">
        <v>70</v>
      </c>
      <c r="C92" s="36" t="s">
        <v>3</v>
      </c>
      <c r="D92" s="37" t="n">
        <v>11377</v>
      </c>
      <c r="E92" s="37" t="n">
        <v>307</v>
      </c>
      <c r="F92" s="37" t="n">
        <v>1459</v>
      </c>
      <c r="G92" s="37" t="n">
        <v>4087</v>
      </c>
      <c r="H92" s="37" t="n">
        <v>1955</v>
      </c>
      <c r="I92" s="37" t="n">
        <v>124</v>
      </c>
      <c r="J92" s="38" t="n">
        <f aca="false">SUM(D92:I92)</f>
        <v>19309</v>
      </c>
      <c r="K92" s="39" t="n">
        <f aca="false">IFERROR(D92/J92,0)</f>
        <v>0.589207105494847</v>
      </c>
      <c r="L92" s="39" t="n">
        <f aca="false">IFERROR(E92/J92,0)</f>
        <v>0.0158993215598944</v>
      </c>
      <c r="M92" s="39" t="n">
        <f aca="false">IFERROR(F92/J92,0)</f>
        <v>0.0755606194002797</v>
      </c>
      <c r="N92" s="39" t="n">
        <f aca="false">IFERROR(G92/J92,0)</f>
        <v>0.211662955098659</v>
      </c>
      <c r="O92" s="39" t="n">
        <f aca="false">IFERROR(H92/J92,0)</f>
        <v>0.101248122637112</v>
      </c>
      <c r="P92" s="39" t="n">
        <f aca="false">IFERROR(I92/J92,0)</f>
        <v>0.00642187580920814</v>
      </c>
      <c r="Q92" s="38" t="n">
        <f aca="false">D92*INDEX(Régions!$T$2:$T$6,MATCH($B92,Régions!$A$2:$A$6,0))</f>
        <v>6720.59071729958</v>
      </c>
      <c r="R92" s="38" t="n">
        <f aca="false">E92*INDEX(Régions!$U$2:$U$6,MATCH($B92,Régions!$A$2:$A$6,0))</f>
        <v>702.718168812589</v>
      </c>
      <c r="S92" s="38" t="n">
        <f aca="false">F92*INDEX(Régions!$V$2:$V$6,MATCH($B92,Régions!$A$2:$A$6,0))</f>
        <v>874.307116104869</v>
      </c>
      <c r="T92" s="38" t="n">
        <f aca="false">G92*INDEX(Régions!$W$2:$W$6,MATCH($B92,Régions!$A$2:$A$6,0))</f>
        <v>7144.24352019289</v>
      </c>
      <c r="U92" s="38" t="n">
        <f aca="false">H92*INDEX(Régions!$X$2:$X$6,MATCH($B92,Régions!$A$2:$A$6,0))</f>
        <v>2221.59090909091</v>
      </c>
      <c r="V92" s="38" t="n">
        <f aca="false">I92*INDEX(Régions!$Y$2:$Y$6,MATCH($B92,Régions!$A$2:$A$6,0))</f>
        <v>174.647887323944</v>
      </c>
      <c r="W92" s="38" t="n">
        <f aca="false">Q92+(AU92/100)*J92*Régions!$O$2</f>
        <v>8554.36644729958</v>
      </c>
      <c r="X92" s="38" t="n">
        <f aca="false">R92+(AV92/100)*J92*Régions!$O$2</f>
        <v>855.259268812589</v>
      </c>
      <c r="Y92" s="38" t="n">
        <f aca="false">S92+(AW92/100)*J92*Régions!$O$2</f>
        <v>718.773121104869</v>
      </c>
      <c r="Z92" s="38" t="n">
        <f aca="false">T92+(AX92/100)*J92*Régions!$O$2</f>
        <v>5518.23263019289</v>
      </c>
      <c r="AA92" s="38" t="n">
        <f aca="false">U92</f>
        <v>2221.59090909091</v>
      </c>
      <c r="AB92" s="38" t="n">
        <f aca="false">V92</f>
        <v>174.647887323944</v>
      </c>
      <c r="AC92" s="38" t="n">
        <f aca="false">D92*INDEX(Régions!$Z$2:$Z$6,MATCH($B92,Régions!$A$2:$A$6,0))</f>
        <v>7512.66033755274</v>
      </c>
      <c r="AD92" s="38" t="n">
        <f aca="false">E92*INDEX(Régions!$AA$2:$AA$6,MATCH($B92,Régions!$A$2:$A$6,0))</f>
        <v>847.653791130186</v>
      </c>
      <c r="AE92" s="38" t="n">
        <f aca="false">F92*INDEX(Régions!$AB$2:$AB$6,MATCH($B92,Régions!$A$2:$A$6,0))</f>
        <v>1234.95880149813</v>
      </c>
      <c r="AF92" s="38" t="n">
        <f aca="false">G92*INDEX(Régions!$AC$2:$AC$6,MATCH($B92,Régions!$A$2:$A$6,0))</f>
        <v>7957.20916214587</v>
      </c>
      <c r="AG92" s="38" t="n">
        <f aca="false">H92*INDEX(Régions!$AD$2:$AD$6,MATCH($B92,Régions!$A$2:$A$6,0))</f>
        <v>2652.84090909091</v>
      </c>
      <c r="AH92" s="38" t="n">
        <f aca="false">I92*INDEX(Régions!$AE$2:$AE$6,MATCH($B92,Régions!$A$2:$A$6,0))</f>
        <v>750.985915492958</v>
      </c>
      <c r="AI92" s="38" t="n">
        <f aca="false">D92*INDEX(Régions!$AF$2:$AF$6,MATCH($B92,Régions!$A$2:$A$6,0))</f>
        <v>5928.52109704641</v>
      </c>
      <c r="AJ92" s="38" t="n">
        <f aca="false">E92*INDEX(Régions!$AG$2:$AG$6,MATCH($B92,Régions!$A$2:$A$6,0))</f>
        <v>557.782546494993</v>
      </c>
      <c r="AK92" s="38" t="n">
        <f aca="false">F92*INDEX(Régions!$AH$2:$AH$6,MATCH($B92,Régions!$A$2:$A$6,0))</f>
        <v>513.655430711611</v>
      </c>
      <c r="AL92" s="38" t="n">
        <f aca="false">G92*INDEX(Régions!$AI$2:$AI$6,MATCH($B92,Régions!$A$2:$A$6,0))</f>
        <v>6331.2778782399</v>
      </c>
      <c r="AM92" s="38" t="n">
        <f aca="false">H92*INDEX(Régions!$AJ$2:$AJ$6,MATCH($B92,Régions!$A$2:$A$6,0))</f>
        <v>1790.34090909091</v>
      </c>
      <c r="AN92" s="38" t="n">
        <f aca="false">I92*INDEX(Régions!$AK$2:$AK$6,MATCH($B92,Régions!$A$2:$A$6,0))</f>
        <v>0</v>
      </c>
      <c r="AO92" s="40" t="str">
        <f aca="false">INDEX({"CAQ","PLQ","QS","PQ","PCQ","Autre"},MATCH(MAX(Q92:V92),Q92:V92,0))</f>
        <v>PQ</v>
      </c>
      <c r="AP92" s="40" t="str">
        <f aca="false">INDEX({"CAQ","PLQ","QS","PQ","PCQ","Autre"},MATCH(MAX(W92:AB92),W92:AB92,0))</f>
        <v>CAQ</v>
      </c>
      <c r="AQ92" s="40" t="str">
        <f aca="false">INDEX({"CAQ","PLQ","QS","PQ","PCQ","Autre"},MATCH(MAX(AC92:AH92),AC92:AH92,0))</f>
        <v>PQ</v>
      </c>
      <c r="AR92" s="40" t="str">
        <f aca="false">INDEX({"CAQ","PLQ","QS","PQ","PCQ","Autre"},MATCH(MAX(AI92:AN92),AI92:AN92,0))</f>
        <v>PQ</v>
      </c>
      <c r="AS92" s="41" t="n">
        <f aca="false">(MAX(K92:P92)-LARGE(K92:P92,2))*100</f>
        <v>37.7544150396188</v>
      </c>
      <c r="AT92" s="42" t="str">
        <f aca="false">IF(AS92&lt;5,"Oui","Non")</f>
        <v>Non</v>
      </c>
      <c r="AU92" s="43" t="n">
        <v>18.994</v>
      </c>
      <c r="AV92" s="43" t="n">
        <v>1.58</v>
      </c>
      <c r="AW92" s="43" t="n">
        <v>-1.611</v>
      </c>
      <c r="AX92" s="43" t="n">
        <v>-16.842</v>
      </c>
    </row>
    <row r="93" customFormat="false" ht="15" hidden="false" customHeight="true" outlineLevel="0" collapsed="false">
      <c r="A93" s="44" t="s">
        <v>164</v>
      </c>
      <c r="B93" s="44" t="s">
        <v>80</v>
      </c>
      <c r="C93" s="45" t="s">
        <v>3</v>
      </c>
      <c r="D93" s="46" t="n">
        <v>19747</v>
      </c>
      <c r="E93" s="46" t="n">
        <v>3758</v>
      </c>
      <c r="F93" s="46" t="n">
        <v>4783</v>
      </c>
      <c r="G93" s="46" t="n">
        <v>6686</v>
      </c>
      <c r="H93" s="46" t="n">
        <v>2419</v>
      </c>
      <c r="I93" s="46" t="n">
        <v>321</v>
      </c>
      <c r="J93" s="47" t="n">
        <f aca="false">SUM(D93:I93)</f>
        <v>37714</v>
      </c>
      <c r="K93" s="48" t="n">
        <f aca="false">IFERROR(D93/J93,0)</f>
        <v>0.52359866362624</v>
      </c>
      <c r="L93" s="48" t="n">
        <f aca="false">IFERROR(E93/J93,0)</f>
        <v>0.099644694277987</v>
      </c>
      <c r="M93" s="48" t="n">
        <f aca="false">IFERROR(F93/J93,0)</f>
        <v>0.126822930476746</v>
      </c>
      <c r="N93" s="48" t="n">
        <f aca="false">IFERROR(G93/J93,0)</f>
        <v>0.177281646073076</v>
      </c>
      <c r="O93" s="48" t="n">
        <f aca="false">IFERROR(H93/J93,0)</f>
        <v>0.0641406374290714</v>
      </c>
      <c r="P93" s="48" t="n">
        <f aca="false">IFERROR(I93/J93,0)</f>
        <v>0.00851142811687967</v>
      </c>
      <c r="Q93" s="47" t="n">
        <f aca="false">D93*INDEX(Régions!$T$2:$T$6,MATCH($B93,Régions!$A$2:$A$6,0))</f>
        <v>13958.5597525955</v>
      </c>
      <c r="R93" s="47" t="n">
        <f aca="false">E93*INDEX(Régions!$U$2:$U$6,MATCH($B93,Régions!$A$2:$A$6,0))</f>
        <v>4800.85166784954</v>
      </c>
      <c r="S93" s="47" t="n">
        <f aca="false">F93*INDEX(Régions!$V$2:$V$6,MATCH($B93,Régions!$A$2:$A$6,0))</f>
        <v>2412.1757925072</v>
      </c>
      <c r="T93" s="47" t="n">
        <f aca="false">G93*INDEX(Régions!$W$2:$W$6,MATCH($B93,Régions!$A$2:$A$6,0))</f>
        <v>13161.4173228346</v>
      </c>
      <c r="U93" s="47" t="n">
        <f aca="false">H93*INDEX(Régions!$X$2:$X$6,MATCH($B93,Régions!$A$2:$A$6,0))</f>
        <v>2823.73540856031</v>
      </c>
      <c r="V93" s="47" t="n">
        <f aca="false">I93*INDEX(Régions!$Y$2:$Y$6,MATCH($B93,Régions!$A$2:$A$6,0))</f>
        <v>258.870967741936</v>
      </c>
      <c r="W93" s="47" t="n">
        <f aca="false">Q93+(AU93/100)*J93*Régions!$O$2</f>
        <v>13854.4691125955</v>
      </c>
      <c r="X93" s="47" t="n">
        <f aca="false">R93+(AV93/100)*J93*Régions!$O$2</f>
        <v>5401.63568784954</v>
      </c>
      <c r="Y93" s="47" t="n">
        <f aca="false">S93+(AW93/100)*J93*Régions!$O$2</f>
        <v>2131.0179225072</v>
      </c>
      <c r="Z93" s="47" t="n">
        <f aca="false">T93+(AX93/100)*J93*Régions!$O$2</f>
        <v>13530.6373828346</v>
      </c>
      <c r="AA93" s="47" t="n">
        <f aca="false">U93</f>
        <v>2823.73540856031</v>
      </c>
      <c r="AB93" s="47" t="n">
        <f aca="false">V93</f>
        <v>258.870967741936</v>
      </c>
      <c r="AC93" s="47" t="n">
        <f aca="false">D93*INDEX(Régions!$Z$2:$Z$6,MATCH($B93,Régions!$A$2:$A$6,0))</f>
        <v>15398.036227082</v>
      </c>
      <c r="AD93" s="47" t="n">
        <f aca="false">E93*INDEX(Régions!$AA$2:$AA$6,MATCH($B93,Régions!$A$2:$A$6,0))</f>
        <v>5681.00780695529</v>
      </c>
      <c r="AE93" s="47" t="n">
        <f aca="false">F93*INDEX(Régions!$AB$2:$AB$6,MATCH($B93,Régions!$A$2:$A$6,0))</f>
        <v>3549.34438040346</v>
      </c>
      <c r="AF93" s="47" t="n">
        <f aca="false">G93*INDEX(Régions!$AC$2:$AC$6,MATCH($B93,Régions!$A$2:$A$6,0))</f>
        <v>14609.1732283465</v>
      </c>
      <c r="AG93" s="47" t="n">
        <f aca="false">H93*INDEX(Régions!$AD$2:$AD$6,MATCH($B93,Régions!$A$2:$A$6,0))</f>
        <v>3600.2626459144</v>
      </c>
      <c r="AH93" s="47" t="n">
        <f aca="false">I93*INDEX(Régions!$AE$2:$AE$6,MATCH($B93,Régions!$A$2:$A$6,0))</f>
        <v>1113.14516129032</v>
      </c>
      <c r="AI93" s="47" t="n">
        <f aca="false">D93*INDEX(Régions!$AF$2:$AF$6,MATCH($B93,Régions!$A$2:$A$6,0))</f>
        <v>12519.0832781091</v>
      </c>
      <c r="AJ93" s="47" t="n">
        <f aca="false">E93*INDEX(Régions!$AG$2:$AG$6,MATCH($B93,Régions!$A$2:$A$6,0))</f>
        <v>3920.69552874379</v>
      </c>
      <c r="AK93" s="47" t="n">
        <f aca="false">F93*INDEX(Régions!$AH$2:$AH$6,MATCH($B93,Régions!$A$2:$A$6,0))</f>
        <v>1275.00720461095</v>
      </c>
      <c r="AL93" s="47" t="n">
        <f aca="false">G93*INDEX(Régions!$AI$2:$AI$6,MATCH($B93,Régions!$A$2:$A$6,0))</f>
        <v>11713.6614173228</v>
      </c>
      <c r="AM93" s="47" t="n">
        <f aca="false">H93*INDEX(Régions!$AJ$2:$AJ$6,MATCH($B93,Régions!$A$2:$A$6,0))</f>
        <v>2047.20817120623</v>
      </c>
      <c r="AN93" s="47" t="n">
        <f aca="false">I93*INDEX(Régions!$AK$2:$AK$6,MATCH($B93,Régions!$A$2:$A$6,0))</f>
        <v>0</v>
      </c>
      <c r="AO93" s="49" t="str">
        <f aca="false">INDEX({"CAQ","PLQ","QS","PQ","PCQ","Autre"},MATCH(MAX(Q93:V93),Q93:V93,0))</f>
        <v>CAQ</v>
      </c>
      <c r="AP93" s="49" t="str">
        <f aca="false">INDEX({"CAQ","PLQ","QS","PQ","PCQ","Autre"},MATCH(MAX(W93:AB93),W93:AB93,0))</f>
        <v>CAQ</v>
      </c>
      <c r="AQ93" s="49" t="str">
        <f aca="false">INDEX({"CAQ","PLQ","QS","PQ","PCQ","Autre"},MATCH(MAX(AC93:AH93),AC93:AH93,0))</f>
        <v>CAQ</v>
      </c>
      <c r="AR93" s="49" t="str">
        <f aca="false">INDEX({"CAQ","PLQ","QS","PQ","PCQ","Autre"},MATCH(MAX(AI93:AN93),AI93:AN93,0))</f>
        <v>CAQ</v>
      </c>
      <c r="AS93" s="50" t="n">
        <f aca="false">(MAX(K93:P93)-LARGE(K93:P93,2))*100</f>
        <v>34.6317017553163</v>
      </c>
      <c r="AT93" s="51" t="str">
        <f aca="false">IF(AS93&lt;5,"Oui","Non")</f>
        <v>Non</v>
      </c>
      <c r="AU93" s="52" t="n">
        <v>-0.552</v>
      </c>
      <c r="AV93" s="52" t="n">
        <v>3.186</v>
      </c>
      <c r="AW93" s="52" t="n">
        <v>-1.491</v>
      </c>
      <c r="AX93" s="52" t="n">
        <v>1.958</v>
      </c>
    </row>
    <row r="94" customFormat="false" ht="15" hidden="false" customHeight="true" outlineLevel="0" collapsed="false">
      <c r="A94" s="35" t="s">
        <v>165</v>
      </c>
      <c r="B94" s="35" t="s">
        <v>80</v>
      </c>
      <c r="C94" s="36" t="s">
        <v>3</v>
      </c>
      <c r="D94" s="37" t="n">
        <v>17098</v>
      </c>
      <c r="E94" s="37" t="n">
        <v>1262</v>
      </c>
      <c r="F94" s="37" t="n">
        <v>3084</v>
      </c>
      <c r="G94" s="37" t="n">
        <v>6204</v>
      </c>
      <c r="H94" s="37" t="n">
        <v>2697</v>
      </c>
      <c r="I94" s="37" t="n">
        <v>247</v>
      </c>
      <c r="J94" s="38" t="n">
        <f aca="false">SUM(D94:I94)</f>
        <v>30592</v>
      </c>
      <c r="K94" s="39" t="n">
        <f aca="false">IFERROR(D94/J94,0)</f>
        <v>0.558904288702929</v>
      </c>
      <c r="L94" s="39" t="n">
        <f aca="false">IFERROR(E94/J94,0)</f>
        <v>0.0412526150627615</v>
      </c>
      <c r="M94" s="39" t="n">
        <f aca="false">IFERROR(F94/J94,0)</f>
        <v>0.100810669456067</v>
      </c>
      <c r="N94" s="39" t="n">
        <f aca="false">IFERROR(G94/J94,0)</f>
        <v>0.202798117154812</v>
      </c>
      <c r="O94" s="39" t="n">
        <f aca="false">IFERROR(H94/J94,0)</f>
        <v>0.0881603033472803</v>
      </c>
      <c r="P94" s="39" t="n">
        <f aca="false">IFERROR(I94/J94,0)</f>
        <v>0.00807400627615063</v>
      </c>
      <c r="Q94" s="38" t="n">
        <f aca="false">D94*INDEX(Régions!$T$2:$T$6,MATCH($B94,Régions!$A$2:$A$6,0))</f>
        <v>12086.0614093218</v>
      </c>
      <c r="R94" s="38" t="n">
        <f aca="false">E94*INDEX(Régions!$U$2:$U$6,MATCH($B94,Régions!$A$2:$A$6,0))</f>
        <v>1612.20723917672</v>
      </c>
      <c r="S94" s="38" t="n">
        <f aca="false">F94*INDEX(Régions!$V$2:$V$6,MATCH($B94,Régions!$A$2:$A$6,0))</f>
        <v>1555.33141210375</v>
      </c>
      <c r="T94" s="38" t="n">
        <f aca="false">G94*INDEX(Régions!$W$2:$W$6,MATCH($B94,Régions!$A$2:$A$6,0))</f>
        <v>12212.5984251969</v>
      </c>
      <c r="U94" s="38" t="n">
        <f aca="false">H94*INDEX(Régions!$X$2:$X$6,MATCH($B94,Régions!$A$2:$A$6,0))</f>
        <v>3148.24902723735</v>
      </c>
      <c r="V94" s="38" t="n">
        <f aca="false">I94*INDEX(Régions!$Y$2:$Y$6,MATCH($B94,Régions!$A$2:$A$6,0))</f>
        <v>199.193548387097</v>
      </c>
      <c r="W94" s="38" t="n">
        <f aca="false">Q94+(AU94/100)*J94*Régions!$O$2</f>
        <v>12533.4694093218</v>
      </c>
      <c r="X94" s="38" t="n">
        <f aca="false">R94+(AV94/100)*J94*Régions!$O$2</f>
        <v>1571.97875917672</v>
      </c>
      <c r="Y94" s="38" t="n">
        <f aca="false">S94+(AW94/100)*J94*Régions!$O$2</f>
        <v>1157.63541210375</v>
      </c>
      <c r="Z94" s="38" t="n">
        <f aca="false">T94+(AX94/100)*J94*Régions!$O$2</f>
        <v>12251.1443451969</v>
      </c>
      <c r="AA94" s="38" t="n">
        <f aca="false">U94</f>
        <v>3148.24902723735</v>
      </c>
      <c r="AB94" s="38" t="n">
        <f aca="false">V94</f>
        <v>199.193548387097</v>
      </c>
      <c r="AC94" s="38" t="n">
        <f aca="false">D94*INDEX(Régions!$Z$2:$Z$6,MATCH($B94,Régions!$A$2:$A$6,0))</f>
        <v>13332.4364921582</v>
      </c>
      <c r="AD94" s="38" t="n">
        <f aca="false">E94*INDEX(Régions!$AA$2:$AA$6,MATCH($B94,Régions!$A$2:$A$6,0))</f>
        <v>1907.77856635912</v>
      </c>
      <c r="AE94" s="38" t="n">
        <f aca="false">F94*INDEX(Régions!$AB$2:$AB$6,MATCH($B94,Régions!$A$2:$A$6,0))</f>
        <v>2288.5590778098</v>
      </c>
      <c r="AF94" s="38" t="n">
        <f aca="false">G94*INDEX(Régions!$AC$2:$AC$6,MATCH($B94,Régions!$A$2:$A$6,0))</f>
        <v>13555.9842519685</v>
      </c>
      <c r="AG94" s="38" t="n">
        <f aca="false">H94*INDEX(Régions!$AD$2:$AD$6,MATCH($B94,Régions!$A$2:$A$6,0))</f>
        <v>4014.01750972763</v>
      </c>
      <c r="AH94" s="38" t="n">
        <f aca="false">I94*INDEX(Régions!$AE$2:$AE$6,MATCH($B94,Régions!$A$2:$A$6,0))</f>
        <v>856.532258064516</v>
      </c>
      <c r="AI94" s="38" t="n">
        <f aca="false">D94*INDEX(Régions!$AF$2:$AF$6,MATCH($B94,Régions!$A$2:$A$6,0))</f>
        <v>10839.6863264855</v>
      </c>
      <c r="AJ94" s="38" t="n">
        <f aca="false">E94*INDEX(Régions!$AG$2:$AG$6,MATCH($B94,Régions!$A$2:$A$6,0))</f>
        <v>1316.63591199432</v>
      </c>
      <c r="AK94" s="38" t="n">
        <f aca="false">F94*INDEX(Régions!$AH$2:$AH$6,MATCH($B94,Régions!$A$2:$A$6,0))</f>
        <v>822.103746397695</v>
      </c>
      <c r="AL94" s="38" t="n">
        <f aca="false">G94*INDEX(Régions!$AI$2:$AI$6,MATCH($B94,Régions!$A$2:$A$6,0))</f>
        <v>10869.2125984252</v>
      </c>
      <c r="AM94" s="38" t="n">
        <f aca="false">H94*INDEX(Régions!$AJ$2:$AJ$6,MATCH($B94,Régions!$A$2:$A$6,0))</f>
        <v>2282.48054474708</v>
      </c>
      <c r="AN94" s="38" t="n">
        <f aca="false">I94*INDEX(Régions!$AK$2:$AK$6,MATCH($B94,Régions!$A$2:$A$6,0))</f>
        <v>0</v>
      </c>
      <c r="AO94" s="40" t="str">
        <f aca="false">INDEX({"CAQ","PLQ","QS","PQ","PCQ","Autre"},MATCH(MAX(Q94:V94),Q94:V94,0))</f>
        <v>PQ</v>
      </c>
      <c r="AP94" s="40" t="str">
        <f aca="false">INDEX({"CAQ","PLQ","QS","PQ","PCQ","Autre"},MATCH(MAX(W94:AB94),W94:AB94,0))</f>
        <v>CAQ</v>
      </c>
      <c r="AQ94" s="40" t="str">
        <f aca="false">INDEX({"CAQ","PLQ","QS","PQ","PCQ","Autre"},MATCH(MAX(AC94:AH94),AC94:AH94,0))</f>
        <v>PQ</v>
      </c>
      <c r="AR94" s="40" t="str">
        <f aca="false">INDEX({"CAQ","PLQ","QS","PQ","PCQ","Autre"},MATCH(MAX(AI94:AN94),AI94:AN94,0))</f>
        <v>PQ</v>
      </c>
      <c r="AS94" s="41" t="n">
        <f aca="false">(MAX(K94:P94)-LARGE(K94:P94,2))*100</f>
        <v>35.6106171548117</v>
      </c>
      <c r="AT94" s="42" t="str">
        <f aca="false">IF(AS94&lt;5,"Oui","Non")</f>
        <v>Non</v>
      </c>
      <c r="AU94" s="43" t="n">
        <v>2.925</v>
      </c>
      <c r="AV94" s="43" t="n">
        <v>-0.263</v>
      </c>
      <c r="AW94" s="43" t="n">
        <v>-2.6</v>
      </c>
      <c r="AX94" s="43" t="n">
        <v>0.252</v>
      </c>
    </row>
    <row r="95" customFormat="false" ht="15" hidden="false" customHeight="true" outlineLevel="0" collapsed="false">
      <c r="A95" s="44" t="s">
        <v>166</v>
      </c>
      <c r="B95" s="44" t="s">
        <v>70</v>
      </c>
      <c r="C95" s="45" t="s">
        <v>3</v>
      </c>
      <c r="D95" s="46" t="n">
        <v>21255</v>
      </c>
      <c r="E95" s="46" t="n">
        <v>2476</v>
      </c>
      <c r="F95" s="46" t="n">
        <v>9031</v>
      </c>
      <c r="G95" s="46" t="n">
        <v>5803</v>
      </c>
      <c r="H95" s="46" t="n">
        <v>6683</v>
      </c>
      <c r="I95" s="46" t="n">
        <v>217</v>
      </c>
      <c r="J95" s="47" t="n">
        <f aca="false">SUM(D95:I95)</f>
        <v>45465</v>
      </c>
      <c r="K95" s="48" t="n">
        <f aca="false">IFERROR(D95/J95,0)</f>
        <v>0.467502474430881</v>
      </c>
      <c r="L95" s="48" t="n">
        <f aca="false">IFERROR(E95/J95,0)</f>
        <v>0.0544594743209062</v>
      </c>
      <c r="M95" s="48" t="n">
        <f aca="false">IFERROR(F95/J95,0)</f>
        <v>0.198636313647861</v>
      </c>
      <c r="N95" s="48" t="n">
        <f aca="false">IFERROR(G95/J95,0)</f>
        <v>0.127636643571978</v>
      </c>
      <c r="O95" s="48" t="n">
        <f aca="false">IFERROR(H95/J95,0)</f>
        <v>0.146992191795887</v>
      </c>
      <c r="P95" s="48" t="n">
        <f aca="false">IFERROR(I95/J95,0)</f>
        <v>0.00477290223248653</v>
      </c>
      <c r="Q95" s="47" t="n">
        <f aca="false">D95*INDEX(Régions!$T$2:$T$6,MATCH($B95,Régions!$A$2:$A$6,0))</f>
        <v>12555.6962025316</v>
      </c>
      <c r="R95" s="47" t="n">
        <f aca="false">E95*INDEX(Régions!$U$2:$U$6,MATCH($B95,Régions!$A$2:$A$6,0))</f>
        <v>5667.52503576538</v>
      </c>
      <c r="S95" s="47" t="n">
        <f aca="false">F95*INDEX(Régions!$V$2:$V$6,MATCH($B95,Régions!$A$2:$A$6,0))</f>
        <v>5411.83520599251</v>
      </c>
      <c r="T95" s="47" t="n">
        <f aca="false">G95*INDEX(Régions!$W$2:$W$6,MATCH($B95,Régions!$A$2:$A$6,0))</f>
        <v>10143.8818565401</v>
      </c>
      <c r="U95" s="47" t="n">
        <f aca="false">H95*INDEX(Régions!$X$2:$X$6,MATCH($B95,Régions!$A$2:$A$6,0))</f>
        <v>7594.31818181818</v>
      </c>
      <c r="V95" s="47" t="n">
        <f aca="false">I95*INDEX(Régions!$Y$2:$Y$6,MATCH($B95,Régions!$A$2:$A$6,0))</f>
        <v>305.633802816901</v>
      </c>
      <c r="W95" s="47" t="n">
        <f aca="false">Q95+(AU95/100)*J95*Régions!$O$2</f>
        <v>12758.4701025316</v>
      </c>
      <c r="X95" s="47" t="n">
        <f aca="false">R95+(AV95/100)*J95*Régions!$O$2</f>
        <v>5306.30561076538</v>
      </c>
      <c r="Y95" s="47" t="n">
        <f aca="false">S95+(AW95/100)*J95*Régions!$O$2</f>
        <v>5868.07648099251</v>
      </c>
      <c r="Z95" s="47" t="n">
        <f aca="false">T95+(AX95/100)*J95*Régions!$O$2</f>
        <v>9947.70038154008</v>
      </c>
      <c r="AA95" s="47" t="n">
        <f aca="false">U95</f>
        <v>7594.31818181818</v>
      </c>
      <c r="AB95" s="47" t="n">
        <f aca="false">V95</f>
        <v>305.633802816901</v>
      </c>
      <c r="AC95" s="47" t="n">
        <f aca="false">D95*INDEX(Régions!$Z$2:$Z$6,MATCH($B95,Régions!$A$2:$A$6,0))</f>
        <v>14035.4746835443</v>
      </c>
      <c r="AD95" s="47" t="n">
        <f aca="false">E95*INDEX(Régions!$AA$2:$AA$6,MATCH($B95,Régions!$A$2:$A$6,0))</f>
        <v>6836.45207439199</v>
      </c>
      <c r="AE95" s="47" t="n">
        <f aca="false">F95*INDEX(Régions!$AB$2:$AB$6,MATCH($B95,Régions!$A$2:$A$6,0))</f>
        <v>7644.21722846442</v>
      </c>
      <c r="AF95" s="47" t="n">
        <f aca="false">G95*INDEX(Régions!$AC$2:$AC$6,MATCH($B95,Régions!$A$2:$A$6,0))</f>
        <v>11298.1856540084</v>
      </c>
      <c r="AG95" s="47" t="n">
        <f aca="false">H95*INDEX(Régions!$AD$2:$AD$6,MATCH($B95,Régions!$A$2:$A$6,0))</f>
        <v>9068.50935828877</v>
      </c>
      <c r="AH95" s="47" t="n">
        <f aca="false">I95*INDEX(Régions!$AE$2:$AE$6,MATCH($B95,Régions!$A$2:$A$6,0))</f>
        <v>1314.22535211268</v>
      </c>
      <c r="AI95" s="47" t="n">
        <f aca="false">D95*INDEX(Régions!$AF$2:$AF$6,MATCH($B95,Régions!$A$2:$A$6,0))</f>
        <v>11075.917721519</v>
      </c>
      <c r="AJ95" s="47" t="n">
        <f aca="false">E95*INDEX(Régions!$AG$2:$AG$6,MATCH($B95,Régions!$A$2:$A$6,0))</f>
        <v>4498.59799713877</v>
      </c>
      <c r="AK95" s="47" t="n">
        <f aca="false">F95*INDEX(Régions!$AH$2:$AH$6,MATCH($B95,Régions!$A$2:$A$6,0))</f>
        <v>3179.4531835206</v>
      </c>
      <c r="AL95" s="47" t="n">
        <f aca="false">G95*INDEX(Régions!$AI$2:$AI$6,MATCH($B95,Régions!$A$2:$A$6,0))</f>
        <v>8989.57805907173</v>
      </c>
      <c r="AM95" s="47" t="n">
        <f aca="false">H95*INDEX(Régions!$AJ$2:$AJ$6,MATCH($B95,Régions!$A$2:$A$6,0))</f>
        <v>6120.12700534759</v>
      </c>
      <c r="AN95" s="47" t="n">
        <f aca="false">I95*INDEX(Régions!$AK$2:$AK$6,MATCH($B95,Régions!$A$2:$A$6,0))</f>
        <v>0</v>
      </c>
      <c r="AO95" s="49" t="str">
        <f aca="false">INDEX({"CAQ","PLQ","QS","PQ","PCQ","Autre"},MATCH(MAX(Q95:V95),Q95:V95,0))</f>
        <v>CAQ</v>
      </c>
      <c r="AP95" s="49" t="str">
        <f aca="false">INDEX({"CAQ","PLQ","QS","PQ","PCQ","Autre"},MATCH(MAX(W95:AB95),W95:AB95,0))</f>
        <v>CAQ</v>
      </c>
      <c r="AQ95" s="49" t="str">
        <f aca="false">INDEX({"CAQ","PLQ","QS","PQ","PCQ","Autre"},MATCH(MAX(AC95:AH95),AC95:AH95,0))</f>
        <v>CAQ</v>
      </c>
      <c r="AR95" s="49" t="str">
        <f aca="false">INDEX({"CAQ","PLQ","QS","PQ","PCQ","Autre"},MATCH(MAX(AI95:AN95),AI95:AN95,0))</f>
        <v>CAQ</v>
      </c>
      <c r="AS95" s="50" t="n">
        <f aca="false">(MAX(K95:P95)-LARGE(K95:P95,2))*100</f>
        <v>26.886616078302</v>
      </c>
      <c r="AT95" s="51" t="str">
        <f aca="false">IF(AS95&lt;5,"Oui","Non")</f>
        <v>Non</v>
      </c>
      <c r="AU95" s="52" t="n">
        <v>0.892</v>
      </c>
      <c r="AV95" s="52" t="n">
        <v>-1.589</v>
      </c>
      <c r="AW95" s="52" t="n">
        <v>2.007</v>
      </c>
      <c r="AX95" s="52" t="n">
        <v>-0.863</v>
      </c>
    </row>
    <row r="96" customFormat="false" ht="15" hidden="false" customHeight="true" outlineLevel="0" collapsed="false">
      <c r="A96" s="35" t="s">
        <v>167</v>
      </c>
      <c r="B96" s="35" t="s">
        <v>70</v>
      </c>
      <c r="C96" s="36" t="s">
        <v>3</v>
      </c>
      <c r="D96" s="37" t="n">
        <v>13761</v>
      </c>
      <c r="E96" s="37" t="n">
        <v>992</v>
      </c>
      <c r="F96" s="37" t="n">
        <v>7042</v>
      </c>
      <c r="G96" s="37" t="n">
        <v>9440</v>
      </c>
      <c r="H96" s="37" t="n">
        <v>1566</v>
      </c>
      <c r="I96" s="37" t="n">
        <v>159</v>
      </c>
      <c r="J96" s="38" t="n">
        <f aca="false">SUM(D96:I96)</f>
        <v>32960</v>
      </c>
      <c r="K96" s="39" t="n">
        <f aca="false">IFERROR(D96/J96,0)</f>
        <v>0.417506067961165</v>
      </c>
      <c r="L96" s="39" t="n">
        <f aca="false">IFERROR(E96/J96,0)</f>
        <v>0.0300970873786408</v>
      </c>
      <c r="M96" s="39" t="n">
        <f aca="false">IFERROR(F96/J96,0)</f>
        <v>0.213652912621359</v>
      </c>
      <c r="N96" s="39" t="n">
        <f aca="false">IFERROR(G96/J96,0)</f>
        <v>0.286407766990291</v>
      </c>
      <c r="O96" s="39" t="n">
        <f aca="false">IFERROR(H96/J96,0)</f>
        <v>0.0475121359223301</v>
      </c>
      <c r="P96" s="39" t="n">
        <f aca="false">IFERROR(I96/J96,0)</f>
        <v>0.00482402912621359</v>
      </c>
      <c r="Q96" s="38" t="n">
        <f aca="false">D96*INDEX(Régions!$T$2:$T$6,MATCH($B96,Régions!$A$2:$A$6,0))</f>
        <v>8128.86075949367</v>
      </c>
      <c r="R96" s="38" t="n">
        <f aca="false">E96*INDEX(Régions!$U$2:$U$6,MATCH($B96,Régions!$A$2:$A$6,0))</f>
        <v>2270.67238912732</v>
      </c>
      <c r="S96" s="38" t="n">
        <f aca="false">F96*INDEX(Régions!$V$2:$V$6,MATCH($B96,Régions!$A$2:$A$6,0))</f>
        <v>4219.92509363296</v>
      </c>
      <c r="T96" s="38" t="n">
        <f aca="false">G96*INDEX(Régions!$W$2:$W$6,MATCH($B96,Régions!$A$2:$A$6,0))</f>
        <v>16501.5069318867</v>
      </c>
      <c r="U96" s="38" t="n">
        <f aca="false">H96*INDEX(Régions!$X$2:$X$6,MATCH($B96,Régions!$A$2:$A$6,0))</f>
        <v>1779.54545454545</v>
      </c>
      <c r="V96" s="38" t="n">
        <f aca="false">I96*INDEX(Régions!$Y$2:$Y$6,MATCH($B96,Régions!$A$2:$A$6,0))</f>
        <v>223.943661971831</v>
      </c>
      <c r="W96" s="38" t="n">
        <f aca="false">Q96+(AU96/100)*J96*Régions!$O$2</f>
        <v>9881.50875949367</v>
      </c>
      <c r="X96" s="38" t="n">
        <f aca="false">R96+(AV96/100)*J96*Régions!$O$2</f>
        <v>2840.22118912732</v>
      </c>
      <c r="Y96" s="38" t="n">
        <f aca="false">S96+(AW96/100)*J96*Régions!$O$2</f>
        <v>5040.79389363296</v>
      </c>
      <c r="Z96" s="38" t="n">
        <f aca="false">T96+(AX96/100)*J96*Régions!$O$2</f>
        <v>14676.8413318867</v>
      </c>
      <c r="AA96" s="38" t="n">
        <f aca="false">U96</f>
        <v>1779.54545454545</v>
      </c>
      <c r="AB96" s="38" t="n">
        <f aca="false">V96</f>
        <v>223.943661971831</v>
      </c>
      <c r="AC96" s="38" t="n">
        <f aca="false">D96*INDEX(Régions!$Z$2:$Z$6,MATCH($B96,Régions!$A$2:$A$6,0))</f>
        <v>9086.90506329114</v>
      </c>
      <c r="AD96" s="38" t="n">
        <f aca="false">E96*INDEX(Régions!$AA$2:$AA$6,MATCH($B96,Régions!$A$2:$A$6,0))</f>
        <v>2738.99856938484</v>
      </c>
      <c r="AE96" s="38" t="n">
        <f aca="false">F96*INDEX(Régions!$AB$2:$AB$6,MATCH($B96,Régions!$A$2:$A$6,0))</f>
        <v>5960.64419475655</v>
      </c>
      <c r="AF96" s="38" t="n">
        <f aca="false">G96*INDEX(Régions!$AC$2:$AC$6,MATCH($B96,Régions!$A$2:$A$6,0))</f>
        <v>18379.2646172393</v>
      </c>
      <c r="AG96" s="38" t="n">
        <f aca="false">H96*INDEX(Régions!$AD$2:$AD$6,MATCH($B96,Régions!$A$2:$A$6,0))</f>
        <v>2124.98663101604</v>
      </c>
      <c r="AH96" s="38" t="n">
        <f aca="false">I96*INDEX(Régions!$AE$2:$AE$6,MATCH($B96,Régions!$A$2:$A$6,0))</f>
        <v>962.957746478873</v>
      </c>
      <c r="AI96" s="38" t="n">
        <f aca="false">D96*INDEX(Régions!$AF$2:$AF$6,MATCH($B96,Régions!$A$2:$A$6,0))</f>
        <v>7170.8164556962</v>
      </c>
      <c r="AJ96" s="38" t="n">
        <f aca="false">E96*INDEX(Régions!$AG$2:$AG$6,MATCH($B96,Régions!$A$2:$A$6,0))</f>
        <v>1802.34620886981</v>
      </c>
      <c r="AK96" s="38" t="n">
        <f aca="false">F96*INDEX(Régions!$AH$2:$AH$6,MATCH($B96,Régions!$A$2:$A$6,0))</f>
        <v>2479.20599250936</v>
      </c>
      <c r="AL96" s="38" t="n">
        <f aca="false">G96*INDEX(Régions!$AI$2:$AI$6,MATCH($B96,Régions!$A$2:$A$6,0))</f>
        <v>14623.7492465341</v>
      </c>
      <c r="AM96" s="38" t="n">
        <f aca="false">H96*INDEX(Régions!$AJ$2:$AJ$6,MATCH($B96,Régions!$A$2:$A$6,0))</f>
        <v>1434.10427807487</v>
      </c>
      <c r="AN96" s="38" t="n">
        <f aca="false">I96*INDEX(Régions!$AK$2:$AK$6,MATCH($B96,Régions!$A$2:$A$6,0))</f>
        <v>0</v>
      </c>
      <c r="AO96" s="40" t="str">
        <f aca="false">INDEX({"CAQ","PLQ","QS","PQ","PCQ","Autre"},MATCH(MAX(Q96:V96),Q96:V96,0))</f>
        <v>PQ</v>
      </c>
      <c r="AP96" s="40" t="str">
        <f aca="false">INDEX({"CAQ","PLQ","QS","PQ","PCQ","Autre"},MATCH(MAX(W96:AB96),W96:AB96,0))</f>
        <v>PQ</v>
      </c>
      <c r="AQ96" s="40" t="str">
        <f aca="false">INDEX({"CAQ","PLQ","QS","PQ","PCQ","Autre"},MATCH(MAX(AC96:AH96),AC96:AH96,0))</f>
        <v>PQ</v>
      </c>
      <c r="AR96" s="40" t="str">
        <f aca="false">INDEX({"CAQ","PLQ","QS","PQ","PCQ","Autre"},MATCH(MAX(AI96:AN96),AI96:AN96,0))</f>
        <v>PQ</v>
      </c>
      <c r="AS96" s="41" t="n">
        <f aca="false">(MAX(K96:P96)-LARGE(K96:P96,2))*100</f>
        <v>13.1098300970874</v>
      </c>
      <c r="AT96" s="42" t="str">
        <f aca="false">IF(AS96&lt;5,"Oui","Non")</f>
        <v>Non</v>
      </c>
      <c r="AU96" s="43" t="n">
        <v>10.635</v>
      </c>
      <c r="AV96" s="43" t="n">
        <v>3.456</v>
      </c>
      <c r="AW96" s="43" t="n">
        <v>4.981</v>
      </c>
      <c r="AX96" s="43" t="n">
        <v>-11.072</v>
      </c>
    </row>
    <row r="97" customFormat="false" ht="15" hidden="false" customHeight="true" outlineLevel="0" collapsed="false">
      <c r="A97" s="44" t="s">
        <v>168</v>
      </c>
      <c r="B97" s="44" t="s">
        <v>70</v>
      </c>
      <c r="C97" s="45" t="s">
        <v>3</v>
      </c>
      <c r="D97" s="46" t="n">
        <v>18183</v>
      </c>
      <c r="E97" s="46" t="n">
        <v>1388</v>
      </c>
      <c r="F97" s="46" t="n">
        <v>5102</v>
      </c>
      <c r="G97" s="46" t="n">
        <v>6141</v>
      </c>
      <c r="H97" s="46" t="n">
        <v>3937</v>
      </c>
      <c r="I97" s="46" t="n">
        <v>174</v>
      </c>
      <c r="J97" s="47" t="n">
        <f aca="false">SUM(D97:I97)</f>
        <v>34925</v>
      </c>
      <c r="K97" s="48" t="n">
        <f aca="false">IFERROR(D97/J97,0)</f>
        <v>0.520629921259843</v>
      </c>
      <c r="L97" s="48" t="n">
        <f aca="false">IFERROR(E97/J97,0)</f>
        <v>0.0397423049391553</v>
      </c>
      <c r="M97" s="48" t="n">
        <f aca="false">IFERROR(F97/J97,0)</f>
        <v>0.146084466714388</v>
      </c>
      <c r="N97" s="48" t="n">
        <f aca="false">IFERROR(G97/J97,0)</f>
        <v>0.175833929849678</v>
      </c>
      <c r="O97" s="48" t="n">
        <f aca="false">IFERROR(H97/J97,0)</f>
        <v>0.112727272727273</v>
      </c>
      <c r="P97" s="48" t="n">
        <f aca="false">IFERROR(I97/J97,0)</f>
        <v>0.00498210450966357</v>
      </c>
      <c r="Q97" s="47" t="n">
        <f aca="false">D97*INDEX(Régions!$T$2:$T$6,MATCH($B97,Régions!$A$2:$A$6,0))</f>
        <v>10741.0126582278</v>
      </c>
      <c r="R97" s="47" t="n">
        <f aca="false">E97*INDEX(Régions!$U$2:$U$6,MATCH($B97,Régions!$A$2:$A$6,0))</f>
        <v>3177.11015736767</v>
      </c>
      <c r="S97" s="47" t="n">
        <f aca="false">F97*INDEX(Régions!$V$2:$V$6,MATCH($B97,Régions!$A$2:$A$6,0))</f>
        <v>3057.37827715356</v>
      </c>
      <c r="T97" s="47" t="n">
        <f aca="false">G97*INDEX(Régions!$W$2:$W$6,MATCH($B97,Régions!$A$2:$A$6,0))</f>
        <v>10734.7197106691</v>
      </c>
      <c r="U97" s="47" t="n">
        <f aca="false">H97*INDEX(Régions!$X$2:$X$6,MATCH($B97,Régions!$A$2:$A$6,0))</f>
        <v>4473.86363636364</v>
      </c>
      <c r="V97" s="47" t="n">
        <f aca="false">I97*INDEX(Régions!$Y$2:$Y$6,MATCH($B97,Régions!$A$2:$A$6,0))</f>
        <v>245.070422535211</v>
      </c>
      <c r="W97" s="47" t="n">
        <f aca="false">Q97+(AU97/100)*J97*Régions!$O$2</f>
        <v>11905.7614082278</v>
      </c>
      <c r="X97" s="47" t="n">
        <f aca="false">R97+(AV97/100)*J97*Régions!$O$2</f>
        <v>259.999532367668</v>
      </c>
      <c r="Y97" s="47" t="n">
        <f aca="false">S97+(AW97/100)*J97*Régions!$O$2</f>
        <v>3864.66965215356</v>
      </c>
      <c r="Z97" s="47" t="n">
        <f aca="false">T97+(AX97/100)*J97*Régions!$O$2</f>
        <v>11877.9895856691</v>
      </c>
      <c r="AA97" s="47" t="n">
        <f aca="false">U97</f>
        <v>4473.86363636364</v>
      </c>
      <c r="AB97" s="47" t="n">
        <f aca="false">V97</f>
        <v>245.070422535211</v>
      </c>
      <c r="AC97" s="47" t="n">
        <f aca="false">D97*INDEX(Régions!$Z$2:$Z$6,MATCH($B97,Régions!$A$2:$A$6,0))</f>
        <v>12006.917721519</v>
      </c>
      <c r="AD97" s="47" t="n">
        <f aca="false">E97*INDEX(Régions!$AA$2:$AA$6,MATCH($B97,Régions!$A$2:$A$6,0))</f>
        <v>3832.38912732475</v>
      </c>
      <c r="AE97" s="47" t="n">
        <f aca="false">F97*INDEX(Régions!$AB$2:$AB$6,MATCH($B97,Régions!$A$2:$A$6,0))</f>
        <v>4318.5468164794</v>
      </c>
      <c r="AF97" s="47" t="n">
        <f aca="false">G97*INDEX(Régions!$AC$2:$AC$6,MATCH($B97,Régions!$A$2:$A$6,0))</f>
        <v>11956.2567811935</v>
      </c>
      <c r="AG97" s="47" t="n">
        <f aca="false">H97*INDEX(Régions!$AD$2:$AD$6,MATCH($B97,Régions!$A$2:$A$6,0))</f>
        <v>5342.31951871658</v>
      </c>
      <c r="AH97" s="47" t="n">
        <f aca="false">I97*INDEX(Régions!$AE$2:$AE$6,MATCH($B97,Régions!$A$2:$A$6,0))</f>
        <v>1053.80281690141</v>
      </c>
      <c r="AI97" s="47" t="n">
        <f aca="false">D97*INDEX(Régions!$AF$2:$AF$6,MATCH($B97,Régions!$A$2:$A$6,0))</f>
        <v>9475.10759493671</v>
      </c>
      <c r="AJ97" s="47" t="n">
        <f aca="false">E97*INDEX(Régions!$AG$2:$AG$6,MATCH($B97,Régions!$A$2:$A$6,0))</f>
        <v>2521.83118741059</v>
      </c>
      <c r="AK97" s="47" t="n">
        <f aca="false">F97*INDEX(Régions!$AH$2:$AH$6,MATCH($B97,Régions!$A$2:$A$6,0))</f>
        <v>1796.20973782772</v>
      </c>
      <c r="AL97" s="47" t="n">
        <f aca="false">G97*INDEX(Régions!$AI$2:$AI$6,MATCH($B97,Régions!$A$2:$A$6,0))</f>
        <v>9513.18264014467</v>
      </c>
      <c r="AM97" s="47" t="n">
        <f aca="false">H97*INDEX(Régions!$AJ$2:$AJ$6,MATCH($B97,Régions!$A$2:$A$6,0))</f>
        <v>3605.40775401069</v>
      </c>
      <c r="AN97" s="47" t="n">
        <f aca="false">I97*INDEX(Régions!$AK$2:$AK$6,MATCH($B97,Régions!$A$2:$A$6,0))</f>
        <v>0</v>
      </c>
      <c r="AO97" s="49" t="str">
        <f aca="false">INDEX({"CAQ","PLQ","QS","PQ","PCQ","Autre"},MATCH(MAX(Q97:V97),Q97:V97,0))</f>
        <v>CAQ</v>
      </c>
      <c r="AP97" s="49" t="str">
        <f aca="false">INDEX({"CAQ","PLQ","QS","PQ","PCQ","Autre"},MATCH(MAX(W97:AB97),W97:AB97,0))</f>
        <v>CAQ</v>
      </c>
      <c r="AQ97" s="49" t="str">
        <f aca="false">INDEX({"CAQ","PLQ","QS","PQ","PCQ","Autre"},MATCH(MAX(AC97:AH97),AC97:AH97,0))</f>
        <v>CAQ</v>
      </c>
      <c r="AR97" s="49" t="str">
        <f aca="false">INDEX({"CAQ","PLQ","QS","PQ","PCQ","Autre"},MATCH(MAX(AI97:AN97),AI97:AN97,0))</f>
        <v>PQ</v>
      </c>
      <c r="AS97" s="50" t="n">
        <f aca="false">(MAX(K97:P97)-LARGE(K97:P97,2))*100</f>
        <v>34.4795991410165</v>
      </c>
      <c r="AT97" s="51" t="str">
        <f aca="false">IF(AS97&lt;5,"Oui","Non")</f>
        <v>Non</v>
      </c>
      <c r="AU97" s="52" t="n">
        <v>6.67</v>
      </c>
      <c r="AV97" s="52" t="n">
        <v>-16.705</v>
      </c>
      <c r="AW97" s="52" t="n">
        <v>4.623</v>
      </c>
      <c r="AX97" s="52" t="n">
        <v>6.547</v>
      </c>
    </row>
    <row r="98" customFormat="false" ht="15" hidden="false" customHeight="true" outlineLevel="0" collapsed="false">
      <c r="A98" s="35" t="s">
        <v>169</v>
      </c>
      <c r="B98" s="35" t="s">
        <v>73</v>
      </c>
      <c r="C98" s="36" t="s">
        <v>4</v>
      </c>
      <c r="D98" s="37" t="n">
        <v>2909</v>
      </c>
      <c r="E98" s="37" t="n">
        <v>17228</v>
      </c>
      <c r="F98" s="37" t="n">
        <v>1498</v>
      </c>
      <c r="G98" s="37" t="n">
        <v>776</v>
      </c>
      <c r="H98" s="37" t="n">
        <v>6010</v>
      </c>
      <c r="I98" s="37" t="n">
        <v>1406</v>
      </c>
      <c r="J98" s="38" t="n">
        <f aca="false">SUM(D98:I98)</f>
        <v>29827</v>
      </c>
      <c r="K98" s="39" t="n">
        <f aca="false">IFERROR(D98/J98,0)</f>
        <v>0.0975290843866296</v>
      </c>
      <c r="L98" s="39" t="n">
        <f aca="false">IFERROR(E98/J98,0)</f>
        <v>0.577597478794381</v>
      </c>
      <c r="M98" s="39" t="n">
        <f aca="false">IFERROR(F98/J98,0)</f>
        <v>0.0502229523586013</v>
      </c>
      <c r="N98" s="39" t="n">
        <f aca="false">IFERROR(G98/J98,0)</f>
        <v>0.0260166962818922</v>
      </c>
      <c r="O98" s="39" t="n">
        <f aca="false">IFERROR(H98/J98,0)</f>
        <v>0.2014952895028</v>
      </c>
      <c r="P98" s="39" t="n">
        <f aca="false">IFERROR(I98/J98,0)</f>
        <v>0.0471384986756965</v>
      </c>
      <c r="Q98" s="38" t="n">
        <f aca="false">D98*INDEX(Régions!$T$2:$T$6,MATCH($B98,Régions!$A$2:$A$6,0))</f>
        <v>2180.65967016492</v>
      </c>
      <c r="R98" s="38" t="n">
        <f aca="false">E98*INDEX(Régions!$U$2:$U$6,MATCH($B98,Régions!$A$2:$A$6,0))</f>
        <v>17197.6512037581</v>
      </c>
      <c r="S98" s="38" t="n">
        <f aca="false">F98*INDEX(Régions!$V$2:$V$6,MATCH($B98,Régions!$A$2:$A$6,0))</f>
        <v>1149.7065462754</v>
      </c>
      <c r="T98" s="38" t="n">
        <f aca="false">G98*INDEX(Régions!$W$2:$W$6,MATCH($B98,Régions!$A$2:$A$6,0))</f>
        <v>1745.45454545455</v>
      </c>
      <c r="U98" s="38" t="n">
        <f aca="false">H98*INDEX(Régions!$X$2:$X$6,MATCH($B98,Régions!$A$2:$A$6,0))</f>
        <v>4822.46740220662</v>
      </c>
      <c r="V98" s="38" t="n">
        <f aca="false">I98*INDEX(Régions!$Y$2:$Y$6,MATCH($B98,Régions!$A$2:$A$6,0))</f>
        <v>898.402555910543</v>
      </c>
      <c r="W98" s="38" t="n">
        <f aca="false">Q98+(AU98/100)*J98*Régions!$O$2</f>
        <v>1631.69373516492</v>
      </c>
      <c r="X98" s="38" t="n">
        <f aca="false">R98+(AV98/100)*J98*Régions!$O$2</f>
        <v>16060.0494237581</v>
      </c>
      <c r="Y98" s="38" t="n">
        <f aca="false">S98+(AW98/100)*J98*Régions!$O$2</f>
        <v>1182.8145162754</v>
      </c>
      <c r="Z98" s="38" t="n">
        <f aca="false">T98+(AX98/100)*J98*Régions!$O$2</f>
        <v>1831.05803545455</v>
      </c>
      <c r="AA98" s="38" t="n">
        <f aca="false">U98</f>
        <v>4822.46740220662</v>
      </c>
      <c r="AB98" s="38" t="n">
        <f aca="false">V98</f>
        <v>898.402555910543</v>
      </c>
      <c r="AC98" s="38" t="n">
        <f aca="false">D98*INDEX(Régions!$Z$2:$Z$6,MATCH($B98,Régions!$A$2:$A$6,0))</f>
        <v>2660.4047976012</v>
      </c>
      <c r="AD98" s="38" t="n">
        <f aca="false">E98*INDEX(Régions!$AA$2:$AA$6,MATCH($B98,Régions!$A$2:$A$6,0))</f>
        <v>18866.834997064</v>
      </c>
      <c r="AE98" s="38" t="n">
        <f aca="false">F98*INDEX(Régions!$AB$2:$AB$6,MATCH($B98,Régions!$A$2:$A$6,0))</f>
        <v>1372.8848758465</v>
      </c>
      <c r="AF98" s="38" t="n">
        <f aca="false">G98*INDEX(Régions!$AC$2:$AC$6,MATCH($B98,Régions!$A$2:$A$6,0))</f>
        <v>1985.45454545455</v>
      </c>
      <c r="AG98" s="38" t="n">
        <f aca="false">H98*INDEX(Régions!$AD$2:$AD$6,MATCH($B98,Régions!$A$2:$A$6,0))</f>
        <v>6811.73520561685</v>
      </c>
      <c r="AH98" s="38" t="n">
        <f aca="false">I98*INDEX(Régions!$AE$2:$AE$6,MATCH($B98,Régions!$A$2:$A$6,0))</f>
        <v>2380.76677316294</v>
      </c>
      <c r="AI98" s="38" t="n">
        <f aca="false">D98*INDEX(Régions!$AF$2:$AF$6,MATCH($B98,Régions!$A$2:$A$6,0))</f>
        <v>1700.91454272864</v>
      </c>
      <c r="AJ98" s="38" t="n">
        <f aca="false">E98*INDEX(Régions!$AG$2:$AG$6,MATCH($B98,Régions!$A$2:$A$6,0))</f>
        <v>15528.4674104521</v>
      </c>
      <c r="AK98" s="38" t="n">
        <f aca="false">F98*INDEX(Régions!$AH$2:$AH$6,MATCH($B98,Régions!$A$2:$A$6,0))</f>
        <v>926.528216704289</v>
      </c>
      <c r="AL98" s="38" t="n">
        <f aca="false">G98*INDEX(Régions!$AI$2:$AI$6,MATCH($B98,Régions!$A$2:$A$6,0))</f>
        <v>1505.45454545455</v>
      </c>
      <c r="AM98" s="38" t="n">
        <f aca="false">H98*INDEX(Régions!$AJ$2:$AJ$6,MATCH($B98,Régions!$A$2:$A$6,0))</f>
        <v>2833.19959879639</v>
      </c>
      <c r="AN98" s="38" t="n">
        <f aca="false">I98*INDEX(Régions!$AK$2:$AK$6,MATCH($B98,Régions!$A$2:$A$6,0))</f>
        <v>0</v>
      </c>
      <c r="AO98" s="40" t="str">
        <f aca="false">INDEX({"CAQ","PLQ","QS","PQ","PCQ","Autre"},MATCH(MAX(Q98:V98),Q98:V98,0))</f>
        <v>PLQ</v>
      </c>
      <c r="AP98" s="40" t="str">
        <f aca="false">INDEX({"CAQ","PLQ","QS","PQ","PCQ","Autre"},MATCH(MAX(W98:AB98),W98:AB98,0))</f>
        <v>PLQ</v>
      </c>
      <c r="AQ98" s="40" t="str">
        <f aca="false">INDEX({"CAQ","PLQ","QS","PQ","PCQ","Autre"},MATCH(MAX(AC98:AH98),AC98:AH98,0))</f>
        <v>PLQ</v>
      </c>
      <c r="AR98" s="40" t="str">
        <f aca="false">INDEX({"CAQ","PLQ","QS","PQ","PCQ","Autre"},MATCH(MAX(AI98:AN98),AI98:AN98,0))</f>
        <v>PLQ</v>
      </c>
      <c r="AS98" s="41" t="n">
        <f aca="false">(MAX(K98:P98)-LARGE(K98:P98,2))*100</f>
        <v>37.6102189291581</v>
      </c>
      <c r="AT98" s="42" t="str">
        <f aca="false">IF(AS98&lt;5,"Oui","Non")</f>
        <v>Non</v>
      </c>
      <c r="AU98" s="43" t="n">
        <v>-3.681</v>
      </c>
      <c r="AV98" s="43" t="n">
        <v>-7.628</v>
      </c>
      <c r="AW98" s="43" t="n">
        <v>0.222</v>
      </c>
      <c r="AX98" s="43" t="n">
        <v>0.574</v>
      </c>
    </row>
    <row r="99" customFormat="false" ht="15" hidden="false" customHeight="true" outlineLevel="0" collapsed="false">
      <c r="A99" s="44" t="s">
        <v>170</v>
      </c>
      <c r="B99" s="44" t="s">
        <v>70</v>
      </c>
      <c r="C99" s="45" t="s">
        <v>3</v>
      </c>
      <c r="D99" s="46" t="n">
        <v>15017</v>
      </c>
      <c r="E99" s="46" t="n">
        <v>1217</v>
      </c>
      <c r="F99" s="46" t="n">
        <v>1826</v>
      </c>
      <c r="G99" s="46" t="n">
        <v>5488</v>
      </c>
      <c r="H99" s="46" t="n">
        <v>3038</v>
      </c>
      <c r="I99" s="46" t="n">
        <v>141</v>
      </c>
      <c r="J99" s="47" t="n">
        <f aca="false">SUM(D99:I99)</f>
        <v>26727</v>
      </c>
      <c r="K99" s="48" t="n">
        <f aca="false">IFERROR(D99/J99,0)</f>
        <v>0.56186627754705</v>
      </c>
      <c r="L99" s="48" t="n">
        <f aca="false">IFERROR(E99/J99,0)</f>
        <v>0.0455344782429753</v>
      </c>
      <c r="M99" s="48" t="n">
        <f aca="false">IFERROR(F99/J99,0)</f>
        <v>0.0683204250383507</v>
      </c>
      <c r="N99" s="48" t="n">
        <f aca="false">IFERROR(G99/J99,0)</f>
        <v>0.205335428592809</v>
      </c>
      <c r="O99" s="48" t="n">
        <f aca="false">IFERROR(H99/J99,0)</f>
        <v>0.113667826542448</v>
      </c>
      <c r="P99" s="48" t="n">
        <f aca="false">IFERROR(I99/J99,0)</f>
        <v>0.00527556403636772</v>
      </c>
      <c r="Q99" s="47" t="n">
        <f aca="false">D99*INDEX(Régions!$T$2:$T$6,MATCH($B99,Régions!$A$2:$A$6,0))</f>
        <v>8870.80168776371</v>
      </c>
      <c r="R99" s="47" t="n">
        <f aca="false">E99*INDEX(Régions!$U$2:$U$6,MATCH($B99,Régions!$A$2:$A$6,0))</f>
        <v>2785.69384835479</v>
      </c>
      <c r="S99" s="47" t="n">
        <f aca="false">F99*INDEX(Régions!$V$2:$V$6,MATCH($B99,Régions!$A$2:$A$6,0))</f>
        <v>1094.23220973783</v>
      </c>
      <c r="T99" s="47" t="n">
        <f aca="false">G99*INDEX(Régions!$W$2:$W$6,MATCH($B99,Régions!$A$2:$A$6,0))</f>
        <v>9593.24894514768</v>
      </c>
      <c r="U99" s="47" t="n">
        <f aca="false">H99*INDEX(Régions!$X$2:$X$6,MATCH($B99,Régions!$A$2:$A$6,0))</f>
        <v>3452.27272727273</v>
      </c>
      <c r="V99" s="47" t="n">
        <f aca="false">I99*INDEX(Régions!$Y$2:$Y$6,MATCH($B99,Régions!$A$2:$A$6,0))</f>
        <v>198.591549295775</v>
      </c>
      <c r="W99" s="47" t="n">
        <f aca="false">Q99+(AU99/100)*J99*Régions!$O$2</f>
        <v>12320.1883077637</v>
      </c>
      <c r="X99" s="47" t="n">
        <f aca="false">R99+(AV99/100)*J99*Régions!$O$2</f>
        <v>-571.751891645207</v>
      </c>
      <c r="Y99" s="47" t="n">
        <f aca="false">S99+(AW99/100)*J99*Régions!$O$2</f>
        <v>717.114239737828</v>
      </c>
      <c r="Z99" s="47" t="n">
        <f aca="false">T99+(AX99/100)*J99*Régions!$O$2</f>
        <v>10358.0420501477</v>
      </c>
      <c r="AA99" s="47" t="n">
        <f aca="false">U99</f>
        <v>3452.27272727273</v>
      </c>
      <c r="AB99" s="47" t="n">
        <f aca="false">V99</f>
        <v>198.591549295775</v>
      </c>
      <c r="AC99" s="47" t="n">
        <f aca="false">D99*INDEX(Régions!$Z$2:$Z$6,MATCH($B99,Régions!$A$2:$A$6,0))</f>
        <v>9916.28902953587</v>
      </c>
      <c r="AD99" s="47" t="n">
        <f aca="false">E99*INDEX(Régions!$AA$2:$AA$6,MATCH($B99,Régions!$A$2:$A$6,0))</f>
        <v>3360.24320457797</v>
      </c>
      <c r="AE99" s="47" t="n">
        <f aca="false">F99*INDEX(Régions!$AB$2:$AB$6,MATCH($B99,Régions!$A$2:$A$6,0))</f>
        <v>1545.60299625468</v>
      </c>
      <c r="AF99" s="47" t="n">
        <f aca="false">G99*INDEX(Régions!$AC$2:$AC$6,MATCH($B99,Régions!$A$2:$A$6,0))</f>
        <v>10684.8945147679</v>
      </c>
      <c r="AG99" s="47" t="n">
        <f aca="false">H99*INDEX(Régions!$AD$2:$AD$6,MATCH($B99,Régions!$A$2:$A$6,0))</f>
        <v>4122.41978609626</v>
      </c>
      <c r="AH99" s="47" t="n">
        <f aca="false">I99*INDEX(Régions!$AE$2:$AE$6,MATCH($B99,Régions!$A$2:$A$6,0))</f>
        <v>853.943661971831</v>
      </c>
      <c r="AI99" s="47" t="n">
        <f aca="false">D99*INDEX(Régions!$AF$2:$AF$6,MATCH($B99,Régions!$A$2:$A$6,0))</f>
        <v>7825.31434599156</v>
      </c>
      <c r="AJ99" s="47" t="n">
        <f aca="false">E99*INDEX(Régions!$AG$2:$AG$6,MATCH($B99,Régions!$A$2:$A$6,0))</f>
        <v>2211.14449213162</v>
      </c>
      <c r="AK99" s="47" t="n">
        <f aca="false">F99*INDEX(Régions!$AH$2:$AH$6,MATCH($B99,Régions!$A$2:$A$6,0))</f>
        <v>642.861423220974</v>
      </c>
      <c r="AL99" s="47" t="n">
        <f aca="false">G99*INDEX(Régions!$AI$2:$AI$6,MATCH($B99,Régions!$A$2:$A$6,0))</f>
        <v>8501.60337552743</v>
      </c>
      <c r="AM99" s="47" t="n">
        <f aca="false">H99*INDEX(Régions!$AJ$2:$AJ$6,MATCH($B99,Régions!$A$2:$A$6,0))</f>
        <v>2782.1256684492</v>
      </c>
      <c r="AN99" s="47" t="n">
        <f aca="false">I99*INDEX(Régions!$AK$2:$AK$6,MATCH($B99,Régions!$A$2:$A$6,0))</f>
        <v>0</v>
      </c>
      <c r="AO99" s="49" t="str">
        <f aca="false">INDEX({"CAQ","PLQ","QS","PQ","PCQ","Autre"},MATCH(MAX(Q99:V99),Q99:V99,0))</f>
        <v>PQ</v>
      </c>
      <c r="AP99" s="49" t="str">
        <f aca="false">INDEX({"CAQ","PLQ","QS","PQ","PCQ","Autre"},MATCH(MAX(W99:AB99),W99:AB99,0))</f>
        <v>CAQ</v>
      </c>
      <c r="AQ99" s="49" t="str">
        <f aca="false">INDEX({"CAQ","PLQ","QS","PQ","PCQ","Autre"},MATCH(MAX(AC99:AH99),AC99:AH99,0))</f>
        <v>PQ</v>
      </c>
      <c r="AR99" s="49" t="str">
        <f aca="false">INDEX({"CAQ","PLQ","QS","PQ","PCQ","Autre"},MATCH(MAX(AI99:AN99),AI99:AN99,0))</f>
        <v>PQ</v>
      </c>
      <c r="AS99" s="50" t="n">
        <f aca="false">(MAX(K99:P99)-LARGE(K99:P99,2))*100</f>
        <v>35.6530848954241</v>
      </c>
      <c r="AT99" s="51" t="str">
        <f aca="false">IF(AS99&lt;5,"Oui","Non")</f>
        <v>Non</v>
      </c>
      <c r="AU99" s="52" t="n">
        <v>25.812</v>
      </c>
      <c r="AV99" s="52" t="n">
        <v>-25.124</v>
      </c>
      <c r="AW99" s="52" t="n">
        <v>-2.822</v>
      </c>
      <c r="AX99" s="52" t="n">
        <v>5.723</v>
      </c>
    </row>
    <row r="100" customFormat="false" ht="15" hidden="false" customHeight="true" outlineLevel="0" collapsed="false">
      <c r="A100" s="35" t="s">
        <v>171</v>
      </c>
      <c r="B100" s="35" t="s">
        <v>73</v>
      </c>
      <c r="C100" s="36" t="s">
        <v>5</v>
      </c>
      <c r="D100" s="37" t="n">
        <v>8157</v>
      </c>
      <c r="E100" s="37" t="n">
        <v>4170</v>
      </c>
      <c r="F100" s="37" t="n">
        <v>13311</v>
      </c>
      <c r="G100" s="37" t="n">
        <v>7527</v>
      </c>
      <c r="H100" s="37" t="n">
        <v>1605</v>
      </c>
      <c r="I100" s="37" t="n">
        <v>610</v>
      </c>
      <c r="J100" s="38" t="n">
        <f aca="false">SUM(D100:I100)</f>
        <v>35380</v>
      </c>
      <c r="K100" s="39" t="n">
        <f aca="false">IFERROR(D100/J100,0)</f>
        <v>0.230553985302431</v>
      </c>
      <c r="L100" s="39" t="n">
        <f aca="false">IFERROR(E100/J100,0)</f>
        <v>0.117863199547767</v>
      </c>
      <c r="M100" s="39" t="n">
        <f aca="false">IFERROR(F100/J100,0)</f>
        <v>0.376229508196721</v>
      </c>
      <c r="N100" s="39" t="n">
        <f aca="false">IFERROR(G100/J100,0)</f>
        <v>0.212747314867157</v>
      </c>
      <c r="O100" s="39" t="n">
        <f aca="false">IFERROR(H100/J100,0)</f>
        <v>0.0453646127755794</v>
      </c>
      <c r="P100" s="39" t="n">
        <f aca="false">IFERROR(I100/J100,0)</f>
        <v>0.0172413793103448</v>
      </c>
      <c r="Q100" s="38" t="n">
        <f aca="false">D100*INDEX(Régions!$T$2:$T$6,MATCH($B100,Régions!$A$2:$A$6,0))</f>
        <v>6114.69265367316</v>
      </c>
      <c r="R100" s="38" t="n">
        <f aca="false">E100*INDEX(Régions!$U$2:$U$6,MATCH($B100,Régions!$A$2:$A$6,0))</f>
        <v>4162.65413975338</v>
      </c>
      <c r="S100" s="38" t="n">
        <f aca="false">F100*INDEX(Régions!$V$2:$V$6,MATCH($B100,Régions!$A$2:$A$6,0))</f>
        <v>10216.1173814898</v>
      </c>
      <c r="T100" s="38" t="n">
        <f aca="false">G100*INDEX(Régions!$W$2:$W$6,MATCH($B100,Régions!$A$2:$A$6,0))</f>
        <v>16930.4592314902</v>
      </c>
      <c r="U100" s="38" t="n">
        <f aca="false">H100*INDEX(Régions!$X$2:$X$6,MATCH($B100,Régions!$A$2:$A$6,0))</f>
        <v>1287.86359077232</v>
      </c>
      <c r="V100" s="38" t="n">
        <f aca="false">I100*INDEX(Régions!$Y$2:$Y$6,MATCH($B100,Régions!$A$2:$A$6,0))</f>
        <v>389.776357827476</v>
      </c>
      <c r="W100" s="38" t="n">
        <f aca="false">Q100+(AU100/100)*J100*Régions!$O$2</f>
        <v>7067.29915367316</v>
      </c>
      <c r="X100" s="38" t="n">
        <f aca="false">R100+(AV100/100)*J100*Régions!$O$2</f>
        <v>4778.08923975338</v>
      </c>
      <c r="Y100" s="38" t="n">
        <f aca="false">S100+(AW100/100)*J100*Régions!$O$2</f>
        <v>10553.9963814898</v>
      </c>
      <c r="Z100" s="38" t="n">
        <f aca="false">T100+(AX100/100)*J100*Régions!$O$2</f>
        <v>15885.3340314902</v>
      </c>
      <c r="AA100" s="38" t="n">
        <f aca="false">U100</f>
        <v>1287.86359077232</v>
      </c>
      <c r="AB100" s="38" t="n">
        <f aca="false">V100</f>
        <v>389.776357827476</v>
      </c>
      <c r="AC100" s="38" t="n">
        <f aca="false">D100*INDEX(Régions!$Z$2:$Z$6,MATCH($B100,Régions!$A$2:$A$6,0))</f>
        <v>7459.92503748126</v>
      </c>
      <c r="AD100" s="38" t="n">
        <f aca="false">E100*INDEX(Régions!$AA$2:$AA$6,MATCH($B100,Régions!$A$2:$A$6,0))</f>
        <v>4566.67645331767</v>
      </c>
      <c r="AE100" s="38" t="n">
        <f aca="false">F100*INDEX(Régions!$AB$2:$AB$6,MATCH($B100,Régions!$A$2:$A$6,0))</f>
        <v>12199.2460496614</v>
      </c>
      <c r="AF100" s="38" t="n">
        <f aca="false">G100*INDEX(Régions!$AC$2:$AC$6,MATCH($B100,Régions!$A$2:$A$6,0))</f>
        <v>19258.3973758201</v>
      </c>
      <c r="AG100" s="38" t="n">
        <f aca="false">H100*INDEX(Régions!$AD$2:$AD$6,MATCH($B100,Régions!$A$2:$A$6,0))</f>
        <v>1819.1073219659</v>
      </c>
      <c r="AH100" s="38" t="n">
        <f aca="false">I100*INDEX(Régions!$AE$2:$AE$6,MATCH($B100,Régions!$A$2:$A$6,0))</f>
        <v>1032.90734824281</v>
      </c>
      <c r="AI100" s="38" t="n">
        <f aca="false">D100*INDEX(Régions!$AF$2:$AF$6,MATCH($B100,Régions!$A$2:$A$6,0))</f>
        <v>4769.46026986507</v>
      </c>
      <c r="AJ100" s="38" t="n">
        <f aca="false">E100*INDEX(Régions!$AG$2:$AG$6,MATCH($B100,Régions!$A$2:$A$6,0))</f>
        <v>3758.63182618908</v>
      </c>
      <c r="AK100" s="38" t="n">
        <f aca="false">F100*INDEX(Régions!$AH$2:$AH$6,MATCH($B100,Régions!$A$2:$A$6,0))</f>
        <v>8232.98871331828</v>
      </c>
      <c r="AL100" s="38" t="n">
        <f aca="false">G100*INDEX(Régions!$AI$2:$AI$6,MATCH($B100,Régions!$A$2:$A$6,0))</f>
        <v>14602.5210871603</v>
      </c>
      <c r="AM100" s="38" t="n">
        <f aca="false">H100*INDEX(Régions!$AJ$2:$AJ$6,MATCH($B100,Régions!$A$2:$A$6,0))</f>
        <v>756.619859578736</v>
      </c>
      <c r="AN100" s="38" t="n">
        <f aca="false">I100*INDEX(Régions!$AK$2:$AK$6,MATCH($B100,Régions!$A$2:$A$6,0))</f>
        <v>0</v>
      </c>
      <c r="AO100" s="40" t="str">
        <f aca="false">INDEX({"CAQ","PLQ","QS","PQ","PCQ","Autre"},MATCH(MAX(Q100:V100),Q100:V100,0))</f>
        <v>PQ</v>
      </c>
      <c r="AP100" s="40" t="str">
        <f aca="false">INDEX({"CAQ","PLQ","QS","PQ","PCQ","Autre"},MATCH(MAX(W100:AB100),W100:AB100,0))</f>
        <v>PQ</v>
      </c>
      <c r="AQ100" s="40" t="str">
        <f aca="false">INDEX({"CAQ","PLQ","QS","PQ","PCQ","Autre"},MATCH(MAX(AC100:AH100),AC100:AH100,0))</f>
        <v>PQ</v>
      </c>
      <c r="AR100" s="40" t="str">
        <f aca="false">INDEX({"CAQ","PLQ","QS","PQ","PCQ","Autre"},MATCH(MAX(AI100:AN100),AI100:AN100,0))</f>
        <v>PQ</v>
      </c>
      <c r="AS100" s="41" t="n">
        <f aca="false">(MAX(K100:P100)-LARGE(K100:P100,2))*100</f>
        <v>14.5675522894291</v>
      </c>
      <c r="AT100" s="42" t="str">
        <f aca="false">IF(AS100&lt;5,"Oui","Non")</f>
        <v>Non</v>
      </c>
      <c r="AU100" s="43" t="n">
        <v>5.385</v>
      </c>
      <c r="AV100" s="43" t="n">
        <v>3.479</v>
      </c>
      <c r="AW100" s="43" t="n">
        <v>1.91</v>
      </c>
      <c r="AX100" s="43" t="n">
        <v>-5.908</v>
      </c>
    </row>
    <row r="101" customFormat="false" ht="15" hidden="false" customHeight="true" outlineLevel="0" collapsed="false">
      <c r="A101" s="44" t="s">
        <v>172</v>
      </c>
      <c r="B101" s="44" t="s">
        <v>80</v>
      </c>
      <c r="C101" s="45" t="s">
        <v>3</v>
      </c>
      <c r="D101" s="46" t="n">
        <v>14117</v>
      </c>
      <c r="E101" s="46" t="n">
        <v>963</v>
      </c>
      <c r="F101" s="46" t="n">
        <v>3667</v>
      </c>
      <c r="G101" s="46" t="n">
        <v>4985</v>
      </c>
      <c r="H101" s="46" t="n">
        <v>4180</v>
      </c>
      <c r="I101" s="46" t="n">
        <v>0</v>
      </c>
      <c r="J101" s="47" t="n">
        <f aca="false">SUM(D101:I101)</f>
        <v>27912</v>
      </c>
      <c r="K101" s="48" t="n">
        <f aca="false">IFERROR(D101/J101,0)</f>
        <v>0.505768128403554</v>
      </c>
      <c r="L101" s="48" t="n">
        <f aca="false">IFERROR(E101/J101,0)</f>
        <v>0.0345012897678418</v>
      </c>
      <c r="M101" s="48" t="n">
        <f aca="false">IFERROR(F101/J101,0)</f>
        <v>0.131377185439954</v>
      </c>
      <c r="N101" s="48" t="n">
        <f aca="false">IFERROR(G101/J101,0)</f>
        <v>0.17859701920321</v>
      </c>
      <c r="O101" s="48" t="n">
        <f aca="false">IFERROR(H101/J101,0)</f>
        <v>0.14975637718544</v>
      </c>
      <c r="P101" s="48" t="n">
        <f aca="false">IFERROR(I101/J101,0)</f>
        <v>0</v>
      </c>
      <c r="Q101" s="47" t="n">
        <f aca="false">D101*INDEX(Régions!$T$2:$T$6,MATCH($B101,Régions!$A$2:$A$6,0))</f>
        <v>9978.88226198365</v>
      </c>
      <c r="R101" s="47" t="n">
        <f aca="false">E101*INDEX(Régions!$U$2:$U$6,MATCH($B101,Régions!$A$2:$A$6,0))</f>
        <v>1230.23420865862</v>
      </c>
      <c r="S101" s="47" t="n">
        <f aca="false">F101*INDEX(Régions!$V$2:$V$6,MATCH($B101,Régions!$A$2:$A$6,0))</f>
        <v>1849.35158501441</v>
      </c>
      <c r="T101" s="47" t="n">
        <f aca="false">G101*INDEX(Régions!$W$2:$W$6,MATCH($B101,Régions!$A$2:$A$6,0))</f>
        <v>9812.99212598425</v>
      </c>
      <c r="U101" s="47" t="n">
        <f aca="false">H101*INDEX(Régions!$X$2:$X$6,MATCH($B101,Régions!$A$2:$A$6,0))</f>
        <v>4879.37743190662</v>
      </c>
      <c r="V101" s="47" t="n">
        <f aca="false">I101*INDEX(Régions!$Y$2:$Y$6,MATCH($B101,Régions!$A$2:$A$6,0))</f>
        <v>0</v>
      </c>
      <c r="W101" s="47" t="n">
        <f aca="false">Q101+(AU101/100)*J101*Régions!$O$2</f>
        <v>9164.54966198365</v>
      </c>
      <c r="X101" s="47" t="n">
        <f aca="false">R101+(AV101/100)*J101*Régions!$O$2</f>
        <v>1944.36272865862</v>
      </c>
      <c r="Y101" s="47" t="n">
        <f aca="false">S101+(AW101/100)*J101*Régions!$O$2</f>
        <v>1967.00066501441</v>
      </c>
      <c r="Z101" s="47" t="n">
        <f aca="false">T101+(AX101/100)*J101*Régions!$O$2</f>
        <v>9048.62200598425</v>
      </c>
      <c r="AA101" s="47" t="n">
        <f aca="false">U101</f>
        <v>4879.37743190662</v>
      </c>
      <c r="AB101" s="47" t="n">
        <f aca="false">V101</f>
        <v>0</v>
      </c>
      <c r="AC101" s="47" t="n">
        <f aca="false">D101*INDEX(Régions!$Z$2:$Z$6,MATCH($B101,Régions!$A$2:$A$6,0))</f>
        <v>11007.9544952507</v>
      </c>
      <c r="AD101" s="47" t="n">
        <f aca="false">E101*INDEX(Régions!$AA$2:$AA$6,MATCH($B101,Régions!$A$2:$A$6,0))</f>
        <v>1455.7771469127</v>
      </c>
      <c r="AE101" s="47" t="n">
        <f aca="false">F101*INDEX(Régions!$AB$2:$AB$6,MATCH($B101,Régions!$A$2:$A$6,0))</f>
        <v>2721.18876080692</v>
      </c>
      <c r="AF101" s="47" t="n">
        <f aca="false">G101*INDEX(Régions!$AC$2:$AC$6,MATCH($B101,Régions!$A$2:$A$6,0))</f>
        <v>10892.4212598425</v>
      </c>
      <c r="AG101" s="47" t="n">
        <f aca="false">H101*INDEX(Régions!$AD$2:$AD$6,MATCH($B101,Régions!$A$2:$A$6,0))</f>
        <v>6221.20622568094</v>
      </c>
      <c r="AH101" s="47" t="n">
        <f aca="false">I101*INDEX(Régions!$AE$2:$AE$6,MATCH($B101,Régions!$A$2:$A$6,0))</f>
        <v>0</v>
      </c>
      <c r="AI101" s="47" t="n">
        <f aca="false">D101*INDEX(Régions!$AF$2:$AF$6,MATCH($B101,Régions!$A$2:$A$6,0))</f>
        <v>8949.81002871659</v>
      </c>
      <c r="AJ101" s="47" t="n">
        <f aca="false">E101*INDEX(Régions!$AG$2:$AG$6,MATCH($B101,Régions!$A$2:$A$6,0))</f>
        <v>1004.69127040454</v>
      </c>
      <c r="AK101" s="47" t="n">
        <f aca="false">F101*INDEX(Régions!$AH$2:$AH$6,MATCH($B101,Régions!$A$2:$A$6,0))</f>
        <v>977.514409221902</v>
      </c>
      <c r="AL101" s="47" t="n">
        <f aca="false">G101*INDEX(Régions!$AI$2:$AI$6,MATCH($B101,Régions!$A$2:$A$6,0))</f>
        <v>8733.56299212598</v>
      </c>
      <c r="AM101" s="47" t="n">
        <f aca="false">H101*INDEX(Régions!$AJ$2:$AJ$6,MATCH($B101,Régions!$A$2:$A$6,0))</f>
        <v>3537.5486381323</v>
      </c>
      <c r="AN101" s="47" t="n">
        <f aca="false">I101*INDEX(Régions!$AK$2:$AK$6,MATCH($B101,Régions!$A$2:$A$6,0))</f>
        <v>0</v>
      </c>
      <c r="AO101" s="49" t="str">
        <f aca="false">INDEX({"CAQ","PLQ","QS","PQ","PCQ","Autre"},MATCH(MAX(Q101:V101),Q101:V101,0))</f>
        <v>CAQ</v>
      </c>
      <c r="AP101" s="49" t="str">
        <f aca="false">INDEX({"CAQ","PLQ","QS","PQ","PCQ","Autre"},MATCH(MAX(W101:AB101),W101:AB101,0))</f>
        <v>CAQ</v>
      </c>
      <c r="AQ101" s="49" t="str">
        <f aca="false">INDEX({"CAQ","PLQ","QS","PQ","PCQ","Autre"},MATCH(MAX(AC101:AH101),AC101:AH101,0))</f>
        <v>CAQ</v>
      </c>
      <c r="AR101" s="49" t="str">
        <f aca="false">INDEX({"CAQ","PLQ","QS","PQ","PCQ","Autre"},MATCH(MAX(AI101:AN101),AI101:AN101,0))</f>
        <v>CAQ</v>
      </c>
      <c r="AS101" s="50" t="n">
        <f aca="false">(MAX(K101:P101)-LARGE(K101:P101,2))*100</f>
        <v>32.7171109200344</v>
      </c>
      <c r="AT101" s="51" t="str">
        <f aca="false">IF(AS101&lt;5,"Oui","Non")</f>
        <v>Non</v>
      </c>
      <c r="AU101" s="52" t="n">
        <v>-5.835</v>
      </c>
      <c r="AV101" s="52" t="n">
        <v>5.117</v>
      </c>
      <c r="AW101" s="52" t="n">
        <v>0.843</v>
      </c>
      <c r="AX101" s="52" t="n">
        <v>-5.477</v>
      </c>
    </row>
    <row r="102" customFormat="false" ht="15" hidden="false" customHeight="true" outlineLevel="0" collapsed="false">
      <c r="A102" s="35" t="s">
        <v>173</v>
      </c>
      <c r="B102" s="35" t="s">
        <v>70</v>
      </c>
      <c r="C102" s="36" t="s">
        <v>3</v>
      </c>
      <c r="D102" s="37" t="n">
        <v>12975</v>
      </c>
      <c r="E102" s="37" t="n">
        <v>1255</v>
      </c>
      <c r="F102" s="37" t="n">
        <v>8890</v>
      </c>
      <c r="G102" s="37" t="n">
        <v>3232</v>
      </c>
      <c r="H102" s="37" t="n">
        <v>2202</v>
      </c>
      <c r="I102" s="37" t="n">
        <v>178</v>
      </c>
      <c r="J102" s="38" t="n">
        <f aca="false">SUM(D102:I102)</f>
        <v>28732</v>
      </c>
      <c r="K102" s="39" t="n">
        <f aca="false">IFERROR(D102/J102,0)</f>
        <v>0.451587080606989</v>
      </c>
      <c r="L102" s="39" t="n">
        <f aca="false">IFERROR(E102/J102,0)</f>
        <v>0.043679521091466</v>
      </c>
      <c r="M102" s="39" t="n">
        <f aca="false">IFERROR(F102/J102,0)</f>
        <v>0.309411109564249</v>
      </c>
      <c r="N102" s="39" t="n">
        <f aca="false">IFERROR(G102/J102,0)</f>
        <v>0.112487818460253</v>
      </c>
      <c r="O102" s="39" t="n">
        <f aca="false">IFERROR(H102/J102,0)</f>
        <v>0.0766392872059028</v>
      </c>
      <c r="P102" s="39" t="n">
        <f aca="false">IFERROR(I102/J102,0)</f>
        <v>0.00619518307114019</v>
      </c>
      <c r="Q102" s="38" t="n">
        <f aca="false">D102*INDEX(Régions!$T$2:$T$6,MATCH($B102,Régions!$A$2:$A$6,0))</f>
        <v>7664.55696202532</v>
      </c>
      <c r="R102" s="38" t="n">
        <f aca="false">E102*INDEX(Régions!$U$2:$U$6,MATCH($B102,Régions!$A$2:$A$6,0))</f>
        <v>2872.67525035765</v>
      </c>
      <c r="S102" s="38" t="n">
        <f aca="false">F102*INDEX(Régions!$V$2:$V$6,MATCH($B102,Régions!$A$2:$A$6,0))</f>
        <v>5327.34082397004</v>
      </c>
      <c r="T102" s="38" t="n">
        <f aca="false">G102*INDEX(Régions!$W$2:$W$6,MATCH($B102,Régions!$A$2:$A$6,0))</f>
        <v>5649.66847498493</v>
      </c>
      <c r="U102" s="38" t="n">
        <f aca="false">H102*INDEX(Régions!$X$2:$X$6,MATCH($B102,Régions!$A$2:$A$6,0))</f>
        <v>2502.27272727273</v>
      </c>
      <c r="V102" s="38" t="n">
        <f aca="false">I102*INDEX(Régions!$Y$2:$Y$6,MATCH($B102,Régions!$A$2:$A$6,0))</f>
        <v>250.704225352113</v>
      </c>
      <c r="W102" s="38" t="n">
        <f aca="false">Q102+(AU102/100)*J102*Régions!$O$2</f>
        <v>8901.32590202532</v>
      </c>
      <c r="X102" s="38" t="n">
        <f aca="false">R102+(AV102/100)*J102*Régions!$O$2</f>
        <v>2981.71319035765</v>
      </c>
      <c r="Y102" s="38" t="n">
        <f aca="false">S102+(AW102/100)*J102*Régions!$O$2</f>
        <v>5313.69312397004</v>
      </c>
      <c r="Z102" s="38" t="n">
        <f aca="false">T102+(AX102/100)*J102*Régions!$O$2</f>
        <v>5239.95015498493</v>
      </c>
      <c r="AA102" s="38" t="n">
        <f aca="false">U102</f>
        <v>2502.27272727273</v>
      </c>
      <c r="AB102" s="38" t="n">
        <f aca="false">V102</f>
        <v>250.704225352113</v>
      </c>
      <c r="AC102" s="38" t="n">
        <f aca="false">D102*INDEX(Régions!$Z$2:$Z$6,MATCH($B102,Régions!$A$2:$A$6,0))</f>
        <v>8567.87974683544</v>
      </c>
      <c r="AD102" s="38" t="n">
        <f aca="false">E102*INDEX(Régions!$AA$2:$AA$6,MATCH($B102,Régions!$A$2:$A$6,0))</f>
        <v>3465.16452074392</v>
      </c>
      <c r="AE102" s="38" t="n">
        <f aca="false">F102*INDEX(Régions!$AB$2:$AB$6,MATCH($B102,Régions!$A$2:$A$6,0))</f>
        <v>7524.86891385768</v>
      </c>
      <c r="AF102" s="38" t="n">
        <f aca="false">G102*INDEX(Régions!$AC$2:$AC$6,MATCH($B102,Régions!$A$2:$A$6,0))</f>
        <v>6292.56178420735</v>
      </c>
      <c r="AG102" s="38" t="n">
        <f aca="false">H102*INDEX(Régions!$AD$2:$AD$6,MATCH($B102,Régions!$A$2:$A$6,0))</f>
        <v>2988.00802139037</v>
      </c>
      <c r="AH102" s="38" t="n">
        <f aca="false">I102*INDEX(Régions!$AE$2:$AE$6,MATCH($B102,Régions!$A$2:$A$6,0))</f>
        <v>1078.02816901408</v>
      </c>
      <c r="AI102" s="38" t="n">
        <f aca="false">D102*INDEX(Régions!$AF$2:$AF$6,MATCH($B102,Régions!$A$2:$A$6,0))</f>
        <v>6761.23417721519</v>
      </c>
      <c r="AJ102" s="38" t="n">
        <f aca="false">E102*INDEX(Régions!$AG$2:$AG$6,MATCH($B102,Régions!$A$2:$A$6,0))</f>
        <v>2280.18597997139</v>
      </c>
      <c r="AK102" s="38" t="n">
        <f aca="false">F102*INDEX(Régions!$AH$2:$AH$6,MATCH($B102,Régions!$A$2:$A$6,0))</f>
        <v>3129.8127340824</v>
      </c>
      <c r="AL102" s="38" t="n">
        <f aca="false">G102*INDEX(Régions!$AI$2:$AI$6,MATCH($B102,Régions!$A$2:$A$6,0))</f>
        <v>5006.77516576251</v>
      </c>
      <c r="AM102" s="38" t="n">
        <f aca="false">H102*INDEX(Régions!$AJ$2:$AJ$6,MATCH($B102,Régions!$A$2:$A$6,0))</f>
        <v>2016.53743315508</v>
      </c>
      <c r="AN102" s="38" t="n">
        <f aca="false">I102*INDEX(Régions!$AK$2:$AK$6,MATCH($B102,Régions!$A$2:$A$6,0))</f>
        <v>0</v>
      </c>
      <c r="AO102" s="40" t="str">
        <f aca="false">INDEX({"CAQ","PLQ","QS","PQ","PCQ","Autre"},MATCH(MAX(Q102:V102),Q102:V102,0))</f>
        <v>CAQ</v>
      </c>
      <c r="AP102" s="40" t="str">
        <f aca="false">INDEX({"CAQ","PLQ","QS","PQ","PCQ","Autre"},MATCH(MAX(W102:AB102),W102:AB102,0))</f>
        <v>CAQ</v>
      </c>
      <c r="AQ102" s="40" t="str">
        <f aca="false">INDEX({"CAQ","PLQ","QS","PQ","PCQ","Autre"},MATCH(MAX(AC102:AH102),AC102:AH102,0))</f>
        <v>CAQ</v>
      </c>
      <c r="AR102" s="40" t="str">
        <f aca="false">INDEX({"CAQ","PLQ","QS","PQ","PCQ","Autre"},MATCH(MAX(AI102:AN102),AI102:AN102,0))</f>
        <v>CAQ</v>
      </c>
      <c r="AS102" s="41" t="n">
        <f aca="false">(MAX(K102:P102)-LARGE(K102:P102,2))*100</f>
        <v>14.217597104274</v>
      </c>
      <c r="AT102" s="42" t="str">
        <f aca="false">IF(AS102&lt;5,"Oui","Non")</f>
        <v>Non</v>
      </c>
      <c r="AU102" s="43" t="n">
        <v>8.609</v>
      </c>
      <c r="AV102" s="43" t="n">
        <v>0.759</v>
      </c>
      <c r="AW102" s="43" t="n">
        <v>-0.095</v>
      </c>
      <c r="AX102" s="43" t="n">
        <v>-2.852</v>
      </c>
    </row>
    <row r="103" customFormat="false" ht="15" hidden="false" customHeight="true" outlineLevel="0" collapsed="false">
      <c r="A103" s="44" t="s">
        <v>174</v>
      </c>
      <c r="B103" s="44" t="s">
        <v>70</v>
      </c>
      <c r="C103" s="45" t="s">
        <v>3</v>
      </c>
      <c r="D103" s="46" t="n">
        <v>17280</v>
      </c>
      <c r="E103" s="46" t="n">
        <v>3220</v>
      </c>
      <c r="F103" s="46" t="n">
        <v>11491</v>
      </c>
      <c r="G103" s="46" t="n">
        <v>3712</v>
      </c>
      <c r="H103" s="46" t="n">
        <v>4768</v>
      </c>
      <c r="I103" s="46" t="n">
        <v>257</v>
      </c>
      <c r="J103" s="47" t="n">
        <f aca="false">SUM(D103:I103)</f>
        <v>40728</v>
      </c>
      <c r="K103" s="48" t="n">
        <f aca="false">IFERROR(D103/J103,0)</f>
        <v>0.424278137890395</v>
      </c>
      <c r="L103" s="48" t="n">
        <f aca="false">IFERROR(E103/J103,0)</f>
        <v>0.0790610881948537</v>
      </c>
      <c r="M103" s="48" t="n">
        <f aca="false">IFERROR(F103/J103,0)</f>
        <v>0.282140051070517</v>
      </c>
      <c r="N103" s="48" t="n">
        <f aca="false">IFERROR(G103/J103,0)</f>
        <v>0.0911412296208996</v>
      </c>
      <c r="O103" s="48" t="n">
        <f aca="false">IFERROR(H103/J103,0)</f>
        <v>0.117069338047535</v>
      </c>
      <c r="P103" s="48" t="n">
        <f aca="false">IFERROR(I103/J103,0)</f>
        <v>0.00631015517580043</v>
      </c>
      <c r="Q103" s="47" t="n">
        <f aca="false">D103*INDEX(Régions!$T$2:$T$6,MATCH($B103,Régions!$A$2:$A$6,0))</f>
        <v>10207.5949367089</v>
      </c>
      <c r="R103" s="47" t="n">
        <f aca="false">E103*INDEX(Régions!$U$2:$U$6,MATCH($B103,Régions!$A$2:$A$6,0))</f>
        <v>7370.52932761087</v>
      </c>
      <c r="S103" s="47" t="n">
        <f aca="false">F103*INDEX(Régions!$V$2:$V$6,MATCH($B103,Régions!$A$2:$A$6,0))</f>
        <v>6885.9925093633</v>
      </c>
      <c r="T103" s="47" t="n">
        <f aca="false">G103*INDEX(Régions!$W$2:$W$6,MATCH($B103,Régions!$A$2:$A$6,0))</f>
        <v>6488.72814948764</v>
      </c>
      <c r="U103" s="47" t="n">
        <f aca="false">H103*INDEX(Régions!$X$2:$X$6,MATCH($B103,Régions!$A$2:$A$6,0))</f>
        <v>5418.18181818182</v>
      </c>
      <c r="V103" s="47" t="n">
        <f aca="false">I103*INDEX(Régions!$Y$2:$Y$6,MATCH($B103,Régions!$A$2:$A$6,0))</f>
        <v>361.971830985916</v>
      </c>
      <c r="W103" s="47" t="n">
        <f aca="false">Q103+(AU103/100)*J103*Régions!$O$2</f>
        <v>10509.5930567089</v>
      </c>
      <c r="X103" s="47" t="n">
        <f aca="false">R103+(AV103/100)*J103*Régions!$O$2</f>
        <v>6837.60344761087</v>
      </c>
      <c r="Y103" s="47" t="n">
        <f aca="false">S103+(AW103/100)*J103*Régions!$O$2</f>
        <v>8224.7218693633</v>
      </c>
      <c r="Z103" s="47" t="n">
        <f aca="false">T103+(AX103/100)*J103*Régions!$O$2</f>
        <v>5905.50318948764</v>
      </c>
      <c r="AA103" s="47" t="n">
        <f aca="false">U103</f>
        <v>5418.18181818182</v>
      </c>
      <c r="AB103" s="47" t="n">
        <f aca="false">V103</f>
        <v>361.971830985916</v>
      </c>
      <c r="AC103" s="47" t="n">
        <f aca="false">D103*INDEX(Régions!$Z$2:$Z$6,MATCH($B103,Régions!$A$2:$A$6,0))</f>
        <v>11410.6329113924</v>
      </c>
      <c r="AD103" s="47" t="n">
        <f aca="false">E103*INDEX(Régions!$AA$2:$AA$6,MATCH($B103,Régions!$A$2:$A$6,0))</f>
        <v>8890.70100143061</v>
      </c>
      <c r="AE103" s="47" t="n">
        <f aca="false">F103*INDEX(Régions!$AB$2:$AB$6,MATCH($B103,Régions!$A$2:$A$6,0))</f>
        <v>9726.46441947566</v>
      </c>
      <c r="AF103" s="47" t="n">
        <f aca="false">G103*INDEX(Régions!$AC$2:$AC$6,MATCH($B103,Régions!$A$2:$A$6,0))</f>
        <v>7227.10066305003</v>
      </c>
      <c r="AG103" s="47" t="n">
        <f aca="false">H103*INDEX(Régions!$AD$2:$AD$6,MATCH($B103,Régions!$A$2:$A$6,0))</f>
        <v>6469.94652406417</v>
      </c>
      <c r="AH103" s="47" t="n">
        <f aca="false">I103*INDEX(Régions!$AE$2:$AE$6,MATCH($B103,Régions!$A$2:$A$6,0))</f>
        <v>1556.47887323944</v>
      </c>
      <c r="AI103" s="47" t="n">
        <f aca="false">D103*INDEX(Régions!$AF$2:$AF$6,MATCH($B103,Régions!$A$2:$A$6,0))</f>
        <v>9004.55696202532</v>
      </c>
      <c r="AJ103" s="47" t="n">
        <f aca="false">E103*INDEX(Régions!$AG$2:$AG$6,MATCH($B103,Régions!$A$2:$A$6,0))</f>
        <v>5850.35765379113</v>
      </c>
      <c r="AK103" s="47" t="n">
        <f aca="false">F103*INDEX(Régions!$AH$2:$AH$6,MATCH($B103,Régions!$A$2:$A$6,0))</f>
        <v>4045.52059925094</v>
      </c>
      <c r="AL103" s="47" t="n">
        <f aca="false">G103*INDEX(Régions!$AI$2:$AI$6,MATCH($B103,Régions!$A$2:$A$6,0))</f>
        <v>5750.35563592526</v>
      </c>
      <c r="AM103" s="47" t="n">
        <f aca="false">H103*INDEX(Régions!$AJ$2:$AJ$6,MATCH($B103,Régions!$A$2:$A$6,0))</f>
        <v>4366.41711229947</v>
      </c>
      <c r="AN103" s="47" t="n">
        <f aca="false">I103*INDEX(Régions!$AK$2:$AK$6,MATCH($B103,Régions!$A$2:$A$6,0))</f>
        <v>0</v>
      </c>
      <c r="AO103" s="49" t="str">
        <f aca="false">INDEX({"CAQ","PLQ","QS","PQ","PCQ","Autre"},MATCH(MAX(Q103:V103),Q103:V103,0))</f>
        <v>CAQ</v>
      </c>
      <c r="AP103" s="49" t="str">
        <f aca="false">INDEX({"CAQ","PLQ","QS","PQ","PCQ","Autre"},MATCH(MAX(W103:AB103),W103:AB103,0))</f>
        <v>CAQ</v>
      </c>
      <c r="AQ103" s="49" t="str">
        <f aca="false">INDEX({"CAQ","PLQ","QS","PQ","PCQ","Autre"},MATCH(MAX(AC103:AH103),AC103:AH103,0))</f>
        <v>CAQ</v>
      </c>
      <c r="AR103" s="49" t="str">
        <f aca="false">INDEX({"CAQ","PLQ","QS","PQ","PCQ","Autre"},MATCH(MAX(AI103:AN103),AI103:AN103,0))</f>
        <v>CAQ</v>
      </c>
      <c r="AS103" s="50" t="n">
        <f aca="false">(MAX(K103:P103)-LARGE(K103:P103,2))*100</f>
        <v>14.2138086819878</v>
      </c>
      <c r="AT103" s="51" t="str">
        <f aca="false">IF(AS103&lt;5,"Oui","Non")</f>
        <v>Non</v>
      </c>
      <c r="AU103" s="52" t="n">
        <v>1.483</v>
      </c>
      <c r="AV103" s="52" t="n">
        <v>-2.617</v>
      </c>
      <c r="AW103" s="52" t="n">
        <v>6.574</v>
      </c>
      <c r="AX103" s="52" t="n">
        <v>-2.864</v>
      </c>
    </row>
    <row r="104" customFormat="false" ht="15" hidden="false" customHeight="true" outlineLevel="0" collapsed="false">
      <c r="A104" s="35" t="s">
        <v>175</v>
      </c>
      <c r="B104" s="35" t="s">
        <v>73</v>
      </c>
      <c r="C104" s="36" t="s">
        <v>4</v>
      </c>
      <c r="D104" s="37" t="n">
        <v>5751</v>
      </c>
      <c r="E104" s="37" t="n">
        <v>11728</v>
      </c>
      <c r="F104" s="37" t="n">
        <v>8992</v>
      </c>
      <c r="G104" s="37" t="n">
        <v>2683</v>
      </c>
      <c r="H104" s="37" t="n">
        <v>2063</v>
      </c>
      <c r="I104" s="37" t="n">
        <v>1223</v>
      </c>
      <c r="J104" s="38" t="n">
        <f aca="false">SUM(D104:I104)</f>
        <v>32440</v>
      </c>
      <c r="K104" s="39" t="n">
        <f aca="false">IFERROR(D104/J104,0)</f>
        <v>0.177281134401973</v>
      </c>
      <c r="L104" s="39" t="n">
        <f aca="false">IFERROR(E104/J104,0)</f>
        <v>0.361528976572133</v>
      </c>
      <c r="M104" s="39" t="n">
        <f aca="false">IFERROR(F104/J104,0)</f>
        <v>0.277188655980271</v>
      </c>
      <c r="N104" s="39" t="n">
        <f aca="false">IFERROR(G104/J104,0)</f>
        <v>0.0827065351418003</v>
      </c>
      <c r="O104" s="39" t="n">
        <f aca="false">IFERROR(H104/J104,0)</f>
        <v>0.0635943279901356</v>
      </c>
      <c r="P104" s="39" t="n">
        <f aca="false">IFERROR(I104/J104,0)</f>
        <v>0.0377003699136868</v>
      </c>
      <c r="Q104" s="38" t="n">
        <f aca="false">D104*INDEX(Régions!$T$2:$T$6,MATCH($B104,Régions!$A$2:$A$6,0))</f>
        <v>4311.09445277361</v>
      </c>
      <c r="R104" s="38" t="n">
        <f aca="false">E104*INDEX(Régions!$U$2:$U$6,MATCH($B104,Régions!$A$2:$A$6,0))</f>
        <v>11707.339988256</v>
      </c>
      <c r="S104" s="38" t="n">
        <f aca="false">F104*INDEX(Régions!$V$2:$V$6,MATCH($B104,Régions!$A$2:$A$6,0))</f>
        <v>6901.30925507901</v>
      </c>
      <c r="T104" s="38" t="n">
        <f aca="false">G104*INDEX(Régions!$W$2:$W$6,MATCH($B104,Régions!$A$2:$A$6,0))</f>
        <v>6034.8641049672</v>
      </c>
      <c r="U104" s="38" t="n">
        <f aca="false">H104*INDEX(Régions!$X$2:$X$6,MATCH($B104,Régions!$A$2:$A$6,0))</f>
        <v>1655.36609829488</v>
      </c>
      <c r="V104" s="38" t="n">
        <f aca="false">I104*INDEX(Régions!$Y$2:$Y$6,MATCH($B104,Régions!$A$2:$A$6,0))</f>
        <v>781.4696485623</v>
      </c>
      <c r="W104" s="38" t="n">
        <f aca="false">Q104+(AU104/100)*J104*Régions!$O$2</f>
        <v>3814.76245277361</v>
      </c>
      <c r="X104" s="38" t="n">
        <f aca="false">R104+(AV104/100)*J104*Régions!$O$2</f>
        <v>12771.534188256</v>
      </c>
      <c r="Y104" s="38" t="n">
        <f aca="false">S104+(AW104/100)*J104*Régions!$O$2</f>
        <v>7456.19545507901</v>
      </c>
      <c r="Z104" s="38" t="n">
        <f aca="false">T104+(AX104/100)*J104*Régions!$O$2</f>
        <v>5717.7631049672</v>
      </c>
      <c r="AA104" s="38" t="n">
        <f aca="false">U104</f>
        <v>1655.36609829488</v>
      </c>
      <c r="AB104" s="38" t="n">
        <f aca="false">V104</f>
        <v>781.4696485623</v>
      </c>
      <c r="AC104" s="38" t="n">
        <f aca="false">D104*INDEX(Régions!$Z$2:$Z$6,MATCH($B104,Régions!$A$2:$A$6,0))</f>
        <v>5259.53523238381</v>
      </c>
      <c r="AD104" s="38" t="n">
        <f aca="false">E104*INDEX(Régions!$AA$2:$AA$6,MATCH($B104,Régions!$A$2:$A$6,0))</f>
        <v>12843.640634175</v>
      </c>
      <c r="AE104" s="38" t="n">
        <f aca="false">F104*INDEX(Régions!$AB$2:$AB$6,MATCH($B104,Régions!$A$2:$A$6,0))</f>
        <v>8240.97516930023</v>
      </c>
      <c r="AF104" s="38" t="n">
        <f aca="false">G104*INDEX(Régions!$AC$2:$AC$6,MATCH($B104,Régions!$A$2:$A$6,0))</f>
        <v>6864.65791940019</v>
      </c>
      <c r="AG104" s="38" t="n">
        <f aca="false">H104*INDEX(Régions!$AD$2:$AD$6,MATCH($B104,Régions!$A$2:$A$6,0))</f>
        <v>2338.20461384152</v>
      </c>
      <c r="AH104" s="38" t="n">
        <f aca="false">I104*INDEX(Régions!$AE$2:$AE$6,MATCH($B104,Régions!$A$2:$A$6,0))</f>
        <v>2070.8945686901</v>
      </c>
      <c r="AI104" s="38" t="n">
        <f aca="false">D104*INDEX(Régions!$AF$2:$AF$6,MATCH($B104,Régions!$A$2:$A$6,0))</f>
        <v>3362.65367316342</v>
      </c>
      <c r="AJ104" s="38" t="n">
        <f aca="false">E104*INDEX(Régions!$AG$2:$AG$6,MATCH($B104,Régions!$A$2:$A$6,0))</f>
        <v>10571.0393423371</v>
      </c>
      <c r="AK104" s="38" t="n">
        <f aca="false">F104*INDEX(Régions!$AH$2:$AH$6,MATCH($B104,Régions!$A$2:$A$6,0))</f>
        <v>5561.64334085779</v>
      </c>
      <c r="AL104" s="38" t="n">
        <f aca="false">G104*INDEX(Régions!$AI$2:$AI$6,MATCH($B104,Régions!$A$2:$A$6,0))</f>
        <v>5205.07029053421</v>
      </c>
      <c r="AM104" s="38" t="n">
        <f aca="false">H104*INDEX(Régions!$AJ$2:$AJ$6,MATCH($B104,Régions!$A$2:$A$6,0))</f>
        <v>972.527582748245</v>
      </c>
      <c r="AN104" s="38" t="n">
        <f aca="false">I104*INDEX(Régions!$AK$2:$AK$6,MATCH($B104,Régions!$A$2:$A$6,0))</f>
        <v>0</v>
      </c>
      <c r="AO104" s="40" t="str">
        <f aca="false">INDEX({"CAQ","PLQ","QS","PQ","PCQ","Autre"},MATCH(MAX(Q104:V104),Q104:V104,0))</f>
        <v>PLQ</v>
      </c>
      <c r="AP104" s="40" t="str">
        <f aca="false">INDEX({"CAQ","PLQ","QS","PQ","PCQ","Autre"},MATCH(MAX(W104:AB104),W104:AB104,0))</f>
        <v>PLQ</v>
      </c>
      <c r="AQ104" s="40" t="str">
        <f aca="false">INDEX({"CAQ","PLQ","QS","PQ","PCQ","Autre"},MATCH(MAX(AC104:AH104),AC104:AH104,0))</f>
        <v>PLQ</v>
      </c>
      <c r="AR104" s="40" t="str">
        <f aca="false">INDEX({"CAQ","PLQ","QS","PQ","PCQ","Autre"},MATCH(MAX(AI104:AN104),AI104:AN104,0))</f>
        <v>PLQ</v>
      </c>
      <c r="AS104" s="41" t="n">
        <f aca="false">(MAX(K104:P104)-LARGE(K104:P104,2))*100</f>
        <v>8.43403205918619</v>
      </c>
      <c r="AT104" s="42" t="str">
        <f aca="false">IF(AS104&lt;5,"Oui","Non")</f>
        <v>Non</v>
      </c>
      <c r="AU104" s="43" t="n">
        <v>-3.06</v>
      </c>
      <c r="AV104" s="43" t="n">
        <v>6.561</v>
      </c>
      <c r="AW104" s="43" t="n">
        <v>3.421</v>
      </c>
      <c r="AX104" s="43" t="n">
        <v>-1.955</v>
      </c>
    </row>
    <row r="105" customFormat="false" ht="15" hidden="false" customHeight="true" outlineLevel="0" collapsed="false">
      <c r="A105" s="44" t="s">
        <v>176</v>
      </c>
      <c r="B105" s="44" t="s">
        <v>70</v>
      </c>
      <c r="C105" s="45" t="s">
        <v>3</v>
      </c>
      <c r="D105" s="46" t="n">
        <v>22487</v>
      </c>
      <c r="E105" s="46" t="n">
        <v>1705</v>
      </c>
      <c r="F105" s="46" t="n">
        <v>5636</v>
      </c>
      <c r="G105" s="46" t="n">
        <v>6900</v>
      </c>
      <c r="H105" s="46" t="n">
        <v>4066</v>
      </c>
      <c r="I105" s="46" t="n">
        <v>527</v>
      </c>
      <c r="J105" s="47" t="n">
        <f aca="false">SUM(D105:I105)</f>
        <v>41321</v>
      </c>
      <c r="K105" s="48" t="n">
        <f aca="false">IFERROR(D105/J105,0)</f>
        <v>0.54420270564604</v>
      </c>
      <c r="L105" s="48" t="n">
        <f aca="false">IFERROR(E105/J105,0)</f>
        <v>0.0412623121415261</v>
      </c>
      <c r="M105" s="48" t="n">
        <f aca="false">IFERROR(F105/J105,0)</f>
        <v>0.136395537378089</v>
      </c>
      <c r="N105" s="48" t="n">
        <f aca="false">IFERROR(G105/J105,0)</f>
        <v>0.166985310132862</v>
      </c>
      <c r="O105" s="48" t="n">
        <f aca="false">IFERROR(H105/J105,0)</f>
        <v>0.0984003291304664</v>
      </c>
      <c r="P105" s="48" t="n">
        <f aca="false">IFERROR(I105/J105,0)</f>
        <v>0.0127538055710172</v>
      </c>
      <c r="Q105" s="47" t="n">
        <f aca="false">D105*INDEX(Régions!$T$2:$T$6,MATCH($B105,Régions!$A$2:$A$6,0))</f>
        <v>13283.4599156118</v>
      </c>
      <c r="R105" s="47" t="n">
        <f aca="false">E105*INDEX(Régions!$U$2:$U$6,MATCH($B105,Régions!$A$2:$A$6,0))</f>
        <v>3902.71816881259</v>
      </c>
      <c r="S105" s="47" t="n">
        <f aca="false">F105*INDEX(Régions!$V$2:$V$6,MATCH($B105,Régions!$A$2:$A$6,0))</f>
        <v>3377.37827715356</v>
      </c>
      <c r="T105" s="47" t="n">
        <f aca="false">G105*INDEX(Régions!$W$2:$W$6,MATCH($B105,Régions!$A$2:$A$6,0))</f>
        <v>12061.4828209765</v>
      </c>
      <c r="U105" s="47" t="n">
        <f aca="false">H105*INDEX(Régions!$X$2:$X$6,MATCH($B105,Régions!$A$2:$A$6,0))</f>
        <v>4620.45454545455</v>
      </c>
      <c r="V105" s="47" t="n">
        <f aca="false">I105*INDEX(Régions!$Y$2:$Y$6,MATCH($B105,Régions!$A$2:$A$6,0))</f>
        <v>742.253521126761</v>
      </c>
      <c r="W105" s="47" t="n">
        <f aca="false">Q105+(AU105/100)*J105*Régions!$O$2</f>
        <v>12499.6005456118</v>
      </c>
      <c r="X105" s="47" t="n">
        <f aca="false">R105+(AV105/100)*J105*Régions!$O$2</f>
        <v>4481.21216881259</v>
      </c>
      <c r="Y105" s="47" t="n">
        <f aca="false">S105+(AW105/100)*J105*Régions!$O$2</f>
        <v>2956.11068215356</v>
      </c>
      <c r="Z105" s="47" t="n">
        <f aca="false">T105+(AX105/100)*J105*Régions!$O$2</f>
        <v>13079.4256559765</v>
      </c>
      <c r="AA105" s="47" t="n">
        <f aca="false">U105</f>
        <v>4620.45454545455</v>
      </c>
      <c r="AB105" s="47" t="n">
        <f aca="false">V105</f>
        <v>742.253521126761</v>
      </c>
      <c r="AC105" s="47" t="n">
        <f aca="false">D105*INDEX(Régions!$Z$2:$Z$6,MATCH($B105,Régions!$A$2:$A$6,0))</f>
        <v>14849.0105485232</v>
      </c>
      <c r="AD105" s="47" t="n">
        <f aca="false">E105*INDEX(Régions!$AA$2:$AA$6,MATCH($B105,Régions!$A$2:$A$6,0))</f>
        <v>4707.65379113019</v>
      </c>
      <c r="AE105" s="47" t="n">
        <f aca="false">F105*INDEX(Régions!$AB$2:$AB$6,MATCH($B105,Régions!$A$2:$A$6,0))</f>
        <v>4770.5468164794</v>
      </c>
      <c r="AF105" s="47" t="n">
        <f aca="false">G105*INDEX(Régions!$AC$2:$AC$6,MATCH($B105,Régions!$A$2:$A$6,0))</f>
        <v>13433.9963833635</v>
      </c>
      <c r="AG105" s="47" t="n">
        <f aca="false">H105*INDEX(Régions!$AD$2:$AD$6,MATCH($B105,Régions!$A$2:$A$6,0))</f>
        <v>5517.36631016043</v>
      </c>
      <c r="AH105" s="47" t="n">
        <f aca="false">I105*INDEX(Régions!$AE$2:$AE$6,MATCH($B105,Régions!$A$2:$A$6,0))</f>
        <v>3191.69014084507</v>
      </c>
      <c r="AI105" s="47" t="n">
        <f aca="false">D105*INDEX(Régions!$AF$2:$AF$6,MATCH($B105,Régions!$A$2:$A$6,0))</f>
        <v>11717.9092827004</v>
      </c>
      <c r="AJ105" s="47" t="n">
        <f aca="false">E105*INDEX(Régions!$AG$2:$AG$6,MATCH($B105,Régions!$A$2:$A$6,0))</f>
        <v>3097.78254649499</v>
      </c>
      <c r="AK105" s="47" t="n">
        <f aca="false">F105*INDEX(Régions!$AH$2:$AH$6,MATCH($B105,Régions!$A$2:$A$6,0))</f>
        <v>1984.20973782772</v>
      </c>
      <c r="AL105" s="47" t="n">
        <f aca="false">G105*INDEX(Régions!$AI$2:$AI$6,MATCH($B105,Régions!$A$2:$A$6,0))</f>
        <v>10688.9692585895</v>
      </c>
      <c r="AM105" s="47" t="n">
        <f aca="false">H105*INDEX(Régions!$AJ$2:$AJ$6,MATCH($B105,Régions!$A$2:$A$6,0))</f>
        <v>3723.54278074866</v>
      </c>
      <c r="AN105" s="47" t="n">
        <f aca="false">I105*INDEX(Régions!$AK$2:$AK$6,MATCH($B105,Régions!$A$2:$A$6,0))</f>
        <v>0</v>
      </c>
      <c r="AO105" s="49" t="str">
        <f aca="false">INDEX({"CAQ","PLQ","QS","PQ","PCQ","Autre"},MATCH(MAX(Q105:V105),Q105:V105,0))</f>
        <v>CAQ</v>
      </c>
      <c r="AP105" s="49" t="str">
        <f aca="false">INDEX({"CAQ","PLQ","QS","PQ","PCQ","Autre"},MATCH(MAX(W105:AB105),W105:AB105,0))</f>
        <v>PQ</v>
      </c>
      <c r="AQ105" s="49" t="str">
        <f aca="false">INDEX({"CAQ","PLQ","QS","PQ","PCQ","Autre"},MATCH(MAX(AC105:AH105),AC105:AH105,0))</f>
        <v>CAQ</v>
      </c>
      <c r="AR105" s="49" t="str">
        <f aca="false">INDEX({"CAQ","PLQ","QS","PQ","PCQ","Autre"},MATCH(MAX(AI105:AN105),AI105:AN105,0))</f>
        <v>CAQ</v>
      </c>
      <c r="AS105" s="50" t="n">
        <f aca="false">(MAX(K105:P105)-LARGE(K105:P105,2))*100</f>
        <v>37.7217395513177</v>
      </c>
      <c r="AT105" s="51" t="str">
        <f aca="false">IF(AS105&lt;5,"Oui","Non")</f>
        <v>Non</v>
      </c>
      <c r="AU105" s="52" t="n">
        <v>-3.794</v>
      </c>
      <c r="AV105" s="52" t="n">
        <v>2.8</v>
      </c>
      <c r="AW105" s="52" t="n">
        <v>-2.039</v>
      </c>
      <c r="AX105" s="52" t="n">
        <v>4.927</v>
      </c>
    </row>
    <row r="106" customFormat="false" ht="15" hidden="false" customHeight="true" outlineLevel="0" collapsed="false">
      <c r="A106" s="35" t="s">
        <v>177</v>
      </c>
      <c r="B106" s="35" t="s">
        <v>80</v>
      </c>
      <c r="C106" s="36" t="s">
        <v>3</v>
      </c>
      <c r="D106" s="37" t="n">
        <v>21734</v>
      </c>
      <c r="E106" s="37" t="n">
        <v>2565</v>
      </c>
      <c r="F106" s="37" t="n">
        <v>6334</v>
      </c>
      <c r="G106" s="37" t="n">
        <v>8248</v>
      </c>
      <c r="H106" s="37" t="n">
        <v>3603</v>
      </c>
      <c r="I106" s="37" t="n">
        <v>423</v>
      </c>
      <c r="J106" s="38" t="n">
        <f aca="false">SUM(D106:I106)</f>
        <v>42907</v>
      </c>
      <c r="K106" s="39" t="n">
        <f aca="false">IFERROR(D106/J106,0)</f>
        <v>0.50653739483068</v>
      </c>
      <c r="L106" s="39" t="n">
        <f aca="false">IFERROR(E106/J106,0)</f>
        <v>0.0597804554035472</v>
      </c>
      <c r="M106" s="39" t="n">
        <f aca="false">IFERROR(F106/J106,0)</f>
        <v>0.147621600205095</v>
      </c>
      <c r="N106" s="39" t="n">
        <f aca="false">IFERROR(G106/J106,0)</f>
        <v>0.19222970610856</v>
      </c>
      <c r="O106" s="39" t="n">
        <f aca="false">IFERROR(H106/J106,0)</f>
        <v>0.0839723122101289</v>
      </c>
      <c r="P106" s="39" t="n">
        <f aca="false">IFERROR(I106/J106,0)</f>
        <v>0.00985853124198849</v>
      </c>
      <c r="Q106" s="38" t="n">
        <f aca="false">D106*INDEX(Régions!$T$2:$T$6,MATCH($B106,Régions!$A$2:$A$6,0))</f>
        <v>15363.1102275237</v>
      </c>
      <c r="R106" s="38" t="n">
        <f aca="false">E106*INDEX(Régions!$U$2:$U$6,MATCH($B106,Régions!$A$2:$A$6,0))</f>
        <v>3276.79205110007</v>
      </c>
      <c r="S106" s="38" t="n">
        <f aca="false">F106*INDEX(Régions!$V$2:$V$6,MATCH($B106,Régions!$A$2:$A$6,0))</f>
        <v>3194.38040345821</v>
      </c>
      <c r="T106" s="38" t="n">
        <f aca="false">G106*INDEX(Régions!$W$2:$W$6,MATCH($B106,Régions!$A$2:$A$6,0))</f>
        <v>16236.2204724409</v>
      </c>
      <c r="U106" s="38" t="n">
        <f aca="false">H106*INDEX(Régions!$X$2:$X$6,MATCH($B106,Régions!$A$2:$A$6,0))</f>
        <v>4205.83657587549</v>
      </c>
      <c r="V106" s="38" t="n">
        <f aca="false">I106*INDEX(Régions!$Y$2:$Y$6,MATCH($B106,Régions!$A$2:$A$6,0))</f>
        <v>341.129032258065</v>
      </c>
      <c r="W106" s="38" t="n">
        <f aca="false">Q106+(AU106/100)*J106*Régions!$O$2</f>
        <v>17075.5285975237</v>
      </c>
      <c r="X106" s="38" t="n">
        <f aca="false">R106+(AV106/100)*J106*Régions!$O$2</f>
        <v>3541.09917110007</v>
      </c>
      <c r="Y106" s="38" t="n">
        <f aca="false">S106+(AW106/100)*J106*Régions!$O$2</f>
        <v>3414.49331345821</v>
      </c>
      <c r="Z106" s="38" t="n">
        <f aca="false">T106+(AX106/100)*J106*Régions!$O$2</f>
        <v>14359.8973624409</v>
      </c>
      <c r="AA106" s="38" t="n">
        <f aca="false">U106</f>
        <v>4205.83657587549</v>
      </c>
      <c r="AB106" s="38" t="n">
        <f aca="false">V106</f>
        <v>341.129032258065</v>
      </c>
      <c r="AC106" s="38" t="n">
        <f aca="false">D106*INDEX(Régions!$Z$2:$Z$6,MATCH($B106,Régions!$A$2:$A$6,0))</f>
        <v>16947.4309697371</v>
      </c>
      <c r="AD106" s="38" t="n">
        <f aca="false">E106*INDEX(Régions!$AA$2:$AA$6,MATCH($B106,Régions!$A$2:$A$6,0))</f>
        <v>3877.53726046842</v>
      </c>
      <c r="AE106" s="38" t="n">
        <f aca="false">F106*INDEX(Régions!$AB$2:$AB$6,MATCH($B106,Régions!$A$2:$A$6,0))</f>
        <v>4700.30259365994</v>
      </c>
      <c r="AF106" s="38" t="n">
        <f aca="false">G106*INDEX(Régions!$AC$2:$AC$6,MATCH($B106,Régions!$A$2:$A$6,0))</f>
        <v>18022.2047244094</v>
      </c>
      <c r="AG106" s="38" t="n">
        <f aca="false">H106*INDEX(Régions!$AD$2:$AD$6,MATCH($B106,Régions!$A$2:$A$6,0))</f>
        <v>5362.44163424125</v>
      </c>
      <c r="AH106" s="38" t="n">
        <f aca="false">I106*INDEX(Régions!$AE$2:$AE$6,MATCH($B106,Régions!$A$2:$A$6,0))</f>
        <v>1466.85483870968</v>
      </c>
      <c r="AI106" s="38" t="n">
        <f aca="false">D106*INDEX(Régions!$AF$2:$AF$6,MATCH($B106,Régions!$A$2:$A$6,0))</f>
        <v>13778.7894853104</v>
      </c>
      <c r="AJ106" s="38" t="n">
        <f aca="false">E106*INDEX(Régions!$AG$2:$AG$6,MATCH($B106,Régions!$A$2:$A$6,0))</f>
        <v>2676.04684173172</v>
      </c>
      <c r="AK106" s="38" t="n">
        <f aca="false">F106*INDEX(Régions!$AH$2:$AH$6,MATCH($B106,Régions!$A$2:$A$6,0))</f>
        <v>1688.45821325648</v>
      </c>
      <c r="AL106" s="38" t="n">
        <f aca="false">G106*INDEX(Régions!$AI$2:$AI$6,MATCH($B106,Régions!$A$2:$A$6,0))</f>
        <v>14450.2362204724</v>
      </c>
      <c r="AM106" s="38" t="n">
        <f aca="false">H106*INDEX(Régions!$AJ$2:$AJ$6,MATCH($B106,Régions!$A$2:$A$6,0))</f>
        <v>3049.23151750973</v>
      </c>
      <c r="AN106" s="38" t="n">
        <f aca="false">I106*INDEX(Régions!$AK$2:$AK$6,MATCH($B106,Régions!$A$2:$A$6,0))</f>
        <v>0</v>
      </c>
      <c r="AO106" s="40" t="str">
        <f aca="false">INDEX({"CAQ","PLQ","QS","PQ","PCQ","Autre"},MATCH(MAX(Q106:V106),Q106:V106,0))</f>
        <v>PQ</v>
      </c>
      <c r="AP106" s="40" t="str">
        <f aca="false">INDEX({"CAQ","PLQ","QS","PQ","PCQ","Autre"},MATCH(MAX(W106:AB106),W106:AB106,0))</f>
        <v>CAQ</v>
      </c>
      <c r="AQ106" s="40" t="str">
        <f aca="false">INDEX({"CAQ","PLQ","QS","PQ","PCQ","Autre"},MATCH(MAX(AC106:AH106),AC106:AH106,0))</f>
        <v>PQ</v>
      </c>
      <c r="AR106" s="40" t="str">
        <f aca="false">INDEX({"CAQ","PLQ","QS","PQ","PCQ","Autre"},MATCH(MAX(AI106:AN106),AI106:AN106,0))</f>
        <v>PQ</v>
      </c>
      <c r="AS106" s="41" t="n">
        <f aca="false">(MAX(K106:P106)-LARGE(K106:P106,2))*100</f>
        <v>31.430768872212</v>
      </c>
      <c r="AT106" s="42" t="str">
        <f aca="false">IF(AS106&lt;5,"Oui","Non")</f>
        <v>Non</v>
      </c>
      <c r="AU106" s="43" t="n">
        <v>7.982</v>
      </c>
      <c r="AV106" s="43" t="n">
        <v>1.232</v>
      </c>
      <c r="AW106" s="43" t="n">
        <v>1.026</v>
      </c>
      <c r="AX106" s="43" t="n">
        <v>-8.746</v>
      </c>
    </row>
    <row r="107" customFormat="false" ht="15" hidden="false" customHeight="true" outlineLevel="0" collapsed="false">
      <c r="A107" s="44" t="s">
        <v>178</v>
      </c>
      <c r="B107" s="44" t="s">
        <v>70</v>
      </c>
      <c r="C107" s="45" t="s">
        <v>3</v>
      </c>
      <c r="D107" s="46" t="n">
        <v>20527</v>
      </c>
      <c r="E107" s="46" t="n">
        <v>1858</v>
      </c>
      <c r="F107" s="46" t="n">
        <v>6411</v>
      </c>
      <c r="G107" s="46" t="n">
        <v>7727</v>
      </c>
      <c r="H107" s="46" t="n">
        <v>3998</v>
      </c>
      <c r="I107" s="46" t="n">
        <v>517</v>
      </c>
      <c r="J107" s="47" t="n">
        <f aca="false">SUM(D107:I107)</f>
        <v>41038</v>
      </c>
      <c r="K107" s="48" t="n">
        <f aca="false">IFERROR(D107/J107,0)</f>
        <v>0.500194941273941</v>
      </c>
      <c r="L107" s="48" t="n">
        <f aca="false">IFERROR(E107/J107,0)</f>
        <v>0.0452751108728496</v>
      </c>
      <c r="M107" s="48" t="n">
        <f aca="false">IFERROR(F107/J107,0)</f>
        <v>0.156221063404649</v>
      </c>
      <c r="N107" s="48" t="n">
        <f aca="false">IFERROR(G107/J107,0)</f>
        <v>0.188288902967981</v>
      </c>
      <c r="O107" s="48" t="n">
        <f aca="false">IFERROR(H107/J107,0)</f>
        <v>0.0974219016521273</v>
      </c>
      <c r="P107" s="48" t="n">
        <f aca="false">IFERROR(I107/J107,0)</f>
        <v>0.0125980798284517</v>
      </c>
      <c r="Q107" s="47" t="n">
        <f aca="false">D107*INDEX(Régions!$T$2:$T$6,MATCH($B107,Régions!$A$2:$A$6,0))</f>
        <v>12125.6540084388</v>
      </c>
      <c r="R107" s="47" t="n">
        <f aca="false">E107*INDEX(Régions!$U$2:$U$6,MATCH($B107,Régions!$A$2:$A$6,0))</f>
        <v>4252.93276108727</v>
      </c>
      <c r="S107" s="47" t="n">
        <f aca="false">F107*INDEX(Régions!$V$2:$V$6,MATCH($B107,Régions!$A$2:$A$6,0))</f>
        <v>3841.79775280899</v>
      </c>
      <c r="T107" s="47" t="n">
        <f aca="false">G107*INDEX(Régions!$W$2:$W$6,MATCH($B107,Régions!$A$2:$A$6,0))</f>
        <v>13507.1127185051</v>
      </c>
      <c r="U107" s="47" t="n">
        <f aca="false">H107*INDEX(Régions!$X$2:$X$6,MATCH($B107,Régions!$A$2:$A$6,0))</f>
        <v>4543.18181818182</v>
      </c>
      <c r="V107" s="47" t="n">
        <f aca="false">I107*INDEX(Régions!$Y$2:$Y$6,MATCH($B107,Régions!$A$2:$A$6,0))</f>
        <v>728.169014084507</v>
      </c>
      <c r="W107" s="47" t="n">
        <f aca="false">Q107+(AU107/100)*J107*Régions!$O$2</f>
        <v>12139.4017384388</v>
      </c>
      <c r="X107" s="47" t="n">
        <f aca="false">R107+(AV107/100)*J107*Régions!$O$2</f>
        <v>5962.78103108727</v>
      </c>
      <c r="Y107" s="47" t="n">
        <f aca="false">S107+(AW107/100)*J107*Régions!$O$2</f>
        <v>4008.61722280899</v>
      </c>
      <c r="Z107" s="47" t="n">
        <f aca="false">T107+(AX107/100)*J107*Régions!$O$2</f>
        <v>12607.5597585051</v>
      </c>
      <c r="AA107" s="47" t="n">
        <f aca="false">U107</f>
        <v>4543.18181818182</v>
      </c>
      <c r="AB107" s="47" t="n">
        <f aca="false">V107</f>
        <v>728.169014084507</v>
      </c>
      <c r="AC107" s="47" t="n">
        <f aca="false">D107*INDEX(Régions!$Z$2:$Z$6,MATCH($B107,Régions!$A$2:$A$6,0))</f>
        <v>13554.7489451477</v>
      </c>
      <c r="AD107" s="47" t="n">
        <f aca="false">E107*INDEX(Régions!$AA$2:$AA$6,MATCH($B107,Régions!$A$2:$A$6,0))</f>
        <v>5130.10014306152</v>
      </c>
      <c r="AE107" s="47" t="n">
        <f aca="false">F107*INDEX(Régions!$AB$2:$AB$6,MATCH($B107,Régions!$A$2:$A$6,0))</f>
        <v>5426.5393258427</v>
      </c>
      <c r="AF107" s="47" t="n">
        <f aca="false">G107*INDEX(Régions!$AC$2:$AC$6,MATCH($B107,Régions!$A$2:$A$6,0))</f>
        <v>15044.1289933695</v>
      </c>
      <c r="AG107" s="47" t="n">
        <f aca="false">H107*INDEX(Régions!$AD$2:$AD$6,MATCH($B107,Régions!$A$2:$A$6,0))</f>
        <v>5425.0935828877</v>
      </c>
      <c r="AH107" s="47" t="n">
        <f aca="false">I107*INDEX(Régions!$AE$2:$AE$6,MATCH($B107,Régions!$A$2:$A$6,0))</f>
        <v>3131.12676056338</v>
      </c>
      <c r="AI107" s="47" t="n">
        <f aca="false">D107*INDEX(Régions!$AF$2:$AF$6,MATCH($B107,Régions!$A$2:$A$6,0))</f>
        <v>10696.55907173</v>
      </c>
      <c r="AJ107" s="47" t="n">
        <f aca="false">E107*INDEX(Régions!$AG$2:$AG$6,MATCH($B107,Régions!$A$2:$A$6,0))</f>
        <v>3375.76537911302</v>
      </c>
      <c r="AK107" s="47" t="n">
        <f aca="false">F107*INDEX(Régions!$AH$2:$AH$6,MATCH($B107,Régions!$A$2:$A$6,0))</f>
        <v>2257.05617977528</v>
      </c>
      <c r="AL107" s="47" t="n">
        <f aca="false">G107*INDEX(Régions!$AI$2:$AI$6,MATCH($B107,Régions!$A$2:$A$6,0))</f>
        <v>11970.0964436407</v>
      </c>
      <c r="AM107" s="47" t="n">
        <f aca="false">H107*INDEX(Régions!$AJ$2:$AJ$6,MATCH($B107,Régions!$A$2:$A$6,0))</f>
        <v>3661.27005347594</v>
      </c>
      <c r="AN107" s="47" t="n">
        <f aca="false">I107*INDEX(Régions!$AK$2:$AK$6,MATCH($B107,Régions!$A$2:$A$6,0))</f>
        <v>0</v>
      </c>
      <c r="AO107" s="49" t="str">
        <f aca="false">INDEX({"CAQ","PLQ","QS","PQ","PCQ","Autre"},MATCH(MAX(Q107:V107),Q107:V107,0))</f>
        <v>PQ</v>
      </c>
      <c r="AP107" s="49" t="str">
        <f aca="false">INDEX({"CAQ","PLQ","QS","PQ","PCQ","Autre"},MATCH(MAX(W107:AB107),W107:AB107,0))</f>
        <v>PQ</v>
      </c>
      <c r="AQ107" s="49" t="str">
        <f aca="false">INDEX({"CAQ","PLQ","QS","PQ","PCQ","Autre"},MATCH(MAX(AC107:AH107),AC107:AH107,0))</f>
        <v>PQ</v>
      </c>
      <c r="AR107" s="49" t="str">
        <f aca="false">INDEX({"CAQ","PLQ","QS","PQ","PCQ","Autre"},MATCH(MAX(AI107:AN107),AI107:AN107,0))</f>
        <v>PQ</v>
      </c>
      <c r="AS107" s="50" t="n">
        <f aca="false">(MAX(K107:P107)-LARGE(K107:P107,2))*100</f>
        <v>31.190603830596</v>
      </c>
      <c r="AT107" s="51" t="str">
        <f aca="false">IF(AS107&lt;5,"Oui","Non")</f>
        <v>Non</v>
      </c>
      <c r="AU107" s="52" t="n">
        <v>0.067</v>
      </c>
      <c r="AV107" s="52" t="n">
        <v>8.333</v>
      </c>
      <c r="AW107" s="52" t="n">
        <v>0.813</v>
      </c>
      <c r="AX107" s="52" t="n">
        <v>-4.384</v>
      </c>
    </row>
    <row r="108" customFormat="false" ht="15" hidden="false" customHeight="true" outlineLevel="0" collapsed="false">
      <c r="A108" s="35" t="s">
        <v>179</v>
      </c>
      <c r="B108" s="35" t="s">
        <v>73</v>
      </c>
      <c r="C108" s="36" t="s">
        <v>4</v>
      </c>
      <c r="D108" s="37" t="n">
        <v>4091</v>
      </c>
      <c r="E108" s="37" t="n">
        <v>14304</v>
      </c>
      <c r="F108" s="37" t="n">
        <v>2840</v>
      </c>
      <c r="G108" s="37" t="n">
        <v>1696</v>
      </c>
      <c r="H108" s="37" t="n">
        <v>4506</v>
      </c>
      <c r="I108" s="37" t="n">
        <v>1191</v>
      </c>
      <c r="J108" s="38" t="n">
        <f aca="false">SUM(D108:I108)</f>
        <v>28628</v>
      </c>
      <c r="K108" s="39" t="n">
        <f aca="false">IFERROR(D108/J108,0)</f>
        <v>0.142902053933212</v>
      </c>
      <c r="L108" s="39" t="n">
        <f aca="false">IFERROR(E108/J108,0)</f>
        <v>0.499650691630571</v>
      </c>
      <c r="M108" s="39" t="n">
        <f aca="false">IFERROR(F108/J108,0)</f>
        <v>0.0992035769177029</v>
      </c>
      <c r="N108" s="39" t="n">
        <f aca="false">IFERROR(G108/J108,0)</f>
        <v>0.0592426994550789</v>
      </c>
      <c r="O108" s="39" t="n">
        <f aca="false">IFERROR(H108/J108,0)</f>
        <v>0.157398351264496</v>
      </c>
      <c r="P108" s="39" t="n">
        <f aca="false">IFERROR(I108/J108,0)</f>
        <v>0.0416026267989381</v>
      </c>
      <c r="Q108" s="38" t="n">
        <f aca="false">D108*INDEX(Régions!$T$2:$T$6,MATCH($B108,Régions!$A$2:$A$6,0))</f>
        <v>3066.71664167916</v>
      </c>
      <c r="R108" s="38" t="n">
        <f aca="false">E108*INDEX(Régions!$U$2:$U$6,MATCH($B108,Régions!$A$2:$A$6,0))</f>
        <v>14278.8021139166</v>
      </c>
      <c r="S108" s="38" t="n">
        <f aca="false">F108*INDEX(Régions!$V$2:$V$6,MATCH($B108,Régions!$A$2:$A$6,0))</f>
        <v>2179.68397291196</v>
      </c>
      <c r="T108" s="38" t="n">
        <f aca="false">G108*INDEX(Régions!$W$2:$W$6,MATCH($B108,Régions!$A$2:$A$6,0))</f>
        <v>3814.80787253983</v>
      </c>
      <c r="U108" s="38" t="n">
        <f aca="false">H108*INDEX(Régions!$X$2:$X$6,MATCH($B108,Régions!$A$2:$A$6,0))</f>
        <v>3615.64694082247</v>
      </c>
      <c r="V108" s="38" t="n">
        <f aca="false">I108*INDEX(Régions!$Y$2:$Y$6,MATCH($B108,Régions!$A$2:$A$6,0))</f>
        <v>761.022364217252</v>
      </c>
      <c r="W108" s="38" t="n">
        <f aca="false">Q108+(AU108/100)*J108*Régions!$O$2</f>
        <v>2640.44572167916</v>
      </c>
      <c r="X108" s="38" t="n">
        <f aca="false">R108+(AV108/100)*J108*Régions!$O$2</f>
        <v>13772.9453539166</v>
      </c>
      <c r="Y108" s="38" t="n">
        <f aca="false">S108+(AW108/100)*J108*Régions!$O$2</f>
        <v>2299.49215291196</v>
      </c>
      <c r="Z108" s="38" t="n">
        <f aca="false">T108+(AX108/100)*J108*Régions!$O$2</f>
        <v>3914.57645253983</v>
      </c>
      <c r="AA108" s="38" t="n">
        <f aca="false">U108</f>
        <v>3615.64694082247</v>
      </c>
      <c r="AB108" s="38" t="n">
        <f aca="false">V108</f>
        <v>761.022364217252</v>
      </c>
      <c r="AC108" s="38" t="n">
        <f aca="false">D108*INDEX(Régions!$Z$2:$Z$6,MATCH($B108,Régions!$A$2:$A$6,0))</f>
        <v>3741.39430284858</v>
      </c>
      <c r="AD108" s="38" t="n">
        <f aca="false">E108*INDEX(Régions!$AA$2:$AA$6,MATCH($B108,Régions!$A$2:$A$6,0))</f>
        <v>15664.6858485026</v>
      </c>
      <c r="AE108" s="38" t="n">
        <f aca="false">F108*INDEX(Régions!$AB$2:$AB$6,MATCH($B108,Régions!$A$2:$A$6,0))</f>
        <v>2602.79909706546</v>
      </c>
      <c r="AF108" s="38" t="n">
        <f aca="false">G108*INDEX(Régions!$AC$2:$AC$6,MATCH($B108,Régions!$A$2:$A$6,0))</f>
        <v>4339.34395501406</v>
      </c>
      <c r="AG108" s="38" t="n">
        <f aca="false">H108*INDEX(Régions!$AD$2:$AD$6,MATCH($B108,Régions!$A$2:$A$6,0))</f>
        <v>5107.10130391174</v>
      </c>
      <c r="AH108" s="38" t="n">
        <f aca="false">I108*INDEX(Régions!$AE$2:$AE$6,MATCH($B108,Régions!$A$2:$A$6,0))</f>
        <v>2016.70926517572</v>
      </c>
      <c r="AI108" s="38" t="n">
        <f aca="false">D108*INDEX(Régions!$AF$2:$AF$6,MATCH($B108,Régions!$A$2:$A$6,0))</f>
        <v>2392.03898050975</v>
      </c>
      <c r="AJ108" s="38" t="n">
        <f aca="false">E108*INDEX(Régions!$AG$2:$AG$6,MATCH($B108,Régions!$A$2:$A$6,0))</f>
        <v>12892.9183793306</v>
      </c>
      <c r="AK108" s="38" t="n">
        <f aca="false">F108*INDEX(Régions!$AH$2:$AH$6,MATCH($B108,Régions!$A$2:$A$6,0))</f>
        <v>1756.56884875847</v>
      </c>
      <c r="AL108" s="38" t="n">
        <f aca="false">G108*INDEX(Régions!$AI$2:$AI$6,MATCH($B108,Régions!$A$2:$A$6,0))</f>
        <v>3290.2717900656</v>
      </c>
      <c r="AM108" s="38" t="n">
        <f aca="false">H108*INDEX(Régions!$AJ$2:$AJ$6,MATCH($B108,Régions!$A$2:$A$6,0))</f>
        <v>2124.1925777332</v>
      </c>
      <c r="AN108" s="38" t="n">
        <f aca="false">I108*INDEX(Régions!$AK$2:$AK$6,MATCH($B108,Régions!$A$2:$A$6,0))</f>
        <v>0</v>
      </c>
      <c r="AO108" s="40" t="str">
        <f aca="false">INDEX({"CAQ","PLQ","QS","PQ","PCQ","Autre"},MATCH(MAX(Q108:V108),Q108:V108,0))</f>
        <v>PLQ</v>
      </c>
      <c r="AP108" s="40" t="str">
        <f aca="false">INDEX({"CAQ","PLQ","QS","PQ","PCQ","Autre"},MATCH(MAX(W108:AB108),W108:AB108,0))</f>
        <v>PLQ</v>
      </c>
      <c r="AQ108" s="40" t="str">
        <f aca="false">INDEX({"CAQ","PLQ","QS","PQ","PCQ","Autre"},MATCH(MAX(AC108:AH108),AC108:AH108,0))</f>
        <v>PLQ</v>
      </c>
      <c r="AR108" s="40" t="str">
        <f aca="false">INDEX({"CAQ","PLQ","QS","PQ","PCQ","Autre"},MATCH(MAX(AI108:AN108),AI108:AN108,0))</f>
        <v>PLQ</v>
      </c>
      <c r="AS108" s="41" t="n">
        <f aca="false">(MAX(K108:P108)-LARGE(K108:P108,2))*100</f>
        <v>34.2252340366075</v>
      </c>
      <c r="AT108" s="42" t="str">
        <f aca="false">IF(AS108&lt;5,"Oui","Non")</f>
        <v>Non</v>
      </c>
      <c r="AU108" s="43" t="n">
        <v>-2.978</v>
      </c>
      <c r="AV108" s="43" t="n">
        <v>-3.534</v>
      </c>
      <c r="AW108" s="43" t="n">
        <v>0.837</v>
      </c>
      <c r="AX108" s="43" t="n">
        <v>0.697</v>
      </c>
    </row>
    <row r="109" customFormat="false" ht="15" hidden="false" customHeight="true" outlineLevel="0" collapsed="false">
      <c r="A109" s="44" t="s">
        <v>180</v>
      </c>
      <c r="B109" s="44" t="s">
        <v>73</v>
      </c>
      <c r="C109" s="45" t="s">
        <v>5</v>
      </c>
      <c r="D109" s="46" t="n">
        <v>3268</v>
      </c>
      <c r="E109" s="46" t="n">
        <v>3621</v>
      </c>
      <c r="F109" s="46" t="n">
        <v>10892</v>
      </c>
      <c r="G109" s="46" t="n">
        <v>3362</v>
      </c>
      <c r="H109" s="46" t="n">
        <v>1138</v>
      </c>
      <c r="I109" s="46" t="n">
        <v>560</v>
      </c>
      <c r="J109" s="47" t="n">
        <f aca="false">SUM(D109:I109)</f>
        <v>22841</v>
      </c>
      <c r="K109" s="48" t="n">
        <f aca="false">IFERROR(D109/J109,0)</f>
        <v>0.143076047458518</v>
      </c>
      <c r="L109" s="48" t="n">
        <f aca="false">IFERROR(E109/J109,0)</f>
        <v>0.158530712315573</v>
      </c>
      <c r="M109" s="48" t="n">
        <f aca="false">IFERROR(F109/J109,0)</f>
        <v>0.476861783634692</v>
      </c>
      <c r="N109" s="48" t="n">
        <f aca="false">IFERROR(G109/J109,0)</f>
        <v>0.147191453964362</v>
      </c>
      <c r="O109" s="48" t="n">
        <f aca="false">IFERROR(H109/J109,0)</f>
        <v>0.0498226872728865</v>
      </c>
      <c r="P109" s="48" t="n">
        <f aca="false">IFERROR(I109/J109,0)</f>
        <v>0.0245173153539687</v>
      </c>
      <c r="Q109" s="47" t="n">
        <f aca="false">D109*INDEX(Régions!$T$2:$T$6,MATCH($B109,Régions!$A$2:$A$6,0))</f>
        <v>2449.77511244378</v>
      </c>
      <c r="R109" s="47" t="n">
        <f aca="false">E109*INDEX(Régions!$U$2:$U$6,MATCH($B109,Régions!$A$2:$A$6,0))</f>
        <v>3614.62125660599</v>
      </c>
      <c r="S109" s="47" t="n">
        <f aca="false">F109*INDEX(Régions!$V$2:$V$6,MATCH($B109,Régions!$A$2:$A$6,0))</f>
        <v>8359.54853273138</v>
      </c>
      <c r="T109" s="47" t="n">
        <f aca="false">G109*INDEX(Régions!$W$2:$W$6,MATCH($B109,Régions!$A$2:$A$6,0))</f>
        <v>7562.13683223993</v>
      </c>
      <c r="U109" s="47" t="n">
        <f aca="false">H109*INDEX(Régions!$X$2:$X$6,MATCH($B109,Régions!$A$2:$A$6,0))</f>
        <v>913.139418254764</v>
      </c>
      <c r="V109" s="47" t="n">
        <f aca="false">I109*INDEX(Régions!$Y$2:$Y$6,MATCH($B109,Régions!$A$2:$A$6,0))</f>
        <v>357.827476038339</v>
      </c>
      <c r="W109" s="47" t="n">
        <f aca="false">Q109+(AU109/100)*J109*Régions!$O$2</f>
        <v>2587.04952244378</v>
      </c>
      <c r="X109" s="47" t="n">
        <f aca="false">R109+(AV109/100)*J109*Régions!$O$2</f>
        <v>3976.30849160599</v>
      </c>
      <c r="Y109" s="47" t="n">
        <f aca="false">S109+(AW109/100)*J109*Régions!$O$2</f>
        <v>8124.62884773138</v>
      </c>
      <c r="Z109" s="47" t="n">
        <f aca="false">T109+(AX109/100)*J109*Régions!$O$2</f>
        <v>7787.92011723993</v>
      </c>
      <c r="AA109" s="47" t="n">
        <f aca="false">U109</f>
        <v>913.139418254764</v>
      </c>
      <c r="AB109" s="47" t="n">
        <f aca="false">V109</f>
        <v>357.827476038339</v>
      </c>
      <c r="AC109" s="47" t="n">
        <f aca="false">D109*INDEX(Régions!$Z$2:$Z$6,MATCH($B109,Régions!$A$2:$A$6,0))</f>
        <v>2988.72563718141</v>
      </c>
      <c r="AD109" s="47" t="n">
        <f aca="false">E109*INDEX(Régions!$AA$2:$AA$6,MATCH($B109,Régions!$A$2:$A$6,0))</f>
        <v>3965.45214327657</v>
      </c>
      <c r="AE109" s="47" t="n">
        <f aca="false">F109*INDEX(Régions!$AB$2:$AB$6,MATCH($B109,Régions!$A$2:$A$6,0))</f>
        <v>9982.28442437923</v>
      </c>
      <c r="AF109" s="47" t="n">
        <f aca="false">G109*INDEX(Régions!$AC$2:$AC$6,MATCH($B109,Régions!$A$2:$A$6,0))</f>
        <v>8601.93064667291</v>
      </c>
      <c r="AG109" s="47" t="n">
        <f aca="false">H109*INDEX(Régions!$AD$2:$AD$6,MATCH($B109,Régions!$A$2:$A$6,0))</f>
        <v>1289.80942828485</v>
      </c>
      <c r="AH109" s="47" t="n">
        <f aca="false">I109*INDEX(Régions!$AE$2:$AE$6,MATCH($B109,Régions!$A$2:$A$6,0))</f>
        <v>948.242811501597</v>
      </c>
      <c r="AI109" s="47" t="n">
        <f aca="false">D109*INDEX(Régions!$AF$2:$AF$6,MATCH($B109,Régions!$A$2:$A$6,0))</f>
        <v>1910.82458770615</v>
      </c>
      <c r="AJ109" s="47" t="n">
        <f aca="false">E109*INDEX(Régions!$AG$2:$AG$6,MATCH($B109,Régions!$A$2:$A$6,0))</f>
        <v>3263.79036993541</v>
      </c>
      <c r="AK109" s="47" t="n">
        <f aca="false">F109*INDEX(Régions!$AH$2:$AH$6,MATCH($B109,Régions!$A$2:$A$6,0))</f>
        <v>6736.81264108352</v>
      </c>
      <c r="AL109" s="47" t="n">
        <f aca="false">G109*INDEX(Régions!$AI$2:$AI$6,MATCH($B109,Régions!$A$2:$A$6,0))</f>
        <v>6522.34301780694</v>
      </c>
      <c r="AM109" s="47" t="n">
        <f aca="false">H109*INDEX(Régions!$AJ$2:$AJ$6,MATCH($B109,Régions!$A$2:$A$6,0))</f>
        <v>536.469408224674</v>
      </c>
      <c r="AN109" s="47" t="n">
        <f aca="false">I109*INDEX(Régions!$AK$2:$AK$6,MATCH($B109,Régions!$A$2:$A$6,0))</f>
        <v>0</v>
      </c>
      <c r="AO109" s="49" t="str">
        <f aca="false">INDEX({"CAQ","PLQ","QS","PQ","PCQ","Autre"},MATCH(MAX(Q109:V109),Q109:V109,0))</f>
        <v>QS</v>
      </c>
      <c r="AP109" s="49" t="str">
        <f aca="false">INDEX({"CAQ","PLQ","QS","PQ","PCQ","Autre"},MATCH(MAX(W109:AB109),W109:AB109,0))</f>
        <v>QS</v>
      </c>
      <c r="AQ109" s="49" t="str">
        <f aca="false">INDEX({"CAQ","PLQ","QS","PQ","PCQ","Autre"},MATCH(MAX(AC109:AH109),AC109:AH109,0))</f>
        <v>QS</v>
      </c>
      <c r="AR109" s="49" t="str">
        <f aca="false">INDEX({"CAQ","PLQ","QS","PQ","PCQ","Autre"},MATCH(MAX(AI109:AN109),AI109:AN109,0))</f>
        <v>QS</v>
      </c>
      <c r="AS109" s="50" t="n">
        <f aca="false">(MAX(K109:P109)-LARGE(K109:P109,2))*100</f>
        <v>31.8331071319119</v>
      </c>
      <c r="AT109" s="51" t="str">
        <f aca="false">IF(AS109&lt;5,"Oui","Non")</f>
        <v>Non</v>
      </c>
      <c r="AU109" s="52" t="n">
        <v>1.202</v>
      </c>
      <c r="AV109" s="52" t="n">
        <v>3.167</v>
      </c>
      <c r="AW109" s="52" t="n">
        <v>-2.057</v>
      </c>
      <c r="AX109" s="52" t="n">
        <v>1.977</v>
      </c>
    </row>
    <row r="110" customFormat="false" ht="15" hidden="false" customHeight="true" outlineLevel="0" collapsed="false">
      <c r="A110" s="35" t="s">
        <v>181</v>
      </c>
      <c r="B110" s="35" t="s">
        <v>80</v>
      </c>
      <c r="C110" s="36" t="s">
        <v>3</v>
      </c>
      <c r="D110" s="37" t="n">
        <v>14091</v>
      </c>
      <c r="E110" s="37" t="n">
        <v>8778</v>
      </c>
      <c r="F110" s="37" t="n">
        <v>5243</v>
      </c>
      <c r="G110" s="37" t="n">
        <v>4536</v>
      </c>
      <c r="H110" s="37" t="n">
        <v>3429</v>
      </c>
      <c r="I110" s="37" t="n">
        <v>523</v>
      </c>
      <c r="J110" s="38" t="n">
        <f aca="false">SUM(D110:I110)</f>
        <v>36600</v>
      </c>
      <c r="K110" s="39" t="n">
        <f aca="false">IFERROR(D110/J110,0)</f>
        <v>0.385</v>
      </c>
      <c r="L110" s="39" t="n">
        <f aca="false">IFERROR(E110/J110,0)</f>
        <v>0.239836065573771</v>
      </c>
      <c r="M110" s="39" t="n">
        <f aca="false">IFERROR(F110/J110,0)</f>
        <v>0.143251366120219</v>
      </c>
      <c r="N110" s="39" t="n">
        <f aca="false">IFERROR(G110/J110,0)</f>
        <v>0.123934426229508</v>
      </c>
      <c r="O110" s="39" t="n">
        <f aca="false">IFERROR(H110/J110,0)</f>
        <v>0.0936885245901639</v>
      </c>
      <c r="P110" s="39" t="n">
        <f aca="false">IFERROR(I110/J110,0)</f>
        <v>0.0142896174863388</v>
      </c>
      <c r="Q110" s="38" t="n">
        <f aca="false">D110*INDEX(Régions!$T$2:$T$6,MATCH($B110,Régions!$A$2:$A$6,0))</f>
        <v>9960.50364479788</v>
      </c>
      <c r="R110" s="38" t="n">
        <f aca="false">E110*INDEX(Régions!$U$2:$U$6,MATCH($B110,Régions!$A$2:$A$6,0))</f>
        <v>11213.9105748758</v>
      </c>
      <c r="S110" s="38" t="n">
        <f aca="false">F110*INDEX(Régions!$V$2:$V$6,MATCH($B110,Régions!$A$2:$A$6,0))</f>
        <v>2644.16426512968</v>
      </c>
      <c r="T110" s="38" t="n">
        <f aca="false">G110*INDEX(Régions!$W$2:$W$6,MATCH($B110,Régions!$A$2:$A$6,0))</f>
        <v>8929.13385826772</v>
      </c>
      <c r="U110" s="38" t="n">
        <f aca="false">H110*INDEX(Régions!$X$2:$X$6,MATCH($B110,Régions!$A$2:$A$6,0))</f>
        <v>4002.72373540856</v>
      </c>
      <c r="V110" s="38" t="n">
        <f aca="false">I110*INDEX(Régions!$Y$2:$Y$6,MATCH($B110,Régions!$A$2:$A$6,0))</f>
        <v>421.774193548387</v>
      </c>
      <c r="W110" s="38" t="n">
        <f aca="false">Q110+(AU110/100)*J110*Régions!$O$2</f>
        <v>9683.07564479788</v>
      </c>
      <c r="X110" s="38" t="n">
        <f aca="false">R110+(AV110/100)*J110*Régions!$O$2</f>
        <v>11351.8925748758</v>
      </c>
      <c r="Y110" s="38" t="n">
        <f aca="false">S110+(AW110/100)*J110*Régions!$O$2</f>
        <v>2854.24826512968</v>
      </c>
      <c r="Z110" s="38" t="n">
        <f aca="false">T110+(AX110/100)*J110*Régions!$O$2</f>
        <v>9096.21285826772</v>
      </c>
      <c r="AA110" s="38" t="n">
        <f aca="false">U110</f>
        <v>4002.72373540856</v>
      </c>
      <c r="AB110" s="38" t="n">
        <f aca="false">V110</f>
        <v>421.774193548387</v>
      </c>
      <c r="AC110" s="38" t="n">
        <f aca="false">D110*INDEX(Régions!$Z$2:$Z$6,MATCH($B110,Régions!$A$2:$A$6,0))</f>
        <v>10987.6805831677</v>
      </c>
      <c r="AD110" s="38" t="n">
        <f aca="false">E110*INDEX(Régions!$AA$2:$AA$6,MATCH($B110,Régions!$A$2:$A$6,0))</f>
        <v>13269.7941802697</v>
      </c>
      <c r="AE110" s="38" t="n">
        <f aca="false">F110*INDEX(Régions!$AB$2:$AB$6,MATCH($B110,Régions!$A$2:$A$6,0))</f>
        <v>3890.69884726225</v>
      </c>
      <c r="AF110" s="38" t="n">
        <f aca="false">G110*INDEX(Régions!$AC$2:$AC$6,MATCH($B110,Régions!$A$2:$A$6,0))</f>
        <v>9911.33858267717</v>
      </c>
      <c r="AG110" s="38" t="n">
        <f aca="false">H110*INDEX(Régions!$AD$2:$AD$6,MATCH($B110,Régions!$A$2:$A$6,0))</f>
        <v>5103.47276264592</v>
      </c>
      <c r="AH110" s="38" t="n">
        <f aca="false">I110*INDEX(Régions!$AE$2:$AE$6,MATCH($B110,Régions!$A$2:$A$6,0))</f>
        <v>1813.62903225806</v>
      </c>
      <c r="AI110" s="38" t="n">
        <f aca="false">D110*INDEX(Régions!$AF$2:$AF$6,MATCH($B110,Régions!$A$2:$A$6,0))</f>
        <v>8933.3267064281</v>
      </c>
      <c r="AJ110" s="38" t="n">
        <f aca="false">E110*INDEX(Régions!$AG$2:$AG$6,MATCH($B110,Régions!$A$2:$A$6,0))</f>
        <v>9158.0269694819</v>
      </c>
      <c r="AK110" s="38" t="n">
        <f aca="false">F110*INDEX(Régions!$AH$2:$AH$6,MATCH($B110,Régions!$A$2:$A$6,0))</f>
        <v>1397.62968299712</v>
      </c>
      <c r="AL110" s="38" t="n">
        <f aca="false">G110*INDEX(Régions!$AI$2:$AI$6,MATCH($B110,Régions!$A$2:$A$6,0))</f>
        <v>7946.92913385827</v>
      </c>
      <c r="AM110" s="38" t="n">
        <f aca="false">H110*INDEX(Régions!$AJ$2:$AJ$6,MATCH($B110,Régions!$A$2:$A$6,0))</f>
        <v>2901.97470817121</v>
      </c>
      <c r="AN110" s="38" t="n">
        <f aca="false">I110*INDEX(Régions!$AK$2:$AK$6,MATCH($B110,Régions!$A$2:$A$6,0))</f>
        <v>0</v>
      </c>
      <c r="AO110" s="40" t="str">
        <f aca="false">INDEX({"CAQ","PLQ","QS","PQ","PCQ","Autre"},MATCH(MAX(Q110:V110),Q110:V110,0))</f>
        <v>PLQ</v>
      </c>
      <c r="AP110" s="40" t="str">
        <f aca="false">INDEX({"CAQ","PLQ","QS","PQ","PCQ","Autre"},MATCH(MAX(W110:AB110),W110:AB110,0))</f>
        <v>PLQ</v>
      </c>
      <c r="AQ110" s="40" t="str">
        <f aca="false">INDEX({"CAQ","PLQ","QS","PQ","PCQ","Autre"},MATCH(MAX(AC110:AH110),AC110:AH110,0))</f>
        <v>PLQ</v>
      </c>
      <c r="AR110" s="40" t="str">
        <f aca="false">INDEX({"CAQ","PLQ","QS","PQ","PCQ","Autre"},MATCH(MAX(AI110:AN110),AI110:AN110,0))</f>
        <v>PLQ</v>
      </c>
      <c r="AS110" s="41" t="n">
        <f aca="false">(MAX(K110:P110)-LARGE(K110:P110,2))*100</f>
        <v>14.516393442623</v>
      </c>
      <c r="AT110" s="42" t="str">
        <f aca="false">IF(AS110&lt;5,"Oui","Non")</f>
        <v>Non</v>
      </c>
      <c r="AU110" s="43" t="n">
        <v>-1.516</v>
      </c>
      <c r="AV110" s="43" t="n">
        <v>0.754</v>
      </c>
      <c r="AW110" s="43" t="n">
        <v>1.148</v>
      </c>
      <c r="AX110" s="43" t="n">
        <v>0.913</v>
      </c>
    </row>
    <row r="111" customFormat="false" ht="15" hidden="false" customHeight="true" outlineLevel="0" collapsed="false">
      <c r="A111" s="44" t="s">
        <v>182</v>
      </c>
      <c r="B111" s="44" t="s">
        <v>80</v>
      </c>
      <c r="C111" s="45" t="s">
        <v>3</v>
      </c>
      <c r="D111" s="46" t="n">
        <v>14607</v>
      </c>
      <c r="E111" s="46" t="n">
        <v>2952</v>
      </c>
      <c r="F111" s="46" t="n">
        <v>3925</v>
      </c>
      <c r="G111" s="46" t="n">
        <v>4882</v>
      </c>
      <c r="H111" s="46" t="n">
        <v>3164</v>
      </c>
      <c r="I111" s="46" t="n">
        <v>414</v>
      </c>
      <c r="J111" s="47" t="n">
        <f aca="false">SUM(D111:I111)</f>
        <v>29944</v>
      </c>
      <c r="K111" s="48" t="n">
        <f aca="false">IFERROR(D111/J111,0)</f>
        <v>0.487810579748865</v>
      </c>
      <c r="L111" s="48" t="n">
        <f aca="false">IFERROR(E111/J111,0)</f>
        <v>0.098584023510553</v>
      </c>
      <c r="M111" s="48" t="n">
        <f aca="false">IFERROR(F111/J111,0)</f>
        <v>0.131078012289607</v>
      </c>
      <c r="N111" s="48" t="n">
        <f aca="false">IFERROR(G111/J111,0)</f>
        <v>0.163037670317927</v>
      </c>
      <c r="O111" s="48" t="n">
        <f aca="false">IFERROR(H111/J111,0)</f>
        <v>0.105663905957788</v>
      </c>
      <c r="P111" s="48" t="n">
        <f aca="false">IFERROR(I111/J111,0)</f>
        <v>0.0138258081752605</v>
      </c>
      <c r="Q111" s="47" t="n">
        <f aca="false">D111*INDEX(Régions!$T$2:$T$6,MATCH($B111,Régions!$A$2:$A$6,0))</f>
        <v>10325.2485089463</v>
      </c>
      <c r="R111" s="47" t="n">
        <f aca="false">E111*INDEX(Régions!$U$2:$U$6,MATCH($B111,Régions!$A$2:$A$6,0))</f>
        <v>3771.18523775728</v>
      </c>
      <c r="S111" s="47" t="n">
        <f aca="false">F111*INDEX(Régions!$V$2:$V$6,MATCH($B111,Régions!$A$2:$A$6,0))</f>
        <v>1979.46685878963</v>
      </c>
      <c r="T111" s="47" t="n">
        <f aca="false">G111*INDEX(Régions!$W$2:$W$6,MATCH($B111,Régions!$A$2:$A$6,0))</f>
        <v>9610.23622047244</v>
      </c>
      <c r="U111" s="47" t="n">
        <f aca="false">H111*INDEX(Régions!$X$2:$X$6,MATCH($B111,Régions!$A$2:$A$6,0))</f>
        <v>3693.38521400778</v>
      </c>
      <c r="V111" s="47" t="n">
        <f aca="false">I111*INDEX(Régions!$Y$2:$Y$6,MATCH($B111,Régions!$A$2:$A$6,0))</f>
        <v>333.870967741936</v>
      </c>
      <c r="W111" s="47" t="n">
        <f aca="false">Q111+(AU111/100)*J111*Régions!$O$2</f>
        <v>10635.1689089463</v>
      </c>
      <c r="X111" s="47" t="n">
        <f aca="false">R111+(AV111/100)*J111*Régions!$O$2</f>
        <v>4186.05935775728</v>
      </c>
      <c r="Y111" s="47" t="n">
        <f aca="false">S111+(AW111/100)*J111*Régions!$O$2</f>
        <v>1843.37137878963</v>
      </c>
      <c r="Z111" s="47" t="n">
        <f aca="false">T111+(AX111/100)*J111*Régions!$O$2</f>
        <v>8793.96278047244</v>
      </c>
      <c r="AA111" s="47" t="n">
        <f aca="false">U111</f>
        <v>3693.38521400778</v>
      </c>
      <c r="AB111" s="47" t="n">
        <f aca="false">V111</f>
        <v>333.870967741936</v>
      </c>
      <c r="AC111" s="47" t="n">
        <f aca="false">D111*INDEX(Régions!$Z$2:$Z$6,MATCH($B111,Régions!$A$2:$A$6,0))</f>
        <v>11390.0397614314</v>
      </c>
      <c r="AD111" s="47" t="n">
        <f aca="false">E111*INDEX(Régions!$AA$2:$AA$6,MATCH($B111,Régions!$A$2:$A$6,0))</f>
        <v>4462.56919801278</v>
      </c>
      <c r="AE111" s="47" t="n">
        <f aca="false">F111*INDEX(Régions!$AB$2:$AB$6,MATCH($B111,Régions!$A$2:$A$6,0))</f>
        <v>2912.64409221902</v>
      </c>
      <c r="AF111" s="47" t="n">
        <f aca="false">G111*INDEX(Régions!$AC$2:$AC$6,MATCH($B111,Régions!$A$2:$A$6,0))</f>
        <v>10667.3622047244</v>
      </c>
      <c r="AG111" s="47" t="n">
        <f aca="false">H111*INDEX(Régions!$AD$2:$AD$6,MATCH($B111,Régions!$A$2:$A$6,0))</f>
        <v>4709.06614785992</v>
      </c>
      <c r="AH111" s="47" t="n">
        <f aca="false">I111*INDEX(Régions!$AE$2:$AE$6,MATCH($B111,Régions!$A$2:$A$6,0))</f>
        <v>1435.64516129032</v>
      </c>
      <c r="AI111" s="47" t="n">
        <f aca="false">D111*INDEX(Régions!$AF$2:$AF$6,MATCH($B111,Régions!$A$2:$A$6,0))</f>
        <v>9260.45725646123</v>
      </c>
      <c r="AJ111" s="47" t="n">
        <f aca="false">E111*INDEX(Régions!$AG$2:$AG$6,MATCH($B111,Régions!$A$2:$A$6,0))</f>
        <v>3079.80127750177</v>
      </c>
      <c r="AK111" s="47" t="n">
        <f aca="false">F111*INDEX(Régions!$AH$2:$AH$6,MATCH($B111,Régions!$A$2:$A$6,0))</f>
        <v>1046.28962536023</v>
      </c>
      <c r="AL111" s="47" t="n">
        <f aca="false">G111*INDEX(Régions!$AI$2:$AI$6,MATCH($B111,Régions!$A$2:$A$6,0))</f>
        <v>8553.11023622047</v>
      </c>
      <c r="AM111" s="47" t="n">
        <f aca="false">H111*INDEX(Régions!$AJ$2:$AJ$6,MATCH($B111,Régions!$A$2:$A$6,0))</f>
        <v>2677.70428015564</v>
      </c>
      <c r="AN111" s="47" t="n">
        <f aca="false">I111*INDEX(Régions!$AK$2:$AK$6,MATCH($B111,Régions!$A$2:$A$6,0))</f>
        <v>0</v>
      </c>
      <c r="AO111" s="49" t="str">
        <f aca="false">INDEX({"CAQ","PLQ","QS","PQ","PCQ","Autre"},MATCH(MAX(Q111:V111),Q111:V111,0))</f>
        <v>CAQ</v>
      </c>
      <c r="AP111" s="49" t="str">
        <f aca="false">INDEX({"CAQ","PLQ","QS","PQ","PCQ","Autre"},MATCH(MAX(W111:AB111),W111:AB111,0))</f>
        <v>CAQ</v>
      </c>
      <c r="AQ111" s="49" t="str">
        <f aca="false">INDEX({"CAQ","PLQ","QS","PQ","PCQ","Autre"},MATCH(MAX(AC111:AH111),AC111:AH111,0))</f>
        <v>CAQ</v>
      </c>
      <c r="AR111" s="49" t="str">
        <f aca="false">INDEX({"CAQ","PLQ","QS","PQ","PCQ","Autre"},MATCH(MAX(AI111:AN111),AI111:AN111,0))</f>
        <v>CAQ</v>
      </c>
      <c r="AS111" s="50" t="n">
        <f aca="false">(MAX(K111:P111)-LARGE(K111:P111,2))*100</f>
        <v>32.4772909430938</v>
      </c>
      <c r="AT111" s="51" t="str">
        <f aca="false">IF(AS111&lt;5,"Oui","Non")</f>
        <v>Non</v>
      </c>
      <c r="AU111" s="52" t="n">
        <v>2.07</v>
      </c>
      <c r="AV111" s="52" t="n">
        <v>2.771</v>
      </c>
      <c r="AW111" s="52" t="n">
        <v>-0.909</v>
      </c>
      <c r="AX111" s="52" t="n">
        <v>-5.452</v>
      </c>
    </row>
    <row r="112" customFormat="false" ht="15" hidden="false" customHeight="true" outlineLevel="0" collapsed="false">
      <c r="A112" s="35" t="s">
        <v>183</v>
      </c>
      <c r="B112" s="35" t="s">
        <v>70</v>
      </c>
      <c r="C112" s="36" t="s">
        <v>5</v>
      </c>
      <c r="D112" s="37" t="n">
        <v>13076</v>
      </c>
      <c r="E112" s="37" t="n">
        <v>2166</v>
      </c>
      <c r="F112" s="37" t="n">
        <v>15548</v>
      </c>
      <c r="G112" s="37" t="n">
        <v>3373</v>
      </c>
      <c r="H112" s="37" t="n">
        <v>2501</v>
      </c>
      <c r="I112" s="37" t="n">
        <v>434</v>
      </c>
      <c r="J112" s="38" t="n">
        <f aca="false">SUM(D112:I112)</f>
        <v>37098</v>
      </c>
      <c r="K112" s="39" t="n">
        <f aca="false">IFERROR(D112/J112,0)</f>
        <v>0.352471831365572</v>
      </c>
      <c r="L112" s="39" t="n">
        <f aca="false">IFERROR(E112/J112,0)</f>
        <v>0.0583858968138444</v>
      </c>
      <c r="M112" s="39" t="n">
        <f aca="false">IFERROR(F112/J112,0)</f>
        <v>0.419106151275001</v>
      </c>
      <c r="N112" s="39" t="n">
        <f aca="false">IFERROR(G112/J112,0)</f>
        <v>0.0909213434686506</v>
      </c>
      <c r="O112" s="39" t="n">
        <f aca="false">IFERROR(H112/J112,0)</f>
        <v>0.0674160332093374</v>
      </c>
      <c r="P112" s="39" t="n">
        <f aca="false">IFERROR(I112/J112,0)</f>
        <v>0.0116987438675939</v>
      </c>
      <c r="Q112" s="38" t="n">
        <f aca="false">D112*INDEX(Régions!$T$2:$T$6,MATCH($B112,Régions!$A$2:$A$6,0))</f>
        <v>7724.2194092827</v>
      </c>
      <c r="R112" s="38" t="n">
        <f aca="false">E112*INDEX(Régions!$U$2:$U$6,MATCH($B112,Régions!$A$2:$A$6,0))</f>
        <v>4957.93991416309</v>
      </c>
      <c r="S112" s="38" t="n">
        <f aca="false">F112*INDEX(Régions!$V$2:$V$6,MATCH($B112,Régions!$A$2:$A$6,0))</f>
        <v>9317.15355805243</v>
      </c>
      <c r="T112" s="38" t="n">
        <f aca="false">G112*INDEX(Régions!$W$2:$W$6,MATCH($B112,Régions!$A$2:$A$6,0))</f>
        <v>5896.1422543701</v>
      </c>
      <c r="U112" s="38" t="n">
        <f aca="false">H112*INDEX(Régions!$X$2:$X$6,MATCH($B112,Régions!$A$2:$A$6,0))</f>
        <v>2842.04545454545</v>
      </c>
      <c r="V112" s="38" t="n">
        <f aca="false">I112*INDEX(Régions!$Y$2:$Y$6,MATCH($B112,Régions!$A$2:$A$6,0))</f>
        <v>611.267605633803</v>
      </c>
      <c r="W112" s="38" t="n">
        <f aca="false">Q112+(AU112/100)*J112*Régions!$O$2</f>
        <v>8771.6814392827</v>
      </c>
      <c r="X112" s="38" t="n">
        <f aca="false">R112+(AV112/100)*J112*Régions!$O$2</f>
        <v>3834.98345416309</v>
      </c>
      <c r="Y112" s="38" t="n">
        <f aca="false">S112+(AW112/100)*J112*Régions!$O$2</f>
        <v>10927.3922480524</v>
      </c>
      <c r="Z112" s="38" t="n">
        <f aca="false">T112+(AX112/100)*J112*Régions!$O$2</f>
        <v>5656.6746643701</v>
      </c>
      <c r="AA112" s="38" t="n">
        <f aca="false">U112</f>
        <v>2842.04545454545</v>
      </c>
      <c r="AB112" s="38" t="n">
        <f aca="false">V112</f>
        <v>611.267605633803</v>
      </c>
      <c r="AC112" s="38" t="n">
        <f aca="false">D112*INDEX(Régions!$Z$2:$Z$6,MATCH($B112,Régions!$A$2:$A$6,0))</f>
        <v>8634.57383966245</v>
      </c>
      <c r="AD112" s="38" t="n">
        <f aca="false">E112*INDEX(Régions!$AA$2:$AA$6,MATCH($B112,Régions!$A$2:$A$6,0))</f>
        <v>5980.51502145923</v>
      </c>
      <c r="AE112" s="38" t="n">
        <f aca="false">F112*INDEX(Régions!$AB$2:$AB$6,MATCH($B112,Régions!$A$2:$A$6,0))</f>
        <v>13160.4794007491</v>
      </c>
      <c r="AF112" s="38" t="n">
        <f aca="false">G112*INDEX(Régions!$AC$2:$AC$6,MATCH($B112,Régions!$A$2:$A$6,0))</f>
        <v>6567.08257986739</v>
      </c>
      <c r="AG112" s="38" t="n">
        <f aca="false">H112*INDEX(Régions!$AD$2:$AD$6,MATCH($B112,Régions!$A$2:$A$6,0))</f>
        <v>3393.73663101604</v>
      </c>
      <c r="AH112" s="38" t="n">
        <f aca="false">I112*INDEX(Régions!$AE$2:$AE$6,MATCH($B112,Régions!$A$2:$A$6,0))</f>
        <v>2628.45070422535</v>
      </c>
      <c r="AI112" s="38" t="n">
        <f aca="false">D112*INDEX(Régions!$AF$2:$AF$6,MATCH($B112,Régions!$A$2:$A$6,0))</f>
        <v>6813.86497890295</v>
      </c>
      <c r="AJ112" s="38" t="n">
        <f aca="false">E112*INDEX(Régions!$AG$2:$AG$6,MATCH($B112,Régions!$A$2:$A$6,0))</f>
        <v>3935.36480686695</v>
      </c>
      <c r="AK112" s="38" t="n">
        <f aca="false">F112*INDEX(Régions!$AH$2:$AH$6,MATCH($B112,Régions!$A$2:$A$6,0))</f>
        <v>5473.82771535581</v>
      </c>
      <c r="AL112" s="38" t="n">
        <f aca="false">G112*INDEX(Régions!$AI$2:$AI$6,MATCH($B112,Régions!$A$2:$A$6,0))</f>
        <v>5225.20192887282</v>
      </c>
      <c r="AM112" s="38" t="n">
        <f aca="false">H112*INDEX(Régions!$AJ$2:$AJ$6,MATCH($B112,Régions!$A$2:$A$6,0))</f>
        <v>2290.35427807487</v>
      </c>
      <c r="AN112" s="38" t="n">
        <f aca="false">I112*INDEX(Régions!$AK$2:$AK$6,MATCH($B112,Régions!$A$2:$A$6,0))</f>
        <v>0</v>
      </c>
      <c r="AO112" s="40" t="str">
        <f aca="false">INDEX({"CAQ","PLQ","QS","PQ","PCQ","Autre"},MATCH(MAX(Q112:V112),Q112:V112,0))</f>
        <v>QS</v>
      </c>
      <c r="AP112" s="40" t="str">
        <f aca="false">INDEX({"CAQ","PLQ","QS","PQ","PCQ","Autre"},MATCH(MAX(W112:AB112),W112:AB112,0))</f>
        <v>QS</v>
      </c>
      <c r="AQ112" s="40" t="str">
        <f aca="false">INDEX({"CAQ","PLQ","QS","PQ","PCQ","Autre"},MATCH(MAX(AC112:AH112),AC112:AH112,0))</f>
        <v>QS</v>
      </c>
      <c r="AR112" s="40" t="str">
        <f aca="false">INDEX({"CAQ","PLQ","QS","PQ","PCQ","Autre"},MATCH(MAX(AI112:AN112),AI112:AN112,0))</f>
        <v>CAQ</v>
      </c>
      <c r="AS112" s="41" t="n">
        <f aca="false">(MAX(K112:P112)-LARGE(K112:P112,2))*100</f>
        <v>6.66343199094291</v>
      </c>
      <c r="AT112" s="42" t="str">
        <f aca="false">IF(AS112&lt;5,"Oui","Non")</f>
        <v>Non</v>
      </c>
      <c r="AU112" s="43" t="n">
        <v>5.647</v>
      </c>
      <c r="AV112" s="43" t="n">
        <v>-6.054</v>
      </c>
      <c r="AW112" s="43" t="n">
        <v>8.681</v>
      </c>
      <c r="AX112" s="43" t="n">
        <v>-1.291</v>
      </c>
    </row>
    <row r="113" customFormat="false" ht="15" hidden="false" customHeight="true" outlineLevel="0" collapsed="false">
      <c r="A113" s="44" t="s">
        <v>184</v>
      </c>
      <c r="B113" s="44" t="s">
        <v>80</v>
      </c>
      <c r="C113" s="45" t="s">
        <v>3</v>
      </c>
      <c r="D113" s="46" t="n">
        <v>17114</v>
      </c>
      <c r="E113" s="46" t="n">
        <v>8761</v>
      </c>
      <c r="F113" s="46" t="n">
        <v>4353</v>
      </c>
      <c r="G113" s="46" t="n">
        <v>4124</v>
      </c>
      <c r="H113" s="46" t="n">
        <v>5006</v>
      </c>
      <c r="I113" s="46" t="n">
        <v>795</v>
      </c>
      <c r="J113" s="47" t="n">
        <f aca="false">SUM(D113:I113)</f>
        <v>40153</v>
      </c>
      <c r="K113" s="48" t="n">
        <f aca="false">IFERROR(D113/J113,0)</f>
        <v>0.426219709610739</v>
      </c>
      <c r="L113" s="48" t="n">
        <f aca="false">IFERROR(E113/J113,0)</f>
        <v>0.218190421637238</v>
      </c>
      <c r="M113" s="48" t="n">
        <f aca="false">IFERROR(F113/J113,0)</f>
        <v>0.108410330485891</v>
      </c>
      <c r="N113" s="48" t="n">
        <f aca="false">IFERROR(G113/J113,0)</f>
        <v>0.102707145169726</v>
      </c>
      <c r="O113" s="48" t="n">
        <f aca="false">IFERROR(H113/J113,0)</f>
        <v>0.124673125295744</v>
      </c>
      <c r="P113" s="48" t="n">
        <f aca="false">IFERROR(I113/J113,0)</f>
        <v>0.0197992678006625</v>
      </c>
      <c r="Q113" s="47" t="n">
        <f aca="false">D113*INDEX(Régions!$T$2:$T$6,MATCH($B113,Régions!$A$2:$A$6,0))</f>
        <v>12097.37132759</v>
      </c>
      <c r="R113" s="47" t="n">
        <f aca="false">E113*INDEX(Régions!$U$2:$U$6,MATCH($B113,Régions!$A$2:$A$6,0))</f>
        <v>11192.1930447126</v>
      </c>
      <c r="S113" s="47" t="n">
        <f aca="false">F113*INDEX(Régions!$V$2:$V$6,MATCH($B113,Régions!$A$2:$A$6,0))</f>
        <v>2195.31700288184</v>
      </c>
      <c r="T113" s="47" t="n">
        <f aca="false">G113*INDEX(Régions!$W$2:$W$6,MATCH($B113,Régions!$A$2:$A$6,0))</f>
        <v>8118.11023622047</v>
      </c>
      <c r="U113" s="47" t="n">
        <f aca="false">H113*INDEX(Régions!$X$2:$X$6,MATCH($B113,Régions!$A$2:$A$6,0))</f>
        <v>5843.57976653697</v>
      </c>
      <c r="V113" s="47" t="n">
        <f aca="false">I113*INDEX(Régions!$Y$2:$Y$6,MATCH($B113,Régions!$A$2:$A$6,0))</f>
        <v>641.129032258065</v>
      </c>
      <c r="W113" s="47" t="n">
        <f aca="false">Q113+(AU113/100)*J113*Régions!$O$2</f>
        <v>12141.33886259</v>
      </c>
      <c r="X113" s="47" t="n">
        <f aca="false">R113+(AV113/100)*J113*Régions!$O$2</f>
        <v>10181.9435647126</v>
      </c>
      <c r="Y113" s="47" t="n">
        <f aca="false">S113+(AW113/100)*J113*Régions!$O$2</f>
        <v>2193.10858788184</v>
      </c>
      <c r="Z113" s="47" t="n">
        <f aca="false">T113+(AX113/100)*J113*Régions!$O$2</f>
        <v>8727.43201122047</v>
      </c>
      <c r="AA113" s="47" t="n">
        <f aca="false">U113</f>
        <v>5843.57976653697</v>
      </c>
      <c r="AB113" s="47" t="n">
        <f aca="false">V113</f>
        <v>641.129032258065</v>
      </c>
      <c r="AC113" s="47" t="n">
        <f aca="false">D113*INDEX(Régions!$Z$2:$Z$6,MATCH($B113,Régions!$A$2:$A$6,0))</f>
        <v>13344.9127457477</v>
      </c>
      <c r="AD113" s="47" t="n">
        <f aca="false">E113*INDEX(Régions!$AA$2:$AA$6,MATCH($B113,Régions!$A$2:$A$6,0))</f>
        <v>13244.0951029099</v>
      </c>
      <c r="AE113" s="47" t="n">
        <f aca="false">F113*INDEX(Régions!$AB$2:$AB$6,MATCH($B113,Régions!$A$2:$A$6,0))</f>
        <v>3230.25216138329</v>
      </c>
      <c r="AF113" s="47" t="n">
        <f aca="false">G113*INDEX(Régions!$AC$2:$AC$6,MATCH($B113,Régions!$A$2:$A$6,0))</f>
        <v>9011.10236220472</v>
      </c>
      <c r="AG113" s="47" t="n">
        <f aca="false">H113*INDEX(Régions!$AD$2:$AD$6,MATCH($B113,Régions!$A$2:$A$6,0))</f>
        <v>7450.56420233463</v>
      </c>
      <c r="AH113" s="47" t="n">
        <f aca="false">I113*INDEX(Régions!$AE$2:$AE$6,MATCH($B113,Régions!$A$2:$A$6,0))</f>
        <v>2756.85483870968</v>
      </c>
      <c r="AI113" s="47" t="n">
        <f aca="false">D113*INDEX(Régions!$AF$2:$AF$6,MATCH($B113,Régions!$A$2:$A$6,0))</f>
        <v>10849.8299094323</v>
      </c>
      <c r="AJ113" s="47" t="n">
        <f aca="false">E113*INDEX(Régions!$AG$2:$AG$6,MATCH($B113,Régions!$A$2:$A$6,0))</f>
        <v>9140.29098651526</v>
      </c>
      <c r="AK113" s="47" t="n">
        <f aca="false">F113*INDEX(Régions!$AH$2:$AH$6,MATCH($B113,Régions!$A$2:$A$6,0))</f>
        <v>1160.3818443804</v>
      </c>
      <c r="AL113" s="47" t="n">
        <f aca="false">G113*INDEX(Régions!$AI$2:$AI$6,MATCH($B113,Régions!$A$2:$A$6,0))</f>
        <v>7225.11811023622</v>
      </c>
      <c r="AM113" s="47" t="n">
        <f aca="false">H113*INDEX(Régions!$AJ$2:$AJ$6,MATCH($B113,Régions!$A$2:$A$6,0))</f>
        <v>4236.5953307393</v>
      </c>
      <c r="AN113" s="47" t="n">
        <f aca="false">I113*INDEX(Régions!$AK$2:$AK$6,MATCH($B113,Régions!$A$2:$A$6,0))</f>
        <v>0</v>
      </c>
      <c r="AO113" s="49" t="str">
        <f aca="false">INDEX({"CAQ","PLQ","QS","PQ","PCQ","Autre"},MATCH(MAX(Q113:V113),Q113:V113,0))</f>
        <v>CAQ</v>
      </c>
      <c r="AP113" s="49" t="str">
        <f aca="false">INDEX({"CAQ","PLQ","QS","PQ","PCQ","Autre"},MATCH(MAX(W113:AB113),W113:AB113,0))</f>
        <v>CAQ</v>
      </c>
      <c r="AQ113" s="49" t="str">
        <f aca="false">INDEX({"CAQ","PLQ","QS","PQ","PCQ","Autre"},MATCH(MAX(AC113:AH113),AC113:AH113,0))</f>
        <v>CAQ</v>
      </c>
      <c r="AR113" s="49" t="str">
        <f aca="false">INDEX({"CAQ","PLQ","QS","PQ","PCQ","Autre"},MATCH(MAX(AI113:AN113),AI113:AN113,0))</f>
        <v>CAQ</v>
      </c>
      <c r="AS113" s="50" t="n">
        <f aca="false">(MAX(K113:P113)-LARGE(K113:P113,2))*100</f>
        <v>20.8029287973501</v>
      </c>
      <c r="AT113" s="51" t="str">
        <f aca="false">IF(AS113&lt;5,"Oui","Non")</f>
        <v>Non</v>
      </c>
      <c r="AU113" s="52" t="n">
        <v>0.219</v>
      </c>
      <c r="AV113" s="52" t="n">
        <v>-5.032</v>
      </c>
      <c r="AW113" s="52" t="n">
        <v>-0.011</v>
      </c>
      <c r="AX113" s="52" t="n">
        <v>3.035</v>
      </c>
    </row>
    <row r="114" customFormat="false" ht="15" hidden="false" customHeight="true" outlineLevel="0" collapsed="false">
      <c r="A114" s="35" t="s">
        <v>185</v>
      </c>
      <c r="B114" s="35" t="s">
        <v>80</v>
      </c>
      <c r="C114" s="36" t="s">
        <v>3</v>
      </c>
      <c r="D114" s="37" t="n">
        <v>14635</v>
      </c>
      <c r="E114" s="37" t="n">
        <v>4096</v>
      </c>
      <c r="F114" s="37" t="n">
        <v>6663</v>
      </c>
      <c r="G114" s="37" t="n">
        <v>7160</v>
      </c>
      <c r="H114" s="37" t="n">
        <v>2280</v>
      </c>
      <c r="I114" s="37" t="n">
        <v>422</v>
      </c>
      <c r="J114" s="38" t="n">
        <f aca="false">SUM(D114:I114)</f>
        <v>35256</v>
      </c>
      <c r="K114" s="39" t="n">
        <f aca="false">IFERROR(D114/J114,0)</f>
        <v>0.415106648513728</v>
      </c>
      <c r="L114" s="39" t="n">
        <f aca="false">IFERROR(E114/J114,0)</f>
        <v>0.116178806444293</v>
      </c>
      <c r="M114" s="39" t="n">
        <f aca="false">IFERROR(F114/J114,0)</f>
        <v>0.188989108236896</v>
      </c>
      <c r="N114" s="39" t="n">
        <f aca="false">IFERROR(G114/J114,0)</f>
        <v>0.203085999546177</v>
      </c>
      <c r="O114" s="39" t="n">
        <f aca="false">IFERROR(H114/J114,0)</f>
        <v>0.0646698434309054</v>
      </c>
      <c r="P114" s="39" t="n">
        <f aca="false">IFERROR(I114/J114,0)</f>
        <v>0.0119695938280009</v>
      </c>
      <c r="Q114" s="38" t="n">
        <f aca="false">D114*INDEX(Régions!$T$2:$T$6,MATCH($B114,Régions!$A$2:$A$6,0))</f>
        <v>10345.0408659156</v>
      </c>
      <c r="R114" s="38" t="n">
        <f aca="false">E114*INDEX(Régions!$U$2:$U$6,MATCH($B114,Régions!$A$2:$A$6,0))</f>
        <v>5232.64726756565</v>
      </c>
      <c r="S114" s="38" t="n">
        <f aca="false">F114*INDEX(Régions!$V$2:$V$6,MATCH($B114,Régions!$A$2:$A$6,0))</f>
        <v>3360.30259365994</v>
      </c>
      <c r="T114" s="38" t="n">
        <f aca="false">G114*INDEX(Régions!$W$2:$W$6,MATCH($B114,Régions!$A$2:$A$6,0))</f>
        <v>14094.4881889764</v>
      </c>
      <c r="U114" s="38" t="n">
        <f aca="false">H114*INDEX(Régions!$X$2:$X$6,MATCH($B114,Régions!$A$2:$A$6,0))</f>
        <v>2661.47859922179</v>
      </c>
      <c r="V114" s="38" t="n">
        <f aca="false">I114*INDEX(Régions!$Y$2:$Y$6,MATCH($B114,Régions!$A$2:$A$6,0))</f>
        <v>340.322580645161</v>
      </c>
      <c r="W114" s="38" t="n">
        <f aca="false">Q114+(AU114/100)*J114*Régions!$O$2</f>
        <v>11152.4032659156</v>
      </c>
      <c r="X114" s="38" t="n">
        <f aca="false">R114+(AV114/100)*J114*Régions!$O$2</f>
        <v>5544.66286756565</v>
      </c>
      <c r="Y114" s="38" t="n">
        <f aca="false">S114+(AW114/100)*J114*Régions!$O$2</f>
        <v>3698.93647365994</v>
      </c>
      <c r="Z114" s="38" t="n">
        <f aca="false">T114+(AX114/100)*J114*Régions!$O$2</f>
        <v>13255.7479489764</v>
      </c>
      <c r="AA114" s="38" t="n">
        <f aca="false">U114</f>
        <v>2661.47859922179</v>
      </c>
      <c r="AB114" s="38" t="n">
        <f aca="false">V114</f>
        <v>340.322580645161</v>
      </c>
      <c r="AC114" s="38" t="n">
        <f aca="false">D114*INDEX(Régions!$Z$2:$Z$6,MATCH($B114,Régions!$A$2:$A$6,0))</f>
        <v>11411.8732052132</v>
      </c>
      <c r="AD114" s="38" t="n">
        <f aca="false">E114*INDEX(Régions!$AA$2:$AA$6,MATCH($B114,Régions!$A$2:$A$6,0))</f>
        <v>6191.96593328602</v>
      </c>
      <c r="AE114" s="38" t="n">
        <f aca="false">F114*INDEX(Régions!$AB$2:$AB$6,MATCH($B114,Régions!$A$2:$A$6,0))</f>
        <v>4944.44524495677</v>
      </c>
      <c r="AF114" s="38" t="n">
        <f aca="false">G114*INDEX(Régions!$AC$2:$AC$6,MATCH($B114,Régions!$A$2:$A$6,0))</f>
        <v>15644.8818897638</v>
      </c>
      <c r="AG114" s="38" t="n">
        <f aca="false">H114*INDEX(Régions!$AD$2:$AD$6,MATCH($B114,Régions!$A$2:$A$6,0))</f>
        <v>3393.38521400778</v>
      </c>
      <c r="AH114" s="38" t="n">
        <f aca="false">I114*INDEX(Régions!$AE$2:$AE$6,MATCH($B114,Régions!$A$2:$A$6,0))</f>
        <v>1463.38709677419</v>
      </c>
      <c r="AI114" s="38" t="n">
        <f aca="false">D114*INDEX(Régions!$AF$2:$AF$6,MATCH($B114,Régions!$A$2:$A$6,0))</f>
        <v>9278.20852661807</v>
      </c>
      <c r="AJ114" s="38" t="n">
        <f aca="false">E114*INDEX(Régions!$AG$2:$AG$6,MATCH($B114,Régions!$A$2:$A$6,0))</f>
        <v>4273.32860184528</v>
      </c>
      <c r="AK114" s="38" t="n">
        <f aca="false">F114*INDEX(Régions!$AH$2:$AH$6,MATCH($B114,Régions!$A$2:$A$6,0))</f>
        <v>1776.15994236311</v>
      </c>
      <c r="AL114" s="38" t="n">
        <f aca="false">G114*INDEX(Régions!$AI$2:$AI$6,MATCH($B114,Régions!$A$2:$A$6,0))</f>
        <v>12544.094488189</v>
      </c>
      <c r="AM114" s="38" t="n">
        <f aca="false">H114*INDEX(Régions!$AJ$2:$AJ$6,MATCH($B114,Régions!$A$2:$A$6,0))</f>
        <v>1929.5719844358</v>
      </c>
      <c r="AN114" s="38" t="n">
        <f aca="false">I114*INDEX(Régions!$AK$2:$AK$6,MATCH($B114,Régions!$A$2:$A$6,0))</f>
        <v>0</v>
      </c>
      <c r="AO114" s="40" t="str">
        <f aca="false">INDEX({"CAQ","PLQ","QS","PQ","PCQ","Autre"},MATCH(MAX(Q114:V114),Q114:V114,0))</f>
        <v>PQ</v>
      </c>
      <c r="AP114" s="40" t="str">
        <f aca="false">INDEX({"CAQ","PLQ","QS","PQ","PCQ","Autre"},MATCH(MAX(W114:AB114),W114:AB114,0))</f>
        <v>PQ</v>
      </c>
      <c r="AQ114" s="40" t="str">
        <f aca="false">INDEX({"CAQ","PLQ","QS","PQ","PCQ","Autre"},MATCH(MAX(AC114:AH114),AC114:AH114,0))</f>
        <v>PQ</v>
      </c>
      <c r="AR114" s="40" t="str">
        <f aca="false">INDEX({"CAQ","PLQ","QS","PQ","PCQ","Autre"},MATCH(MAX(AI114:AN114),AI114:AN114,0))</f>
        <v>PQ</v>
      </c>
      <c r="AS114" s="41" t="n">
        <f aca="false">(MAX(K114:P114)-LARGE(K114:P114,2))*100</f>
        <v>21.2020648967552</v>
      </c>
      <c r="AT114" s="42" t="str">
        <f aca="false">IF(AS114&lt;5,"Oui","Non")</f>
        <v>Non</v>
      </c>
      <c r="AU114" s="43" t="n">
        <v>4.58</v>
      </c>
      <c r="AV114" s="43" t="n">
        <v>1.77</v>
      </c>
      <c r="AW114" s="43" t="n">
        <v>1.921</v>
      </c>
      <c r="AX114" s="43" t="n">
        <v>-4.758</v>
      </c>
    </row>
    <row r="115" customFormat="false" ht="15" hidden="false" customHeight="true" outlineLevel="0" collapsed="false">
      <c r="A115" s="44" t="s">
        <v>186</v>
      </c>
      <c r="B115" s="44" t="s">
        <v>94</v>
      </c>
      <c r="C115" s="45" t="s">
        <v>5</v>
      </c>
      <c r="D115" s="46" t="n">
        <v>7537</v>
      </c>
      <c r="E115" s="46" t="n">
        <v>2025</v>
      </c>
      <c r="F115" s="46" t="n">
        <v>13588</v>
      </c>
      <c r="G115" s="46" t="n">
        <v>7757</v>
      </c>
      <c r="H115" s="46" t="n">
        <v>3012</v>
      </c>
      <c r="I115" s="46" t="n">
        <v>451</v>
      </c>
      <c r="J115" s="47" t="n">
        <f aca="false">SUM(D115:I115)</f>
        <v>34370</v>
      </c>
      <c r="K115" s="48" t="n">
        <f aca="false">IFERROR(D115/J115,0)</f>
        <v>0.219290078556881</v>
      </c>
      <c r="L115" s="48" t="n">
        <f aca="false">IFERROR(E115/J115,0)</f>
        <v>0.0589176607506546</v>
      </c>
      <c r="M115" s="48" t="n">
        <f aca="false">IFERROR(F115/J115,0)</f>
        <v>0.395344777422171</v>
      </c>
      <c r="N115" s="48" t="n">
        <f aca="false">IFERROR(G115/J115,0)</f>
        <v>0.225691009601397</v>
      </c>
      <c r="O115" s="48" t="n">
        <f aca="false">IFERROR(H115/J115,0)</f>
        <v>0.0876345650276404</v>
      </c>
      <c r="P115" s="48" t="n">
        <f aca="false">IFERROR(I115/J115,0)</f>
        <v>0.0131219086412569</v>
      </c>
      <c r="Q115" s="47" t="n">
        <f aca="false">D115*INDEX(Régions!$T$2:$T$6,MATCH($B115,Régions!$A$2:$A$6,0))</f>
        <v>6288.11123986095</v>
      </c>
      <c r="R115" s="47" t="n">
        <f aca="false">E115*INDEX(Régions!$U$2:$U$6,MATCH($B115,Régions!$A$2:$A$6,0))</f>
        <v>2427.22602739726</v>
      </c>
      <c r="S115" s="47" t="n">
        <f aca="false">F115*INDEX(Régions!$V$2:$V$6,MATCH($B115,Régions!$A$2:$A$6,0))</f>
        <v>5339.09626719057</v>
      </c>
      <c r="T115" s="47" t="n">
        <f aca="false">G115*INDEX(Régions!$W$2:$W$6,MATCH($B115,Régions!$A$2:$A$6,0))</f>
        <v>16367.4453654861</v>
      </c>
      <c r="U115" s="47" t="n">
        <f aca="false">H115*INDEX(Régions!$X$2:$X$6,MATCH($B115,Régions!$A$2:$A$6,0))</f>
        <v>3093.55742296919</v>
      </c>
      <c r="V115" s="47" t="n">
        <f aca="false">I115*INDEX(Régions!$Y$2:$Y$6,MATCH($B115,Régions!$A$2:$A$6,0))</f>
        <v>425.471698113208</v>
      </c>
      <c r="W115" s="47" t="n">
        <f aca="false">Q115+(AU115/100)*J115*Régions!$O$2</f>
        <v>7258.72003986095</v>
      </c>
      <c r="X115" s="47" t="n">
        <f aca="false">R115+(AV115/100)*J115*Régions!$O$2</f>
        <v>2967.17872739726</v>
      </c>
      <c r="Y115" s="47" t="n">
        <f aca="false">S115+(AW115/100)*J115*Régions!$O$2</f>
        <v>4958.27666719057</v>
      </c>
      <c r="Z115" s="47" t="n">
        <f aca="false">T115+(AX115/100)*J115*Régions!$O$2</f>
        <v>16893.6500654861</v>
      </c>
      <c r="AA115" s="47" t="n">
        <f aca="false">U115</f>
        <v>3093.55742296919</v>
      </c>
      <c r="AB115" s="47" t="n">
        <f aca="false">V115</f>
        <v>425.471698113208</v>
      </c>
      <c r="AC115" s="47" t="n">
        <f aca="false">D115*INDEX(Régions!$Z$2:$Z$6,MATCH($B115,Régions!$A$2:$A$6,0))</f>
        <v>6864.5214368482</v>
      </c>
      <c r="AD115" s="47" t="n">
        <f aca="false">E115*INDEX(Régions!$AA$2:$AA$6,MATCH($B115,Régions!$A$2:$A$6,0))</f>
        <v>3571.4897260274</v>
      </c>
      <c r="AE115" s="47" t="n">
        <f aca="false">F115*INDEX(Régions!$AB$2:$AB$6,MATCH($B115,Régions!$A$2:$A$6,0))</f>
        <v>8275.59921414538</v>
      </c>
      <c r="AF115" s="47" t="n">
        <f aca="false">G115*INDEX(Régions!$AC$2:$AC$6,MATCH($B115,Régions!$A$2:$A$6,0))</f>
        <v>18296.4657121326</v>
      </c>
      <c r="AG115" s="47" t="n">
        <f aca="false">H115*INDEX(Régions!$AD$2:$AD$6,MATCH($B115,Régions!$A$2:$A$6,0))</f>
        <v>3557.59103641457</v>
      </c>
      <c r="AH115" s="47" t="n">
        <f aca="false">I115*INDEX(Régions!$AE$2:$AE$6,MATCH($B115,Régions!$A$2:$A$6,0))</f>
        <v>1829.52830188679</v>
      </c>
      <c r="AI115" s="47" t="n">
        <f aca="false">D115*INDEX(Régions!$AF$2:$AF$6,MATCH($B115,Régions!$A$2:$A$6,0))</f>
        <v>5711.7010428737</v>
      </c>
      <c r="AJ115" s="47" t="n">
        <f aca="false">E115*INDEX(Régions!$AG$2:$AG$6,MATCH($B115,Régions!$A$2:$A$6,0))</f>
        <v>1282.96232876712</v>
      </c>
      <c r="AK115" s="47" t="n">
        <f aca="false">F115*INDEX(Régions!$AH$2:$AH$6,MATCH($B115,Régions!$A$2:$A$6,0))</f>
        <v>2402.59332023576</v>
      </c>
      <c r="AL115" s="47" t="n">
        <f aca="false">G115*INDEX(Régions!$AI$2:$AI$6,MATCH($B115,Régions!$A$2:$A$6,0))</f>
        <v>14438.4250188395</v>
      </c>
      <c r="AM115" s="47" t="n">
        <f aca="false">H115*INDEX(Régions!$AJ$2:$AJ$6,MATCH($B115,Régions!$A$2:$A$6,0))</f>
        <v>2629.52380952381</v>
      </c>
      <c r="AN115" s="47" t="n">
        <f aca="false">I115*INDEX(Régions!$AK$2:$AK$6,MATCH($B115,Régions!$A$2:$A$6,0))</f>
        <v>0</v>
      </c>
      <c r="AO115" s="49" t="str">
        <f aca="false">INDEX({"CAQ","PLQ","QS","PQ","PCQ","Autre"},MATCH(MAX(Q115:V115),Q115:V115,0))</f>
        <v>PQ</v>
      </c>
      <c r="AP115" s="49" t="str">
        <f aca="false">INDEX({"CAQ","PLQ","QS","PQ","PCQ","Autre"},MATCH(MAX(W115:AB115),W115:AB115,0))</f>
        <v>PQ</v>
      </c>
      <c r="AQ115" s="49" t="str">
        <f aca="false">INDEX({"CAQ","PLQ","QS","PQ","PCQ","Autre"},MATCH(MAX(AC115:AH115),AC115:AH115,0))</f>
        <v>PQ</v>
      </c>
      <c r="AR115" s="49" t="str">
        <f aca="false">INDEX({"CAQ","PLQ","QS","PQ","PCQ","Autre"},MATCH(MAX(AI115:AN115),AI115:AN115,0))</f>
        <v>PQ</v>
      </c>
      <c r="AS115" s="50" t="n">
        <f aca="false">(MAX(K115:P115)-LARGE(K115:P115,2))*100</f>
        <v>16.9653767820774</v>
      </c>
      <c r="AT115" s="51" t="str">
        <f aca="false">IF(AS115&lt;5,"Oui","Non")</f>
        <v>Non</v>
      </c>
      <c r="AU115" s="52" t="n">
        <v>5.648</v>
      </c>
      <c r="AV115" s="52" t="n">
        <v>3.142</v>
      </c>
      <c r="AW115" s="52" t="n">
        <v>-2.216</v>
      </c>
      <c r="AX115" s="52" t="n">
        <v>3.062</v>
      </c>
    </row>
    <row r="116" customFormat="false" ht="15" hidden="false" customHeight="true" outlineLevel="0" collapsed="false">
      <c r="A116" s="35" t="s">
        <v>187</v>
      </c>
      <c r="B116" s="35" t="s">
        <v>80</v>
      </c>
      <c r="C116" s="36" t="s">
        <v>3</v>
      </c>
      <c r="D116" s="37" t="n">
        <v>20911</v>
      </c>
      <c r="E116" s="37" t="n">
        <v>4301</v>
      </c>
      <c r="F116" s="37" t="n">
        <v>5352</v>
      </c>
      <c r="G116" s="37" t="n">
        <v>7986</v>
      </c>
      <c r="H116" s="37" t="n">
        <v>3357</v>
      </c>
      <c r="I116" s="37" t="n">
        <v>388</v>
      </c>
      <c r="J116" s="38" t="n">
        <f aca="false">SUM(D116:I116)</f>
        <v>42295</v>
      </c>
      <c r="K116" s="39" t="n">
        <f aca="false">IFERROR(D116/J116,0)</f>
        <v>0.494408322496749</v>
      </c>
      <c r="L116" s="39" t="n">
        <f aca="false">IFERROR(E116/J116,0)</f>
        <v>0.101690507152146</v>
      </c>
      <c r="M116" s="39" t="n">
        <f aca="false">IFERROR(F116/J116,0)</f>
        <v>0.126539780115853</v>
      </c>
      <c r="N116" s="39" t="n">
        <f aca="false">IFERROR(G116/J116,0)</f>
        <v>0.188816644993498</v>
      </c>
      <c r="O116" s="39" t="n">
        <f aca="false">IFERROR(H116/J116,0)</f>
        <v>0.0793710840524885</v>
      </c>
      <c r="P116" s="39" t="n">
        <f aca="false">IFERROR(I116/J116,0)</f>
        <v>0.00917366118926587</v>
      </c>
      <c r="Q116" s="38" t="n">
        <f aca="false">D116*INDEX(Régions!$T$2:$T$6,MATCH($B116,Régions!$A$2:$A$6,0))</f>
        <v>14781.3563066048</v>
      </c>
      <c r="R116" s="38" t="n">
        <f aca="false">E116*INDEX(Régions!$U$2:$U$6,MATCH($B116,Régions!$A$2:$A$6,0))</f>
        <v>5494.53513129879</v>
      </c>
      <c r="S116" s="38" t="n">
        <f aca="false">F116*INDEX(Régions!$V$2:$V$6,MATCH($B116,Régions!$A$2:$A$6,0))</f>
        <v>2699.13544668588</v>
      </c>
      <c r="T116" s="38" t="n">
        <f aca="false">G116*INDEX(Régions!$W$2:$W$6,MATCH($B116,Régions!$A$2:$A$6,0))</f>
        <v>15720.4724409449</v>
      </c>
      <c r="U116" s="38" t="n">
        <f aca="false">H116*INDEX(Régions!$X$2:$X$6,MATCH($B116,Régions!$A$2:$A$6,0))</f>
        <v>3918.67704280156</v>
      </c>
      <c r="V116" s="38" t="n">
        <f aca="false">I116*INDEX(Régions!$Y$2:$Y$6,MATCH($B116,Régions!$A$2:$A$6,0))</f>
        <v>312.903225806452</v>
      </c>
      <c r="W116" s="38" t="n">
        <f aca="false">Q116+(AU116/100)*J116*Régions!$O$2</f>
        <v>15480.0697066048</v>
      </c>
      <c r="X116" s="38" t="n">
        <f aca="false">R116+(AV116/100)*J116*Régions!$O$2</f>
        <v>6538.79868129879</v>
      </c>
      <c r="Y116" s="38" t="n">
        <f aca="false">S116+(AW116/100)*J116*Régions!$O$2</f>
        <v>2804.23852168588</v>
      </c>
      <c r="Z116" s="38" t="n">
        <f aca="false">T116+(AX116/100)*J116*Régions!$O$2</f>
        <v>14115.3771909449</v>
      </c>
      <c r="AA116" s="38" t="n">
        <f aca="false">U116</f>
        <v>3918.67704280156</v>
      </c>
      <c r="AB116" s="38" t="n">
        <f aca="false">V116</f>
        <v>312.903225806452</v>
      </c>
      <c r="AC116" s="38" t="n">
        <f aca="false">D116*INDEX(Régions!$Z$2:$Z$6,MATCH($B116,Régions!$A$2:$A$6,0))</f>
        <v>16305.6836757234</v>
      </c>
      <c r="AD116" s="38" t="n">
        <f aca="false">E116*INDEX(Régions!$AA$2:$AA$6,MATCH($B116,Régions!$A$2:$A$6,0))</f>
        <v>6501.86657203691</v>
      </c>
      <c r="AE116" s="38" t="n">
        <f aca="false">F116*INDEX(Régions!$AB$2:$AB$6,MATCH($B116,Régions!$A$2:$A$6,0))</f>
        <v>3971.58501440922</v>
      </c>
      <c r="AF116" s="38" t="n">
        <f aca="false">G116*INDEX(Régions!$AC$2:$AC$6,MATCH($B116,Régions!$A$2:$A$6,0))</f>
        <v>17449.7244094488</v>
      </c>
      <c r="AG116" s="38" t="n">
        <f aca="false">H116*INDEX(Régions!$AD$2:$AD$6,MATCH($B116,Régions!$A$2:$A$6,0))</f>
        <v>4996.31322957199</v>
      </c>
      <c r="AH116" s="38" t="n">
        <f aca="false">I116*INDEX(Régions!$AE$2:$AE$6,MATCH($B116,Régions!$A$2:$A$6,0))</f>
        <v>1345.48387096774</v>
      </c>
      <c r="AI116" s="38" t="n">
        <f aca="false">D116*INDEX(Régions!$AF$2:$AF$6,MATCH($B116,Régions!$A$2:$A$6,0))</f>
        <v>13257.0289374862</v>
      </c>
      <c r="AJ116" s="38" t="n">
        <f aca="false">E116*INDEX(Régions!$AG$2:$AG$6,MATCH($B116,Régions!$A$2:$A$6,0))</f>
        <v>4487.20369056068</v>
      </c>
      <c r="AK116" s="38" t="n">
        <f aca="false">F116*INDEX(Régions!$AH$2:$AH$6,MATCH($B116,Régions!$A$2:$A$6,0))</f>
        <v>1426.68587896254</v>
      </c>
      <c r="AL116" s="38" t="n">
        <f aca="false">G116*INDEX(Régions!$AI$2:$AI$6,MATCH($B116,Régions!$A$2:$A$6,0))</f>
        <v>13991.2204724409</v>
      </c>
      <c r="AM116" s="38" t="n">
        <f aca="false">H116*INDEX(Régions!$AJ$2:$AJ$6,MATCH($B116,Régions!$A$2:$A$6,0))</f>
        <v>2841.04085603113</v>
      </c>
      <c r="AN116" s="38" t="n">
        <f aca="false">I116*INDEX(Régions!$AK$2:$AK$6,MATCH($B116,Régions!$A$2:$A$6,0))</f>
        <v>0</v>
      </c>
      <c r="AO116" s="40" t="str">
        <f aca="false">INDEX({"CAQ","PLQ","QS","PQ","PCQ","Autre"},MATCH(MAX(Q116:V116),Q116:V116,0))</f>
        <v>PQ</v>
      </c>
      <c r="AP116" s="40" t="str">
        <f aca="false">INDEX({"CAQ","PLQ","QS","PQ","PCQ","Autre"},MATCH(MAX(W116:AB116),W116:AB116,0))</f>
        <v>CAQ</v>
      </c>
      <c r="AQ116" s="40" t="str">
        <f aca="false">INDEX({"CAQ","PLQ","QS","PQ","PCQ","Autre"},MATCH(MAX(AC116:AH116),AC116:AH116,0))</f>
        <v>PQ</v>
      </c>
      <c r="AR116" s="40" t="str">
        <f aca="false">INDEX({"CAQ","PLQ","QS","PQ","PCQ","Autre"},MATCH(MAX(AI116:AN116),AI116:AN116,0))</f>
        <v>PQ</v>
      </c>
      <c r="AS116" s="41" t="n">
        <f aca="false">(MAX(K116:P116)-LARGE(K116:P116,2))*100</f>
        <v>30.5591677503251</v>
      </c>
      <c r="AT116" s="42" t="str">
        <f aca="false">IF(AS116&lt;5,"Oui","Non")</f>
        <v>Non</v>
      </c>
      <c r="AU116" s="43" t="n">
        <v>3.304</v>
      </c>
      <c r="AV116" s="43" t="n">
        <v>4.938</v>
      </c>
      <c r="AW116" s="43" t="n">
        <v>0.497</v>
      </c>
      <c r="AX116" s="43" t="n">
        <v>-7.59</v>
      </c>
    </row>
    <row r="117" customFormat="false" ht="15" hidden="false" customHeight="true" outlineLevel="0" collapsed="false">
      <c r="A117" s="44" t="s">
        <v>188</v>
      </c>
      <c r="B117" s="44" t="s">
        <v>70</v>
      </c>
      <c r="C117" s="45" t="s">
        <v>3</v>
      </c>
      <c r="D117" s="46" t="n">
        <v>18859</v>
      </c>
      <c r="E117" s="46" t="n">
        <v>2056</v>
      </c>
      <c r="F117" s="46" t="n">
        <v>6069</v>
      </c>
      <c r="G117" s="46" t="n">
        <v>5323</v>
      </c>
      <c r="H117" s="46" t="n">
        <v>4552</v>
      </c>
      <c r="I117" s="46" t="n">
        <v>256</v>
      </c>
      <c r="J117" s="47" t="n">
        <f aca="false">SUM(D117:I117)</f>
        <v>37115</v>
      </c>
      <c r="K117" s="48" t="n">
        <f aca="false">IFERROR(D117/J117,0)</f>
        <v>0.50812340024249</v>
      </c>
      <c r="L117" s="48" t="n">
        <f aca="false">IFERROR(E117/J117,0)</f>
        <v>0.0553953926983699</v>
      </c>
      <c r="M117" s="48" t="n">
        <f aca="false">IFERROR(F117/J117,0)</f>
        <v>0.16351879294086</v>
      </c>
      <c r="N117" s="48" t="n">
        <f aca="false">IFERROR(G117/J117,0)</f>
        <v>0.14341910278863</v>
      </c>
      <c r="O117" s="48" t="n">
        <f aca="false">IFERROR(H117/J117,0)</f>
        <v>0.122645830526741</v>
      </c>
      <c r="P117" s="48" t="n">
        <f aca="false">IFERROR(I117/J117,0)</f>
        <v>0.00689748080290988</v>
      </c>
      <c r="Q117" s="47" t="n">
        <f aca="false">D117*INDEX(Régions!$T$2:$T$6,MATCH($B117,Régions!$A$2:$A$6,0))</f>
        <v>11140.3375527426</v>
      </c>
      <c r="R117" s="47" t="n">
        <f aca="false">E117*INDEX(Régions!$U$2:$U$6,MATCH($B117,Régions!$A$2:$A$6,0))</f>
        <v>4706.15164520744</v>
      </c>
      <c r="S117" s="47" t="n">
        <f aca="false">F117*INDEX(Régions!$V$2:$V$6,MATCH($B117,Régions!$A$2:$A$6,0))</f>
        <v>3636.85393258427</v>
      </c>
      <c r="T117" s="47" t="n">
        <f aca="false">G117*INDEX(Régions!$W$2:$W$6,MATCH($B117,Régions!$A$2:$A$6,0))</f>
        <v>9304.82218203737</v>
      </c>
      <c r="U117" s="47" t="n">
        <f aca="false">H117*INDEX(Régions!$X$2:$X$6,MATCH($B117,Régions!$A$2:$A$6,0))</f>
        <v>5172.72727272727</v>
      </c>
      <c r="V117" s="47" t="n">
        <f aca="false">I117*INDEX(Régions!$Y$2:$Y$6,MATCH($B117,Régions!$A$2:$A$6,0))</f>
        <v>360.56338028169</v>
      </c>
      <c r="W117" s="47" t="n">
        <f aca="false">Q117+(AU117/100)*J117*Régions!$O$2</f>
        <v>11794.3038527426</v>
      </c>
      <c r="X117" s="47" t="n">
        <f aca="false">R117+(AV117/100)*J117*Régions!$O$2</f>
        <v>3866.42477020744</v>
      </c>
      <c r="Y117" s="47" t="n">
        <f aca="false">S117+(AW117/100)*J117*Régions!$O$2</f>
        <v>3675.82468258427</v>
      </c>
      <c r="Z117" s="47" t="n">
        <f aca="false">T117+(AX117/100)*J117*Régions!$O$2</f>
        <v>9883.44503203737</v>
      </c>
      <c r="AA117" s="47" t="n">
        <f aca="false">U117</f>
        <v>5172.72727272727</v>
      </c>
      <c r="AB117" s="47" t="n">
        <f aca="false">V117</f>
        <v>360.56338028169</v>
      </c>
      <c r="AC117" s="47" t="n">
        <f aca="false">D117*INDEX(Régions!$Z$2:$Z$6,MATCH($B117,Régions!$A$2:$A$6,0))</f>
        <v>12453.305907173</v>
      </c>
      <c r="AD117" s="47" t="n">
        <f aca="false">E117*INDEX(Régions!$AA$2:$AA$6,MATCH($B117,Régions!$A$2:$A$6,0))</f>
        <v>5676.79542203147</v>
      </c>
      <c r="AE117" s="47" t="n">
        <f aca="false">F117*INDEX(Régions!$AB$2:$AB$6,MATCH($B117,Régions!$A$2:$A$6,0))</f>
        <v>5137.05617977528</v>
      </c>
      <c r="AF117" s="47" t="n">
        <f aca="false">G117*INDEX(Régions!$AC$2:$AC$6,MATCH($B117,Régions!$A$2:$A$6,0))</f>
        <v>10363.6467751658</v>
      </c>
      <c r="AG117" s="47" t="n">
        <f aca="false">H117*INDEX(Régions!$AD$2:$AD$6,MATCH($B117,Régions!$A$2:$A$6,0))</f>
        <v>6176.8449197861</v>
      </c>
      <c r="AH117" s="47" t="n">
        <f aca="false">I117*INDEX(Régions!$AE$2:$AE$6,MATCH($B117,Régions!$A$2:$A$6,0))</f>
        <v>1550.42253521127</v>
      </c>
      <c r="AI117" s="47" t="n">
        <f aca="false">D117*INDEX(Régions!$AF$2:$AF$6,MATCH($B117,Régions!$A$2:$A$6,0))</f>
        <v>9827.36919831224</v>
      </c>
      <c r="AJ117" s="47" t="n">
        <f aca="false">E117*INDEX(Régions!$AG$2:$AG$6,MATCH($B117,Régions!$A$2:$A$6,0))</f>
        <v>3735.5078683834</v>
      </c>
      <c r="AK117" s="47" t="n">
        <f aca="false">F117*INDEX(Régions!$AH$2:$AH$6,MATCH($B117,Régions!$A$2:$A$6,0))</f>
        <v>2136.65168539326</v>
      </c>
      <c r="AL117" s="47" t="n">
        <f aca="false">G117*INDEX(Régions!$AI$2:$AI$6,MATCH($B117,Régions!$A$2:$A$6,0))</f>
        <v>8245.99758890898</v>
      </c>
      <c r="AM117" s="47" t="n">
        <f aca="false">H117*INDEX(Régions!$AJ$2:$AJ$6,MATCH($B117,Régions!$A$2:$A$6,0))</f>
        <v>4168.60962566845</v>
      </c>
      <c r="AN117" s="47" t="n">
        <f aca="false">I117*INDEX(Régions!$AK$2:$AK$6,MATCH($B117,Régions!$A$2:$A$6,0))</f>
        <v>0</v>
      </c>
      <c r="AO117" s="49" t="str">
        <f aca="false">INDEX({"CAQ","PLQ","QS","PQ","PCQ","Autre"},MATCH(MAX(Q117:V117),Q117:V117,0))</f>
        <v>CAQ</v>
      </c>
      <c r="AP117" s="49" t="str">
        <f aca="false">INDEX({"CAQ","PLQ","QS","PQ","PCQ","Autre"},MATCH(MAX(W117:AB117),W117:AB117,0))</f>
        <v>CAQ</v>
      </c>
      <c r="AQ117" s="49" t="str">
        <f aca="false">INDEX({"CAQ","PLQ","QS","PQ","PCQ","Autre"},MATCH(MAX(AC117:AH117),AC117:AH117,0))</f>
        <v>CAQ</v>
      </c>
      <c r="AR117" s="49" t="str">
        <f aca="false">INDEX({"CAQ","PLQ","QS","PQ","PCQ","Autre"},MATCH(MAX(AI117:AN117),AI117:AN117,0))</f>
        <v>CAQ</v>
      </c>
      <c r="AS117" s="50" t="n">
        <f aca="false">(MAX(K117:P117)-LARGE(K117:P117,2))*100</f>
        <v>34.460460730163</v>
      </c>
      <c r="AT117" s="51" t="str">
        <f aca="false">IF(AS117&lt;5,"Oui","Non")</f>
        <v>Non</v>
      </c>
      <c r="AU117" s="52" t="n">
        <v>3.524</v>
      </c>
      <c r="AV117" s="52" t="n">
        <v>-4.525</v>
      </c>
      <c r="AW117" s="52" t="n">
        <v>0.21</v>
      </c>
      <c r="AX117" s="52" t="n">
        <v>3.118</v>
      </c>
    </row>
    <row r="118" customFormat="false" ht="15" hidden="false" customHeight="true" outlineLevel="0" collapsed="false">
      <c r="A118" s="35" t="s">
        <v>189</v>
      </c>
      <c r="B118" s="35" t="s">
        <v>70</v>
      </c>
      <c r="C118" s="36" t="s">
        <v>3</v>
      </c>
      <c r="D118" s="37" t="n">
        <v>3132</v>
      </c>
      <c r="E118" s="37" t="n">
        <v>1571</v>
      </c>
      <c r="F118" s="37" t="n">
        <v>2092</v>
      </c>
      <c r="G118" s="37" t="n">
        <v>1084</v>
      </c>
      <c r="H118" s="37" t="n">
        <v>756</v>
      </c>
      <c r="I118" s="37" t="n">
        <v>0</v>
      </c>
      <c r="J118" s="38" t="n">
        <f aca="false">SUM(D118:I118)</f>
        <v>8635</v>
      </c>
      <c r="K118" s="39" t="n">
        <f aca="false">IFERROR(D118/J118,0)</f>
        <v>0.362709901563405</v>
      </c>
      <c r="L118" s="39" t="n">
        <f aca="false">IFERROR(E118/J118,0)</f>
        <v>0.181933989577302</v>
      </c>
      <c r="M118" s="39" t="n">
        <f aca="false">IFERROR(F118/J118,0)</f>
        <v>0.242269832078749</v>
      </c>
      <c r="N118" s="39" t="n">
        <f aca="false">IFERROR(G118/J118,0)</f>
        <v>0.125535610885929</v>
      </c>
      <c r="O118" s="39" t="n">
        <f aca="false">IFERROR(H118/J118,0)</f>
        <v>0.0875506658946149</v>
      </c>
      <c r="P118" s="39" t="n">
        <f aca="false">IFERROR(I118/J118,0)</f>
        <v>0</v>
      </c>
      <c r="Q118" s="38" t="n">
        <f aca="false">D118*INDEX(Régions!$T$2:$T$6,MATCH($B118,Régions!$A$2:$A$6,0))</f>
        <v>1850.12658227848</v>
      </c>
      <c r="R118" s="38" t="n">
        <f aca="false">E118*INDEX(Régions!$U$2:$U$6,MATCH($B118,Régions!$A$2:$A$6,0))</f>
        <v>3595.99427753934</v>
      </c>
      <c r="S118" s="38" t="n">
        <f aca="false">F118*INDEX(Régions!$V$2:$V$6,MATCH($B118,Régions!$A$2:$A$6,0))</f>
        <v>1253.6329588015</v>
      </c>
      <c r="T118" s="38" t="n">
        <f aca="false">G118*INDEX(Régions!$W$2:$W$6,MATCH($B118,Régions!$A$2:$A$6,0))</f>
        <v>1894.87643158529</v>
      </c>
      <c r="U118" s="38" t="n">
        <f aca="false">H118*INDEX(Régions!$X$2:$X$6,MATCH($B118,Régions!$A$2:$A$6,0))</f>
        <v>859.090909090909</v>
      </c>
      <c r="V118" s="38" t="n">
        <f aca="false">I118*INDEX(Régions!$Y$2:$Y$6,MATCH($B118,Régions!$A$2:$A$6,0))</f>
        <v>0</v>
      </c>
      <c r="W118" s="38" t="n">
        <f aca="false">Q118+(AU118/100)*J118*Régions!$O$2</f>
        <v>2003.39783227848</v>
      </c>
      <c r="X118" s="38" t="n">
        <f aca="false">R118+(AV118/100)*J118*Régions!$O$2</f>
        <v>3857.37572753934</v>
      </c>
      <c r="Y118" s="38" t="n">
        <f aca="false">S118+(AW118/100)*J118*Régions!$O$2</f>
        <v>1630.8097588015</v>
      </c>
      <c r="Z118" s="38" t="n">
        <f aca="false">T118+(AX118/100)*J118*Régions!$O$2</f>
        <v>1497.45055658529</v>
      </c>
      <c r="AA118" s="38" t="n">
        <f aca="false">U118</f>
        <v>859.090909090909</v>
      </c>
      <c r="AB118" s="38" t="n">
        <f aca="false">V118</f>
        <v>0</v>
      </c>
      <c r="AC118" s="38" t="n">
        <f aca="false">D118*INDEX(Régions!$Z$2:$Z$6,MATCH($B118,Régions!$A$2:$A$6,0))</f>
        <v>2068.17721518987</v>
      </c>
      <c r="AD118" s="38" t="n">
        <f aca="false">E118*INDEX(Régions!$AA$2:$AA$6,MATCH($B118,Régions!$A$2:$A$6,0))</f>
        <v>4337.66809728183</v>
      </c>
      <c r="AE118" s="38" t="n">
        <f aca="false">F118*INDEX(Régions!$AB$2:$AB$6,MATCH($B118,Régions!$A$2:$A$6,0))</f>
        <v>1770.75655430712</v>
      </c>
      <c r="AF118" s="38" t="n">
        <f aca="false">G118*INDEX(Régions!$AC$2:$AC$6,MATCH($B118,Régions!$A$2:$A$6,0))</f>
        <v>2110.50030138638</v>
      </c>
      <c r="AG118" s="38" t="n">
        <f aca="false">H118*INDEX(Régions!$AD$2:$AD$6,MATCH($B118,Régions!$A$2:$A$6,0))</f>
        <v>1025.85561497326</v>
      </c>
      <c r="AH118" s="38" t="n">
        <f aca="false">I118*INDEX(Régions!$AE$2:$AE$6,MATCH($B118,Régions!$A$2:$A$6,0))</f>
        <v>0</v>
      </c>
      <c r="AI118" s="38" t="n">
        <f aca="false">D118*INDEX(Régions!$AF$2:$AF$6,MATCH($B118,Régions!$A$2:$A$6,0))</f>
        <v>1632.07594936709</v>
      </c>
      <c r="AJ118" s="38" t="n">
        <f aca="false">E118*INDEX(Régions!$AG$2:$AG$6,MATCH($B118,Régions!$A$2:$A$6,0))</f>
        <v>2854.32045779685</v>
      </c>
      <c r="AK118" s="38" t="n">
        <f aca="false">F118*INDEX(Régions!$AH$2:$AH$6,MATCH($B118,Régions!$A$2:$A$6,0))</f>
        <v>736.50936329588</v>
      </c>
      <c r="AL118" s="38" t="n">
        <f aca="false">G118*INDEX(Régions!$AI$2:$AI$6,MATCH($B118,Régions!$A$2:$A$6,0))</f>
        <v>1679.25256178421</v>
      </c>
      <c r="AM118" s="38" t="n">
        <f aca="false">H118*INDEX(Régions!$AJ$2:$AJ$6,MATCH($B118,Régions!$A$2:$A$6,0))</f>
        <v>692.326203208556</v>
      </c>
      <c r="AN118" s="38" t="n">
        <f aca="false">I118*INDEX(Régions!$AK$2:$AK$6,MATCH($B118,Régions!$A$2:$A$6,0))</f>
        <v>0</v>
      </c>
      <c r="AO118" s="40" t="str">
        <f aca="false">INDEX({"CAQ","PLQ","QS","PQ","PCQ","Autre"},MATCH(MAX(Q118:V118),Q118:V118,0))</f>
        <v>PLQ</v>
      </c>
      <c r="AP118" s="40" t="str">
        <f aca="false">INDEX({"CAQ","PLQ","QS","PQ","PCQ","Autre"},MATCH(MAX(W118:AB118),W118:AB118,0))</f>
        <v>PLQ</v>
      </c>
      <c r="AQ118" s="40" t="str">
        <f aca="false">INDEX({"CAQ","PLQ","QS","PQ","PCQ","Autre"},MATCH(MAX(AC118:AH118),AC118:AH118,0))</f>
        <v>PLQ</v>
      </c>
      <c r="AR118" s="40" t="str">
        <f aca="false">INDEX({"CAQ","PLQ","QS","PQ","PCQ","Autre"},MATCH(MAX(AI118:AN118),AI118:AN118,0))</f>
        <v>PLQ</v>
      </c>
      <c r="AS118" s="41" t="n">
        <f aca="false">(MAX(K118:P118)-LARGE(K118:P118,2))*100</f>
        <v>12.0440069484656</v>
      </c>
      <c r="AT118" s="42" t="str">
        <f aca="false">IF(AS118&lt;5,"Oui","Non")</f>
        <v>Non</v>
      </c>
      <c r="AU118" s="43" t="n">
        <v>3.55</v>
      </c>
      <c r="AV118" s="43" t="n">
        <v>6.054</v>
      </c>
      <c r="AW118" s="43" t="n">
        <v>8.736</v>
      </c>
      <c r="AX118" s="43" t="n">
        <v>-9.205</v>
      </c>
    </row>
    <row r="119" customFormat="false" ht="15" hidden="false" customHeight="true" outlineLevel="0" collapsed="false">
      <c r="A119" s="44" t="s">
        <v>190</v>
      </c>
      <c r="B119" s="44" t="s">
        <v>70</v>
      </c>
      <c r="C119" s="45" t="s">
        <v>3</v>
      </c>
      <c r="D119" s="46" t="n">
        <v>15984</v>
      </c>
      <c r="E119" s="46" t="n">
        <v>5718</v>
      </c>
      <c r="F119" s="46" t="n">
        <v>5343</v>
      </c>
      <c r="G119" s="46" t="n">
        <v>4757</v>
      </c>
      <c r="H119" s="46" t="n">
        <v>3166</v>
      </c>
      <c r="I119" s="46" t="n">
        <v>621</v>
      </c>
      <c r="J119" s="47" t="n">
        <f aca="false">SUM(D119:I119)</f>
        <v>35589</v>
      </c>
      <c r="K119" s="48" t="n">
        <f aca="false">IFERROR(D119/J119,0)</f>
        <v>0.449127539408244</v>
      </c>
      <c r="L119" s="48" t="n">
        <f aca="false">IFERROR(E119/J119,0)</f>
        <v>0.160667622018039</v>
      </c>
      <c r="M119" s="48" t="n">
        <f aca="false">IFERROR(F119/J119,0)</f>
        <v>0.15013065834949</v>
      </c>
      <c r="N119" s="48" t="n">
        <f aca="false">IFERROR(G119/J119,0)</f>
        <v>0.13366489645677</v>
      </c>
      <c r="O119" s="48" t="n">
        <f aca="false">IFERROR(H119/J119,0)</f>
        <v>0.0889600719323386</v>
      </c>
      <c r="P119" s="48" t="n">
        <f aca="false">IFERROR(I119/J119,0)</f>
        <v>0.0174492118351176</v>
      </c>
      <c r="Q119" s="47" t="n">
        <f aca="false">D119*INDEX(Régions!$T$2:$T$6,MATCH($B119,Régions!$A$2:$A$6,0))</f>
        <v>9442.0253164557</v>
      </c>
      <c r="R119" s="47" t="n">
        <f aca="false">E119*INDEX(Régions!$U$2:$U$6,MATCH($B119,Régions!$A$2:$A$6,0))</f>
        <v>13088.4120171674</v>
      </c>
      <c r="S119" s="47" t="n">
        <f aca="false">F119*INDEX(Régions!$V$2:$V$6,MATCH($B119,Régions!$A$2:$A$6,0))</f>
        <v>3201.79775280899</v>
      </c>
      <c r="T119" s="47" t="n">
        <f aca="false">G119*INDEX(Régions!$W$2:$W$6,MATCH($B119,Régions!$A$2:$A$6,0))</f>
        <v>8315.43098251959</v>
      </c>
      <c r="U119" s="47" t="n">
        <f aca="false">H119*INDEX(Régions!$X$2:$X$6,MATCH($B119,Régions!$A$2:$A$6,0))</f>
        <v>3597.72727272727</v>
      </c>
      <c r="V119" s="47" t="n">
        <f aca="false">I119*INDEX(Régions!$Y$2:$Y$6,MATCH($B119,Régions!$A$2:$A$6,0))</f>
        <v>874.647887323944</v>
      </c>
      <c r="W119" s="47" t="n">
        <f aca="false">Q119+(AU119/100)*J119*Régions!$O$2</f>
        <v>8567.7815314557</v>
      </c>
      <c r="X119" s="47" t="n">
        <f aca="false">R119+(AV119/100)*J119*Régions!$O$2</f>
        <v>14478.5183571674</v>
      </c>
      <c r="Y119" s="47" t="n">
        <f aca="false">S119+(AW119/100)*J119*Régions!$O$2</f>
        <v>3479.21400780899</v>
      </c>
      <c r="Z119" s="47" t="n">
        <f aca="false">T119+(AX119/100)*J119*Régions!$O$2</f>
        <v>8410.63155751959</v>
      </c>
      <c r="AA119" s="47" t="n">
        <f aca="false">U119</f>
        <v>3597.72727272727</v>
      </c>
      <c r="AB119" s="47" t="n">
        <f aca="false">V119</f>
        <v>874.647887323944</v>
      </c>
      <c r="AC119" s="47" t="n">
        <f aca="false">D119*INDEX(Régions!$Z$2:$Z$6,MATCH($B119,Régions!$A$2:$A$6,0))</f>
        <v>10554.835443038</v>
      </c>
      <c r="AD119" s="47" t="n">
        <f aca="false">E119*INDEX(Régions!$AA$2:$AA$6,MATCH($B119,Régions!$A$2:$A$6,0))</f>
        <v>15787.8969957082</v>
      </c>
      <c r="AE119" s="47" t="n">
        <f aca="false">F119*INDEX(Régions!$AB$2:$AB$6,MATCH($B119,Régions!$A$2:$A$6,0))</f>
        <v>4522.5393258427</v>
      </c>
      <c r="AF119" s="47" t="n">
        <f aca="false">G119*INDEX(Régions!$AC$2:$AC$6,MATCH($B119,Régions!$A$2:$A$6,0))</f>
        <v>9261.66968053044</v>
      </c>
      <c r="AG119" s="47" t="n">
        <f aca="false">H119*INDEX(Régions!$AD$2:$AD$6,MATCH($B119,Régions!$A$2:$A$6,0))</f>
        <v>4296.10962566845</v>
      </c>
      <c r="AH119" s="47" t="n">
        <f aca="false">I119*INDEX(Régions!$AE$2:$AE$6,MATCH($B119,Régions!$A$2:$A$6,0))</f>
        <v>3760.98591549296</v>
      </c>
      <c r="AI119" s="47" t="n">
        <f aca="false">D119*INDEX(Régions!$AF$2:$AF$6,MATCH($B119,Régions!$A$2:$A$6,0))</f>
        <v>8329.21518987342</v>
      </c>
      <c r="AJ119" s="47" t="n">
        <f aca="false">E119*INDEX(Régions!$AG$2:$AG$6,MATCH($B119,Régions!$A$2:$A$6,0))</f>
        <v>10388.9270386266</v>
      </c>
      <c r="AK119" s="47" t="n">
        <f aca="false">F119*INDEX(Régions!$AH$2:$AH$6,MATCH($B119,Régions!$A$2:$A$6,0))</f>
        <v>1881.05617977528</v>
      </c>
      <c r="AL119" s="47" t="n">
        <f aca="false">G119*INDEX(Régions!$AI$2:$AI$6,MATCH($B119,Régions!$A$2:$A$6,0))</f>
        <v>7369.19228450874</v>
      </c>
      <c r="AM119" s="47" t="n">
        <f aca="false">H119*INDEX(Régions!$AJ$2:$AJ$6,MATCH($B119,Régions!$A$2:$A$6,0))</f>
        <v>2899.3449197861</v>
      </c>
      <c r="AN119" s="47" t="n">
        <f aca="false">I119*INDEX(Régions!$AK$2:$AK$6,MATCH($B119,Régions!$A$2:$A$6,0))</f>
        <v>0</v>
      </c>
      <c r="AO119" s="49" t="str">
        <f aca="false">INDEX({"CAQ","PLQ","QS","PQ","PCQ","Autre"},MATCH(MAX(Q119:V119),Q119:V119,0))</f>
        <v>PLQ</v>
      </c>
      <c r="AP119" s="49" t="str">
        <f aca="false">INDEX({"CAQ","PLQ","QS","PQ","PCQ","Autre"},MATCH(MAX(W119:AB119),W119:AB119,0))</f>
        <v>PLQ</v>
      </c>
      <c r="AQ119" s="49" t="str">
        <f aca="false">INDEX({"CAQ","PLQ","QS","PQ","PCQ","Autre"},MATCH(MAX(AC119:AH119),AC119:AH119,0))</f>
        <v>PLQ</v>
      </c>
      <c r="AR119" s="49" t="str">
        <f aca="false">INDEX({"CAQ","PLQ","QS","PQ","PCQ","Autre"},MATCH(MAX(AI119:AN119),AI119:AN119,0))</f>
        <v>PLQ</v>
      </c>
      <c r="AS119" s="50" t="n">
        <f aca="false">(MAX(K119:P119)-LARGE(K119:P119,2))*100</f>
        <v>28.8459917390205</v>
      </c>
      <c r="AT119" s="51" t="str">
        <f aca="false">IF(AS119&lt;5,"Oui","Non")</f>
        <v>Non</v>
      </c>
      <c r="AU119" s="52" t="n">
        <v>-4.913</v>
      </c>
      <c r="AV119" s="52" t="n">
        <v>7.812</v>
      </c>
      <c r="AW119" s="52" t="n">
        <v>1.559</v>
      </c>
      <c r="AX119" s="52" t="n">
        <v>0.535</v>
      </c>
    </row>
    <row r="120" customFormat="false" ht="15" hidden="false" customHeight="true" outlineLevel="0" collapsed="false">
      <c r="A120" s="35" t="s">
        <v>191</v>
      </c>
      <c r="B120" s="35" t="s">
        <v>94</v>
      </c>
      <c r="C120" s="36" t="s">
        <v>3</v>
      </c>
      <c r="D120" s="37" t="n">
        <v>20812</v>
      </c>
      <c r="E120" s="37" t="n">
        <v>2760</v>
      </c>
      <c r="F120" s="37" t="n">
        <v>5337</v>
      </c>
      <c r="G120" s="37" t="n">
        <v>5741</v>
      </c>
      <c r="H120" s="37" t="n">
        <v>8572</v>
      </c>
      <c r="I120" s="37" t="n">
        <v>696</v>
      </c>
      <c r="J120" s="38" t="n">
        <f aca="false">SUM(D120:I120)</f>
        <v>43918</v>
      </c>
      <c r="K120" s="39" t="n">
        <f aca="false">IFERROR(D120/J120,0)</f>
        <v>0.473883145862744</v>
      </c>
      <c r="L120" s="39" t="n">
        <f aca="false">IFERROR(E120/J120,0)</f>
        <v>0.0628443918211212</v>
      </c>
      <c r="M120" s="39" t="n">
        <f aca="false">IFERROR(F120/J120,0)</f>
        <v>0.121521927228016</v>
      </c>
      <c r="N120" s="39" t="n">
        <f aca="false">IFERROR(G120/J120,0)</f>
        <v>0.130720888929368</v>
      </c>
      <c r="O120" s="39" t="n">
        <f aca="false">IFERROR(H120/J120,0)</f>
        <v>0.195181929960381</v>
      </c>
      <c r="P120" s="39" t="n">
        <f aca="false">IFERROR(I120/J120,0)</f>
        <v>0.0158477161983697</v>
      </c>
      <c r="Q120" s="38" t="n">
        <f aca="false">D120*INDEX(Régions!$T$2:$T$6,MATCH($B120,Régions!$A$2:$A$6,0))</f>
        <v>17363.4298957126</v>
      </c>
      <c r="R120" s="38" t="n">
        <f aca="false">E120*INDEX(Régions!$U$2:$U$6,MATCH($B120,Régions!$A$2:$A$6,0))</f>
        <v>3308.21917808219</v>
      </c>
      <c r="S120" s="38" t="n">
        <f aca="false">F120*INDEX(Régions!$V$2:$V$6,MATCH($B120,Régions!$A$2:$A$6,0))</f>
        <v>2097.05304518664</v>
      </c>
      <c r="T120" s="38" t="n">
        <f aca="false">G120*INDEX(Régions!$W$2:$W$6,MATCH($B120,Régions!$A$2:$A$6,0))</f>
        <v>12113.6397889977</v>
      </c>
      <c r="U120" s="38" t="n">
        <f aca="false">H120*INDEX(Régions!$X$2:$X$6,MATCH($B120,Régions!$A$2:$A$6,0))</f>
        <v>8804.10830999066</v>
      </c>
      <c r="V120" s="38" t="n">
        <f aca="false">I120*INDEX(Régions!$Y$2:$Y$6,MATCH($B120,Régions!$A$2:$A$6,0))</f>
        <v>656.603773584906</v>
      </c>
      <c r="W120" s="38" t="n">
        <f aca="false">Q120+(AU120/100)*J120*Régions!$O$2</f>
        <v>18457.4272757126</v>
      </c>
      <c r="X120" s="38" t="n">
        <f aca="false">R120+(AV120/100)*J120*Régions!$O$2</f>
        <v>2351.02636808219</v>
      </c>
      <c r="Y120" s="38" t="n">
        <f aca="false">S120+(AW120/100)*J120*Régions!$O$2</f>
        <v>2252.30317518664</v>
      </c>
      <c r="Z120" s="38" t="n">
        <f aca="false">T120+(AX120/100)*J120*Régions!$O$2</f>
        <v>12390.7623689977</v>
      </c>
      <c r="AA120" s="38" t="n">
        <f aca="false">U120</f>
        <v>8804.10830999066</v>
      </c>
      <c r="AB120" s="38" t="n">
        <f aca="false">V120</f>
        <v>656.603773584906</v>
      </c>
      <c r="AC120" s="38" t="n">
        <f aca="false">D120*INDEX(Régions!$Z$2:$Z$6,MATCH($B120,Régions!$A$2:$A$6,0))</f>
        <v>18955.077636153</v>
      </c>
      <c r="AD120" s="38" t="n">
        <f aca="false">E120*INDEX(Régions!$AA$2:$AA$6,MATCH($B120,Régions!$A$2:$A$6,0))</f>
        <v>4867.80821917808</v>
      </c>
      <c r="AE120" s="38" t="n">
        <f aca="false">F120*INDEX(Régions!$AB$2:$AB$6,MATCH($B120,Régions!$A$2:$A$6,0))</f>
        <v>3250.43222003929</v>
      </c>
      <c r="AF120" s="38" t="n">
        <f aca="false">G120*INDEX(Régions!$AC$2:$AC$6,MATCH($B120,Régions!$A$2:$A$6,0))</f>
        <v>13541.3187641296</v>
      </c>
      <c r="AG120" s="38" t="n">
        <f aca="false">H120*INDEX(Régions!$AD$2:$AD$6,MATCH($B120,Régions!$A$2:$A$6,0))</f>
        <v>10124.7245564893</v>
      </c>
      <c r="AH120" s="38" t="n">
        <f aca="false">I120*INDEX(Régions!$AE$2:$AE$6,MATCH($B120,Régions!$A$2:$A$6,0))</f>
        <v>2823.39622641509</v>
      </c>
      <c r="AI120" s="38" t="n">
        <f aca="false">D120*INDEX(Régions!$AF$2:$AF$6,MATCH($B120,Régions!$A$2:$A$6,0))</f>
        <v>15771.7821552723</v>
      </c>
      <c r="AJ120" s="38" t="n">
        <f aca="false">E120*INDEX(Régions!$AG$2:$AG$6,MATCH($B120,Régions!$A$2:$A$6,0))</f>
        <v>1748.6301369863</v>
      </c>
      <c r="AK120" s="38" t="n">
        <f aca="false">F120*INDEX(Régions!$AH$2:$AH$6,MATCH($B120,Régions!$A$2:$A$6,0))</f>
        <v>943.673870333988</v>
      </c>
      <c r="AL120" s="38" t="n">
        <f aca="false">G120*INDEX(Régions!$AI$2:$AI$6,MATCH($B120,Régions!$A$2:$A$6,0))</f>
        <v>10685.9608138659</v>
      </c>
      <c r="AM120" s="38" t="n">
        <f aca="false">H120*INDEX(Régions!$AJ$2:$AJ$6,MATCH($B120,Régions!$A$2:$A$6,0))</f>
        <v>7483.49206349206</v>
      </c>
      <c r="AN120" s="38" t="n">
        <f aca="false">I120*INDEX(Régions!$AK$2:$AK$6,MATCH($B120,Régions!$A$2:$A$6,0))</f>
        <v>0</v>
      </c>
      <c r="AO120" s="40" t="str">
        <f aca="false">INDEX({"CAQ","PLQ","QS","PQ","PCQ","Autre"},MATCH(MAX(Q120:V120),Q120:V120,0))</f>
        <v>CAQ</v>
      </c>
      <c r="AP120" s="40" t="str">
        <f aca="false">INDEX({"CAQ","PLQ","QS","PQ","PCQ","Autre"},MATCH(MAX(W120:AB120),W120:AB120,0))</f>
        <v>CAQ</v>
      </c>
      <c r="AQ120" s="40" t="str">
        <f aca="false">INDEX({"CAQ","PLQ","QS","PQ","PCQ","Autre"},MATCH(MAX(AC120:AH120),AC120:AH120,0))</f>
        <v>CAQ</v>
      </c>
      <c r="AR120" s="40" t="str">
        <f aca="false">INDEX({"CAQ","PLQ","QS","PQ","PCQ","Autre"},MATCH(MAX(AI120:AN120),AI120:AN120,0))</f>
        <v>CAQ</v>
      </c>
      <c r="AS120" s="41" t="n">
        <f aca="false">(MAX(K120:P120)-LARGE(K120:P120,2))*100</f>
        <v>27.8701215902364</v>
      </c>
      <c r="AT120" s="42" t="str">
        <f aca="false">IF(AS120&lt;5,"Oui","Non")</f>
        <v>Non</v>
      </c>
      <c r="AU120" s="43" t="n">
        <v>4.982</v>
      </c>
      <c r="AV120" s="43" t="n">
        <v>-4.359</v>
      </c>
      <c r="AW120" s="43" t="n">
        <v>0.707</v>
      </c>
      <c r="AX120" s="43" t="n">
        <v>1.262</v>
      </c>
    </row>
    <row r="121" customFormat="false" ht="15" hidden="false" customHeight="true" outlineLevel="0" collapsed="false">
      <c r="A121" s="44" t="s">
        <v>192</v>
      </c>
      <c r="B121" s="44" t="s">
        <v>80</v>
      </c>
      <c r="C121" s="45" t="s">
        <v>4</v>
      </c>
      <c r="D121" s="46" t="n">
        <v>13032</v>
      </c>
      <c r="E121" s="46" t="n">
        <v>13608</v>
      </c>
      <c r="F121" s="46" t="n">
        <v>3671</v>
      </c>
      <c r="G121" s="46" t="n">
        <v>3061</v>
      </c>
      <c r="H121" s="46" t="n">
        <v>5345</v>
      </c>
      <c r="I121" s="46" t="n">
        <v>1048</v>
      </c>
      <c r="J121" s="47" t="n">
        <f aca="false">SUM(D121:I121)</f>
        <v>39765</v>
      </c>
      <c r="K121" s="48" t="n">
        <f aca="false">IFERROR(D121/J121,0)</f>
        <v>0.327725386646549</v>
      </c>
      <c r="L121" s="48" t="n">
        <f aca="false">IFERROR(E121/J121,0)</f>
        <v>0.342210486608827</v>
      </c>
      <c r="M121" s="48" t="n">
        <f aca="false">IFERROR(F121/J121,0)</f>
        <v>0.0923173645165347</v>
      </c>
      <c r="N121" s="48" t="n">
        <f aca="false">IFERROR(G121/J121,0)</f>
        <v>0.076977241292594</v>
      </c>
      <c r="O121" s="48" t="n">
        <f aca="false">IFERROR(H121/J121,0)</f>
        <v>0.134414686281906</v>
      </c>
      <c r="P121" s="48" t="n">
        <f aca="false">IFERROR(I121/J121,0)</f>
        <v>0.0263548346535898</v>
      </c>
      <c r="Q121" s="47" t="n">
        <f aca="false">D121*INDEX(Régions!$T$2:$T$6,MATCH($B121,Régions!$A$2:$A$6,0))</f>
        <v>9211.92842942346</v>
      </c>
      <c r="R121" s="47" t="n">
        <f aca="false">E121*INDEX(Régions!$U$2:$U$6,MATCH($B121,Régions!$A$2:$A$6,0))</f>
        <v>17384.2441447835</v>
      </c>
      <c r="S121" s="47" t="n">
        <f aca="false">F121*INDEX(Régions!$V$2:$V$6,MATCH($B121,Régions!$A$2:$A$6,0))</f>
        <v>1851.36887608069</v>
      </c>
      <c r="T121" s="47" t="n">
        <f aca="false">G121*INDEX(Régions!$W$2:$W$6,MATCH($B121,Régions!$A$2:$A$6,0))</f>
        <v>6025.5905511811</v>
      </c>
      <c r="U121" s="47" t="n">
        <f aca="false">H121*INDEX(Régions!$X$2:$X$6,MATCH($B121,Régions!$A$2:$A$6,0))</f>
        <v>6239.29961089494</v>
      </c>
      <c r="V121" s="47" t="n">
        <f aca="false">I121*INDEX(Régions!$Y$2:$Y$6,MATCH($B121,Régions!$A$2:$A$6,0))</f>
        <v>845.161290322581</v>
      </c>
      <c r="W121" s="47" t="n">
        <f aca="false">Q121+(AU121/100)*J121*Régions!$O$2</f>
        <v>8609.09102942346</v>
      </c>
      <c r="X121" s="47" t="n">
        <f aca="false">R121+(AV121/100)*J121*Régions!$O$2</f>
        <v>17620.8458947835</v>
      </c>
      <c r="Y121" s="47" t="n">
        <f aca="false">S121+(AW121/100)*J121*Régions!$O$2</f>
        <v>1828.90165108069</v>
      </c>
      <c r="Z121" s="47" t="n">
        <f aca="false">T121+(AX121/100)*J121*Régions!$O$2</f>
        <v>6157.6103511811</v>
      </c>
      <c r="AA121" s="47" t="n">
        <f aca="false">U121</f>
        <v>6239.29961089494</v>
      </c>
      <c r="AB121" s="47" t="n">
        <f aca="false">V121</f>
        <v>845.161290322581</v>
      </c>
      <c r="AC121" s="47" t="n">
        <f aca="false">D121*INDEX(Régions!$Z$2:$Z$6,MATCH($B121,Régions!$A$2:$A$6,0))</f>
        <v>10161.9085487078</v>
      </c>
      <c r="AD121" s="47" t="n">
        <f aca="false">E121*INDEX(Régions!$AA$2:$AA$6,MATCH($B121,Régions!$A$2:$A$6,0))</f>
        <v>20571.3555713272</v>
      </c>
      <c r="AE121" s="47" t="n">
        <f aca="false">F121*INDEX(Régions!$AB$2:$AB$6,MATCH($B121,Régions!$A$2:$A$6,0))</f>
        <v>2724.15706051873</v>
      </c>
      <c r="AF121" s="47" t="n">
        <f aca="false">G121*INDEX(Régions!$AC$2:$AC$6,MATCH($B121,Régions!$A$2:$A$6,0))</f>
        <v>6688.40551181102</v>
      </c>
      <c r="AG121" s="47" t="n">
        <f aca="false">H121*INDEX(Régions!$AD$2:$AD$6,MATCH($B121,Régions!$A$2:$A$6,0))</f>
        <v>7955.10700389105</v>
      </c>
      <c r="AH121" s="47" t="n">
        <f aca="false">I121*INDEX(Régions!$AE$2:$AE$6,MATCH($B121,Régions!$A$2:$A$6,0))</f>
        <v>3634.1935483871</v>
      </c>
      <c r="AI121" s="47" t="n">
        <f aca="false">D121*INDEX(Régions!$AF$2:$AF$6,MATCH($B121,Régions!$A$2:$A$6,0))</f>
        <v>8261.94831013917</v>
      </c>
      <c r="AJ121" s="47" t="n">
        <f aca="false">E121*INDEX(Régions!$AG$2:$AG$6,MATCH($B121,Régions!$A$2:$A$6,0))</f>
        <v>14197.1327182399</v>
      </c>
      <c r="AK121" s="47" t="n">
        <f aca="false">F121*INDEX(Régions!$AH$2:$AH$6,MATCH($B121,Régions!$A$2:$A$6,0))</f>
        <v>978.580691642651</v>
      </c>
      <c r="AL121" s="47" t="n">
        <f aca="false">G121*INDEX(Régions!$AI$2:$AI$6,MATCH($B121,Régions!$A$2:$A$6,0))</f>
        <v>5362.77559055118</v>
      </c>
      <c r="AM121" s="47" t="n">
        <f aca="false">H121*INDEX(Régions!$AJ$2:$AJ$6,MATCH($B121,Régions!$A$2:$A$6,0))</f>
        <v>4523.49221789883</v>
      </c>
      <c r="AN121" s="47" t="n">
        <f aca="false">I121*INDEX(Régions!$AK$2:$AK$6,MATCH($B121,Régions!$A$2:$A$6,0))</f>
        <v>0</v>
      </c>
      <c r="AO121" s="49" t="str">
        <f aca="false">INDEX({"CAQ","PLQ","QS","PQ","PCQ","Autre"},MATCH(MAX(Q121:V121),Q121:V121,0))</f>
        <v>PLQ</v>
      </c>
      <c r="AP121" s="49" t="str">
        <f aca="false">INDEX({"CAQ","PLQ","QS","PQ","PCQ","Autre"},MATCH(MAX(W121:AB121),W121:AB121,0))</f>
        <v>PLQ</v>
      </c>
      <c r="AQ121" s="49" t="str">
        <f aca="false">INDEX({"CAQ","PLQ","QS","PQ","PCQ","Autre"},MATCH(MAX(AC121:AH121),AC121:AH121,0))</f>
        <v>PLQ</v>
      </c>
      <c r="AR121" s="49" t="str">
        <f aca="false">INDEX({"CAQ","PLQ","QS","PQ","PCQ","Autre"},MATCH(MAX(AI121:AN121),AI121:AN121,0))</f>
        <v>PLQ</v>
      </c>
      <c r="AS121" s="50" t="n">
        <f aca="false">(MAX(K121:P121)-LARGE(K121:P121,2))*100</f>
        <v>1.44850999622784</v>
      </c>
      <c r="AT121" s="51" t="str">
        <f aca="false">IF(AS121&lt;5,"Oui","Non")</f>
        <v>Oui</v>
      </c>
      <c r="AU121" s="52" t="n">
        <v>-3.032</v>
      </c>
      <c r="AV121" s="52" t="n">
        <v>1.19</v>
      </c>
      <c r="AW121" s="52" t="n">
        <v>-0.113</v>
      </c>
      <c r="AX121" s="52" t="n">
        <v>0.664</v>
      </c>
    </row>
    <row r="122" customFormat="false" ht="15" hidden="false" customHeight="true" outlineLevel="0" collapsed="false">
      <c r="A122" s="35" t="s">
        <v>193</v>
      </c>
      <c r="B122" s="35" t="s">
        <v>80</v>
      </c>
      <c r="C122" s="36" t="s">
        <v>3</v>
      </c>
      <c r="D122" s="37" t="n">
        <v>23672</v>
      </c>
      <c r="E122" s="37" t="n">
        <v>2438</v>
      </c>
      <c r="F122" s="37" t="n">
        <v>6665</v>
      </c>
      <c r="G122" s="37" t="n">
        <v>9561</v>
      </c>
      <c r="H122" s="37" t="n">
        <v>3269</v>
      </c>
      <c r="I122" s="37" t="n">
        <v>556</v>
      </c>
      <c r="J122" s="38" t="n">
        <f aca="false">SUM(D122:I122)</f>
        <v>46161</v>
      </c>
      <c r="K122" s="39" t="n">
        <f aca="false">IFERROR(D122/J122,0)</f>
        <v>0.512813847187019</v>
      </c>
      <c r="L122" s="39" t="n">
        <f aca="false">IFERROR(E122/J122,0)</f>
        <v>0.0528151469855506</v>
      </c>
      <c r="M122" s="39" t="n">
        <f aca="false">IFERROR(F122/J122,0)</f>
        <v>0.144385953510539</v>
      </c>
      <c r="N122" s="39" t="n">
        <f aca="false">IFERROR(G122/J122,0)</f>
        <v>0.207122895951128</v>
      </c>
      <c r="O122" s="39" t="n">
        <f aca="false">IFERROR(H122/J122,0)</f>
        <v>0.0708173566430537</v>
      </c>
      <c r="P122" s="39" t="n">
        <f aca="false">IFERROR(I122/J122,0)</f>
        <v>0.0120447997227096</v>
      </c>
      <c r="Q122" s="38" t="n">
        <f aca="false">D122*INDEX(Régions!$T$2:$T$6,MATCH($B122,Régions!$A$2:$A$6,0))</f>
        <v>16733.0240777557</v>
      </c>
      <c r="R122" s="38" t="n">
        <f aca="false">E122*INDEX(Régions!$U$2:$U$6,MATCH($B122,Régions!$A$2:$A$6,0))</f>
        <v>3114.54932576295</v>
      </c>
      <c r="S122" s="38" t="n">
        <f aca="false">F122*INDEX(Régions!$V$2:$V$6,MATCH($B122,Régions!$A$2:$A$6,0))</f>
        <v>3361.31123919308</v>
      </c>
      <c r="T122" s="38" t="n">
        <f aca="false">G122*INDEX(Régions!$W$2:$W$6,MATCH($B122,Régions!$A$2:$A$6,0))</f>
        <v>18820.8661417323</v>
      </c>
      <c r="U122" s="38" t="n">
        <f aca="false">H122*INDEX(Régions!$X$2:$X$6,MATCH($B122,Régions!$A$2:$A$6,0))</f>
        <v>3815.953307393</v>
      </c>
      <c r="V122" s="38" t="n">
        <f aca="false">I122*INDEX(Régions!$Y$2:$Y$6,MATCH($B122,Régions!$A$2:$A$6,0))</f>
        <v>448.387096774194</v>
      </c>
      <c r="W122" s="38" t="n">
        <f aca="false">Q122+(AU122/100)*J122*Régions!$O$2</f>
        <v>19184.4039827557</v>
      </c>
      <c r="X122" s="38" t="n">
        <f aca="false">R122+(AV122/100)*J122*Régions!$O$2</f>
        <v>3887.97688076295</v>
      </c>
      <c r="Y122" s="38" t="n">
        <f aca="false">S122+(AW122/100)*J122*Régions!$O$2</f>
        <v>3448.78633419308</v>
      </c>
      <c r="Z122" s="38" t="n">
        <f aca="false">T122+(AX122/100)*J122*Régions!$O$2</f>
        <v>16064.8236367323</v>
      </c>
      <c r="AA122" s="38" t="n">
        <f aca="false">U122</f>
        <v>3815.953307393</v>
      </c>
      <c r="AB122" s="38" t="n">
        <f aca="false">V122</f>
        <v>448.387096774194</v>
      </c>
      <c r="AC122" s="38" t="n">
        <f aca="false">D122*INDEX(Régions!$Z$2:$Z$6,MATCH($B122,Régions!$A$2:$A$6,0))</f>
        <v>18458.6171857742</v>
      </c>
      <c r="AD122" s="38" t="n">
        <f aca="false">E122*INDEX(Régions!$AA$2:$AA$6,MATCH($B122,Régions!$A$2:$A$6,0))</f>
        <v>3685.55003548616</v>
      </c>
      <c r="AE122" s="38" t="n">
        <f aca="false">F122*INDEX(Régions!$AB$2:$AB$6,MATCH($B122,Régions!$A$2:$A$6,0))</f>
        <v>4945.92939481268</v>
      </c>
      <c r="AF122" s="38" t="n">
        <f aca="false">G122*INDEX(Régions!$AC$2:$AC$6,MATCH($B122,Régions!$A$2:$A$6,0))</f>
        <v>20891.1614173228</v>
      </c>
      <c r="AG122" s="38" t="n">
        <f aca="false">H122*INDEX(Régions!$AD$2:$AD$6,MATCH($B122,Régions!$A$2:$A$6,0))</f>
        <v>4865.34046692607</v>
      </c>
      <c r="AH122" s="38" t="n">
        <f aca="false">I122*INDEX(Régions!$AE$2:$AE$6,MATCH($B122,Régions!$A$2:$A$6,0))</f>
        <v>1928.06451612903</v>
      </c>
      <c r="AI122" s="38" t="n">
        <f aca="false">D122*INDEX(Régions!$AF$2:$AF$6,MATCH($B122,Régions!$A$2:$A$6,0))</f>
        <v>15007.4309697371</v>
      </c>
      <c r="AJ122" s="38" t="n">
        <f aca="false">E122*INDEX(Régions!$AG$2:$AG$6,MATCH($B122,Régions!$A$2:$A$6,0))</f>
        <v>2543.54861603974</v>
      </c>
      <c r="AK122" s="38" t="n">
        <f aca="false">F122*INDEX(Régions!$AH$2:$AH$6,MATCH($B122,Régions!$A$2:$A$6,0))</f>
        <v>1776.69308357349</v>
      </c>
      <c r="AL122" s="38" t="n">
        <f aca="false">G122*INDEX(Régions!$AI$2:$AI$6,MATCH($B122,Régions!$A$2:$A$6,0))</f>
        <v>16750.5708661417</v>
      </c>
      <c r="AM122" s="38" t="n">
        <f aca="false">H122*INDEX(Régions!$AJ$2:$AJ$6,MATCH($B122,Régions!$A$2:$A$6,0))</f>
        <v>2766.56614785992</v>
      </c>
      <c r="AN122" s="38" t="n">
        <f aca="false">I122*INDEX(Régions!$AK$2:$AK$6,MATCH($B122,Régions!$A$2:$A$6,0))</f>
        <v>0</v>
      </c>
      <c r="AO122" s="40" t="str">
        <f aca="false">INDEX({"CAQ","PLQ","QS","PQ","PCQ","Autre"},MATCH(MAX(Q122:V122),Q122:V122,0))</f>
        <v>PQ</v>
      </c>
      <c r="AP122" s="40" t="str">
        <f aca="false">INDEX({"CAQ","PLQ","QS","PQ","PCQ","Autre"},MATCH(MAX(W122:AB122),W122:AB122,0))</f>
        <v>CAQ</v>
      </c>
      <c r="AQ122" s="40" t="str">
        <f aca="false">INDEX({"CAQ","PLQ","QS","PQ","PCQ","Autre"},MATCH(MAX(AC122:AH122),AC122:AH122,0))</f>
        <v>PQ</v>
      </c>
      <c r="AR122" s="40" t="str">
        <f aca="false">INDEX({"CAQ","PLQ","QS","PQ","PCQ","Autre"},MATCH(MAX(AI122:AN122),AI122:AN122,0))</f>
        <v>PQ</v>
      </c>
      <c r="AS122" s="41" t="n">
        <f aca="false">(MAX(K122:P122)-LARGE(K122:P122,2))*100</f>
        <v>30.5690951235892</v>
      </c>
      <c r="AT122" s="42" t="str">
        <f aca="false">IF(AS122&lt;5,"Oui","Non")</f>
        <v>Non</v>
      </c>
      <c r="AU122" s="43" t="n">
        <v>10.621</v>
      </c>
      <c r="AV122" s="43" t="n">
        <v>3.351</v>
      </c>
      <c r="AW122" s="43" t="n">
        <v>0.379</v>
      </c>
      <c r="AX122" s="43" t="n">
        <v>-11.941</v>
      </c>
    </row>
    <row r="123" customFormat="false" ht="15" hidden="false" customHeight="true" outlineLevel="0" collapsed="false">
      <c r="A123" s="44" t="s">
        <v>194</v>
      </c>
      <c r="B123" s="44" t="s">
        <v>73</v>
      </c>
      <c r="C123" s="45" t="s">
        <v>5</v>
      </c>
      <c r="D123" s="46" t="n">
        <v>7150</v>
      </c>
      <c r="E123" s="46" t="n">
        <v>9101</v>
      </c>
      <c r="F123" s="46" t="n">
        <v>9562</v>
      </c>
      <c r="G123" s="46" t="n">
        <v>2591</v>
      </c>
      <c r="H123" s="46" t="n">
        <v>1965</v>
      </c>
      <c r="I123" s="46" t="n">
        <v>724</v>
      </c>
      <c r="J123" s="47" t="n">
        <f aca="false">SUM(D123:I123)</f>
        <v>31093</v>
      </c>
      <c r="K123" s="48" t="n">
        <f aca="false">IFERROR(D123/J123,0)</f>
        <v>0.22995529540411</v>
      </c>
      <c r="L123" s="48" t="n">
        <f aca="false">IFERROR(E123/J123,0)</f>
        <v>0.292702537548644</v>
      </c>
      <c r="M123" s="48" t="n">
        <f aca="false">IFERROR(F123/J123,0)</f>
        <v>0.307529025825749</v>
      </c>
      <c r="N123" s="48" t="n">
        <f aca="false">IFERROR(G123/J123,0)</f>
        <v>0.0833306532016853</v>
      </c>
      <c r="O123" s="48" t="n">
        <f aca="false">IFERROR(H123/J123,0)</f>
        <v>0.0631975042614093</v>
      </c>
      <c r="P123" s="48" t="n">
        <f aca="false">IFERROR(I123/J123,0)</f>
        <v>0.0232849837584022</v>
      </c>
      <c r="Q123" s="47" t="n">
        <f aca="false">D123*INDEX(Régions!$T$2:$T$6,MATCH($B123,Régions!$A$2:$A$6,0))</f>
        <v>5359.82008995502</v>
      </c>
      <c r="R123" s="47" t="n">
        <f aca="false">E123*INDEX(Régions!$U$2:$U$6,MATCH($B123,Régions!$A$2:$A$6,0))</f>
        <v>9084.96770405167</v>
      </c>
      <c r="S123" s="47" t="n">
        <f aca="false">F123*INDEX(Régions!$V$2:$V$6,MATCH($B123,Régions!$A$2:$A$6,0))</f>
        <v>7338.78103837472</v>
      </c>
      <c r="T123" s="47" t="n">
        <f aca="false">G123*INDEX(Régions!$W$2:$W$6,MATCH($B123,Régions!$A$2:$A$6,0))</f>
        <v>5827.92877225867</v>
      </c>
      <c r="U123" s="47" t="n">
        <f aca="false">H123*INDEX(Régions!$X$2:$X$6,MATCH($B123,Régions!$A$2:$A$6,0))</f>
        <v>1576.73019057172</v>
      </c>
      <c r="V123" s="47" t="n">
        <f aca="false">I123*INDEX(Régions!$Y$2:$Y$6,MATCH($B123,Régions!$A$2:$A$6,0))</f>
        <v>462.619808306709</v>
      </c>
      <c r="W123" s="47" t="n">
        <f aca="false">Q123+(AU123/100)*J123*Régions!$O$2</f>
        <v>5438.95177495502</v>
      </c>
      <c r="X123" s="47" t="n">
        <f aca="false">R123+(AV123/100)*J123*Régions!$O$2</f>
        <v>9431.34372405167</v>
      </c>
      <c r="Y123" s="47" t="n">
        <f aca="false">S123+(AW123/100)*J123*Régions!$O$2</f>
        <v>8323.65181337472</v>
      </c>
      <c r="Z123" s="47" t="n">
        <f aca="false">T123+(AX123/100)*J123*Régions!$O$2</f>
        <v>5355.00424225867</v>
      </c>
      <c r="AA123" s="47" t="n">
        <f aca="false">U123</f>
        <v>1576.73019057172</v>
      </c>
      <c r="AB123" s="47" t="n">
        <f aca="false">V123</f>
        <v>462.619808306709</v>
      </c>
      <c r="AC123" s="47" t="n">
        <f aca="false">D123*INDEX(Régions!$Z$2:$Z$6,MATCH($B123,Régions!$A$2:$A$6,0))</f>
        <v>6538.98050974513</v>
      </c>
      <c r="AD123" s="47" t="n">
        <f aca="false">E123*INDEX(Régions!$AA$2:$AA$6,MATCH($B123,Régions!$A$2:$A$6,0))</f>
        <v>9966.74398120963</v>
      </c>
      <c r="AE123" s="47" t="n">
        <f aca="false">F123*INDEX(Régions!$AB$2:$AB$6,MATCH($B123,Régions!$A$2:$A$6,0))</f>
        <v>8763.36794582393</v>
      </c>
      <c r="AF123" s="47" t="n">
        <f aca="false">G123*INDEX(Régions!$AC$2:$AC$6,MATCH($B123,Régions!$A$2:$A$6,0))</f>
        <v>6629.26897844424</v>
      </c>
      <c r="AG123" s="47" t="n">
        <f aca="false">H123*INDEX(Régions!$AD$2:$AD$6,MATCH($B123,Régions!$A$2:$A$6,0))</f>
        <v>2227.13139418255</v>
      </c>
      <c r="AH123" s="47" t="n">
        <f aca="false">I123*INDEX(Régions!$AE$2:$AE$6,MATCH($B123,Régions!$A$2:$A$6,0))</f>
        <v>1225.94249201278</v>
      </c>
      <c r="AI123" s="47" t="n">
        <f aca="false">D123*INDEX(Régions!$AF$2:$AF$6,MATCH($B123,Régions!$A$2:$A$6,0))</f>
        <v>4180.65967016492</v>
      </c>
      <c r="AJ123" s="47" t="n">
        <f aca="false">E123*INDEX(Régions!$AG$2:$AG$6,MATCH($B123,Régions!$A$2:$A$6,0))</f>
        <v>8203.19142689372</v>
      </c>
      <c r="AK123" s="47" t="n">
        <f aca="false">F123*INDEX(Régions!$AH$2:$AH$6,MATCH($B123,Régions!$A$2:$A$6,0))</f>
        <v>5914.19413092551</v>
      </c>
      <c r="AL123" s="47" t="n">
        <f aca="false">G123*INDEX(Régions!$AI$2:$AI$6,MATCH($B123,Régions!$A$2:$A$6,0))</f>
        <v>5026.5885660731</v>
      </c>
      <c r="AM123" s="47" t="n">
        <f aca="false">H123*INDEX(Régions!$AJ$2:$AJ$6,MATCH($B123,Régions!$A$2:$A$6,0))</f>
        <v>926.328986960883</v>
      </c>
      <c r="AN123" s="47" t="n">
        <f aca="false">I123*INDEX(Régions!$AK$2:$AK$6,MATCH($B123,Régions!$A$2:$A$6,0))</f>
        <v>0</v>
      </c>
      <c r="AO123" s="49" t="str">
        <f aca="false">INDEX({"CAQ","PLQ","QS","PQ","PCQ","Autre"},MATCH(MAX(Q123:V123),Q123:V123,0))</f>
        <v>PLQ</v>
      </c>
      <c r="AP123" s="49" t="str">
        <f aca="false">INDEX({"CAQ","PLQ","QS","PQ","PCQ","Autre"},MATCH(MAX(W123:AB123),W123:AB123,0))</f>
        <v>PLQ</v>
      </c>
      <c r="AQ123" s="49" t="str">
        <f aca="false">INDEX({"CAQ","PLQ","QS","PQ","PCQ","Autre"},MATCH(MAX(AC123:AH123),AC123:AH123,0))</f>
        <v>PLQ</v>
      </c>
      <c r="AR123" s="49" t="str">
        <f aca="false">INDEX({"CAQ","PLQ","QS","PQ","PCQ","Autre"},MATCH(MAX(AI123:AN123),AI123:AN123,0))</f>
        <v>PLQ</v>
      </c>
      <c r="AS123" s="50" t="n">
        <f aca="false">(MAX(K123:P123)-LARGE(K123:P123,2))*100</f>
        <v>1.48264882771041</v>
      </c>
      <c r="AT123" s="51" t="str">
        <f aca="false">IF(AS123&lt;5,"Oui","Non")</f>
        <v>Oui</v>
      </c>
      <c r="AU123" s="52" t="n">
        <v>0.509</v>
      </c>
      <c r="AV123" s="52" t="n">
        <v>2.228</v>
      </c>
      <c r="AW123" s="52" t="n">
        <v>6.335</v>
      </c>
      <c r="AX123" s="52" t="n">
        <v>-3.042</v>
      </c>
    </row>
    <row r="124" customFormat="false" ht="15" hidden="false" customHeight="true" outlineLevel="0" collapsed="false">
      <c r="A124" s="35" t="s">
        <v>195</v>
      </c>
      <c r="B124" s="35" t="s">
        <v>73</v>
      </c>
      <c r="C124" s="36" t="s">
        <v>4</v>
      </c>
      <c r="D124" s="37" t="n">
        <v>3201</v>
      </c>
      <c r="E124" s="37" t="n">
        <v>8049</v>
      </c>
      <c r="F124" s="37" t="n">
        <v>6418</v>
      </c>
      <c r="G124" s="37" t="n">
        <v>1598</v>
      </c>
      <c r="H124" s="37" t="n">
        <v>1294</v>
      </c>
      <c r="I124" s="37" t="n">
        <v>522</v>
      </c>
      <c r="J124" s="38" t="n">
        <f aca="false">SUM(D124:I124)</f>
        <v>21082</v>
      </c>
      <c r="K124" s="39" t="n">
        <f aca="false">IFERROR(D124/J124,0)</f>
        <v>0.151835689213547</v>
      </c>
      <c r="L124" s="39" t="n">
        <f aca="false">IFERROR(E124/J124,0)</f>
        <v>0.381794896119913</v>
      </c>
      <c r="M124" s="39" t="n">
        <f aca="false">IFERROR(F124/J124,0)</f>
        <v>0.304430319704013</v>
      </c>
      <c r="N124" s="39" t="n">
        <f aca="false">IFERROR(G124/J124,0)</f>
        <v>0.075799260032255</v>
      </c>
      <c r="O124" s="39" t="n">
        <f aca="false">IFERROR(H124/J124,0)</f>
        <v>0.0613793757707997</v>
      </c>
      <c r="P124" s="39" t="n">
        <f aca="false">IFERROR(I124/J124,0)</f>
        <v>0.0247604591594725</v>
      </c>
      <c r="Q124" s="38" t="n">
        <f aca="false">D124*INDEX(Régions!$T$2:$T$6,MATCH($B124,Régions!$A$2:$A$6,0))</f>
        <v>2399.55022488756</v>
      </c>
      <c r="R124" s="38" t="n">
        <f aca="false">E124*INDEX(Régions!$U$2:$U$6,MATCH($B124,Régions!$A$2:$A$6,0))</f>
        <v>8034.82090428655</v>
      </c>
      <c r="S124" s="38" t="n">
        <f aca="false">F124*INDEX(Régions!$V$2:$V$6,MATCH($B124,Régions!$A$2:$A$6,0))</f>
        <v>4925.77878103838</v>
      </c>
      <c r="T124" s="38" t="n">
        <f aca="false">G124*INDEX(Régions!$W$2:$W$6,MATCH($B124,Régions!$A$2:$A$6,0))</f>
        <v>3594.37675726336</v>
      </c>
      <c r="U124" s="38" t="n">
        <f aca="false">H124*INDEX(Régions!$X$2:$X$6,MATCH($B124,Régions!$A$2:$A$6,0))</f>
        <v>1038.3149448345</v>
      </c>
      <c r="V124" s="38" t="n">
        <f aca="false">I124*INDEX(Régions!$Y$2:$Y$6,MATCH($B124,Régions!$A$2:$A$6,0))</f>
        <v>333.546325878594</v>
      </c>
      <c r="W124" s="38" t="n">
        <f aca="false">Q124+(AU124/100)*J124*Régions!$O$2</f>
        <v>2119.47585488756</v>
      </c>
      <c r="X124" s="38" t="n">
        <f aca="false">R124+(AV124/100)*J124*Régions!$O$2</f>
        <v>8036.08582428655</v>
      </c>
      <c r="Y124" s="38" t="n">
        <f aca="false">S124+(AW124/100)*J124*Régions!$O$2</f>
        <v>5521.45069103838</v>
      </c>
      <c r="Z124" s="38" t="n">
        <f aca="false">T124+(AX124/100)*J124*Régions!$O$2</f>
        <v>3648.34667726336</v>
      </c>
      <c r="AA124" s="38" t="n">
        <f aca="false">U124</f>
        <v>1038.3149448345</v>
      </c>
      <c r="AB124" s="38" t="n">
        <f aca="false">V124</f>
        <v>333.546325878594</v>
      </c>
      <c r="AC124" s="38" t="n">
        <f aca="false">D124*INDEX(Régions!$Z$2:$Z$6,MATCH($B124,Régions!$A$2:$A$6,0))</f>
        <v>2927.45127436282</v>
      </c>
      <c r="AD124" s="38" t="n">
        <f aca="false">E124*INDEX(Régions!$AA$2:$AA$6,MATCH($B124,Régions!$A$2:$A$6,0))</f>
        <v>8814.67116852613</v>
      </c>
      <c r="AE124" s="38" t="n">
        <f aca="false">F124*INDEX(Régions!$AB$2:$AB$6,MATCH($B124,Régions!$A$2:$A$6,0))</f>
        <v>5881.95936794583</v>
      </c>
      <c r="AF124" s="38" t="n">
        <f aca="false">G124*INDEX(Régions!$AC$2:$AC$6,MATCH($B124,Régions!$A$2:$A$6,0))</f>
        <v>4088.60356138707</v>
      </c>
      <c r="AG124" s="38" t="n">
        <f aca="false">H124*INDEX(Régions!$AD$2:$AD$6,MATCH($B124,Régions!$A$2:$A$6,0))</f>
        <v>1466.61985957874</v>
      </c>
      <c r="AH124" s="38" t="n">
        <f aca="false">I124*INDEX(Régions!$AE$2:$AE$6,MATCH($B124,Régions!$A$2:$A$6,0))</f>
        <v>883.897763578275</v>
      </c>
      <c r="AI124" s="38" t="n">
        <f aca="false">D124*INDEX(Régions!$AF$2:$AF$6,MATCH($B124,Régions!$A$2:$A$6,0))</f>
        <v>1871.64917541229</v>
      </c>
      <c r="AJ124" s="38" t="n">
        <f aca="false">E124*INDEX(Régions!$AG$2:$AG$6,MATCH($B124,Régions!$A$2:$A$6,0))</f>
        <v>7254.97064004698</v>
      </c>
      <c r="AK124" s="38" t="n">
        <f aca="false">F124*INDEX(Régions!$AH$2:$AH$6,MATCH($B124,Régions!$A$2:$A$6,0))</f>
        <v>3969.59819413093</v>
      </c>
      <c r="AL124" s="38" t="n">
        <f aca="false">G124*INDEX(Régions!$AI$2:$AI$6,MATCH($B124,Régions!$A$2:$A$6,0))</f>
        <v>3100.14995313964</v>
      </c>
      <c r="AM124" s="38" t="n">
        <f aca="false">H124*INDEX(Régions!$AJ$2:$AJ$6,MATCH($B124,Régions!$A$2:$A$6,0))</f>
        <v>610.010030090271</v>
      </c>
      <c r="AN124" s="38" t="n">
        <f aca="false">I124*INDEX(Régions!$AK$2:$AK$6,MATCH($B124,Régions!$A$2:$A$6,0))</f>
        <v>0</v>
      </c>
      <c r="AO124" s="40" t="str">
        <f aca="false">INDEX({"CAQ","PLQ","QS","PQ","PCQ","Autre"},MATCH(MAX(Q124:V124),Q124:V124,0))</f>
        <v>PLQ</v>
      </c>
      <c r="AP124" s="40" t="str">
        <f aca="false">INDEX({"CAQ","PLQ","QS","PQ","PCQ","Autre"},MATCH(MAX(W124:AB124),W124:AB124,0))</f>
        <v>PLQ</v>
      </c>
      <c r="AQ124" s="40" t="str">
        <f aca="false">INDEX({"CAQ","PLQ","QS","PQ","PCQ","Autre"},MATCH(MAX(AC124:AH124),AC124:AH124,0))</f>
        <v>PLQ</v>
      </c>
      <c r="AR124" s="40" t="str">
        <f aca="false">INDEX({"CAQ","PLQ","QS","PQ","PCQ","Autre"},MATCH(MAX(AI124:AN124),AI124:AN124,0))</f>
        <v>PLQ</v>
      </c>
      <c r="AS124" s="41" t="n">
        <f aca="false">(MAX(K124:P124)-LARGE(K124:P124,2))*100</f>
        <v>7.73645764158998</v>
      </c>
      <c r="AT124" s="42" t="str">
        <f aca="false">IF(AS124&lt;5,"Oui","Non")</f>
        <v>Non</v>
      </c>
      <c r="AU124" s="43" t="n">
        <v>-2.657</v>
      </c>
      <c r="AV124" s="43" t="n">
        <v>0.012</v>
      </c>
      <c r="AW124" s="43" t="n">
        <v>5.651</v>
      </c>
      <c r="AX124" s="43" t="n">
        <v>0.512</v>
      </c>
    </row>
    <row r="125" customFormat="false" ht="15" hidden="false" customHeight="true" outlineLevel="0" collapsed="false">
      <c r="A125" s="44" t="s">
        <v>196</v>
      </c>
      <c r="B125" s="44" t="s">
        <v>80</v>
      </c>
      <c r="C125" s="45" t="s">
        <v>3</v>
      </c>
      <c r="D125" s="46" t="n">
        <v>10957</v>
      </c>
      <c r="E125" s="46" t="n">
        <v>9541</v>
      </c>
      <c r="F125" s="46" t="n">
        <v>3669</v>
      </c>
      <c r="G125" s="46" t="n">
        <v>3379</v>
      </c>
      <c r="H125" s="46" t="n">
        <v>4118</v>
      </c>
      <c r="I125" s="46" t="n">
        <v>301</v>
      </c>
      <c r="J125" s="47" t="n">
        <f aca="false">SUM(D125:I125)</f>
        <v>31965</v>
      </c>
      <c r="K125" s="48" t="n">
        <f aca="false">IFERROR(D125/J125,0)</f>
        <v>0.342781166901298</v>
      </c>
      <c r="L125" s="48" t="n">
        <f aca="false">IFERROR(E125/J125,0)</f>
        <v>0.298482715470045</v>
      </c>
      <c r="M125" s="48" t="n">
        <f aca="false">IFERROR(F125/J125,0)</f>
        <v>0.114781792585641</v>
      </c>
      <c r="N125" s="48" t="n">
        <f aca="false">IFERROR(G125/J125,0)</f>
        <v>0.105709369623025</v>
      </c>
      <c r="O125" s="48" t="n">
        <f aca="false">IFERROR(H125/J125,0)</f>
        <v>0.128828406069138</v>
      </c>
      <c r="P125" s="48" t="n">
        <f aca="false">IFERROR(I125/J125,0)</f>
        <v>0.00941654935085249</v>
      </c>
      <c r="Q125" s="47" t="n">
        <f aca="false">D125*INDEX(Régions!$T$2:$T$6,MATCH($B125,Régions!$A$2:$A$6,0))</f>
        <v>7745.17340402032</v>
      </c>
      <c r="R125" s="47" t="n">
        <f aca="false">E125*INDEX(Régions!$U$2:$U$6,MATCH($B125,Régions!$A$2:$A$6,0))</f>
        <v>12188.6444286728</v>
      </c>
      <c r="S125" s="47" t="n">
        <f aca="false">F125*INDEX(Régions!$V$2:$V$6,MATCH($B125,Régions!$A$2:$A$6,0))</f>
        <v>1850.36023054755</v>
      </c>
      <c r="T125" s="47" t="n">
        <f aca="false">G125*INDEX(Régions!$W$2:$W$6,MATCH($B125,Régions!$A$2:$A$6,0))</f>
        <v>6651.57480314961</v>
      </c>
      <c r="U125" s="47" t="n">
        <f aca="false">H125*INDEX(Régions!$X$2:$X$6,MATCH($B125,Régions!$A$2:$A$6,0))</f>
        <v>4807.00389105058</v>
      </c>
      <c r="V125" s="47" t="n">
        <f aca="false">I125*INDEX(Régions!$Y$2:$Y$6,MATCH($B125,Régions!$A$2:$A$6,0))</f>
        <v>242.741935483871</v>
      </c>
      <c r="W125" s="47" t="n">
        <f aca="false">Q125+(AU125/100)*J125*Régions!$O$2</f>
        <v>7143.27245402032</v>
      </c>
      <c r="X125" s="47" t="n">
        <f aca="false">R125+(AV125/100)*J125*Régions!$O$2</f>
        <v>12197.1151536728</v>
      </c>
      <c r="Y125" s="47" t="n">
        <f aca="false">S125+(AW125/100)*J125*Régions!$O$2</f>
        <v>1956.48403054755</v>
      </c>
      <c r="Z125" s="47" t="n">
        <f aca="false">T125+(AX125/100)*J125*Régions!$O$2</f>
        <v>6843.36480314961</v>
      </c>
      <c r="AA125" s="47" t="n">
        <f aca="false">U125</f>
        <v>4807.00389105058</v>
      </c>
      <c r="AB125" s="47" t="n">
        <f aca="false">V125</f>
        <v>242.741935483871</v>
      </c>
      <c r="AC125" s="47" t="n">
        <f aca="false">D125*INDEX(Régions!$Z$2:$Z$6,MATCH($B125,Régions!$A$2:$A$6,0))</f>
        <v>8543.89441130992</v>
      </c>
      <c r="AD125" s="47" t="n">
        <f aca="false">E125*INDEX(Régions!$AA$2:$AA$6,MATCH($B125,Régions!$A$2:$A$6,0))</f>
        <v>14423.2292405962</v>
      </c>
      <c r="AE125" s="47" t="n">
        <f aca="false">F125*INDEX(Régions!$AB$2:$AB$6,MATCH($B125,Régions!$A$2:$A$6,0))</f>
        <v>2722.67291066282</v>
      </c>
      <c r="AF125" s="47" t="n">
        <f aca="false">G125*INDEX(Régions!$AC$2:$AC$6,MATCH($B125,Régions!$A$2:$A$6,0))</f>
        <v>7383.24803149606</v>
      </c>
      <c r="AG125" s="47" t="n">
        <f aca="false">H125*INDEX(Régions!$AD$2:$AD$6,MATCH($B125,Régions!$A$2:$A$6,0))</f>
        <v>6128.9299610895</v>
      </c>
      <c r="AH125" s="47" t="n">
        <f aca="false">I125*INDEX(Régions!$AE$2:$AE$6,MATCH($B125,Régions!$A$2:$A$6,0))</f>
        <v>1043.79032258065</v>
      </c>
      <c r="AI125" s="47" t="n">
        <f aca="false">D125*INDEX(Régions!$AF$2:$AF$6,MATCH($B125,Régions!$A$2:$A$6,0))</f>
        <v>6946.45239673073</v>
      </c>
      <c r="AJ125" s="47" t="n">
        <f aca="false">E125*INDEX(Régions!$AG$2:$AG$6,MATCH($B125,Régions!$A$2:$A$6,0))</f>
        <v>9954.05961674947</v>
      </c>
      <c r="AK125" s="47" t="n">
        <f aca="false">F125*INDEX(Régions!$AH$2:$AH$6,MATCH($B125,Régions!$A$2:$A$6,0))</f>
        <v>978.047550432277</v>
      </c>
      <c r="AL125" s="47" t="n">
        <f aca="false">G125*INDEX(Régions!$AI$2:$AI$6,MATCH($B125,Régions!$A$2:$A$6,0))</f>
        <v>5919.90157480315</v>
      </c>
      <c r="AM125" s="47" t="n">
        <f aca="false">H125*INDEX(Régions!$AJ$2:$AJ$6,MATCH($B125,Régions!$A$2:$A$6,0))</f>
        <v>3485.07782101167</v>
      </c>
      <c r="AN125" s="47" t="n">
        <f aca="false">I125*INDEX(Régions!$AK$2:$AK$6,MATCH($B125,Régions!$A$2:$A$6,0))</f>
        <v>0</v>
      </c>
      <c r="AO125" s="49" t="str">
        <f aca="false">INDEX({"CAQ","PLQ","QS","PQ","PCQ","Autre"},MATCH(MAX(Q125:V125),Q125:V125,0))</f>
        <v>PLQ</v>
      </c>
      <c r="AP125" s="49" t="str">
        <f aca="false">INDEX({"CAQ","PLQ","QS","PQ","PCQ","Autre"},MATCH(MAX(W125:AB125),W125:AB125,0))</f>
        <v>PLQ</v>
      </c>
      <c r="AQ125" s="49" t="str">
        <f aca="false">INDEX({"CAQ","PLQ","QS","PQ","PCQ","Autre"},MATCH(MAX(AC125:AH125),AC125:AH125,0))</f>
        <v>PLQ</v>
      </c>
      <c r="AR125" s="49" t="str">
        <f aca="false">INDEX({"CAQ","PLQ","QS","PQ","PCQ","Autre"},MATCH(MAX(AI125:AN125),AI125:AN125,0))</f>
        <v>PLQ</v>
      </c>
      <c r="AS125" s="50" t="n">
        <f aca="false">(MAX(K125:P125)-LARGE(K125:P125,2))*100</f>
        <v>4.42984514312529</v>
      </c>
      <c r="AT125" s="51" t="str">
        <f aca="false">IF(AS125&lt;5,"Oui","Non")</f>
        <v>Oui</v>
      </c>
      <c r="AU125" s="52" t="n">
        <v>-3.766</v>
      </c>
      <c r="AV125" s="52" t="n">
        <v>0.053</v>
      </c>
      <c r="AW125" s="52" t="n">
        <v>0.664</v>
      </c>
      <c r="AX125" s="52" t="n">
        <v>1.2</v>
      </c>
    </row>
    <row r="126" customFormat="false" ht="15" hidden="false" customHeight="true" outlineLevel="0" collapsed="false">
      <c r="A126" s="35" t="s">
        <v>197</v>
      </c>
      <c r="B126" s="35" t="s">
        <v>73</v>
      </c>
      <c r="C126" s="36" t="s">
        <v>4</v>
      </c>
      <c r="D126" s="37" t="n">
        <v>2112</v>
      </c>
      <c r="E126" s="37" t="n">
        <v>10576</v>
      </c>
      <c r="F126" s="37" t="n">
        <v>2687</v>
      </c>
      <c r="G126" s="37" t="n">
        <v>1267</v>
      </c>
      <c r="H126" s="37" t="n">
        <v>2959</v>
      </c>
      <c r="I126" s="37" t="n">
        <v>1351</v>
      </c>
      <c r="J126" s="38" t="n">
        <f aca="false">SUM(D126:I126)</f>
        <v>20952</v>
      </c>
      <c r="K126" s="39" t="n">
        <f aca="false">IFERROR(D126/J126,0)</f>
        <v>0.100801832760596</v>
      </c>
      <c r="L126" s="39" t="n">
        <f aca="false">IFERROR(E126/J126,0)</f>
        <v>0.504772814051165</v>
      </c>
      <c r="M126" s="39" t="n">
        <f aca="false">IFERROR(F126/J126,0)</f>
        <v>0.128245513554792</v>
      </c>
      <c r="N126" s="39" t="n">
        <f aca="false">IFERROR(G126/J126,0)</f>
        <v>0.0604715540282551</v>
      </c>
      <c r="O126" s="39" t="n">
        <f aca="false">IFERROR(H126/J126,0)</f>
        <v>0.14122756777396</v>
      </c>
      <c r="P126" s="39" t="n">
        <f aca="false">IFERROR(I126/J126,0)</f>
        <v>0.0644807178312333</v>
      </c>
      <c r="Q126" s="38" t="n">
        <f aca="false">D126*INDEX(Régions!$T$2:$T$6,MATCH($B126,Régions!$A$2:$A$6,0))</f>
        <v>1583.2083958021</v>
      </c>
      <c r="R126" s="38" t="n">
        <f aca="false">E126*INDEX(Régions!$U$2:$U$6,MATCH($B126,Régions!$A$2:$A$6,0))</f>
        <v>10557.369348209</v>
      </c>
      <c r="S126" s="38" t="n">
        <f aca="false">F126*INDEX(Régions!$V$2:$V$6,MATCH($B126,Régions!$A$2:$A$6,0))</f>
        <v>2062.25733634312</v>
      </c>
      <c r="T126" s="38" t="n">
        <f aca="false">G126*INDEX(Régions!$W$2:$W$6,MATCH($B126,Régions!$A$2:$A$6,0))</f>
        <v>2849.85941893158</v>
      </c>
      <c r="U126" s="38" t="n">
        <f aca="false">H126*INDEX(Régions!$X$2:$X$6,MATCH($B126,Régions!$A$2:$A$6,0))</f>
        <v>2374.32296890672</v>
      </c>
      <c r="V126" s="38" t="n">
        <f aca="false">I126*INDEX(Régions!$Y$2:$Y$6,MATCH($B126,Régions!$A$2:$A$6,0))</f>
        <v>863.258785942492</v>
      </c>
      <c r="W126" s="38" t="n">
        <f aca="false">Q126+(AU126/100)*J126*Régions!$O$2</f>
        <v>1404.2783158021</v>
      </c>
      <c r="X126" s="38" t="n">
        <f aca="false">R126+(AV126/100)*J126*Régions!$O$2</f>
        <v>9743.38414820904</v>
      </c>
      <c r="Y126" s="38" t="n">
        <f aca="false">S126+(AW126/100)*J126*Régions!$O$2</f>
        <v>2282.98665634312</v>
      </c>
      <c r="Z126" s="38" t="n">
        <f aca="false">T126+(AX126/100)*J126*Régions!$O$2</f>
        <v>3083.05517893158</v>
      </c>
      <c r="AA126" s="38" t="n">
        <f aca="false">U126</f>
        <v>2374.32296890672</v>
      </c>
      <c r="AB126" s="38" t="n">
        <f aca="false">V126</f>
        <v>863.258785942492</v>
      </c>
      <c r="AC126" s="38" t="n">
        <f aca="false">D126*INDEX(Régions!$Z$2:$Z$6,MATCH($B126,Régions!$A$2:$A$6,0))</f>
        <v>1931.51424287856</v>
      </c>
      <c r="AD126" s="38" t="n">
        <f aca="false">E126*INDEX(Régions!$AA$2:$AA$6,MATCH($B126,Régions!$A$2:$A$6,0))</f>
        <v>11582.0551967117</v>
      </c>
      <c r="AE126" s="38" t="n">
        <f aca="false">F126*INDEX(Régions!$AB$2:$AB$6,MATCH($B126,Régions!$A$2:$A$6,0))</f>
        <v>2462.57787810384</v>
      </c>
      <c r="AF126" s="38" t="n">
        <f aca="false">G126*INDEX(Régions!$AC$2:$AC$6,MATCH($B126,Régions!$A$2:$A$6,0))</f>
        <v>3241.71508903468</v>
      </c>
      <c r="AG126" s="38" t="n">
        <f aca="false">H126*INDEX(Régions!$AD$2:$AD$6,MATCH($B126,Régions!$A$2:$A$6,0))</f>
        <v>3353.73119358074</v>
      </c>
      <c r="AH126" s="38" t="n">
        <f aca="false">I126*INDEX(Régions!$AE$2:$AE$6,MATCH($B126,Régions!$A$2:$A$6,0))</f>
        <v>2287.6357827476</v>
      </c>
      <c r="AI126" s="38" t="n">
        <f aca="false">D126*INDEX(Régions!$AF$2:$AF$6,MATCH($B126,Régions!$A$2:$A$6,0))</f>
        <v>1234.90254872564</v>
      </c>
      <c r="AJ126" s="38" t="n">
        <f aca="false">E126*INDEX(Régions!$AG$2:$AG$6,MATCH($B126,Régions!$A$2:$A$6,0))</f>
        <v>9532.6834997064</v>
      </c>
      <c r="AK126" s="38" t="n">
        <f aca="false">F126*INDEX(Régions!$AH$2:$AH$6,MATCH($B126,Régions!$A$2:$A$6,0))</f>
        <v>1661.93679458239</v>
      </c>
      <c r="AL126" s="38" t="n">
        <f aca="false">G126*INDEX(Régions!$AI$2:$AI$6,MATCH($B126,Régions!$A$2:$A$6,0))</f>
        <v>2458.00374882849</v>
      </c>
      <c r="AM126" s="38" t="n">
        <f aca="false">H126*INDEX(Régions!$AJ$2:$AJ$6,MATCH($B126,Régions!$A$2:$A$6,0))</f>
        <v>1394.9147442327</v>
      </c>
      <c r="AN126" s="38" t="n">
        <f aca="false">I126*INDEX(Régions!$AK$2:$AK$6,MATCH($B126,Régions!$A$2:$A$6,0))</f>
        <v>0</v>
      </c>
      <c r="AO126" s="40" t="str">
        <f aca="false">INDEX({"CAQ","PLQ","QS","PQ","PCQ","Autre"},MATCH(MAX(Q126:V126),Q126:V126,0))</f>
        <v>PLQ</v>
      </c>
      <c r="AP126" s="40" t="str">
        <f aca="false">INDEX({"CAQ","PLQ","QS","PQ","PCQ","Autre"},MATCH(MAX(W126:AB126),W126:AB126,0))</f>
        <v>PLQ</v>
      </c>
      <c r="AQ126" s="40" t="str">
        <f aca="false">INDEX({"CAQ","PLQ","QS","PQ","PCQ","Autre"},MATCH(MAX(AC126:AH126),AC126:AH126,0))</f>
        <v>PLQ</v>
      </c>
      <c r="AR126" s="40" t="str">
        <f aca="false">INDEX({"CAQ","PLQ","QS","PQ","PCQ","Autre"},MATCH(MAX(AI126:AN126),AI126:AN126,0))</f>
        <v>PLQ</v>
      </c>
      <c r="AS126" s="41" t="n">
        <f aca="false">(MAX(K126:P126)-LARGE(K126:P126,2))*100</f>
        <v>36.3545246277205</v>
      </c>
      <c r="AT126" s="42" t="str">
        <f aca="false">IF(AS126&lt;5,"Oui","Non")</f>
        <v>Non</v>
      </c>
      <c r="AU126" s="43" t="n">
        <v>-1.708</v>
      </c>
      <c r="AV126" s="43" t="n">
        <v>-7.77</v>
      </c>
      <c r="AW126" s="43" t="n">
        <v>2.107</v>
      </c>
      <c r="AX126" s="43" t="n">
        <v>2.226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6" min="2" style="1" width="12"/>
  </cols>
  <sheetData>
    <row r="1" customFormat="false" ht="30" hidden="false" customHeight="true" outlineLevel="0" collapsed="false">
      <c r="A1" s="25" t="s">
        <v>20</v>
      </c>
      <c r="B1" s="25" t="s">
        <v>198</v>
      </c>
      <c r="C1" s="25" t="s">
        <v>199</v>
      </c>
      <c r="D1" s="25" t="s">
        <v>200</v>
      </c>
      <c r="E1" s="25" t="s">
        <v>201</v>
      </c>
      <c r="F1" s="25" t="s">
        <v>202</v>
      </c>
      <c r="G1" s="25" t="s">
        <v>203</v>
      </c>
      <c r="H1" s="25" t="s">
        <v>204</v>
      </c>
      <c r="I1" s="25" t="s">
        <v>205</v>
      </c>
      <c r="J1" s="25" t="s">
        <v>206</v>
      </c>
      <c r="K1" s="25" t="s">
        <v>207</v>
      </c>
      <c r="L1" s="25" t="s">
        <v>208</v>
      </c>
      <c r="M1" s="25" t="s">
        <v>209</v>
      </c>
      <c r="N1" s="25" t="s">
        <v>210</v>
      </c>
      <c r="O1" s="25" t="s">
        <v>211</v>
      </c>
      <c r="P1" s="25"/>
      <c r="Q1" s="25"/>
      <c r="R1" s="25"/>
      <c r="S1" s="25"/>
      <c r="T1" s="25" t="s">
        <v>212</v>
      </c>
      <c r="U1" s="25" t="s">
        <v>213</v>
      </c>
      <c r="V1" s="25" t="s">
        <v>214</v>
      </c>
      <c r="W1" s="25" t="s">
        <v>215</v>
      </c>
      <c r="X1" s="25" t="s">
        <v>216</v>
      </c>
      <c r="Y1" s="25" t="s">
        <v>217</v>
      </c>
      <c r="Z1" s="25" t="s">
        <v>218</v>
      </c>
      <c r="AA1" s="25" t="s">
        <v>219</v>
      </c>
      <c r="AB1" s="25" t="s">
        <v>220</v>
      </c>
      <c r="AC1" s="25" t="s">
        <v>221</v>
      </c>
      <c r="AD1" s="25" t="s">
        <v>222</v>
      </c>
      <c r="AE1" s="25" t="s">
        <v>223</v>
      </c>
      <c r="AF1" s="25" t="s">
        <v>224</v>
      </c>
      <c r="AG1" s="25" t="s">
        <v>225</v>
      </c>
      <c r="AH1" s="25" t="s">
        <v>226</v>
      </c>
      <c r="AI1" s="25" t="s">
        <v>227</v>
      </c>
      <c r="AJ1" s="25" t="s">
        <v>228</v>
      </c>
      <c r="AK1" s="25" t="s">
        <v>229</v>
      </c>
    </row>
    <row r="2" customFormat="false" ht="15" hidden="false" customHeight="true" outlineLevel="0" collapsed="false">
      <c r="A2" s="22" t="s">
        <v>230</v>
      </c>
      <c r="B2" s="53" t="n">
        <v>36.26</v>
      </c>
      <c r="C2" s="53" t="n">
        <v>21.22</v>
      </c>
      <c r="D2" s="53" t="n">
        <v>16.83</v>
      </c>
      <c r="E2" s="53" t="n">
        <v>13.61</v>
      </c>
      <c r="F2" s="53" t="n">
        <v>10.17</v>
      </c>
      <c r="G2" s="53" t="n">
        <v>1.92</v>
      </c>
      <c r="H2" s="54" t="n">
        <v>23</v>
      </c>
      <c r="I2" s="54" t="n">
        <v>26</v>
      </c>
      <c r="J2" s="54" t="n">
        <v>12</v>
      </c>
      <c r="K2" s="54" t="n">
        <v>27</v>
      </c>
      <c r="L2" s="54" t="n">
        <v>10</v>
      </c>
      <c r="M2" s="54" t="n">
        <v>2</v>
      </c>
      <c r="N2" s="55" t="n">
        <v>3.3</v>
      </c>
      <c r="O2" s="55" t="n">
        <v>0.5</v>
      </c>
      <c r="T2" s="56" t="n">
        <f aca="false">IFERROR(H2/B2,1)</f>
        <v>0.63430777716492</v>
      </c>
      <c r="U2" s="56" t="n">
        <f aca="false">IFERROR(I2/C2,1)</f>
        <v>1.22525918944392</v>
      </c>
      <c r="V2" s="56" t="n">
        <f aca="false">IFERROR(J2/D2,1)</f>
        <v>0.71301247771836</v>
      </c>
      <c r="W2" s="56" t="n">
        <f aca="false">IFERROR(K2/E2,1)</f>
        <v>1.98383541513593</v>
      </c>
      <c r="X2" s="56" t="n">
        <f aca="false">IFERROR(L2/F2,1)</f>
        <v>0.983284169124877</v>
      </c>
      <c r="Y2" s="56" t="n">
        <f aca="false">IFERROR(M2/G2,1)</f>
        <v>1.04166666666667</v>
      </c>
      <c r="Z2" s="56" t="n">
        <f aca="false">IFERROR((H2+$N$2)/B2,1)</f>
        <v>0.725317153888583</v>
      </c>
      <c r="AA2" s="56" t="n">
        <f aca="false">IFERROR((I2+$N$2)/C2,1)</f>
        <v>1.38077285579642</v>
      </c>
      <c r="AB2" s="56" t="n">
        <f aca="false">IFERROR((J2+$N$2)/D2,1)</f>
        <v>0.909090909090909</v>
      </c>
      <c r="AC2" s="56" t="n">
        <f aca="false">IFERROR((K2+$N$2)/E2,1)</f>
        <v>2.22630418809699</v>
      </c>
      <c r="AD2" s="56" t="n">
        <f aca="false">IFERROR((L2+$N$2)/F2,1)</f>
        <v>1.30776794493609</v>
      </c>
      <c r="AE2" s="56" t="n">
        <f aca="false">IFERROR((M2+$N$2)/G2,1)</f>
        <v>2.76041666666667</v>
      </c>
      <c r="AF2" s="56" t="n">
        <f aca="false">IFERROR(MAX((H2-$N$2),0)/B2,1)</f>
        <v>0.543298400441258</v>
      </c>
      <c r="AG2" s="56" t="n">
        <f aca="false">IFERROR(MAX((I2-$N$2),0)/C2,1)</f>
        <v>1.06974552309142</v>
      </c>
      <c r="AH2" s="56" t="n">
        <f aca="false">IFERROR(MAX((J2-$N$2),0)/D2,1)</f>
        <v>0.516934046345811</v>
      </c>
      <c r="AI2" s="56" t="n">
        <f aca="false">IFERROR(MAX((K2-$N$2),0)/E2,1)</f>
        <v>1.74136664217487</v>
      </c>
      <c r="AJ2" s="56" t="n">
        <f aca="false">IFERROR(MAX((L2-$N$2),0)/F2,1)</f>
        <v>0.658800393313668</v>
      </c>
      <c r="AK2" s="56" t="n">
        <f aca="false">IFERROR(MAX((M2-$N$2),0)/G2,1)</f>
        <v>0</v>
      </c>
    </row>
    <row r="3" customFormat="false" ht="15" hidden="false" customHeight="true" outlineLevel="0" collapsed="false">
      <c r="A3" s="22" t="s">
        <v>73</v>
      </c>
      <c r="B3" s="53" t="n">
        <v>20.01</v>
      </c>
      <c r="C3" s="53" t="n">
        <v>34.06</v>
      </c>
      <c r="D3" s="53" t="n">
        <v>22.15</v>
      </c>
      <c r="E3" s="53" t="n">
        <v>10.67</v>
      </c>
      <c r="F3" s="53" t="n">
        <v>9.97</v>
      </c>
      <c r="G3" s="53" t="n">
        <v>3.13</v>
      </c>
      <c r="H3" s="54" t="n">
        <v>15</v>
      </c>
      <c r="I3" s="54" t="n">
        <v>34</v>
      </c>
      <c r="J3" s="54" t="n">
        <v>17</v>
      </c>
      <c r="K3" s="54" t="n">
        <v>24</v>
      </c>
      <c r="L3" s="54" t="n">
        <v>8</v>
      </c>
      <c r="M3" s="54" t="n">
        <v>2</v>
      </c>
      <c r="N3" s="57" t="s">
        <v>231</v>
      </c>
      <c r="O3" s="57" t="s">
        <v>231</v>
      </c>
      <c r="T3" s="56" t="n">
        <f aca="false">IFERROR(H3/B3,1)</f>
        <v>0.749625187406297</v>
      </c>
      <c r="U3" s="56" t="n">
        <f aca="false">IFERROR(I3/C3,1)</f>
        <v>0.998238402818556</v>
      </c>
      <c r="V3" s="56" t="n">
        <f aca="false">IFERROR(J3/D3,1)</f>
        <v>0.767494356659142</v>
      </c>
      <c r="W3" s="56" t="n">
        <f aca="false">IFERROR(K3/E3,1)</f>
        <v>2.24929709465792</v>
      </c>
      <c r="X3" s="56" t="n">
        <f aca="false">IFERROR(L3/F3,1)</f>
        <v>0.802407221664995</v>
      </c>
      <c r="Y3" s="56" t="n">
        <f aca="false">IFERROR(M3/G3,1)</f>
        <v>0.638977635782748</v>
      </c>
      <c r="Z3" s="56" t="n">
        <f aca="false">IFERROR((H3+$N$2)/B3,1)</f>
        <v>0.914542728635682</v>
      </c>
      <c r="AA3" s="56" t="n">
        <f aca="false">IFERROR((I3+$N$2)/C3,1)</f>
        <v>1.095126247798</v>
      </c>
      <c r="AB3" s="56" t="n">
        <f aca="false">IFERROR((J3+$N$2)/D3,1)</f>
        <v>0.916478555304741</v>
      </c>
      <c r="AC3" s="56" t="n">
        <f aca="false">IFERROR((K3+$N$2)/E3,1)</f>
        <v>2.55857544517338</v>
      </c>
      <c r="AD3" s="56" t="n">
        <f aca="false">IFERROR((L3+$N$2)/F3,1)</f>
        <v>1.13340020060181</v>
      </c>
      <c r="AE3" s="56" t="n">
        <f aca="false">IFERROR((M3+$N$2)/G3,1)</f>
        <v>1.69329073482428</v>
      </c>
      <c r="AF3" s="56" t="n">
        <f aca="false">IFERROR(MAX((H3-$N$2),0)/B3,1)</f>
        <v>0.584707646176912</v>
      </c>
      <c r="AG3" s="56" t="n">
        <f aca="false">IFERROR(MAX((I3-$N$2),0)/C3,1)</f>
        <v>0.901350557839107</v>
      </c>
      <c r="AH3" s="56" t="n">
        <f aca="false">IFERROR(MAX((J3-$N$2),0)/D3,1)</f>
        <v>0.618510158013544</v>
      </c>
      <c r="AI3" s="56" t="n">
        <f aca="false">IFERROR(MAX((K3-$N$2),0)/E3,1)</f>
        <v>1.94001874414246</v>
      </c>
      <c r="AJ3" s="56" t="n">
        <f aca="false">IFERROR(MAX((L3-$N$2),0)/F3,1)</f>
        <v>0.471414242728185</v>
      </c>
      <c r="AK3" s="56" t="n">
        <f aca="false">IFERROR(MAX((M3-$N$2),0)/G3,1)</f>
        <v>0</v>
      </c>
    </row>
    <row r="4" customFormat="false" ht="15" hidden="false" customHeight="true" outlineLevel="0" collapsed="false">
      <c r="A4" s="22" t="s">
        <v>80</v>
      </c>
      <c r="B4" s="53" t="n">
        <v>45.27</v>
      </c>
      <c r="C4" s="53" t="n">
        <v>14.09</v>
      </c>
      <c r="D4" s="53" t="n">
        <v>13.88</v>
      </c>
      <c r="E4" s="53" t="n">
        <v>15.24</v>
      </c>
      <c r="F4" s="53" t="n">
        <v>10.28</v>
      </c>
      <c r="G4" s="53" t="n">
        <v>1.24</v>
      </c>
      <c r="H4" s="54" t="n">
        <v>32</v>
      </c>
      <c r="I4" s="54" t="n">
        <v>18</v>
      </c>
      <c r="J4" s="54" t="n">
        <v>7</v>
      </c>
      <c r="K4" s="54" t="n">
        <v>30</v>
      </c>
      <c r="L4" s="54" t="n">
        <v>12</v>
      </c>
      <c r="M4" s="54" t="n">
        <v>1</v>
      </c>
      <c r="T4" s="56" t="n">
        <f aca="false">IFERROR(H4/B4,1)</f>
        <v>0.706869891760548</v>
      </c>
      <c r="U4" s="56" t="n">
        <f aca="false">IFERROR(I4/C4,1)</f>
        <v>1.27750177430802</v>
      </c>
      <c r="V4" s="56" t="n">
        <f aca="false">IFERROR(J4/D4,1)</f>
        <v>0.504322766570605</v>
      </c>
      <c r="W4" s="56" t="n">
        <f aca="false">IFERROR(K4/E4,1)</f>
        <v>1.96850393700787</v>
      </c>
      <c r="X4" s="56" t="n">
        <f aca="false">IFERROR(L4/F4,1)</f>
        <v>1.16731517509728</v>
      </c>
      <c r="Y4" s="56" t="n">
        <f aca="false">IFERROR(M4/G4,1)</f>
        <v>0.806451612903226</v>
      </c>
      <c r="Z4" s="56" t="n">
        <f aca="false">IFERROR((H4+$N$2)/B4,1)</f>
        <v>0.779765849348354</v>
      </c>
      <c r="AA4" s="56" t="n">
        <f aca="false">IFERROR((I4+$N$2)/C4,1)</f>
        <v>1.51171043293116</v>
      </c>
      <c r="AB4" s="56" t="n">
        <f aca="false">IFERROR((J4+$N$2)/D4,1)</f>
        <v>0.742074927953891</v>
      </c>
      <c r="AC4" s="56" t="n">
        <f aca="false">IFERROR((K4+$N$2)/E4,1)</f>
        <v>2.18503937007874</v>
      </c>
      <c r="AD4" s="56" t="n">
        <f aca="false">IFERROR((L4+$N$2)/F4,1)</f>
        <v>1.48832684824903</v>
      </c>
      <c r="AE4" s="56" t="n">
        <f aca="false">IFERROR((M4+$N$2)/G4,1)</f>
        <v>3.46774193548387</v>
      </c>
      <c r="AF4" s="56" t="n">
        <f aca="false">IFERROR(MAX((H4-$N$2),0)/B4,1)</f>
        <v>0.633973934172741</v>
      </c>
      <c r="AG4" s="56" t="n">
        <f aca="false">IFERROR(MAX((I4-$N$2),0)/C4,1)</f>
        <v>1.04329311568488</v>
      </c>
      <c r="AH4" s="56" t="n">
        <f aca="false">IFERROR(MAX((J4-$N$2),0)/D4,1)</f>
        <v>0.26657060518732</v>
      </c>
      <c r="AI4" s="56" t="n">
        <f aca="false">IFERROR(MAX((K4-$N$2),0)/E4,1)</f>
        <v>1.75196850393701</v>
      </c>
      <c r="AJ4" s="56" t="n">
        <f aca="false">IFERROR(MAX((L4-$N$2),0)/F4,1)</f>
        <v>0.846303501945525</v>
      </c>
      <c r="AK4" s="56" t="n">
        <f aca="false">IFERROR(MAX((M4-$N$2),0)/G4,1)</f>
        <v>0</v>
      </c>
    </row>
    <row r="5" customFormat="false" ht="15" hidden="false" customHeight="true" outlineLevel="0" collapsed="false">
      <c r="A5" s="22" t="s">
        <v>94</v>
      </c>
      <c r="B5" s="53" t="n">
        <v>43.15</v>
      </c>
      <c r="C5" s="53" t="n">
        <v>5.84</v>
      </c>
      <c r="D5" s="53" t="n">
        <v>15.27</v>
      </c>
      <c r="E5" s="53" t="n">
        <v>13.27</v>
      </c>
      <c r="F5" s="53" t="n">
        <v>21.42</v>
      </c>
      <c r="G5" s="53" t="n">
        <v>1.06</v>
      </c>
      <c r="H5" s="54" t="n">
        <v>36</v>
      </c>
      <c r="I5" s="54" t="n">
        <v>7</v>
      </c>
      <c r="J5" s="54" t="n">
        <v>6</v>
      </c>
      <c r="K5" s="54" t="n">
        <v>28</v>
      </c>
      <c r="L5" s="54" t="n">
        <v>22</v>
      </c>
      <c r="M5" s="54" t="n">
        <v>1</v>
      </c>
      <c r="T5" s="56" t="n">
        <f aca="false">IFERROR(H5/B5,1)</f>
        <v>0.834298957126304</v>
      </c>
      <c r="U5" s="56" t="n">
        <f aca="false">IFERROR(I5/C5,1)</f>
        <v>1.1986301369863</v>
      </c>
      <c r="V5" s="56" t="n">
        <f aca="false">IFERROR(J5/D5,1)</f>
        <v>0.392927308447937</v>
      </c>
      <c r="W5" s="56" t="n">
        <f aca="false">IFERROR(K5/E5,1)</f>
        <v>2.11002260738508</v>
      </c>
      <c r="X5" s="56" t="n">
        <f aca="false">IFERROR(L5/F5,1)</f>
        <v>1.02707749766573</v>
      </c>
      <c r="Y5" s="56" t="n">
        <f aca="false">IFERROR(M5/G5,1)</f>
        <v>0.943396226415094</v>
      </c>
      <c r="Z5" s="56" t="n">
        <f aca="false">IFERROR((H5+$N$2)/B5,1)</f>
        <v>0.910776361529548</v>
      </c>
      <c r="AA5" s="56" t="n">
        <f aca="false">IFERROR((I5+$N$2)/C5,1)</f>
        <v>1.76369863013699</v>
      </c>
      <c r="AB5" s="56" t="n">
        <f aca="false">IFERROR((J5+$N$2)/D5,1)</f>
        <v>0.609037328094303</v>
      </c>
      <c r="AC5" s="56" t="n">
        <f aca="false">IFERROR((K5+$N$2)/E5,1)</f>
        <v>2.35870384325546</v>
      </c>
      <c r="AD5" s="56" t="n">
        <f aca="false">IFERROR((L5+$N$2)/F5,1)</f>
        <v>1.18113912231559</v>
      </c>
      <c r="AE5" s="56" t="n">
        <f aca="false">IFERROR((M5+$N$2)/G5,1)</f>
        <v>4.05660377358491</v>
      </c>
      <c r="AF5" s="56" t="n">
        <f aca="false">IFERROR(MAX((H5-$N$2),0)/B5,1)</f>
        <v>0.757821552723059</v>
      </c>
      <c r="AG5" s="56" t="n">
        <f aca="false">IFERROR(MAX((I5-$N$2),0)/C5,1)</f>
        <v>0.633561643835617</v>
      </c>
      <c r="AH5" s="56" t="n">
        <f aca="false">IFERROR(MAX((J5-$N$2),0)/D5,1)</f>
        <v>0.176817288801572</v>
      </c>
      <c r="AI5" s="56" t="n">
        <f aca="false">IFERROR(MAX((K5-$N$2),0)/E5,1)</f>
        <v>1.86134137151469</v>
      </c>
      <c r="AJ5" s="56" t="n">
        <f aca="false">IFERROR(MAX((L5-$N$2),0)/F5,1)</f>
        <v>0.873015873015873</v>
      </c>
      <c r="AK5" s="56" t="n">
        <f aca="false">IFERROR(MAX((M5-$N$2),0)/G5,1)</f>
        <v>0</v>
      </c>
    </row>
    <row r="6" customFormat="false" ht="15" hidden="false" customHeight="true" outlineLevel="0" collapsed="false">
      <c r="A6" s="22" t="s">
        <v>70</v>
      </c>
      <c r="B6" s="53" t="n">
        <v>47.4</v>
      </c>
      <c r="C6" s="53" t="n">
        <v>6.99</v>
      </c>
      <c r="D6" s="53" t="n">
        <v>13.35</v>
      </c>
      <c r="E6" s="53" t="n">
        <v>16.59</v>
      </c>
      <c r="F6" s="53" t="n">
        <v>14.96</v>
      </c>
      <c r="G6" s="53" t="n">
        <v>0.71</v>
      </c>
      <c r="H6" s="54" t="n">
        <v>28</v>
      </c>
      <c r="I6" s="54" t="n">
        <v>16</v>
      </c>
      <c r="J6" s="54" t="n">
        <v>8</v>
      </c>
      <c r="K6" s="54" t="n">
        <v>29</v>
      </c>
      <c r="L6" s="54" t="n">
        <v>17</v>
      </c>
      <c r="M6" s="54" t="n">
        <v>1</v>
      </c>
      <c r="T6" s="56" t="n">
        <f aca="false">IFERROR(H6/B6,1)</f>
        <v>0.590717299578059</v>
      </c>
      <c r="U6" s="56" t="n">
        <f aca="false">IFERROR(I6/C6,1)</f>
        <v>2.28898426323319</v>
      </c>
      <c r="V6" s="56" t="n">
        <f aca="false">IFERROR(J6/D6,1)</f>
        <v>0.599250936329588</v>
      </c>
      <c r="W6" s="56" t="n">
        <f aca="false">IFERROR(K6/E6,1)</f>
        <v>1.74804098854732</v>
      </c>
      <c r="X6" s="56" t="n">
        <f aca="false">IFERROR(L6/F6,1)</f>
        <v>1.13636363636364</v>
      </c>
      <c r="Y6" s="56" t="n">
        <f aca="false">IFERROR(M6/G6,1)</f>
        <v>1.40845070422535</v>
      </c>
      <c r="Z6" s="56" t="n">
        <f aca="false">IFERROR((H6+$N$2)/B6,1)</f>
        <v>0.660337552742616</v>
      </c>
      <c r="AA6" s="56" t="n">
        <f aca="false">IFERROR((I6+$N$2)/C6,1)</f>
        <v>2.76108726752504</v>
      </c>
      <c r="AB6" s="56" t="n">
        <f aca="false">IFERROR((J6+$N$2)/D6,1)</f>
        <v>0.846441947565543</v>
      </c>
      <c r="AC6" s="56" t="n">
        <f aca="false">IFERROR((K6+$N$2)/E6,1)</f>
        <v>1.94695599758891</v>
      </c>
      <c r="AD6" s="56" t="n">
        <f aca="false">IFERROR((L6+$N$2)/F6,1)</f>
        <v>1.35695187165775</v>
      </c>
      <c r="AE6" s="56" t="n">
        <f aca="false">IFERROR((M6+$N$2)/G6,1)</f>
        <v>6.05633802816901</v>
      </c>
      <c r="AF6" s="56" t="n">
        <f aca="false">IFERROR(MAX((H6-$N$2),0)/B6,1)</f>
        <v>0.521097046413502</v>
      </c>
      <c r="AG6" s="56" t="n">
        <f aca="false">IFERROR(MAX((I6-$N$2),0)/C6,1)</f>
        <v>1.81688125894134</v>
      </c>
      <c r="AH6" s="56" t="n">
        <f aca="false">IFERROR(MAX((J6-$N$2),0)/D6,1)</f>
        <v>0.352059925093633</v>
      </c>
      <c r="AI6" s="56" t="n">
        <f aca="false">IFERROR(MAX((K6-$N$2),0)/E6,1)</f>
        <v>1.54912597950573</v>
      </c>
      <c r="AJ6" s="56" t="n">
        <f aca="false">IFERROR(MAX((L6-$N$2),0)/F6,1)</f>
        <v>0.915775401069519</v>
      </c>
      <c r="AK6" s="56" t="n">
        <f aca="false">IFERROR(MAX((M6-$N$2),0)/G6,1)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15" hidden="false" customHeight="true" outlineLevel="0" collapsed="false">
      <c r="A1" s="4" t="s">
        <v>232</v>
      </c>
      <c r="B1" s="4" t="s">
        <v>233</v>
      </c>
    </row>
    <row r="2" customFormat="false" ht="27.75" hidden="false" customHeight="true" outlineLevel="0" collapsed="false">
      <c r="A2" s="5" t="s">
        <v>234</v>
      </c>
      <c r="B2" s="58" t="s">
        <v>235</v>
      </c>
    </row>
    <row r="3" customFormat="false" ht="27.75" hidden="false" customHeight="true" outlineLevel="0" collapsed="false">
      <c r="A3" s="5" t="s">
        <v>236</v>
      </c>
      <c r="B3" s="58" t="s">
        <v>237</v>
      </c>
    </row>
    <row r="4" customFormat="false" ht="27.75" hidden="false" customHeight="true" outlineLevel="0" collapsed="false">
      <c r="A4" s="5" t="s">
        <v>238</v>
      </c>
      <c r="B4" s="58" t="s">
        <v>239</v>
      </c>
    </row>
    <row r="5" customFormat="false" ht="27.75" hidden="false" customHeight="true" outlineLevel="0" collapsed="false">
      <c r="A5" s="5" t="s">
        <v>240</v>
      </c>
      <c r="B5" s="58" t="s">
        <v>241</v>
      </c>
    </row>
    <row r="6" customFormat="false" ht="27.75" hidden="false" customHeight="true" outlineLevel="0" collapsed="false">
      <c r="A6" s="5" t="s">
        <v>242</v>
      </c>
      <c r="B6" s="58" t="s">
        <v>243</v>
      </c>
    </row>
    <row r="7" customFormat="false" ht="27.75" hidden="false" customHeight="true" outlineLevel="0" collapsed="false">
      <c r="A7" s="5" t="s">
        <v>244</v>
      </c>
      <c r="B7" s="58" t="s">
        <v>245</v>
      </c>
    </row>
    <row r="8" customFormat="false" ht="27.75" hidden="false" customHeight="true" outlineLevel="0" collapsed="false">
      <c r="A8" s="5" t="s">
        <v>246</v>
      </c>
      <c r="B8" s="58" t="s">
        <v>247</v>
      </c>
    </row>
    <row r="9" customFormat="false" ht="27.75" hidden="false" customHeight="true" outlineLevel="0" collapsed="false">
      <c r="A9" s="5" t="s">
        <v>248</v>
      </c>
      <c r="B9" s="58" t="s">
        <v>249</v>
      </c>
    </row>
    <row r="10" customFormat="false" ht="27.75" hidden="false" customHeight="true" outlineLevel="0" collapsed="false">
      <c r="A10" s="5" t="s">
        <v>250</v>
      </c>
      <c r="B10" s="58" t="s">
        <v>251</v>
      </c>
    </row>
    <row r="11" customFormat="false" ht="27.75" hidden="false" customHeight="true" outlineLevel="0" collapsed="false">
      <c r="A11" s="5" t="s">
        <v>252</v>
      </c>
      <c r="B11" s="58" t="s">
        <v>253</v>
      </c>
    </row>
    <row r="12" customFormat="false" ht="27.75" hidden="false" customHeight="true" outlineLevel="0" collapsed="false">
      <c r="A12" s="5" t="s">
        <v>254</v>
      </c>
      <c r="B12" s="58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2026-06-16T18:01:06Z</dcterms:created>
  <dc:creator>openpyxl</dc:creator>
  <dc:description/>
  <dc:language>en-US</dc:language>
  <cp:lastModifiedBy/>
  <dcterms:modified xsi:type="dcterms:W3CDTF">2026-08-29T08:53:09Z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