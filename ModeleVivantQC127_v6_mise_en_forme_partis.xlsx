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a171da771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èges" sheetId="1" r:id="R9163539cfde74154"/>
    <x:sheet xmlns:r="http://schemas.openxmlformats.org/officeDocument/2006/relationships" name="Modèle" sheetId="2" r:id="R51e9b45360f94327"/>
    <x:sheet xmlns:r="http://schemas.openxmlformats.org/officeDocument/2006/relationships" name="Régions" sheetId="3" r:id="R0a6595b74e9b4f03"/>
    <x:sheet xmlns:r="http://schemas.openxmlformats.org/officeDocument/2006/relationships" name="Méthodologie" sheetId="4" r:id="Ra2dd4809777c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"/>
    <x:numFmt numFmtId="166" formatCode="0.000"/>
  </x:numFmts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Calibri"/>
    </x:font>
    <x:font>
      <x:i/>
      <x:sz val="10"/>
      <x:color rgb="FF595959"/>
      <x:name val="Calibri"/>
    </x:font>
    <x:font>
      <x:b/>
      <x:sz val="10"/>
      <x:color rgb="FFFFFFFF"/>
      <x:name val="Calibri"/>
    </x:font>
    <x:font>
      <x:b/>
      <x:sz val="10"/>
      <x:name val="Calibri"/>
    </x:font>
    <x:font>
      <x:b/>
      <x:sz val="11"/>
      <x:name val="Calibri"/>
    </x:font>
    <x:font>
      <x:i/>
      <x:sz val="9"/>
      <x:color rgb="FF595959"/>
      <x:name val="Calibri"/>
    </x:font>
    <x:font>
      <x:b/>
      <x:sz val="10"/>
      <x:color rgb="FF000000"/>
      <x:name val="Calibri"/>
    </x:font>
    <x:font>
      <x:sz val="10"/>
      <x:name val="Calibri"/>
    </x:font>
    <x:font>
      <x:sz val="10"/>
      <x:color rgb="FF595959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497D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  <x:fill>
      <x:patternFill patternType="solid">
        <x:fgColor rgb="FFFFD966"/>
      </x:patternFill>
    </x:fill>
    <x:fill>
      <x:patternFill patternType="solid">
        <x:fgColor rgb="FFBDD7EE"/>
      </x:patternFill>
    </x:fill>
    <x:fill>
      <x:patternFill patternType="solid">
        <x:fgColor rgb="FFFFC7CE"/>
      </x:patternFill>
    </x:fill>
    <x:fill>
      <x:patternFill patternType="solid">
        <x:fgColor rgb="FF9DC3E6"/>
      </x:patternFill>
    </x:fill>
    <x:fill>
      <x:patternFill patternType="solid">
        <x:fgColor rgb="FF2F5496"/>
      </x:patternFill>
    </x:fill>
    <x:fill>
      <x:patternFill patternType="solid">
        <x:fgColor rgb="FF4472C4"/>
      </x:patternFill>
    </x:fill>
    <x:fill>
      <x:patternFill patternType="solid">
        <x:fgColor rgb="FFE2EFDA"/>
      </x:patternFill>
    </x:fill>
    <x:fill>
      <x:patternFill patternType="solid">
        <x:fgColor rgb="FFF7F7F7"/>
      </x:patternFill>
    </x:fill>
    <x:fill>
      <x:patternFill patternType="solid">
        <x:fgColor rgb="FFCCE5FF"/>
      </x:patternFill>
    </x:fill>
    <x:fill>
      <x:patternFill patternType="solid">
        <x:fgColor rgb="FFFFFF99"/>
      </x:patternFill>
    </x:fill>
  </x:fills>
  <x:borders count="1"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09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2" borderId="0" xfId="0" applyAlignment="1">
      <x:alignment horizontal="center" vertical="center"/>
    </x:xf>
    <x:xf numFmtId="0" fontId="5" fillId="0" borderId="0" xfId="0" applyAlignment="1">
      <x:alignment horizontal="center" vertical="bottom"/>
    </x:xf>
    <x:xf numFmtId="0" fontId="6" fillId="2" borderId="0" xfId="0" applyAlignment="1">
      <x:alignment horizontal="center" vertical="center"/>
    </x:xf>
    <x:xf numFmtId="0" fontId="7" fillId="3" borderId="0" xfId="0" applyAlignment="1">
      <x:alignment horizontal="left" vertical="center"/>
    </x:xf>
    <x:xf numFmtId="1" fontId="8" fillId="3" borderId="0" xfId="0" applyAlignment="1">
      <x:alignment horizontal="center" vertical="bottom"/>
    </x:xf>
    <x:xf numFmtId="0" fontId="8" fillId="3" borderId="0" xfId="0" applyAlignment="1">
      <x:alignment horizontal="center" vertical="bottom"/>
    </x:xf>
    <x:xf numFmtId="0" fontId="7" fillId="4" borderId="0" xfId="0" applyAlignment="1">
      <x:alignment horizontal="left" vertical="center"/>
    </x:xf>
    <x:xf numFmtId="1" fontId="8" fillId="4" borderId="0" xfId="0" applyAlignment="1">
      <x:alignment horizontal="center" vertical="bottom"/>
    </x:xf>
    <x:xf numFmtId="0" fontId="8" fillId="4" borderId="0" xfId="0" applyAlignment="1">
      <x:alignment horizontal="center" vertical="bottom"/>
    </x:xf>
    <x:xf numFmtId="0" fontId="7" fillId="5" borderId="0" xfId="0" applyAlignment="1">
      <x:alignment horizontal="left" vertical="center"/>
    </x:xf>
    <x:xf numFmtId="1" fontId="8" fillId="5" borderId="0" xfId="0" applyAlignment="1">
      <x:alignment horizontal="center" vertical="bottom"/>
    </x:xf>
    <x:xf numFmtId="0" fontId="8" fillId="5" borderId="0" xfId="0" applyAlignment="1">
      <x:alignment horizontal="center" vertical="bottom"/>
    </x:xf>
    <x:xf numFmtId="0" fontId="7" fillId="6" borderId="0" xfId="0" applyAlignment="1">
      <x:alignment horizontal="left" vertical="center"/>
    </x:xf>
    <x:xf numFmtId="1" fontId="8" fillId="6" borderId="0" xfId="0" applyAlignment="1">
      <x:alignment horizontal="center" vertical="bottom"/>
    </x:xf>
    <x:xf numFmtId="0" fontId="8" fillId="6" borderId="0" xfId="0" applyAlignment="1">
      <x:alignment horizontal="center" vertical="bottom"/>
    </x:xf>
    <x:xf numFmtId="0" fontId="7" fillId="7" borderId="0" xfId="0" applyAlignment="1">
      <x:alignment horizontal="left" vertical="center"/>
    </x:xf>
    <x:xf numFmtId="1" fontId="8" fillId="7" borderId="0" xfId="0" applyAlignment="1">
      <x:alignment horizontal="center" vertical="bottom"/>
    </x:xf>
    <x:xf numFmtId="0" fontId="8" fillId="7" borderId="0" xfId="0" applyAlignment="1">
      <x:alignment horizontal="center" vertical="bottom"/>
    </x:xf>
    <x:xf numFmtId="0" fontId="7" fillId="8" borderId="0" xfId="0" applyAlignment="1">
      <x:alignment horizontal="left" vertical="center"/>
    </x:xf>
    <x:xf numFmtId="1" fontId="8" fillId="8" borderId="0" xfId="0" applyAlignment="1">
      <x:alignment horizontal="center" vertical="bottom"/>
    </x:xf>
    <x:xf numFmtId="0" fontId="7" fillId="0" borderId="0" xfId="0" applyAlignment="1">
      <x:alignment horizontal="left" vertical="center"/>
    </x:xf>
    <x:xf numFmtId="0" fontId="8" fillId="0" borderId="0" xfId="0" applyAlignment="1">
      <x:alignment horizontal="general" vertical="bottom"/>
    </x:xf>
    <x:xf numFmtId="0" fontId="9" fillId="0" borderId="0" xfId="0" applyAlignment="1">
      <x:alignment horizontal="general" vertical="top" wrapText="1"/>
    </x:xf>
    <x:xf numFmtId="0" fontId="6" fillId="2" borderId="0" xfId="0" applyAlignment="1">
      <x:alignment horizontal="center" vertical="center" wrapText="1"/>
    </x:xf>
    <x:xf numFmtId="0" fontId="6" fillId="9" borderId="0" xfId="0" applyAlignment="1">
      <x:alignment horizontal="center" vertical="center" wrapText="1"/>
    </x:xf>
    <x:xf numFmtId="0" fontId="6" fillId="10" borderId="0" xfId="0" applyAlignment="1">
      <x:alignment horizontal="center" vertical="center" wrapText="1"/>
    </x:xf>
    <x:xf numFmtId="0" fontId="10" fillId="4" borderId="0" xfId="0" applyAlignment="1">
      <x:alignment horizontal="center" vertical="center" wrapText="1"/>
    </x:xf>
    <x:xf numFmtId="0" fontId="10" fillId="5" borderId="0" xfId="0" applyAlignment="1">
      <x:alignment horizontal="center" vertical="center" wrapText="1"/>
    </x:xf>
    <x:xf numFmtId="0" fontId="10" fillId="6" borderId="0" xfId="0" applyAlignment="1">
      <x:alignment horizontal="center" vertical="center" wrapText="1"/>
    </x:xf>
    <x:xf numFmtId="0" fontId="10" fillId="7" borderId="0" xfId="0" applyAlignment="1">
      <x:alignment horizontal="center" vertical="center" wrapText="1"/>
    </x:xf>
    <x:xf numFmtId="0" fontId="10" fillId="8" borderId="0" xfId="0" applyAlignment="1">
      <x:alignment horizontal="center" vertical="center" wrapText="1"/>
    </x:xf>
    <x:xf numFmtId="0" fontId="10" fillId="3" borderId="0" xfId="0" applyAlignment="1">
      <x:alignment horizontal="center" vertical="center" wrapText="1"/>
    </x:xf>
    <x:xf numFmtId="0" fontId="10" fillId="11" borderId="0" xfId="0" applyAlignment="1">
      <x:alignment horizontal="center" vertical="center" wrapText="1"/>
    </x:xf>
    <x:xf numFmtId="0" fontId="11" fillId="0" borderId="0" xfId="0" applyAlignment="1">
      <x:alignment horizontal="left" vertical="center"/>
    </x:xf>
    <x:xf numFmtId="0" fontId="7" fillId="0" borderId="0" xfId="0" applyAlignment="1">
      <x:alignment horizontal="center" vertical="center"/>
    </x:xf>
    <x:xf numFmtId="3" fontId="11" fillId="0" borderId="0" xfId="0" applyAlignment="1">
      <x:alignment horizontal="right" vertical="center"/>
    </x:xf>
    <x:xf numFmtId="3" fontId="11" fillId="0" borderId="0" xfId="0" applyAlignment="1">
      <x:alignment horizontal="general" vertical="bottom"/>
    </x:xf>
    <x:xf numFmtId="164" fontId="11" fillId="0" borderId="0" xfId="0" applyAlignment="1">
      <x:alignment horizontal="general" vertical="bottom"/>
    </x:xf>
    <x:xf numFmtId="0" fontId="7" fillId="0" borderId="0" xfId="0" applyAlignment="1">
      <x:alignment horizontal="center" vertical="bottom"/>
    </x:xf>
    <x:xf numFmtId="165" fontId="11" fillId="0" borderId="0" xfId="0" applyAlignment="1">
      <x:alignment horizontal="general" vertical="bottom"/>
    </x:xf>
    <x:xf numFmtId="0" fontId="11" fillId="0" borderId="0" xfId="0" applyAlignment="1">
      <x:alignment horizontal="center" vertical="bottom"/>
    </x:xf>
    <x:xf numFmtId="166" fontId="12" fillId="0" borderId="0" xfId="0" applyAlignment="1">
      <x:alignment horizontal="general" vertical="bottom"/>
    </x:xf>
    <x:xf numFmtId="0" fontId="11" fillId="12" borderId="0" xfId="0" applyAlignment="1">
      <x:alignment horizontal="left" vertical="center"/>
    </x:xf>
    <x:xf numFmtId="0" fontId="7" fillId="12" borderId="0" xfId="0" applyAlignment="1">
      <x:alignment horizontal="center" vertical="center"/>
    </x:xf>
    <x:xf numFmtId="3" fontId="11" fillId="12" borderId="0" xfId="0" applyAlignment="1">
      <x:alignment horizontal="right" vertical="center"/>
    </x:xf>
    <x:xf numFmtId="3" fontId="11" fillId="12" borderId="0" xfId="0" applyAlignment="1">
      <x:alignment horizontal="general" vertical="bottom"/>
    </x:xf>
    <x:xf numFmtId="164" fontId="11" fillId="12" borderId="0" xfId="0" applyAlignment="1">
      <x:alignment horizontal="general" vertical="bottom"/>
    </x:xf>
    <x:xf numFmtId="0" fontId="7" fillId="12" borderId="0" xfId="0" applyAlignment="1">
      <x:alignment horizontal="center" vertical="bottom"/>
    </x:xf>
    <x:xf numFmtId="165" fontId="11" fillId="12" borderId="0" xfId="0" applyAlignment="1">
      <x:alignment horizontal="general" vertical="bottom"/>
    </x:xf>
    <x:xf numFmtId="0" fontId="11" fillId="12" borderId="0" xfId="0" applyAlignment="1">
      <x:alignment horizontal="center" vertical="bottom"/>
    </x:xf>
    <x:xf numFmtId="166" fontId="12" fillId="12" borderId="0" xfId="0" applyAlignment="1">
      <x:alignment horizontal="general" vertical="bottom"/>
    </x:xf>
    <x:xf numFmtId="2" fontId="11" fillId="0" borderId="0" xfId="0" applyAlignment="1">
      <x:alignment horizontal="left" vertical="center"/>
    </x:xf>
    <x:xf numFmtId="165" fontId="7" fillId="13" borderId="0" xfId="0" applyAlignment="1">
      <x:alignment horizontal="left" vertical="center"/>
    </x:xf>
    <x:xf numFmtId="165" fontId="7" fillId="5" borderId="0" xfId="0" applyAlignment="1">
      <x:alignment horizontal="left" vertical="center"/>
    </x:xf>
    <x:xf numFmtId="166" fontId="11" fillId="0" borderId="0" xfId="0" applyAlignment="1">
      <x:alignment horizontal="general" vertical="bottom"/>
    </x:xf>
    <x:xf numFmtId="0" fontId="11" fillId="14" borderId="0" xfId="0" applyAlignment="1">
      <x:alignment horizontal="left" vertical="center"/>
    </x:xf>
    <x:xf numFmtId="0" fontId="11" fillId="0" borderId="0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center" vertical="center"/>
    </x:xf>
    <x:xf numFmtId="0" fontId="5" fillId="0" borderId="0" xfId="0" applyAlignment="1">
      <x:alignment horizontal="center" vertical="bottom"/>
    </x:xf>
    <x:xf numFmtId="0" fontId="6" fillId="2" borderId="0" xfId="0" applyAlignment="1">
      <x:alignment horizontal="center" vertical="center"/>
    </x:xf>
    <x:xf numFmtId="0" fontId="7" fillId="3" borderId="0" xfId="0" applyAlignment="1">
      <x:alignment horizontal="left" vertical="center"/>
    </x:xf>
    <x:xf numFmtId="1" fontId="8" fillId="3" borderId="0" xfId="0" applyAlignment="1">
      <x:alignment horizontal="center" vertical="bottom"/>
    </x:xf>
    <x:xf numFmtId="0" fontId="8" fillId="3" borderId="0" xfId="0" applyAlignment="1">
      <x:alignment horizontal="center" vertical="bottom"/>
    </x:xf>
    <x:xf numFmtId="0" fontId="7" fillId="4" borderId="0" xfId="0" applyAlignment="1">
      <x:alignment horizontal="left" vertical="center"/>
    </x:xf>
    <x:xf numFmtId="1" fontId="8" fillId="4" borderId="0" xfId="0" applyAlignment="1">
      <x:alignment horizontal="center" vertical="bottom"/>
    </x:xf>
    <x:xf numFmtId="0" fontId="8" fillId="4" borderId="0" xfId="0" applyAlignment="1">
      <x:alignment horizontal="center" vertical="bottom"/>
    </x:xf>
    <x:xf numFmtId="0" fontId="7" fillId="5" borderId="0" xfId="0" applyAlignment="1">
      <x:alignment horizontal="left" vertical="center"/>
    </x:xf>
    <x:xf numFmtId="1" fontId="8" fillId="5" borderId="0" xfId="0" applyAlignment="1">
      <x:alignment horizontal="center" vertical="bottom"/>
    </x:xf>
    <x:xf numFmtId="0" fontId="8" fillId="5" borderId="0" xfId="0" applyAlignment="1">
      <x:alignment horizontal="center" vertical="bottom"/>
    </x:xf>
    <x:xf numFmtId="0" fontId="7" fillId="6" borderId="0" xfId="0" applyAlignment="1">
      <x:alignment horizontal="left" vertical="center"/>
    </x:xf>
    <x:xf numFmtId="1" fontId="8" fillId="6" borderId="0" xfId="0" applyAlignment="1">
      <x:alignment horizontal="center" vertical="bottom"/>
    </x:xf>
    <x:xf numFmtId="0" fontId="8" fillId="6" borderId="0" xfId="0" applyAlignment="1">
      <x:alignment horizontal="center" vertical="bottom"/>
    </x:xf>
    <x:xf numFmtId="0" fontId="7" fillId="7" borderId="0" xfId="0" applyAlignment="1">
      <x:alignment horizontal="left" vertical="center"/>
    </x:xf>
    <x:xf numFmtId="1" fontId="8" fillId="7" borderId="0" xfId="0" applyAlignment="1">
      <x:alignment horizontal="center" vertical="bottom"/>
    </x:xf>
    <x:xf numFmtId="0" fontId="8" fillId="7" borderId="0" xfId="0" applyAlignment="1">
      <x:alignment horizontal="center" vertical="bottom"/>
    </x:xf>
    <x:xf numFmtId="0" fontId="7" fillId="8" borderId="0" xfId="0" applyAlignment="1">
      <x:alignment horizontal="left" vertical="center"/>
    </x:xf>
    <x:xf numFmtId="1" fontId="8" fillId="8" borderId="0" xfId="0" applyAlignment="1">
      <x:alignment horizontal="center" vertical="bottom"/>
    </x:xf>
    <x:xf numFmtId="0" fontId="7" fillId="0" borderId="0" xfId="0" applyAlignment="1">
      <x:alignment horizontal="left" vertical="center"/>
    </x:xf>
    <x:xf numFmtId="0" fontId="8" fillId="0" borderId="0" xfId="0" applyAlignment="1">
      <x:alignment horizontal="general" vertical="bottom"/>
    </x:xf>
    <x:xf numFmtId="0" fontId="9" fillId="0" borderId="0" xfId="0" applyAlignment="1">
      <x:alignment horizontal="general" vertical="top" wrapText="1"/>
    </x:xf>
    <x:xf numFmtId="0" fontId="6" fillId="2" borderId="0" xfId="0" applyAlignment="1">
      <x:alignment horizontal="center" vertical="center" wrapText="1"/>
    </x:xf>
    <x:xf numFmtId="0" fontId="6" fillId="9" borderId="0" xfId="0" applyAlignment="1">
      <x:alignment horizontal="center" vertical="center" wrapText="1"/>
    </x:xf>
    <x:xf numFmtId="0" fontId="6" fillId="10" borderId="0" xfId="0" applyAlignment="1">
      <x:alignment horizontal="center" vertical="center" wrapText="1"/>
    </x:xf>
    <x:xf numFmtId="0" fontId="10" fillId="4" borderId="0" xfId="0" applyAlignment="1">
      <x:alignment horizontal="center" vertical="center" wrapText="1"/>
    </x:xf>
    <x:xf numFmtId="0" fontId="10" fillId="5" borderId="0" xfId="0" applyAlignment="1">
      <x:alignment horizontal="center" vertical="center" wrapText="1"/>
    </x:xf>
    <x:xf numFmtId="0" fontId="10" fillId="6" borderId="0" xfId="0" applyAlignment="1">
      <x:alignment horizontal="center" vertical="center" wrapText="1"/>
    </x:xf>
    <x:xf numFmtId="0" fontId="10" fillId="7" borderId="0" xfId="0" applyAlignment="1">
      <x:alignment horizontal="center" vertical="center" wrapText="1"/>
    </x:xf>
    <x:xf numFmtId="0" fontId="10" fillId="8" borderId="0" xfId="0" applyAlignment="1">
      <x:alignment horizontal="center" vertical="center" wrapText="1"/>
    </x:xf>
    <x:xf numFmtId="0" fontId="10" fillId="3" borderId="0" xfId="0" applyAlignment="1">
      <x:alignment horizontal="center" vertical="center" wrapText="1"/>
    </x:xf>
    <x:xf numFmtId="0" fontId="10" fillId="11" borderId="0" xfId="0" applyAlignment="1">
      <x:alignment horizontal="center" vertical="center" wrapText="1"/>
    </x:xf>
    <x:xf numFmtId="0" fontId="11" fillId="0" borderId="0" xfId="0" applyAlignment="1">
      <x:alignment horizontal="left" vertical="center"/>
    </x:xf>
    <x:xf numFmtId="0" fontId="7" fillId="0" borderId="0" xfId="0" applyAlignment="1">
      <x:alignment horizontal="center" vertical="center"/>
    </x:xf>
    <x:xf numFmtId="3" fontId="11" fillId="0" borderId="0" xfId="0" applyAlignment="1">
      <x:alignment horizontal="right" vertical="center"/>
    </x:xf>
    <x:xf numFmtId="3" fontId="11" fillId="0" borderId="0" xfId="0" applyAlignment="1">
      <x:alignment horizontal="general" vertical="bottom"/>
    </x:xf>
    <x:xf numFmtId="164" fontId="11" fillId="0" borderId="0" xfId="0" applyAlignment="1">
      <x:alignment horizontal="general" vertical="bottom"/>
    </x:xf>
    <x:xf numFmtId="0" fontId="7" fillId="0" borderId="0" xfId="0" applyAlignment="1">
      <x:alignment horizontal="center" vertical="bottom"/>
    </x:xf>
    <x:xf numFmtId="165" fontId="11" fillId="0" borderId="0" xfId="0" applyAlignment="1">
      <x:alignment horizontal="general" vertical="bottom"/>
    </x:xf>
    <x:xf numFmtId="0" fontId="11" fillId="0" borderId="0" xfId="0" applyAlignment="1">
      <x:alignment horizontal="center" vertical="bottom"/>
    </x:xf>
    <x:xf numFmtId="166" fontId="12" fillId="0" borderId="0" xfId="0" applyAlignment="1">
      <x:alignment horizontal="general" vertical="bottom"/>
    </x:xf>
    <x:xf numFmtId="2" fontId="11" fillId="0" borderId="0" xfId="0" applyAlignment="1">
      <x:alignment horizontal="left" vertical="center"/>
    </x:xf>
    <x:xf numFmtId="165" fontId="7" fillId="13" borderId="0" xfId="0" applyAlignment="1">
      <x:alignment horizontal="left" vertical="center"/>
    </x:xf>
    <x:xf numFmtId="165" fontId="7" fillId="5" borderId="0" xfId="0" applyAlignment="1">
      <x:alignment horizontal="left" vertical="center"/>
    </x:xf>
    <x:xf numFmtId="166" fontId="11" fillId="0" borderId="0" xfId="0" applyAlignment="1">
      <x:alignment horizontal="general" vertical="bottom"/>
    </x:xf>
    <x:xf numFmtId="0" fontId="11" fillId="14" borderId="0" xfId="0" applyAlignment="1">
      <x:alignment horizontal="left" vertical="center"/>
    </x:xf>
    <x:xf numFmtId="0" fontId="11" fillId="0" borderId="0" xfId="0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5">
    <x:dxf>
      <x:font>
        <x:color rgb="FFFFFFFF"/>
      </x:font>
      <x:fill>
        <x:patternFill patternType="solid">
          <x:bgColor rgb="FF0070C0"/>
        </x:patternFill>
      </x:fill>
    </x:dxf>
    <x:dxf>
      <x:font>
        <x:color rgb="FF000000"/>
      </x:font>
      <x:fill>
        <x:patternFill patternType="solid">
          <x:bgColor rgb="FF00B0F0"/>
        </x:patternFill>
      </x:fill>
    </x:dxf>
    <x:dxf>
      <x:font>
        <x:color rgb="FFFFFFFF"/>
      </x:font>
      <x:fill>
        <x:patternFill patternType="solid">
          <x:bgColor rgb="FF17365D"/>
        </x:patternFill>
      </x:fill>
    </x:dxf>
    <x:dxf>
      <x:font>
        <x:color rgb="FFFFFFFF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ED7D31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F2F2F2"/>
      <x:rgbColor rgb="FF808080"/>
      <x:rgbColor rgb="FF9999FF"/>
      <x:rgbColor rgb="FF993366"/>
      <x:rgbColor rgb="FFF7F7F7"/>
      <x:rgbColor rgb="FFCCE5FF"/>
      <x:rgbColor rgb="FF660066"/>
      <x:rgbColor rgb="FFFF8080"/>
      <x:rgbColor rgb="FF2F5496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2EFDA"/>
      <x:rgbColor rgb="FFC6EFCE"/>
      <x:rgbColor rgb="FFFFFF99"/>
      <x:rgbColor rgb="FF9DC3E6"/>
      <x:rgbColor rgb="FFFF99CC"/>
      <x:rgbColor rgb="FFCC99FF"/>
      <x:rgbColor rgb="FFFFC7CE"/>
      <x:rgbColor rgb="FF4472C4"/>
      <x:rgbColor rgb="FF33CCCC"/>
      <x:rgbColor rgb="FF99CC00"/>
      <x:rgbColor rgb="FFFFD966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1F497D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631b535b0419d" /><Relationship Type="http://schemas.openxmlformats.org/officeDocument/2006/relationships/theme" Target="/xl/theme/theme1.xml" Id="Rfe2662e8d4084864" /><Relationship Type="http://schemas.openxmlformats.org/officeDocument/2006/relationships/sharedStrings" Target="/xl/sharedStrings.xml" Id="R2870be06c16a4fd7" /><Relationship Type="http://schemas.openxmlformats.org/officeDocument/2006/relationships/worksheet" Target="/xl/worksheets/sheet1.xml" Id="R9163539cfde74154" /><Relationship Type="http://schemas.openxmlformats.org/officeDocument/2006/relationships/worksheet" Target="/xl/worksheets/sheet2.xml" Id="R51e9b45360f94327" /><Relationship Type="http://schemas.openxmlformats.org/officeDocument/2006/relationships/worksheet" Target="/xl/worksheets/sheet3.xml" Id="R0a6595b74e9b4f03" /><Relationship Type="http://schemas.openxmlformats.org/officeDocument/2006/relationships/worksheet" Target="/xl/worksheets/sheet4.xml" Id="Ra2dd4809777c421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36" style="59" customWidth="1"/>
    <x:col min="2" max="8" width="18" style="59" customWidth="1"/>
  </x:cols>
  <x:sheetData>
    <x:row r="1" s="60" customFormat="1" ht="30" customHeight="1">
      <x:c r="A1" s="61" t="inlineStr">
        <x:is>
          <x:t xml:space="preserve">MODÈLE VIVANT QC127 – PROJECTIONS ÉLECTORALES v6.0 (127 circonscriptions)</x:t>
        </x:is>
      </x:c>
    </x:row>
    <x:row r="2" s="60" customFormat="1" ht="15" customHeight="1">
      <x:c r="A2" s="62" t="inlineStr">
        <x:is>
          <x:t xml:space="preserve">Pallas Data, 29 août 2026 (n=1108, IVR, ±2,9pp) | Source: DGEQ 2022 + 2018, redécoupage 2026 recalculé géographiquement | Seuil majorité: 64 sièges</x:t>
        </x:is>
      </x:c>
    </x:row>
    <x:row r="4" s="60" customFormat="1" ht="21.75" customHeight="1">
      <x:c r="A4" s="63" t="inlineStr">
        <x:is>
          <x:t xml:space="preserve">Scénario</x:t>
        </x:is>
      </x:c>
      <x:c r="B4" s="63" t="inlineStr">
        <x:is>
          <x:t xml:space="preserve">CAQ</x:t>
        </x:is>
      </x:c>
      <x:c r="C4" s="63" t="inlineStr">
        <x:is>
          <x:t xml:space="preserve">PLQ</x:t>
        </x:is>
      </x:c>
      <x:c r="D4" s="63" t="inlineStr">
        <x:is>
          <x:t xml:space="preserve">QS</x:t>
        </x:is>
      </x:c>
      <x:c r="E4" s="63" t="inlineStr">
        <x:is>
          <x:t xml:space="preserve">PQ</x:t>
        </x:is>
      </x:c>
      <x:c r="F4" s="63" t="inlineStr">
        <x:is>
          <x:t xml:space="preserve">PCQ</x:t>
        </x:is>
      </x:c>
      <x:c r="G4" s="63" t="inlineStr">
        <x:is>
          <x:t xml:space="preserve">Autre</x:t>
        </x:is>
      </x:c>
      <x:c r="H4" s="63" t="inlineStr">
        <x:is>
          <x:t xml:space="preserve">Majorité?</x:t>
        </x:is>
      </x:c>
    </x:row>
    <x:row r="5" s="60" customFormat="1" ht="15" customHeight="1">
      <x:c r="A5" s="64" t="inlineStr">
        <x:is>
          <x:t xml:space="preserve">Référence 2022 (DGEQ)</x:t>
        </x:is>
      </x:c>
      <x:c r="B5" s="65" t="e">
        <x:f>COUNTIF(Modèle!$C$2:$C$128,"CAQ")</x:f>
        <x:v>#NAME?</x:v>
      </x:c>
      <x:c r="C5" s="65" t="e">
        <x:f>COUNTIF(Modèle!$C$2:$C$128,"PLQ")</x:f>
        <x:v>#NAME?</x:v>
      </x:c>
      <x:c r="D5" s="65" t="e">
        <x:f>COUNTIF(Modèle!$C$2:$C$128,"QS")</x:f>
        <x:v>#NAME?</x:v>
      </x:c>
      <x:c r="E5" s="65" t="e">
        <x:f>COUNTIF(Modèle!$C$2:$C$128,"PQ")</x:f>
        <x:v>#NAME?</x:v>
      </x:c>
      <x:c r="F5" s="65" t="e">
        <x:f>COUNTIF(Modèle!$C$2:$C$128,"PCQ")</x:f>
        <x:v>#NAME?</x:v>
      </x:c>
      <x:c r="G5" s="65" t="e">
        <x:f>COUNTIF(Modèle!$C$2:$C$128,"Autre")</x:f>
        <x:v>#NAME?</x:v>
      </x:c>
      <x:c r="H5" s="66" t="e">
        <x:f>IF(MAX(B5:G5)&gt;=64,"OUI ✓","non")</x:f>
        <x:v>#NAME?</x:v>
      </x:c>
    </x:row>
    <x:row r="6" s="60" customFormat="1" ht="15" customHeight="1">
      <x:c r="A6" s="67" t="inlineStr">
        <x:is>
          <x:t xml:space="preserve">Scén. A – Swing proportionnel</x:t>
        </x:is>
      </x:c>
      <x:c r="B6" s="68" t="e">
        <x:f>COUNTIF(Modèle!$AO$2:$AO$128,"CAQ")</x:f>
        <x:v>#NAME?</x:v>
      </x:c>
      <x:c r="C6" s="68" t="e">
        <x:f>COUNTIF(Modèle!$AO$2:$AO$128,"PLQ")</x:f>
        <x:v>#NAME?</x:v>
      </x:c>
      <x:c r="D6" s="68" t="e">
        <x:f>COUNTIF(Modèle!$AO$2:$AO$128,"QS")</x:f>
        <x:v>#NAME?</x:v>
      </x:c>
      <x:c r="E6" s="68" t="e">
        <x:f>COUNTIF(Modèle!$AO$2:$AO$128,"PQ")</x:f>
        <x:v>#NAME?</x:v>
      </x:c>
      <x:c r="F6" s="68" t="e">
        <x:f>COUNTIF(Modèle!$AO$2:$AO$128,"PCQ")</x:f>
        <x:v>#NAME?</x:v>
      </x:c>
      <x:c r="G6" s="68" t="e">
        <x:f>COUNTIF(Modèle!$AO$2:$AO$128,"Autre")</x:f>
        <x:v>#NAME?</x:v>
      </x:c>
      <x:c r="H6" s="69" t="e">
        <x:f>IF(MAX(B6:G6)&gt;=64,"OUI ✓","non")</x:f>
        <x:v>#NAME?</x:v>
      </x:c>
    </x:row>
    <x:row r="7" s="60" customFormat="1" ht="15" customHeight="1">
      <x:c r="A7" s="70" t="inlineStr">
        <x:is>
          <x:t xml:space="preserve">Scén. B – A + Inertie locale</x:t>
        </x:is>
      </x:c>
      <x:c r="B7" s="71" t="e">
        <x:f>COUNTIF(Modèle!$AP$2:$AP$128,"CAQ")</x:f>
        <x:v>#NAME?</x:v>
      </x:c>
      <x:c r="C7" s="71" t="e">
        <x:f>COUNTIF(Modèle!$AP$2:$AP$128,"PLQ")</x:f>
        <x:v>#NAME?</x:v>
      </x:c>
      <x:c r="D7" s="71" t="e">
        <x:f>COUNTIF(Modèle!$AP$2:$AP$128,"QS")</x:f>
        <x:v>#NAME?</x:v>
      </x:c>
      <x:c r="E7" s="71" t="e">
        <x:f>COUNTIF(Modèle!$AP$2:$AP$128,"PQ")</x:f>
        <x:v>#NAME?</x:v>
      </x:c>
      <x:c r="F7" s="71" t="e">
        <x:f>COUNTIF(Modèle!$AP$2:$AP$128,"PCQ")</x:f>
        <x:v>#NAME?</x:v>
      </x:c>
      <x:c r="G7" s="71" t="e">
        <x:f>COUNTIF(Modèle!$AP$2:$AP$128,"Autre")</x:f>
        <x:v>#NAME?</x:v>
      </x:c>
      <x:c r="H7" s="72" t="e">
        <x:f>IF(MAX(B7:G7)&gt;=64,"OUI ✓","non")</x:f>
        <x:v>#NAME?</x:v>
      </x:c>
    </x:row>
    <x:row r="8" s="60" customFormat="1" ht="15" customHeight="1">
      <x:c r="A8" s="73" t="inlineStr">
        <x:is>
          <x:t xml:space="preserve">Scén. C – Fourchette haute (+2,9pp)</x:t>
        </x:is>
      </x:c>
      <x:c r="B8" s="74" t="e">
        <x:f>COUNTIF(Modèle!$AQ$2:$AQ$128,"CAQ")</x:f>
        <x:v>#NAME?</x:v>
      </x:c>
      <x:c r="C8" s="74" t="e">
        <x:f>COUNTIF(Modèle!$AQ$2:$AQ$128,"PLQ")</x:f>
        <x:v>#NAME?</x:v>
      </x:c>
      <x:c r="D8" s="74" t="e">
        <x:f>COUNTIF(Modèle!$AQ$2:$AQ$128,"QS")</x:f>
        <x:v>#NAME?</x:v>
      </x:c>
      <x:c r="E8" s="74" t="e">
        <x:f>COUNTIF(Modèle!$AQ$2:$AQ$128,"PQ")</x:f>
        <x:v>#NAME?</x:v>
      </x:c>
      <x:c r="F8" s="74" t="e">
        <x:f>COUNTIF(Modèle!$AQ$2:$AQ$128,"PCQ")</x:f>
        <x:v>#NAME?</x:v>
      </x:c>
      <x:c r="G8" s="74" t="e">
        <x:f>COUNTIF(Modèle!$AQ$2:$AQ$128,"Autre")</x:f>
        <x:v>#NAME?</x:v>
      </x:c>
      <x:c r="H8" s="75" t="e">
        <x:f>IF(MAX(B8:G8)&gt;=64,"OUI ✓","non")</x:f>
        <x:v>#NAME?</x:v>
      </x:c>
    </x:row>
    <x:row r="9" s="60" customFormat="1" ht="15" customHeight="1">
      <x:c r="A9" s="76" t="inlineStr">
        <x:is>
          <x:t xml:space="preserve">Scén. D – Fourchette basse (–2,9pp)</x:t>
        </x:is>
      </x:c>
      <x:c r="B9" s="77" t="e">
        <x:f>COUNTIF(Modèle!$AR$2:$AR$128,"CAQ")</x:f>
        <x:v>#NAME?</x:v>
      </x:c>
      <x:c r="C9" s="77" t="e">
        <x:f>COUNTIF(Modèle!$AR$2:$AR$128,"PLQ")</x:f>
        <x:v>#NAME?</x:v>
      </x:c>
      <x:c r="D9" s="77" t="e">
        <x:f>COUNTIF(Modèle!$AR$2:$AR$128,"QS")</x:f>
        <x:v>#NAME?</x:v>
      </x:c>
      <x:c r="E9" s="77" t="e">
        <x:f>COUNTIF(Modèle!$AR$2:$AR$128,"PQ")</x:f>
        <x:v>#NAME?</x:v>
      </x:c>
      <x:c r="F9" s="77" t="e">
        <x:f>COUNTIF(Modèle!$AR$2:$AR$128,"PCQ")</x:f>
        <x:v>#NAME?</x:v>
      </x:c>
      <x:c r="G9" s="77" t="e">
        <x:f>COUNTIF(Modèle!$AR$2:$AR$128,"Autre")</x:f>
        <x:v>#NAME?</x:v>
      </x:c>
      <x:c r="H9" s="78" t="e">
        <x:f>IF(MAX(B9:G9)&gt;=64,"OUI ✓","non")</x:f>
        <x:v>#NAME?</x:v>
      </x:c>
    </x:row>
    <x:row r="10">
      <x:c r="A10" s="76" t="inlineStr">
        <x:is>
          <x:t xml:space="preserve">Scén. E – Base 2018 (même sondage)</x:t>
        </x:is>
      </x:c>
      <x:c r="B10" s="77" t="e">
        <x:f>COUNTIF(Modèle!$BJ$2:$BJ$128,"CAQ")</x:f>
        <x:v>#NAME?</x:v>
      </x:c>
      <x:c r="C10" s="77" t="e">
        <x:f>COUNTIF(Modèle!$BJ$2:$BJ$128,"PLQ")</x:f>
        <x:v>#NAME?</x:v>
      </x:c>
      <x:c r="D10" s="77" t="e">
        <x:f>COUNTIF(Modèle!$BJ$2:$BJ$128,"QS")</x:f>
        <x:v>#NAME?</x:v>
      </x:c>
      <x:c r="E10" s="77" t="e">
        <x:f>COUNTIF(Modèle!$BJ$2:$BJ$128,"PQ")</x:f>
        <x:v>#NAME?</x:v>
      </x:c>
      <x:c r="F10" s="77" t="e">
        <x:f>COUNTIF(Modèle!$BJ$2:$BJ$128,"PCQ")</x:f>
        <x:v>#NAME?</x:v>
      </x:c>
      <x:c r="G10" s="77" t="e">
        <x:f>COUNTIF(Modèle!$BJ$2:$BJ$128,"Autre")</x:f>
        <x:v>#NAME?</x:v>
      </x:c>
      <x:c r="H10" s="78" t="e">
        <x:f>IF(MAX(B10:G10)&gt;=64,"OUI ✓","non")</x:f>
        <x:v>#NAME?</x:v>
      </x:c>
    </x:row>
    <x:row r="11" s="60" customFormat="1" ht="15" customHeight="1"/>
    <x:row r="12" s="60" customFormat="1" ht="15" customHeight="1">
      <x:c r="A12" s="79" t="inlineStr">
        <x:is>
          <x:t xml:space="preserve">Fourchette min (C vs D)</x:t>
        </x:is>
      </x:c>
      <x:c r="B12" s="80" t="e">
        <x:f>MIN(B8,B9)</x:f>
        <x:v>#NAME?</x:v>
      </x:c>
      <x:c r="C12" s="80" t="e">
        <x:f>MIN(C8,C9)</x:f>
        <x:v>#NAME?</x:v>
      </x:c>
      <x:c r="D12" s="80" t="e">
        <x:f>MIN(D8,D9)</x:f>
        <x:v>#NAME?</x:v>
      </x:c>
      <x:c r="E12" s="80" t="e">
        <x:f>MIN(E8,E9)</x:f>
        <x:v>#NAME?</x:v>
      </x:c>
      <x:c r="F12" s="80" t="e">
        <x:f>MIN(F8,F9)</x:f>
        <x:v>#NAME?</x:v>
      </x:c>
      <x:c r="G12" s="80" t="e">
        <x:f>MIN(G8,G9)</x:f>
        <x:v>#NAME?</x:v>
      </x:c>
    </x:row>
    <x:row r="13">
      <x:c r="A13" s="79" t="inlineStr">
        <x:is>
          <x:t xml:space="preserve">Fourchette max (C vs D)</x:t>
        </x:is>
      </x:c>
      <x:c r="B13" s="80" t="e">
        <x:f>MAX(B8,B9)</x:f>
        <x:v>#NAME?</x:v>
      </x:c>
      <x:c r="C13" s="80" t="e">
        <x:f>MAX(C8,C9)</x:f>
        <x:v>#NAME?</x:v>
      </x:c>
      <x:c r="D13" s="80" t="e">
        <x:f>MAX(D8,D9)</x:f>
        <x:v>#NAME?</x:v>
      </x:c>
      <x:c r="E13" s="80" t="e">
        <x:f>MAX(E8,E9)</x:f>
        <x:v>#NAME?</x:v>
      </x:c>
      <x:c r="F13" s="80" t="e">
        <x:f>MAX(F8,F9)</x:f>
        <x:v>#NAME?</x:v>
      </x:c>
      <x:c r="G13" s="80" t="e">
        <x:f>MAX(G8,G9)</x:f>
        <x:v>#NAME?</x:v>
      </x:c>
    </x:row>
    <x:row r="14" s="60" customFormat="1" ht="15" customHeight="1"/>
    <x:row r="15">
      <x:c r="A15" s="81" t="inlineStr">
        <x:is>
          <x:t xml:space="preserve">Bascules potentielles (marge &lt;5%pt):</x:t>
        </x:is>
      </x:c>
      <x:c r="B15" s="82" t="e">
        <x:f>COUNTIF(Modèle!AT2:AT128,"Oui")</x:f>
        <x:v>#NAME?</x:v>
      </x:c>
    </x:row>
    <x:row r="16" s="60" customFormat="1" ht="15" customHeight="1"/>
    <x:row r="17" s="60" customFormat="1" ht="15" customHeight="1"/>
    <x:row r="18" s="60" customFormat="1" ht="15" customHeight="1"/>
  </x:sheetData>
  <x:mergeCells>
    <x:mergeCell ref="A16:H18"/>
    <x:mergeCell ref="A2:H2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8" style="59" customWidth="1"/>
    <x:col min="2" max="2" width="20" style="59" customWidth="1"/>
    <x:col min="3" max="3" width="14" style="59" customWidth="1"/>
    <x:col min="4" max="50" width="10" style="59" customWidth="1"/>
  </x:cols>
  <x:sheetData>
    <x:row r="1" s="60" customFormat="1" ht="34.5" customHeight="1">
      <x:c r="A1" s="84" t="inlineStr">
        <x:is>
          <x:t xml:space="preserve">Circonscription</x:t>
        </x:is>
      </x:c>
      <x:c r="B1" s="84" t="inlineStr">
        <x:is>
          <x:t xml:space="preserve">Région</x:t>
        </x:is>
      </x:c>
      <x:c r="C1" s="84" t="inlineStr">
        <x:is>
          <x:t xml:space="preserve">Vainqueur 2022</x:t>
        </x:is>
      </x:c>
      <x:c r="D1" s="85" t="inlineStr">
        <x:is>
          <x:t xml:space="preserve">CAQ 2022</x:t>
        </x:is>
      </x:c>
      <x:c r="E1" s="85" t="inlineStr">
        <x:is>
          <x:t xml:space="preserve">PLQ 2022</x:t>
        </x:is>
      </x:c>
      <x:c r="F1" s="85" t="inlineStr">
        <x:is>
          <x:t xml:space="preserve">QS 2022</x:t>
        </x:is>
      </x:c>
      <x:c r="G1" s="85" t="inlineStr">
        <x:is>
          <x:t xml:space="preserve">PQ 2022</x:t>
        </x:is>
      </x:c>
      <x:c r="H1" s="85" t="inlineStr">
        <x:is>
          <x:t xml:space="preserve">PCQ 2022</x:t>
        </x:is>
      </x:c>
      <x:c r="I1" s="85" t="inlineStr">
        <x:is>
          <x:t xml:space="preserve">Autre 2022</x:t>
        </x:is>
      </x:c>
      <x:c r="J1" s="85" t="inlineStr">
        <x:is>
          <x:t xml:space="preserve">Total</x:t>
        </x:is>
      </x:c>
      <x:c r="K1" s="86" t="inlineStr">
        <x:is>
          <x:t xml:space="preserve">% CAQ</x:t>
        </x:is>
      </x:c>
      <x:c r="L1" s="86" t="inlineStr">
        <x:is>
          <x:t xml:space="preserve">% PLQ</x:t>
        </x:is>
      </x:c>
      <x:c r="M1" s="86" t="inlineStr">
        <x:is>
          <x:t xml:space="preserve">% QS</x:t>
        </x:is>
      </x:c>
      <x:c r="N1" s="86" t="inlineStr">
        <x:is>
          <x:t xml:space="preserve">% PQ</x:t>
        </x:is>
      </x:c>
      <x:c r="O1" s="86" t="inlineStr">
        <x:is>
          <x:t xml:space="preserve">% PCQ</x:t>
        </x:is>
      </x:c>
      <x:c r="P1" s="86" t="inlineStr">
        <x:is>
          <x:t xml:space="preserve">% Autre</x:t>
        </x:is>
      </x:c>
      <x:c r="Q1" s="87" t="inlineStr">
        <x:is>
          <x:t xml:space="preserve">A-CAQ</x:t>
        </x:is>
      </x:c>
      <x:c r="R1" s="87" t="inlineStr">
        <x:is>
          <x:t xml:space="preserve">A-PLQ</x:t>
        </x:is>
      </x:c>
      <x:c r="S1" s="87" t="inlineStr">
        <x:is>
          <x:t xml:space="preserve">A-QS</x:t>
        </x:is>
      </x:c>
      <x:c r="T1" s="87" t="inlineStr">
        <x:is>
          <x:t xml:space="preserve">A-PQ</x:t>
        </x:is>
      </x:c>
      <x:c r="U1" s="87" t="inlineStr">
        <x:is>
          <x:t xml:space="preserve">A-PCQ</x:t>
        </x:is>
      </x:c>
      <x:c r="V1" s="87" t="inlineStr">
        <x:is>
          <x:t xml:space="preserve">A-Autre</x:t>
        </x:is>
      </x:c>
      <x:c r="W1" s="88" t="inlineStr">
        <x:is>
          <x:t xml:space="preserve">B-CAQ</x:t>
        </x:is>
      </x:c>
      <x:c r="X1" s="88" t="inlineStr">
        <x:is>
          <x:t xml:space="preserve">B-PLQ</x:t>
        </x:is>
      </x:c>
      <x:c r="Y1" s="88" t="inlineStr">
        <x:is>
          <x:t xml:space="preserve">B-QS</x:t>
        </x:is>
      </x:c>
      <x:c r="Z1" s="88" t="inlineStr">
        <x:is>
          <x:t xml:space="preserve">B-PQ</x:t>
        </x:is>
      </x:c>
      <x:c r="AA1" s="88" t="inlineStr">
        <x:is>
          <x:t xml:space="preserve">B-PCQ</x:t>
        </x:is>
      </x:c>
      <x:c r="AB1" s="88" t="inlineStr">
        <x:is>
          <x:t xml:space="preserve">B-Autre</x:t>
        </x:is>
      </x:c>
      <x:c r="AC1" s="89" t="inlineStr">
        <x:is>
          <x:t xml:space="preserve">C-CAQ</x:t>
        </x:is>
      </x:c>
      <x:c r="AD1" s="89" t="inlineStr">
        <x:is>
          <x:t xml:space="preserve">C-PLQ</x:t>
        </x:is>
      </x:c>
      <x:c r="AE1" s="89" t="inlineStr">
        <x:is>
          <x:t xml:space="preserve">C-QS</x:t>
        </x:is>
      </x:c>
      <x:c r="AF1" s="89" t="inlineStr">
        <x:is>
          <x:t xml:space="preserve">C-PQ</x:t>
        </x:is>
      </x:c>
      <x:c r="AG1" s="89" t="inlineStr">
        <x:is>
          <x:t xml:space="preserve">C-PCQ</x:t>
        </x:is>
      </x:c>
      <x:c r="AH1" s="89" t="inlineStr">
        <x:is>
          <x:t xml:space="preserve">C-Autre</x:t>
        </x:is>
      </x:c>
      <x:c r="AI1" s="90" t="inlineStr">
        <x:is>
          <x:t xml:space="preserve">D-CAQ</x:t>
        </x:is>
      </x:c>
      <x:c r="AJ1" s="90" t="inlineStr">
        <x:is>
          <x:t xml:space="preserve">D-PLQ</x:t>
        </x:is>
      </x:c>
      <x:c r="AK1" s="90" t="inlineStr">
        <x:is>
          <x:t xml:space="preserve">D-QS</x:t>
        </x:is>
      </x:c>
      <x:c r="AL1" s="90" t="inlineStr">
        <x:is>
          <x:t xml:space="preserve">D-PQ</x:t>
        </x:is>
      </x:c>
      <x:c r="AM1" s="90" t="inlineStr">
        <x:is>
          <x:t xml:space="preserve">D-PCQ</x:t>
        </x:is>
      </x:c>
      <x:c r="AN1" s="90" t="inlineStr">
        <x:is>
          <x:t xml:space="preserve">D-Autre</x:t>
        </x:is>
      </x:c>
      <x:c r="AO1" s="91" t="inlineStr">
        <x:is>
          <x:t xml:space="preserve">Vainq. A</x:t>
        </x:is>
      </x:c>
      <x:c r="AP1" s="91" t="inlineStr">
        <x:is>
          <x:t xml:space="preserve">Vainq. B</x:t>
        </x:is>
      </x:c>
      <x:c r="AQ1" s="91" t="inlineStr">
        <x:is>
          <x:t xml:space="preserve">Vainq. C</x:t>
        </x:is>
      </x:c>
      <x:c r="AR1" s="91" t="inlineStr">
        <x:is>
          <x:t xml:space="preserve">Vainq. D</x:t>
        </x:is>
      </x:c>
      <x:c r="AS1" s="92" t="inlineStr">
        <x:is>
          <x:t xml:space="preserve">Marge 2022</x:t>
        </x:is>
      </x:c>
      <x:c r="AT1" s="92" t="inlineStr">
        <x:is>
          <x:t xml:space="preserve">Bascule</x:t>
        </x:is>
      </x:c>
      <x:c r="AU1" s="93" t="inlineStr">
        <x:is>
          <x:t xml:space="preserve">Résidu CAQ</x:t>
        </x:is>
      </x:c>
      <x:c r="AV1" s="93" t="inlineStr">
        <x:is>
          <x:t xml:space="preserve">Résidu PLQ</x:t>
        </x:is>
      </x:c>
      <x:c r="AW1" s="93" t="inlineStr">
        <x:is>
          <x:t xml:space="preserve">Résidu QS</x:t>
        </x:is>
      </x:c>
      <x:c r="AX1" s="93" t="inlineStr">
        <x:is>
          <x:t xml:space="preserve">Résidu PQ</x:t>
        </x:is>
      </x:c>
      <x:c r="AY1" s="84" t="inlineStr">
        <x:is>
          <x:t xml:space="preserve">CAQ 2018</x:t>
        </x:is>
      </x:c>
      <x:c r="AZ1" s="84" t="inlineStr">
        <x:is>
          <x:t xml:space="preserve">PLQ 2018</x:t>
        </x:is>
      </x:c>
      <x:c r="BA1" s="84" t="inlineStr">
        <x:is>
          <x:t xml:space="preserve">QS 2018</x:t>
        </x:is>
      </x:c>
      <x:c r="BB1" s="84" t="inlineStr">
        <x:is>
          <x:t xml:space="preserve">PQ 2018</x:t>
        </x:is>
      </x:c>
      <x:c r="BC1" s="84" t="inlineStr">
        <x:is>
          <x:t xml:space="preserve">Autre 2018</x:t>
        </x:is>
      </x:c>
      <x:c r="BD1" s="84" t="inlineStr">
        <x:is>
          <x:t xml:space="preserve">E-CAQ</x:t>
        </x:is>
      </x:c>
      <x:c r="BE1" s="84" t="inlineStr">
        <x:is>
          <x:t xml:space="preserve">E-PLQ</x:t>
        </x:is>
      </x:c>
      <x:c r="BF1" s="84" t="inlineStr">
        <x:is>
          <x:t xml:space="preserve">E-QS</x:t>
        </x:is>
      </x:c>
      <x:c r="BG1" s="84" t="inlineStr">
        <x:is>
          <x:t xml:space="preserve">E-PQ</x:t>
        </x:is>
      </x:c>
      <x:c r="BH1" s="84" t="inlineStr">
        <x:is>
          <x:t xml:space="preserve">E-PCQ</x:t>
        </x:is>
      </x:c>
      <x:c r="BI1" s="84" t="inlineStr">
        <x:is>
          <x:t xml:space="preserve">E-Autre</x:t>
        </x:is>
      </x:c>
      <x:c r="BJ1" s="84" t="inlineStr">
        <x:is>
          <x:t xml:space="preserve">Vainq. E</x:t>
        </x:is>
      </x:c>
    </x:row>
    <x:row r="2" s="60" customFormat="1" ht="15" customHeight="1">
      <x:c r="A2" s="94" t="inlineStr">
        <x:is>
          <x:t xml:space="preserve">Abitibi-Est</x:t>
        </x:is>
      </x:c>
      <x:c r="B2" s="94" t="inlineStr">
        <x:is>
          <x:t xml:space="preserve">Reste du Québec</x:t>
        </x:is>
      </x:c>
      <x:c r="C2" s="95" t="inlineStr">
        <x:is>
          <x:t xml:space="preserve">CAQ</x:t>
        </x:is>
      </x:c>
      <x:c r="D2" s="96" t="n">
        <x:v>9762</x:v>
      </x:c>
      <x:c r="E2" s="96" t="n">
        <x:v>3044</x:v>
      </x:c>
      <x:c r="F2" s="96" t="n">
        <x:v>2838</x:v>
      </x:c>
      <x:c r="G2" s="96" t="n">
        <x:v>2565</x:v>
      </x:c>
      <x:c r="H2" s="96" t="n">
        <x:v>2486</x:v>
      </x:c>
      <x:c r="I2" s="96" t="n">
        <x:v>0</x:v>
      </x:c>
      <x:c r="J2" s="97" t="n">
        <x:f>SUM(D2:I2)</x:f>
        <x:v>20695</x:v>
      </x:c>
      <x:c r="K2" s="98" t="n">
        <x:f>IFERROR(D2/J2,0)</x:f>
        <x:v>0.4717081420633003</x:v>
      </x:c>
      <x:c r="L2" s="98" t="n">
        <x:f>IFERROR(E2/J2,0)</x:f>
        <x:v>0.1470886687605702</x:v>
      </x:c>
      <x:c r="M2" s="98" t="n">
        <x:f>IFERROR(F2/J2,0)</x:f>
        <x:v>0.13713457356849482</x:v>
      </x:c>
      <x:c r="N2" s="98" t="n">
        <x:f>IFERROR(G2/J2,0)</x:f>
        <x:v>0.12394298139647258</x:v>
      </x:c>
      <x:c r="O2" s="98" t="n">
        <x:f>IFERROR(H2/J2,0)</x:f>
        <x:v>0.12012563421116211</x:v>
      </x:c>
      <x:c r="P2" s="98" t="n">
        <x:f>IFERROR(I2/J2,0)</x:f>
        <x:v>0</x:v>
      </x:c>
      <x:c r="Q2" s="97" t="e">
        <x:f>D2*INDEX(Régions!$T$2:$T$6,MATCH($B2,Régions!$A$2:$A$6,0))</x:f>
        <x:v>#NAME?</x:v>
      </x:c>
      <x:c r="R2" s="97" t="e">
        <x:f>E2*INDEX(Régions!$U$2:$U$6,MATCH($B2,Régions!$A$2:$A$6,0))</x:f>
        <x:v>#NAME?</x:v>
      </x:c>
      <x:c r="S2" s="97" t="e">
        <x:f>F2*INDEX(Régions!$V$2:$V$6,MATCH($B2,Régions!$A$2:$A$6,0))</x:f>
        <x:v>#NAME?</x:v>
      </x:c>
      <x:c r="T2" s="97" t="e">
        <x:f>G2*INDEX(Régions!$W$2:$W$6,MATCH($B2,Régions!$A$2:$A$6,0))</x:f>
        <x:v>#NAME?</x:v>
      </x:c>
      <x:c r="U2" s="97" t="e">
        <x:f>H2*INDEX(Régions!$X$2:$X$6,MATCH($B2,Régions!$A$2:$A$6,0))</x:f>
        <x:v>#NAME?</x:v>
      </x:c>
      <x:c r="V2" s="97" t="e">
        <x:f>I2*INDEX(Régions!$Y$2:$Y$6,MATCH($B2,Régions!$A$2:$A$6,0))</x:f>
        <x:v>#NAME?</x:v>
      </x:c>
      <x:c r="W2" s="97" t="e">
        <x:f>Q2+(AU2/100)*J2*Régions!$O$2</x:f>
        <x:v>#NAME?</x:v>
      </x:c>
      <x:c r="X2" s="97" t="e">
        <x:f>R2+(AV2/100)*J2*Régions!$O$2</x:f>
        <x:v>#NAME?</x:v>
      </x:c>
      <x:c r="Y2" s="97" t="e">
        <x:f>S2+(AW2/100)*J2*Régions!$O$2</x:f>
        <x:v>#NAME?</x:v>
      </x:c>
      <x:c r="Z2" s="97" t="e">
        <x:f>T2+(AX2/100)*J2*Régions!$O$2</x:f>
        <x:v>#NAME?</x:v>
      </x:c>
      <x:c r="AA2" s="97" t="e">
        <x:f>U2</x:f>
        <x:v>#NAME?</x:v>
      </x:c>
      <x:c r="AB2" s="97" t="e">
        <x:f>V2</x:f>
        <x:v>#NAME?</x:v>
      </x:c>
      <x:c r="AC2" s="97" t="e">
        <x:f>D2*INDEX(Régions!$Z$2:$Z$6,MATCH($B2,Régions!$A$2:$A$6,0))</x:f>
        <x:v>#NAME?</x:v>
      </x:c>
      <x:c r="AD2" s="97" t="e">
        <x:f>E2*INDEX(Régions!$AA$2:$AA$6,MATCH($B2,Régions!$A$2:$A$6,0))</x:f>
        <x:v>#NAME?</x:v>
      </x:c>
      <x:c r="AE2" s="97" t="e">
        <x:f>F2*INDEX(Régions!$AB$2:$AB$6,MATCH($B2,Régions!$A$2:$A$6,0))</x:f>
        <x:v>#NAME?</x:v>
      </x:c>
      <x:c r="AF2" s="97" t="e">
        <x:f>G2*INDEX(Régions!$AC$2:$AC$6,MATCH($B2,Régions!$A$2:$A$6,0))</x:f>
        <x:v>#NAME?</x:v>
      </x:c>
      <x:c r="AG2" s="97" t="e">
        <x:f>H2*INDEX(Régions!$AD$2:$AD$6,MATCH($B2,Régions!$A$2:$A$6,0))</x:f>
        <x:v>#NAME?</x:v>
      </x:c>
      <x:c r="AH2" s="97" t="e">
        <x:f>I2*INDEX(Régions!$AE$2:$AE$6,MATCH($B2,Régions!$A$2:$A$6,0))</x:f>
        <x:v>#NAME?</x:v>
      </x:c>
      <x:c r="AI2" s="97" t="e">
        <x:f>D2*INDEX(Régions!$AF$2:$AF$6,MATCH($B2,Régions!$A$2:$A$6,0))</x:f>
        <x:v>#NAME?</x:v>
      </x:c>
      <x:c r="AJ2" s="97" t="e">
        <x:f>E2*INDEX(Régions!$AG$2:$AG$6,MATCH($B2,Régions!$A$2:$A$6,0))</x:f>
        <x:v>#NAME?</x:v>
      </x:c>
      <x:c r="AK2" s="97" t="e">
        <x:f>F2*INDEX(Régions!$AH$2:$AH$6,MATCH($B2,Régions!$A$2:$A$6,0))</x:f>
        <x:v>#NAME?</x:v>
      </x:c>
      <x:c r="AL2" s="97" t="e">
        <x:f>G2*INDEX(Régions!$AI$2:$AI$6,MATCH($B2,Régions!$A$2:$A$6,0))</x:f>
        <x:v>#NAME?</x:v>
      </x:c>
      <x:c r="AM2" s="97" t="e">
        <x:f>H2*INDEX(Régions!$AJ$2:$AJ$6,MATCH($B2,Régions!$A$2:$A$6,0))</x:f>
        <x:v>#NAME?</x:v>
      </x:c>
      <x:c r="AN2" s="97" t="e">
        <x:f>I2*INDEX(Régions!$AK$2:$AK$6,MATCH($B2,Régions!$A$2:$A$6,0))</x:f>
        <x:v>#NAME?</x:v>
      </x:c>
      <x:c r="AO2" s="99" t="str">
        <x:f>INDEX({"CAQ","PLQ","QS","PQ","PCQ","Autre"},MATCH(MAX(Q2:V2),Q2:V2,0))</x:f>
        <x:v>CAQ</x:v>
      </x:c>
      <x:c r="AP2" s="99" t="str">
        <x:f>INDEX({"CAQ","PLQ","QS","PQ","PCQ","Autre"},MATCH(MAX(W2:AB2),W2:AB2,0))</x:f>
        <x:v>CAQ</x:v>
      </x:c>
      <x:c r="AQ2" s="99" t="str">
        <x:f>INDEX({"CAQ","PLQ","QS","PQ","PCQ","Autre"},MATCH(MAX(AC2:AH2),AC2:AH2,0))</x:f>
        <x:v>CAQ</x:v>
      </x:c>
      <x:c r="AR2" s="99" t="str">
        <x:f>INDEX({"CAQ","PLQ","QS","PQ","PCQ","Autre"},MATCH(MAX(AI2:AN2),AI2:AN2,0))</x:f>
        <x:v>CAQ</x:v>
      </x:c>
      <x:c r="AS2" s="100" t="n">
        <x:f>(MAX(K2:P2)-LARGE(K2:P2,2))*100</x:f>
        <x:v>32.46194733027301</x:v>
      </x:c>
      <x:c r="AT2" s="101" t="str">
        <x:f>IF(AS2&lt;5,"Oui","Non")</x:f>
        <x:v>Non</x:v>
      </x:c>
      <x:c r="AU2" s="102" t="n">
        <x:v>-1.497</x:v>
      </x:c>
      <x:c r="AV2" s="102" t="n">
        <x:v>8.708</x:v>
      </x:c>
      <x:c r="AW2" s="102" t="n">
        <x:v>-0.958</x:v>
      </x:c>
      <x:c r="AX2" s="102" t="n">
        <x:v>-3.106</x:v>
      </x:c>
      <x:c r="AY2" s="96" t="n">
        <x:v>8967</x:v>
      </x:c>
      <x:c r="AZ2" s="96" t="n">
        <x:v>3936</x:v>
      </x:c>
      <x:c r="BA2" s="96" t="n">
        <x:v>3287</x:v>
      </x:c>
      <x:c r="BB2" s="96" t="n">
        <x:v>4090</x:v>
      </x:c>
      <x:c r="BC2" s="96" t="n">
        <x:v>711</x:v>
      </x:c>
      <x:c r="BD2" s="97" t="e">
        <x:f>AY2*INDEX(Régions!$AQ$2:$AQ$6,MATCH($B2,Régions!$A$2:$A$6,0))</x:f>
        <x:v>#NAME?</x:v>
      </x:c>
      <x:c r="BE2" s="97" t="e">
        <x:f>AZ2*INDEX(Régions!$AR$2:$AR$6,MATCH($B2,Régions!$A$2:$A$6,0))</x:f>
        <x:v>#NAME?</x:v>
      </x:c>
      <x:c r="BF2" s="97" t="e">
        <x:f>BA2*INDEX(Régions!$AS$2:$AS$6,MATCH($B2,Régions!$A$2:$A$6,0))</x:f>
        <x:v>#NAME?</x:v>
      </x:c>
      <x:c r="BG2" s="97" t="e">
        <x:f>BB2*INDEX(Régions!$AT$2:$AT$6,MATCH($B2,Régions!$A$2:$A$6,0))</x:f>
        <x:v>#NAME?</x:v>
      </x:c>
      <x:c r="BH2" s="97" t="e">
        <x:f>U2</x:f>
        <x:v>#NAME?</x:v>
      </x:c>
      <x:c r="BI2" s="97" t="e">
        <x:f>BC2*INDEX(Régions!$AU$2:$AU$6,MATCH($B2,Régions!$A$2:$A$6,0))</x:f>
        <x:v>#NAME?</x:v>
      </x:c>
      <x:c r="BJ2" s="97" t="str">
        <x:f>INDEX({"CAQ","PLQ","QS","PQ","PCQ","Autre"},MATCH(MAX(BD2:BI2),BD2:BI2,0))</x:f>
        <x:v>CAQ</x:v>
      </x:c>
    </x:row>
    <x:row r="3" s="60" customFormat="1" ht="15" customHeight="1">
      <x:c r="A3" s="94" t="inlineStr">
        <x:is>
          <x:t xml:space="preserve">Abitibi-Ouest</x:t>
        </x:is>
      </x:c>
      <x:c r="B3" s="94" t="inlineStr">
        <x:is>
          <x:t xml:space="preserve">Reste du Québec</x:t>
        </x:is>
      </x:c>
      <x:c r="C3" s="95" t="inlineStr">
        <x:is>
          <x:t xml:space="preserve">CAQ</x:t>
        </x:is>
      </x:c>
      <x:c r="D3" s="96" t="n">
        <x:v>10399</x:v>
      </x:c>
      <x:c r="E3" s="96" t="n">
        <x:v>1153</x:v>
      </x:c>
      <x:c r="F3" s="96" t="n">
        <x:v>3623</x:v>
      </x:c>
      <x:c r="G3" s="96" t="n">
        <x:v>4619</x:v>
      </x:c>
      <x:c r="H3" s="96" t="n">
        <x:v>2293</x:v>
      </x:c>
      <x:c r="I3" s="96" t="n">
        <x:v>159</x:v>
      </x:c>
      <x:c r="J3" s="97" t="n">
        <x:f>SUM(D3:I3)</x:f>
        <x:v>22246</x:v>
      </x:c>
      <x:c r="K3" s="98" t="n">
        <x:f>IFERROR(D3/J3,0)</x:f>
        <x:v>0.4674548233390272</x:v>
      </x:c>
      <x:c r="L3" s="98" t="n">
        <x:f>IFERROR(E3/J3,0)</x:f>
        <x:v>0.05182954238964308</x:v>
      </x:c>
      <x:c r="M3" s="98" t="n">
        <x:f>IFERROR(F3/J3,0)</x:f>
        <x:v>0.1628607390092601</x:v>
      </x:c>
      <x:c r="N3" s="98" t="n">
        <x:f>IFERROR(G3/J3,0)</x:f>
        <x:v>0.20763283286883036</x:v>
      </x:c>
      <x:c r="O3" s="98" t="n">
        <x:f>IFERROR(H3/J3,0)</x:f>
        <x:v>0.10307471006023555</x:v>
      </x:c>
      <x:c r="P3" s="98" t="n">
        <x:f>IFERROR(I3/J3,0)</x:f>
        <x:v>0.007147352333003686</x:v>
      </x:c>
      <x:c r="Q3" s="97" t="e">
        <x:f>D3*INDEX(Régions!$T$2:$T$6,MATCH($B3,Régions!$A$2:$A$6,0))</x:f>
        <x:v>#NAME?</x:v>
      </x:c>
      <x:c r="R3" s="97" t="e">
        <x:f>E3*INDEX(Régions!$U$2:$U$6,MATCH($B3,Régions!$A$2:$A$6,0))</x:f>
        <x:v>#NAME?</x:v>
      </x:c>
      <x:c r="S3" s="97" t="e">
        <x:f>F3*INDEX(Régions!$V$2:$V$6,MATCH($B3,Régions!$A$2:$A$6,0))</x:f>
        <x:v>#NAME?</x:v>
      </x:c>
      <x:c r="T3" s="97" t="e">
        <x:f>G3*INDEX(Régions!$W$2:$W$6,MATCH($B3,Régions!$A$2:$A$6,0))</x:f>
        <x:v>#NAME?</x:v>
      </x:c>
      <x:c r="U3" s="97" t="e">
        <x:f>H3*INDEX(Régions!$X$2:$X$6,MATCH($B3,Régions!$A$2:$A$6,0))</x:f>
        <x:v>#NAME?</x:v>
      </x:c>
      <x:c r="V3" s="97" t="e">
        <x:f>I3*INDEX(Régions!$Y$2:$Y$6,MATCH($B3,Régions!$A$2:$A$6,0))</x:f>
        <x:v>#NAME?</x:v>
      </x:c>
      <x:c r="W3" s="97" t="e">
        <x:f>Q3+(AU3/100)*J3*Régions!$O$2</x:f>
        <x:v>#NAME?</x:v>
      </x:c>
      <x:c r="X3" s="97" t="e">
        <x:f>R3+(AV3/100)*J3*Régions!$O$2</x:f>
        <x:v>#NAME?</x:v>
      </x:c>
      <x:c r="Y3" s="97" t="e">
        <x:f>S3+(AW3/100)*J3*Régions!$O$2</x:f>
        <x:v>#NAME?</x:v>
      </x:c>
      <x:c r="Z3" s="97" t="e">
        <x:f>T3+(AX3/100)*J3*Régions!$O$2</x:f>
        <x:v>#NAME?</x:v>
      </x:c>
      <x:c r="AA3" s="97" t="e">
        <x:f>U3</x:f>
        <x:v>#NAME?</x:v>
      </x:c>
      <x:c r="AB3" s="97" t="e">
        <x:f>V3</x:f>
        <x:v>#NAME?</x:v>
      </x:c>
      <x:c r="AC3" s="97" t="e">
        <x:f>D3*INDEX(Régions!$Z$2:$Z$6,MATCH($B3,Régions!$A$2:$A$6,0))</x:f>
        <x:v>#NAME?</x:v>
      </x:c>
      <x:c r="AD3" s="97" t="e">
        <x:f>E3*INDEX(Régions!$AA$2:$AA$6,MATCH($B3,Régions!$A$2:$A$6,0))</x:f>
        <x:v>#NAME?</x:v>
      </x:c>
      <x:c r="AE3" s="97" t="e">
        <x:f>F3*INDEX(Régions!$AB$2:$AB$6,MATCH($B3,Régions!$A$2:$A$6,0))</x:f>
        <x:v>#NAME?</x:v>
      </x:c>
      <x:c r="AF3" s="97" t="e">
        <x:f>G3*INDEX(Régions!$AC$2:$AC$6,MATCH($B3,Régions!$A$2:$A$6,0))</x:f>
        <x:v>#NAME?</x:v>
      </x:c>
      <x:c r="AG3" s="97" t="e">
        <x:f>H3*INDEX(Régions!$AD$2:$AD$6,MATCH($B3,Régions!$A$2:$A$6,0))</x:f>
        <x:v>#NAME?</x:v>
      </x:c>
      <x:c r="AH3" s="97" t="e">
        <x:f>I3*INDEX(Régions!$AE$2:$AE$6,MATCH($B3,Régions!$A$2:$A$6,0))</x:f>
        <x:v>#NAME?</x:v>
      </x:c>
      <x:c r="AI3" s="97" t="e">
        <x:f>D3*INDEX(Régions!$AF$2:$AF$6,MATCH($B3,Régions!$A$2:$A$6,0))</x:f>
        <x:v>#NAME?</x:v>
      </x:c>
      <x:c r="AJ3" s="97" t="e">
        <x:f>E3*INDEX(Régions!$AG$2:$AG$6,MATCH($B3,Régions!$A$2:$A$6,0))</x:f>
        <x:v>#NAME?</x:v>
      </x:c>
      <x:c r="AK3" s="97" t="e">
        <x:f>F3*INDEX(Régions!$AH$2:$AH$6,MATCH($B3,Régions!$A$2:$A$6,0))</x:f>
        <x:v>#NAME?</x:v>
      </x:c>
      <x:c r="AL3" s="97" t="e">
        <x:f>G3*INDEX(Régions!$AI$2:$AI$6,MATCH($B3,Régions!$A$2:$A$6,0))</x:f>
        <x:v>#NAME?</x:v>
      </x:c>
      <x:c r="AM3" s="97" t="e">
        <x:f>H3*INDEX(Régions!$AJ$2:$AJ$6,MATCH($B3,Régions!$A$2:$A$6,0))</x:f>
        <x:v>#NAME?</x:v>
      </x:c>
      <x:c r="AN3" s="97" t="e">
        <x:f>I3*INDEX(Régions!$AK$2:$AK$6,MATCH($B3,Régions!$A$2:$A$6,0))</x:f>
        <x:v>#NAME?</x:v>
      </x:c>
      <x:c r="AO3" s="99" t="str">
        <x:f>INDEX({"CAQ","PLQ","QS","PQ","PCQ","Autre"},MATCH(MAX(Q3:V3),Q3:V3,0))</x:f>
        <x:v>CAQ</x:v>
      </x:c>
      <x:c r="AP3" s="99" t="str">
        <x:f>INDEX({"CAQ","PLQ","QS","PQ","PCQ","Autre"},MATCH(MAX(W3:AB3),W3:AB3,0))</x:f>
        <x:v>CAQ</x:v>
      </x:c>
      <x:c r="AQ3" s="99" t="str">
        <x:f>INDEX({"CAQ","PLQ","QS","PQ","PCQ","Autre"},MATCH(MAX(AC3:AH3),AC3:AH3,0))</x:f>
        <x:v>CAQ</x:v>
      </x:c>
      <x:c r="AR3" s="99" t="str">
        <x:f>INDEX({"CAQ","PLQ","QS","PQ","PCQ","Autre"},MATCH(MAX(AI3:AN3),AI3:AN3,0))</x:f>
        <x:v>CAQ</x:v>
      </x:c>
      <x:c r="AS3" s="100" t="n">
        <x:f>(MAX(K3:P3)-LARGE(K3:P3,2))*100</x:f>
        <x:v>25.982199047019684</x:v>
      </x:c>
      <x:c r="AT3" s="101" t="str">
        <x:f>IF(AS3&lt;5,"Oui","Non")</x:f>
        <x:v>Non</x:v>
      </x:c>
      <x:c r="AU3" s="102" t="n">
        <x:v>6.676</x:v>
      </x:c>
      <x:c r="AV3" s="102" t="n">
        <x:v>6.622</x:v>
      </x:c>
      <x:c r="AW3" s="102" t="n">
        <x:v>0.68</x:v>
      </x:c>
      <x:c r="AX3" s="102" t="n">
        <x:v>-8.51</x:v>
      </x:c>
      <x:c r="AY3" s="96" t="n">
        <x:v>7680</x:v>
      </x:c>
      <x:c r="AZ3" s="96" t="n">
        <x:v>2546</x:v>
      </x:c>
      <x:c r="BA3" s="96" t="n">
        <x:v>3735</x:v>
      </x:c>
      <x:c r="BB3" s="96" t="n">
        <x:v>7486</x:v>
      </x:c>
      <x:c r="BC3" s="96" t="n">
        <x:v>1062</x:v>
      </x:c>
      <x:c r="BD3" s="97" t="e">
        <x:f>AY3*INDEX(Régions!$AQ$2:$AQ$6,MATCH($B3,Régions!$A$2:$A$6,0))</x:f>
        <x:v>#NAME?</x:v>
      </x:c>
      <x:c r="BE3" s="97" t="e">
        <x:f>AZ3*INDEX(Régions!$AR$2:$AR$6,MATCH($B3,Régions!$A$2:$A$6,0))</x:f>
        <x:v>#NAME?</x:v>
      </x:c>
      <x:c r="BF3" s="97" t="e">
        <x:f>BA3*INDEX(Régions!$AS$2:$AS$6,MATCH($B3,Régions!$A$2:$A$6,0))</x:f>
        <x:v>#NAME?</x:v>
      </x:c>
      <x:c r="BG3" s="97" t="e">
        <x:f>BB3*INDEX(Régions!$AT$2:$AT$6,MATCH($B3,Régions!$A$2:$A$6,0))</x:f>
        <x:v>#NAME?</x:v>
      </x:c>
      <x:c r="BH3" s="97" t="e">
        <x:f>U3</x:f>
        <x:v>#NAME?</x:v>
      </x:c>
      <x:c r="BI3" s="97" t="e">
        <x:f>BC3*INDEX(Régions!$AU$2:$AU$6,MATCH($B3,Régions!$A$2:$A$6,0))</x:f>
        <x:v>#NAME?</x:v>
      </x:c>
      <x:c r="BJ3" s="97" t="str">
        <x:f>INDEX({"CAQ","PLQ","QS","PQ","PCQ","Autre"},MATCH(MAX(BD3:BI3),BD3:BI3,0))</x:f>
        <x:v>CAQ</x:v>
      </x:c>
    </x:row>
    <x:row r="4" s="60" customFormat="1" ht="15" customHeight="1">
      <x:c r="A4" s="94" t="inlineStr">
        <x:is>
          <x:t xml:space="preserve">Acadie</x:t>
        </x:is>
      </x:c>
      <x:c r="B4" s="94" t="inlineStr">
        <x:is>
          <x:t xml:space="preserve">Île de Montréal</x:t>
        </x:is>
      </x:c>
      <x:c r="C4" s="95" t="inlineStr">
        <x:is>
          <x:t xml:space="preserve">PLQ</x:t>
        </x:is>
      </x:c>
      <x:c r="D4" s="96" t="n">
        <x:v>4446</x:v>
      </x:c>
      <x:c r="E4" s="96" t="n">
        <x:v>10981</x:v>
      </x:c>
      <x:c r="F4" s="96" t="n">
        <x:v>4468</x:v>
      </x:c>
      <x:c r="G4" s="96" t="n">
        <x:v>2565</x:v>
      </x:c>
      <x:c r="H4" s="96" t="n">
        <x:v>2955</x:v>
      </x:c>
      <x:c r="I4" s="96" t="n">
        <x:v>569</x:v>
      </x:c>
      <x:c r="J4" s="97" t="n">
        <x:f>SUM(D4:I4)</x:f>
        <x:v>25984</x:v>
      </x:c>
      <x:c r="K4" s="98" t="n">
        <x:f>IFERROR(D4/J4,0)</x:f>
        <x:v>0.17110529556650247</x:v>
      </x:c>
      <x:c r="L4" s="98" t="n">
        <x:f>IFERROR(E4/J4,0)</x:f>
        <x:v>0.4226062192118227</x:v>
      </x:c>
      <x:c r="M4" s="98" t="n">
        <x:f>IFERROR(F4/J4,0)</x:f>
        <x:v>0.17195197044334976</x:v>
      </x:c>
      <x:c r="N4" s="98" t="n">
        <x:f>IFERROR(G4/J4,0)</x:f>
        <x:v>0.09871459359605911</x:v>
      </x:c>
      <x:c r="O4" s="98" t="n">
        <x:f>IFERROR(H4/J4,0)</x:f>
        <x:v>0.11372383004926108</x:v>
      </x:c>
      <x:c r="P4" s="98" t="n">
        <x:f>IFERROR(I4/J4,0)</x:f>
        <x:v>0.021898091133004925</x:v>
      </x:c>
      <x:c r="Q4" s="97" t="e">
        <x:f>D4*INDEX(Régions!$T$2:$T$6,MATCH($B4,Régions!$A$2:$A$6,0))</x:f>
        <x:v>#NAME?</x:v>
      </x:c>
      <x:c r="R4" s="97" t="e">
        <x:f>E4*INDEX(Régions!$U$2:$U$6,MATCH($B4,Régions!$A$2:$A$6,0))</x:f>
        <x:v>#NAME?</x:v>
      </x:c>
      <x:c r="S4" s="97" t="e">
        <x:f>F4*INDEX(Régions!$V$2:$V$6,MATCH($B4,Régions!$A$2:$A$6,0))</x:f>
        <x:v>#NAME?</x:v>
      </x:c>
      <x:c r="T4" s="97" t="e">
        <x:f>G4*INDEX(Régions!$W$2:$W$6,MATCH($B4,Régions!$A$2:$A$6,0))</x:f>
        <x:v>#NAME?</x:v>
      </x:c>
      <x:c r="U4" s="97" t="e">
        <x:f>H4*INDEX(Régions!$X$2:$X$6,MATCH($B4,Régions!$A$2:$A$6,0))</x:f>
        <x:v>#NAME?</x:v>
      </x:c>
      <x:c r="V4" s="97" t="e">
        <x:f>I4*INDEX(Régions!$Y$2:$Y$6,MATCH($B4,Régions!$A$2:$A$6,0))</x:f>
        <x:v>#NAME?</x:v>
      </x:c>
      <x:c r="W4" s="97" t="e">
        <x:f>Q4+(AU4/100)*J4*Régions!$O$2</x:f>
        <x:v>#NAME?</x:v>
      </x:c>
      <x:c r="X4" s="97" t="e">
        <x:f>R4+(AV4/100)*J4*Régions!$O$2</x:f>
        <x:v>#NAME?</x:v>
      </x:c>
      <x:c r="Y4" s="97" t="e">
        <x:f>S4+(AW4/100)*J4*Régions!$O$2</x:f>
        <x:v>#NAME?</x:v>
      </x:c>
      <x:c r="Z4" s="97" t="e">
        <x:f>T4+(AX4/100)*J4*Régions!$O$2</x:f>
        <x:v>#NAME?</x:v>
      </x:c>
      <x:c r="AA4" s="97" t="e">
        <x:f>U4</x:f>
        <x:v>#NAME?</x:v>
      </x:c>
      <x:c r="AB4" s="97" t="e">
        <x:f>V4</x:f>
        <x:v>#NAME?</x:v>
      </x:c>
      <x:c r="AC4" s="97" t="e">
        <x:f>D4*INDEX(Régions!$Z$2:$Z$6,MATCH($B4,Régions!$A$2:$A$6,0))</x:f>
        <x:v>#NAME?</x:v>
      </x:c>
      <x:c r="AD4" s="97" t="e">
        <x:f>E4*INDEX(Régions!$AA$2:$AA$6,MATCH($B4,Régions!$A$2:$A$6,0))</x:f>
        <x:v>#NAME?</x:v>
      </x:c>
      <x:c r="AE4" s="97" t="e">
        <x:f>F4*INDEX(Régions!$AB$2:$AB$6,MATCH($B4,Régions!$A$2:$A$6,0))</x:f>
        <x:v>#NAME?</x:v>
      </x:c>
      <x:c r="AF4" s="97" t="e">
        <x:f>G4*INDEX(Régions!$AC$2:$AC$6,MATCH($B4,Régions!$A$2:$A$6,0))</x:f>
        <x:v>#NAME?</x:v>
      </x:c>
      <x:c r="AG4" s="97" t="e">
        <x:f>H4*INDEX(Régions!$AD$2:$AD$6,MATCH($B4,Régions!$A$2:$A$6,0))</x:f>
        <x:v>#NAME?</x:v>
      </x:c>
      <x:c r="AH4" s="97" t="e">
        <x:f>I4*INDEX(Régions!$AE$2:$AE$6,MATCH($B4,Régions!$A$2:$A$6,0))</x:f>
        <x:v>#NAME?</x:v>
      </x:c>
      <x:c r="AI4" s="97" t="e">
        <x:f>D4*INDEX(Régions!$AF$2:$AF$6,MATCH($B4,Régions!$A$2:$A$6,0))</x:f>
        <x:v>#NAME?</x:v>
      </x:c>
      <x:c r="AJ4" s="97" t="e">
        <x:f>E4*INDEX(Régions!$AG$2:$AG$6,MATCH($B4,Régions!$A$2:$A$6,0))</x:f>
        <x:v>#NAME?</x:v>
      </x:c>
      <x:c r="AK4" s="97" t="e">
        <x:f>F4*INDEX(Régions!$AH$2:$AH$6,MATCH($B4,Régions!$A$2:$A$6,0))</x:f>
        <x:v>#NAME?</x:v>
      </x:c>
      <x:c r="AL4" s="97" t="e">
        <x:f>G4*INDEX(Régions!$AI$2:$AI$6,MATCH($B4,Régions!$A$2:$A$6,0))</x:f>
        <x:v>#NAME?</x:v>
      </x:c>
      <x:c r="AM4" s="97" t="e">
        <x:f>H4*INDEX(Régions!$AJ$2:$AJ$6,MATCH($B4,Régions!$A$2:$A$6,0))</x:f>
        <x:v>#NAME?</x:v>
      </x:c>
      <x:c r="AN4" s="97" t="e">
        <x:f>I4*INDEX(Régions!$AK$2:$AK$6,MATCH($B4,Régions!$A$2:$A$6,0))</x:f>
        <x:v>#NAME?</x:v>
      </x:c>
      <x:c r="AO4" s="99" t="str">
        <x:f>INDEX({"CAQ","PLQ","QS","PQ","PCQ","Autre"},MATCH(MAX(Q4:V4),Q4:V4,0))</x:f>
        <x:v>CAQ</x:v>
      </x:c>
      <x:c r="AP4" s="99" t="str">
        <x:f>INDEX({"CAQ","PLQ","QS","PQ","PCQ","Autre"},MATCH(MAX(W4:AB4),W4:AB4,0))</x:f>
        <x:v>CAQ</x:v>
      </x:c>
      <x:c r="AQ4" s="99" t="str">
        <x:f>INDEX({"CAQ","PLQ","QS","PQ","PCQ","Autre"},MATCH(MAX(AC4:AH4),AC4:AH4,0))</x:f>
        <x:v>CAQ</x:v>
      </x:c>
      <x:c r="AR4" s="99" t="str">
        <x:f>INDEX({"CAQ","PLQ","QS","PQ","PCQ","Autre"},MATCH(MAX(AI4:AN4),AI4:AN4,0))</x:f>
        <x:v>CAQ</x:v>
      </x:c>
      <x:c r="AS4" s="100" t="n">
        <x:f>(MAX(K4:P4)-LARGE(K4:P4,2))*100</x:f>
        <x:v>25.065424876847292</x:v>
      </x:c>
      <x:c r="AT4" s="101" t="str">
        <x:f>IF(AS4&lt;5,"Oui","Non")</x:f>
        <x:v>Non</x:v>
      </x:c>
      <x:c r="AU4" s="102" t="n">
        <x:v>-1.51</x:v>
      </x:c>
      <x:c r="AV4" s="102" t="n">
        <x:v>-2.701</x:v>
      </x:c>
      <x:c r="AW4" s="102" t="n">
        <x:v>2.702</x:v>
      </x:c>
      <x:c r="AX4" s="102" t="n">
        <x:v>2.023</x:v>
      </x:c>
      <x:c r="AY4" s="96" t="n">
        <x:v>4391</x:v>
      </x:c>
      <x:c r="AZ4" s="96" t="n">
        <x:v>14305</x:v>
      </x:c>
      <x:c r="BA4" s="96" t="n">
        <x:v>3656</x:v>
      </x:c>
      <x:c r="BB4" s="96" t="n">
        <x:v>2394</x:v>
      </x:c>
      <x:c r="BC4" s="96" t="n">
        <x:v>1845</x:v>
      </x:c>
      <x:c r="BD4" s="97" t="e">
        <x:f>AY4*INDEX(Régions!$AQ$2:$AQ$6,MATCH($B4,Régions!$A$2:$A$6,0))</x:f>
        <x:v>#NAME?</x:v>
      </x:c>
      <x:c r="BE4" s="97" t="e">
        <x:f>AZ4*INDEX(Régions!$AR$2:$AR$6,MATCH($B4,Régions!$A$2:$A$6,0))</x:f>
        <x:v>#NAME?</x:v>
      </x:c>
      <x:c r="BF4" s="97" t="e">
        <x:f>BA4*INDEX(Régions!$AS$2:$AS$6,MATCH($B4,Régions!$A$2:$A$6,0))</x:f>
        <x:v>#NAME?</x:v>
      </x:c>
      <x:c r="BG4" s="97" t="e">
        <x:f>BB4*INDEX(Régions!$AT$2:$AT$6,MATCH($B4,Régions!$A$2:$A$6,0))</x:f>
        <x:v>#NAME?</x:v>
      </x:c>
      <x:c r="BH4" s="97" t="e">
        <x:f>U4</x:f>
        <x:v>#NAME?</x:v>
      </x:c>
      <x:c r="BI4" s="97" t="e">
        <x:f>BC4*INDEX(Régions!$AU$2:$AU$6,MATCH($B4,Régions!$A$2:$A$6,0))</x:f>
        <x:v>#NAME?</x:v>
      </x:c>
      <x:c r="BJ4" s="97" t="str">
        <x:f>INDEX({"CAQ","PLQ","QS","PQ","PCQ","Autre"},MATCH(MAX(BD4:BI4),BD4:BI4,0))</x:f>
        <x:v>CAQ</x:v>
      </x:c>
    </x:row>
    <x:row r="5" s="60" customFormat="1" ht="15" customHeight="1">
      <x:c r="A5" s="94" t="inlineStr">
        <x:is>
          <x:t xml:space="preserve">Anjou–Louis-Riel</x:t>
        </x:is>
      </x:c>
      <x:c r="B5" s="94" t="inlineStr">
        <x:is>
          <x:t xml:space="preserve">Île de Montréal</x:t>
        </x:is>
      </x:c>
      <x:c r="C5" s="95" t="inlineStr">
        <x:is>
          <x:t xml:space="preserve">CAQ</x:t>
        </x:is>
      </x:c>
      <x:c r="D5" s="96" t="n">
        <x:v>9376</x:v>
      </x:c>
      <x:c r="E5" s="96" t="n">
        <x:v>8045</x:v>
      </x:c>
      <x:c r="F5" s="96" t="n">
        <x:v>3893</x:v>
      </x:c>
      <x:c r="G5" s="96" t="n">
        <x:v>2910</x:v>
      </x:c>
      <x:c r="H5" s="96" t="n">
        <x:v>1887</x:v>
      </x:c>
      <x:c r="I5" s="96" t="n">
        <x:v>252</x:v>
      </x:c>
      <x:c r="J5" s="97" t="n">
        <x:f>SUM(D5:I5)</x:f>
        <x:v>26363</x:v>
      </x:c>
      <x:c r="K5" s="98" t="n">
        <x:f>IFERROR(D5/J5,0)</x:f>
        <x:v>0.35564996396464743</x:v>
      </x:c>
      <x:c r="L5" s="98" t="n">
        <x:f>IFERROR(E5/J5,0)</x:f>
        <x:v>0.30516253840609947</x:v>
      </x:c>
      <x:c r="M5" s="98" t="n">
        <x:f>IFERROR(F5/J5,0)</x:f>
        <x:v>0.14766908166748852</x:v>
      </x:c>
      <x:c r="N5" s="98" t="n">
        <x:f>IFERROR(G5/J5,0)</x:f>
        <x:v>0.11038197473732124</x:v>
      </x:c>
      <x:c r="O5" s="98" t="n">
        <x:f>IFERROR(H5/J5,0)</x:f>
        <x:v>0.07157758980389181</x:v>
      </x:c>
      <x:c r="P5" s="98" t="n">
        <x:f>IFERROR(I5/J5,0)</x:f>
        <x:v>0.009558851420551531</x:v>
      </x:c>
      <x:c r="Q5" s="97" t="e">
        <x:f>D5*INDEX(Régions!$T$2:$T$6,MATCH($B5,Régions!$A$2:$A$6,0))</x:f>
        <x:v>#NAME?</x:v>
      </x:c>
      <x:c r="R5" s="97" t="e">
        <x:f>E5*INDEX(Régions!$U$2:$U$6,MATCH($B5,Régions!$A$2:$A$6,0))</x:f>
        <x:v>#NAME?</x:v>
      </x:c>
      <x:c r="S5" s="97" t="e">
        <x:f>F5*INDEX(Régions!$V$2:$V$6,MATCH($B5,Régions!$A$2:$A$6,0))</x:f>
        <x:v>#NAME?</x:v>
      </x:c>
      <x:c r="T5" s="97" t="e">
        <x:f>G5*INDEX(Régions!$W$2:$W$6,MATCH($B5,Régions!$A$2:$A$6,0))</x:f>
        <x:v>#NAME?</x:v>
      </x:c>
      <x:c r="U5" s="97" t="e">
        <x:f>H5*INDEX(Régions!$X$2:$X$6,MATCH($B5,Régions!$A$2:$A$6,0))</x:f>
        <x:v>#NAME?</x:v>
      </x:c>
      <x:c r="V5" s="97" t="e">
        <x:f>I5*INDEX(Régions!$Y$2:$Y$6,MATCH($B5,Régions!$A$2:$A$6,0))</x:f>
        <x:v>#NAME?</x:v>
      </x:c>
      <x:c r="W5" s="97" t="e">
        <x:f>Q5+(AU5/100)*J5*Régions!$O$2</x:f>
        <x:v>#NAME?</x:v>
      </x:c>
      <x:c r="X5" s="97" t="e">
        <x:f>R5+(AV5/100)*J5*Régions!$O$2</x:f>
        <x:v>#NAME?</x:v>
      </x:c>
      <x:c r="Y5" s="97" t="e">
        <x:f>S5+(AW5/100)*J5*Régions!$O$2</x:f>
        <x:v>#NAME?</x:v>
      </x:c>
      <x:c r="Z5" s="97" t="e">
        <x:f>T5+(AX5/100)*J5*Régions!$O$2</x:f>
        <x:v>#NAME?</x:v>
      </x:c>
      <x:c r="AA5" s="97" t="e">
        <x:f>U5</x:f>
        <x:v>#NAME?</x:v>
      </x:c>
      <x:c r="AB5" s="97" t="e">
        <x:f>V5</x:f>
        <x:v>#NAME?</x:v>
      </x:c>
      <x:c r="AC5" s="97" t="e">
        <x:f>D5*INDEX(Régions!$Z$2:$Z$6,MATCH($B5,Régions!$A$2:$A$6,0))</x:f>
        <x:v>#NAME?</x:v>
      </x:c>
      <x:c r="AD5" s="97" t="e">
        <x:f>E5*INDEX(Régions!$AA$2:$AA$6,MATCH($B5,Régions!$A$2:$A$6,0))</x:f>
        <x:v>#NAME?</x:v>
      </x:c>
      <x:c r="AE5" s="97" t="e">
        <x:f>F5*INDEX(Régions!$AB$2:$AB$6,MATCH($B5,Régions!$A$2:$A$6,0))</x:f>
        <x:v>#NAME?</x:v>
      </x:c>
      <x:c r="AF5" s="97" t="e">
        <x:f>G5*INDEX(Régions!$AC$2:$AC$6,MATCH($B5,Régions!$A$2:$A$6,0))</x:f>
        <x:v>#NAME?</x:v>
      </x:c>
      <x:c r="AG5" s="97" t="e">
        <x:f>H5*INDEX(Régions!$AD$2:$AD$6,MATCH($B5,Régions!$A$2:$A$6,0))</x:f>
        <x:v>#NAME?</x:v>
      </x:c>
      <x:c r="AH5" s="97" t="e">
        <x:f>I5*INDEX(Régions!$AE$2:$AE$6,MATCH($B5,Régions!$A$2:$A$6,0))</x:f>
        <x:v>#NAME?</x:v>
      </x:c>
      <x:c r="AI5" s="97" t="e">
        <x:f>D5*INDEX(Régions!$AF$2:$AF$6,MATCH($B5,Régions!$A$2:$A$6,0))</x:f>
        <x:v>#NAME?</x:v>
      </x:c>
      <x:c r="AJ5" s="97" t="e">
        <x:f>E5*INDEX(Régions!$AG$2:$AG$6,MATCH($B5,Régions!$A$2:$A$6,0))</x:f>
        <x:v>#NAME?</x:v>
      </x:c>
      <x:c r="AK5" s="97" t="e">
        <x:f>F5*INDEX(Régions!$AH$2:$AH$6,MATCH($B5,Régions!$A$2:$A$6,0))</x:f>
        <x:v>#NAME?</x:v>
      </x:c>
      <x:c r="AL5" s="97" t="e">
        <x:f>G5*INDEX(Régions!$AI$2:$AI$6,MATCH($B5,Régions!$A$2:$A$6,0))</x:f>
        <x:v>#NAME?</x:v>
      </x:c>
      <x:c r="AM5" s="97" t="e">
        <x:f>H5*INDEX(Régions!$AJ$2:$AJ$6,MATCH($B5,Régions!$A$2:$A$6,0))</x:f>
        <x:v>#NAME?</x:v>
      </x:c>
      <x:c r="AN5" s="97" t="e">
        <x:f>I5*INDEX(Régions!$AK$2:$AK$6,MATCH($B5,Régions!$A$2:$A$6,0))</x:f>
        <x:v>#NAME?</x:v>
      </x:c>
      <x:c r="AO5" s="99" t="str">
        <x:f>INDEX({"CAQ","PLQ","QS","PQ","PCQ","Autre"},MATCH(MAX(Q5:V5),Q5:V5,0))</x:f>
        <x:v>CAQ</x:v>
      </x:c>
      <x:c r="AP5" s="99" t="str">
        <x:f>INDEX({"CAQ","PLQ","QS","PQ","PCQ","Autre"},MATCH(MAX(W5:AB5),W5:AB5,0))</x:f>
        <x:v>CAQ</x:v>
      </x:c>
      <x:c r="AQ5" s="99" t="str">
        <x:f>INDEX({"CAQ","PLQ","QS","PQ","PCQ","Autre"},MATCH(MAX(AC5:AH5),AC5:AH5,0))</x:f>
        <x:v>CAQ</x:v>
      </x:c>
      <x:c r="AR5" s="99" t="str">
        <x:f>INDEX({"CAQ","PLQ","QS","PQ","PCQ","Autre"},MATCH(MAX(AI5:AN5),AI5:AN5,0))</x:f>
        <x:v>CAQ</x:v>
      </x:c>
      <x:c r="AS5" s="100" t="n">
        <x:f>(MAX(K5:P5)-LARGE(K5:P5,2))*100</x:f>
        <x:v>5.048742555854796</x:v>
      </x:c>
      <x:c r="AT5" s="101" t="str">
        <x:f>IF(AS5&lt;5,"Oui","Non")</x:f>
        <x:v>Non</x:v>
      </x:c>
      <x:c r="AU5" s="102" t="n">
        <x:v>4.546</x:v>
      </x:c>
      <x:c r="AV5" s="102" t="n">
        <x:v>0.29</x:v>
      </x:c>
      <x:c r="AW5" s="102" t="n">
        <x:v>-0.507</x:v>
      </x:c>
      <x:c r="AX5" s="102" t="n">
        <x:v>-2.503</x:v>
      </x:c>
      <x:c r="AY5" s="96" t="n">
        <x:v>7995</x:v>
      </x:c>
      <x:c r="AZ5" s="96" t="n">
        <x:v>10802</x:v>
      </x:c>
      <x:c r="BA5" s="96" t="n">
        <x:v>4018</x:v>
      </x:c>
      <x:c r="BB5" s="96" t="n">
        <x:v>4064</x:v>
      </x:c>
      <x:c r="BC5" s="96" t="n">
        <x:v>775</x:v>
      </x:c>
      <x:c r="BD5" s="97" t="e">
        <x:f>AY5*INDEX(Régions!$AQ$2:$AQ$6,MATCH($B5,Régions!$A$2:$A$6,0))</x:f>
        <x:v>#NAME?</x:v>
      </x:c>
      <x:c r="BE5" s="97" t="e">
        <x:f>AZ5*INDEX(Régions!$AR$2:$AR$6,MATCH($B5,Régions!$A$2:$A$6,0))</x:f>
        <x:v>#NAME?</x:v>
      </x:c>
      <x:c r="BF5" s="97" t="e">
        <x:f>BA5*INDEX(Régions!$AS$2:$AS$6,MATCH($B5,Régions!$A$2:$A$6,0))</x:f>
        <x:v>#NAME?</x:v>
      </x:c>
      <x:c r="BG5" s="97" t="e">
        <x:f>BB5*INDEX(Régions!$AT$2:$AT$6,MATCH($B5,Régions!$A$2:$A$6,0))</x:f>
        <x:v>#NAME?</x:v>
      </x:c>
      <x:c r="BH5" s="97" t="e">
        <x:f>U5</x:f>
        <x:v>#NAME?</x:v>
      </x:c>
      <x:c r="BI5" s="97" t="e">
        <x:f>BC5*INDEX(Régions!$AU$2:$AU$6,MATCH($B5,Régions!$A$2:$A$6,0))</x:f>
        <x:v>#NAME?</x:v>
      </x:c>
      <x:c r="BJ5" s="97" t="str">
        <x:f>INDEX({"CAQ","PLQ","QS","PQ","PCQ","Autre"},MATCH(MAX(BD5:BI5),BD5:BI5,0))</x:f>
        <x:v>CAQ</x:v>
      </x:c>
    </x:row>
    <x:row r="6" s="60" customFormat="1" ht="15" customHeight="1">
      <x:c r="A6" s="94" t="inlineStr">
        <x:is>
          <x:t xml:space="preserve">Argenteuil</x:t>
        </x:is>
      </x:c>
      <x:c r="B6" s="94" t="inlineStr">
        <x:is>
          <x:t xml:space="preserve">Reste du Québec</x:t>
        </x:is>
      </x:c>
      <x:c r="C6" s="95" t="inlineStr">
        <x:is>
          <x:t xml:space="preserve">CAQ</x:t>
        </x:is>
      </x:c>
      <x:c r="D6" s="96" t="n">
        <x:v>11414</x:v>
      </x:c>
      <x:c r="E6" s="96" t="n">
        <x:v>2535</x:v>
      </x:c>
      <x:c r="F6" s="96" t="n">
        <x:v>2753</x:v>
      </x:c>
      <x:c r="G6" s="96" t="n">
        <x:v>4090</x:v>
      </x:c>
      <x:c r="H6" s="96" t="n">
        <x:v>4005</x:v>
      </x:c>
      <x:c r="I6" s="96" t="n">
        <x:v>408</x:v>
      </x:c>
      <x:c r="J6" s="97" t="n">
        <x:f>SUM(D6:I6)</x:f>
        <x:v>25205</x:v>
      </x:c>
      <x:c r="K6" s="98" t="n">
        <x:f>IFERROR(D6/J6,0)</x:f>
        <x:v>0.4528466574092442</x:v>
      </x:c>
      <x:c r="L6" s="98" t="n">
        <x:f>IFERROR(E6/J6,0)</x:f>
        <x:v>0.10057528268200754</x:v>
      </x:c>
      <x:c r="M6" s="98" t="n">
        <x:f>IFERROR(F6/J6,0)</x:f>
        <x:v>0.10922436024598293</x:v>
      </x:c>
      <x:c r="N6" s="98" t="n">
        <x:f>IFERROR(G6/J6,0)</x:f>
        <x:v>0.16226939099385043</x:v>
      </x:c>
      <x:c r="O6" s="98" t="n">
        <x:f>IFERROR(H6/J6,0)</x:f>
        <x:v>0.1588970442372545</x:v>
      </x:c>
      <x:c r="P6" s="98" t="n">
        <x:f>IFERROR(I6/J6,0)</x:f>
        <x:v>0.016187264431660384</x:v>
      </x:c>
      <x:c r="Q6" s="97" t="e">
        <x:f>D6*INDEX(Régions!$T$2:$T$6,MATCH($B6,Régions!$A$2:$A$6,0))</x:f>
        <x:v>#NAME?</x:v>
      </x:c>
      <x:c r="R6" s="97" t="e">
        <x:f>E6*INDEX(Régions!$U$2:$U$6,MATCH($B6,Régions!$A$2:$A$6,0))</x:f>
        <x:v>#NAME?</x:v>
      </x:c>
      <x:c r="S6" s="97" t="e">
        <x:f>F6*INDEX(Régions!$V$2:$V$6,MATCH($B6,Régions!$A$2:$A$6,0))</x:f>
        <x:v>#NAME?</x:v>
      </x:c>
      <x:c r="T6" s="97" t="e">
        <x:f>G6*INDEX(Régions!$W$2:$W$6,MATCH($B6,Régions!$A$2:$A$6,0))</x:f>
        <x:v>#NAME?</x:v>
      </x:c>
      <x:c r="U6" s="97" t="e">
        <x:f>H6*INDEX(Régions!$X$2:$X$6,MATCH($B6,Régions!$A$2:$A$6,0))</x:f>
        <x:v>#NAME?</x:v>
      </x:c>
      <x:c r="V6" s="97" t="e">
        <x:f>I6*INDEX(Régions!$Y$2:$Y$6,MATCH($B6,Régions!$A$2:$A$6,0))</x:f>
        <x:v>#NAME?</x:v>
      </x:c>
      <x:c r="W6" s="97" t="e">
        <x:f>Q6+(AU6/100)*J6*Régions!$O$2</x:f>
        <x:v>#NAME?</x:v>
      </x:c>
      <x:c r="X6" s="97" t="e">
        <x:f>R6+(AV6/100)*J6*Régions!$O$2</x:f>
        <x:v>#NAME?</x:v>
      </x:c>
      <x:c r="Y6" s="97" t="e">
        <x:f>S6+(AW6/100)*J6*Régions!$O$2</x:f>
        <x:v>#NAME?</x:v>
      </x:c>
      <x:c r="Z6" s="97" t="e">
        <x:f>T6+(AX6/100)*J6*Régions!$O$2</x:f>
        <x:v>#NAME?</x:v>
      </x:c>
      <x:c r="AA6" s="97" t="e">
        <x:f>U6</x:f>
        <x:v>#NAME?</x:v>
      </x:c>
      <x:c r="AB6" s="97" t="e">
        <x:f>V6</x:f>
        <x:v>#NAME?</x:v>
      </x:c>
      <x:c r="AC6" s="97" t="e">
        <x:f>D6*INDEX(Régions!$Z$2:$Z$6,MATCH($B6,Régions!$A$2:$A$6,0))</x:f>
        <x:v>#NAME?</x:v>
      </x:c>
      <x:c r="AD6" s="97" t="e">
        <x:f>E6*INDEX(Régions!$AA$2:$AA$6,MATCH($B6,Régions!$A$2:$A$6,0))</x:f>
        <x:v>#NAME?</x:v>
      </x:c>
      <x:c r="AE6" s="97" t="e">
        <x:f>F6*INDEX(Régions!$AB$2:$AB$6,MATCH($B6,Régions!$A$2:$A$6,0))</x:f>
        <x:v>#NAME?</x:v>
      </x:c>
      <x:c r="AF6" s="97" t="e">
        <x:f>G6*INDEX(Régions!$AC$2:$AC$6,MATCH($B6,Régions!$A$2:$A$6,0))</x:f>
        <x:v>#NAME?</x:v>
      </x:c>
      <x:c r="AG6" s="97" t="e">
        <x:f>H6*INDEX(Régions!$AD$2:$AD$6,MATCH($B6,Régions!$A$2:$A$6,0))</x:f>
        <x:v>#NAME?</x:v>
      </x:c>
      <x:c r="AH6" s="97" t="e">
        <x:f>I6*INDEX(Régions!$AE$2:$AE$6,MATCH($B6,Régions!$A$2:$A$6,0))</x:f>
        <x:v>#NAME?</x:v>
      </x:c>
      <x:c r="AI6" s="97" t="e">
        <x:f>D6*INDEX(Régions!$AF$2:$AF$6,MATCH($B6,Régions!$A$2:$A$6,0))</x:f>
        <x:v>#NAME?</x:v>
      </x:c>
      <x:c r="AJ6" s="97" t="e">
        <x:f>E6*INDEX(Régions!$AG$2:$AG$6,MATCH($B6,Régions!$A$2:$A$6,0))</x:f>
        <x:v>#NAME?</x:v>
      </x:c>
      <x:c r="AK6" s="97" t="e">
        <x:f>F6*INDEX(Régions!$AH$2:$AH$6,MATCH($B6,Régions!$A$2:$A$6,0))</x:f>
        <x:v>#NAME?</x:v>
      </x:c>
      <x:c r="AL6" s="97" t="e">
        <x:f>G6*INDEX(Régions!$AI$2:$AI$6,MATCH($B6,Régions!$A$2:$A$6,0))</x:f>
        <x:v>#NAME?</x:v>
      </x:c>
      <x:c r="AM6" s="97" t="e">
        <x:f>H6*INDEX(Régions!$AJ$2:$AJ$6,MATCH($B6,Régions!$A$2:$A$6,0))</x:f>
        <x:v>#NAME?</x:v>
      </x:c>
      <x:c r="AN6" s="97" t="e">
        <x:f>I6*INDEX(Régions!$AK$2:$AK$6,MATCH($B6,Régions!$A$2:$A$6,0))</x:f>
        <x:v>#NAME?</x:v>
      </x:c>
      <x:c r="AO6" s="99" t="str">
        <x:f>INDEX({"CAQ","PLQ","QS","PQ","PCQ","Autre"},MATCH(MAX(Q6:V6),Q6:V6,0))</x:f>
        <x:v>CAQ</x:v>
      </x:c>
      <x:c r="AP6" s="99" t="str">
        <x:f>INDEX({"CAQ","PLQ","QS","PQ","PCQ","Autre"},MATCH(MAX(W6:AB6),W6:AB6,0))</x:f>
        <x:v>CAQ</x:v>
      </x:c>
      <x:c r="AQ6" s="99" t="str">
        <x:f>INDEX({"CAQ","PLQ","QS","PQ","PCQ","Autre"},MATCH(MAX(AC6:AH6),AC6:AH6,0))</x:f>
        <x:v>CAQ</x:v>
      </x:c>
      <x:c r="AR6" s="99" t="str">
        <x:f>INDEX({"CAQ","PLQ","QS","PQ","PCQ","Autre"},MATCH(MAX(AI6:AN6),AI6:AN6,0))</x:f>
        <x:v>CAQ</x:v>
      </x:c>
      <x:c r="AS6" s="100" t="n">
        <x:f>(MAX(K6:P6)-LARGE(K6:P6,2))*100</x:f>
        <x:v>29.05772664153937</x:v>
      </x:c>
      <x:c r="AT6" s="101" t="str">
        <x:f>IF(AS6&lt;5,"Oui","Non")</x:f>
        <x:v>Non</x:v>
      </x:c>
      <x:c r="AU6" s="102" t="n">
        <x:v>-0.11</x:v>
      </x:c>
      <x:c r="AV6" s="102" t="n">
        <x:v>5.703</x:v>
      </x:c>
      <x:c r="AW6" s="102" t="n">
        <x:v>-0.363</x:v>
      </x:c>
      <x:c r="AX6" s="102" t="n">
        <x:v>-0.819</x:v>
      </x:c>
      <x:c r="AY6" s="96" t="n">
        <x:v>9275</x:v>
      </x:c>
      <x:c r="AZ6" s="96" t="n">
        <x:v>4022</x:v>
      </x:c>
      <x:c r="BA6" s="96" t="n">
        <x:v>2886</x:v>
      </x:c>
      <x:c r="BB6" s="96" t="n">
        <x:v>4945</x:v>
      </x:c>
      <x:c r="BC6" s="96" t="n">
        <x:v>2386</x:v>
      </x:c>
      <x:c r="BD6" s="97" t="e">
        <x:f>AY6*INDEX(Régions!$AQ$2:$AQ$6,MATCH($B6,Régions!$A$2:$A$6,0))</x:f>
        <x:v>#NAME?</x:v>
      </x:c>
      <x:c r="BE6" s="97" t="e">
        <x:f>AZ6*INDEX(Régions!$AR$2:$AR$6,MATCH($B6,Régions!$A$2:$A$6,0))</x:f>
        <x:v>#NAME?</x:v>
      </x:c>
      <x:c r="BF6" s="97" t="e">
        <x:f>BA6*INDEX(Régions!$AS$2:$AS$6,MATCH($B6,Régions!$A$2:$A$6,0))</x:f>
        <x:v>#NAME?</x:v>
      </x:c>
      <x:c r="BG6" s="97" t="e">
        <x:f>BB6*INDEX(Régions!$AT$2:$AT$6,MATCH($B6,Régions!$A$2:$A$6,0))</x:f>
        <x:v>#NAME?</x:v>
      </x:c>
      <x:c r="BH6" s="97" t="e">
        <x:f>U6</x:f>
        <x:v>#NAME?</x:v>
      </x:c>
      <x:c r="BI6" s="97" t="e">
        <x:f>BC6*INDEX(Régions!$AU$2:$AU$6,MATCH($B6,Régions!$A$2:$A$6,0))</x:f>
        <x:v>#NAME?</x:v>
      </x:c>
      <x:c r="BJ6" s="97" t="str">
        <x:f>INDEX({"CAQ","PLQ","QS","PQ","PCQ","Autre"},MATCH(MAX(BD6:BI6),BD6:BI6,0))</x:f>
        <x:v>CAQ</x:v>
      </x:c>
    </x:row>
    <x:row r="7" s="60" customFormat="1" ht="15" customHeight="1">
      <x:c r="A7" s="94" t="inlineStr">
        <x:is>
          <x:t xml:space="preserve">Arthabaska-L'Érable</x:t>
        </x:is>
      </x:c>
      <x:c r="B7" s="94" t="inlineStr">
        <x:is>
          <x:t xml:space="preserve">Reste du Québec</x:t>
        </x:is>
      </x:c>
      <x:c r="C7" s="95" t="inlineStr">
        <x:is>
          <x:t xml:space="preserve">CAQ</x:t>
        </x:is>
      </x:c>
      <x:c r="D7" s="96" t="n">
        <x:v>22986</x:v>
      </x:c>
      <x:c r="E7" s="96" t="n">
        <x:v>1669</x:v>
      </x:c>
      <x:c r="F7" s="96" t="n">
        <x:v>4100</x:v>
      </x:c>
      <x:c r="G7" s="96" t="n">
        <x:v>4460</x:v>
      </x:c>
      <x:c r="H7" s="96" t="n">
        <x:v>10951</x:v>
      </x:c>
      <x:c r="I7" s="96" t="n">
        <x:v>252</x:v>
      </x:c>
      <x:c r="J7" s="97" t="n">
        <x:f>SUM(D7:I7)</x:f>
        <x:v>44418</x:v>
      </x:c>
      <x:c r="K7" s="98" t="n">
        <x:f>IFERROR(D7/J7,0)</x:f>
        <x:v>0.5174929082804268</x:v>
      </x:c>
      <x:c r="L7" s="98" t="n">
        <x:f>IFERROR(E7/J7,0)</x:f>
        <x:v>0.037574857039938764</x:v>
      </x:c>
      <x:c r="M7" s="98" t="n">
        <x:f>IFERROR(F7/J7,0)</x:f>
        <x:v>0.09230492142824981</x:v>
      </x:c>
      <x:c r="N7" s="98" t="n">
        <x:f>IFERROR(G7/J7,0)</x:f>
        <x:v>0.10040974379755954</x:v>
      </x:c>
      <x:c r="O7" s="98" t="n">
        <x:f>IFERROR(H7/J7,0)</x:f>
        <x:v>0.2465441937953082</x:v>
      </x:c>
      <x:c r="P7" s="98" t="n">
        <x:f>IFERROR(I7/J7,0)</x:f>
        <x:v>0.005673375658516818</x:v>
      </x:c>
      <x:c r="Q7" s="97" t="e">
        <x:f>D7*INDEX(Régions!$T$2:$T$6,MATCH($B7,Régions!$A$2:$A$6,0))</x:f>
        <x:v>#NAME?</x:v>
      </x:c>
      <x:c r="R7" s="97" t="e">
        <x:f>E7*INDEX(Régions!$U$2:$U$6,MATCH($B7,Régions!$A$2:$A$6,0))</x:f>
        <x:v>#NAME?</x:v>
      </x:c>
      <x:c r="S7" s="97" t="e">
        <x:f>F7*INDEX(Régions!$V$2:$V$6,MATCH($B7,Régions!$A$2:$A$6,0))</x:f>
        <x:v>#NAME?</x:v>
      </x:c>
      <x:c r="T7" s="97" t="e">
        <x:f>G7*INDEX(Régions!$W$2:$W$6,MATCH($B7,Régions!$A$2:$A$6,0))</x:f>
        <x:v>#NAME?</x:v>
      </x:c>
      <x:c r="U7" s="97" t="e">
        <x:f>H7*INDEX(Régions!$X$2:$X$6,MATCH($B7,Régions!$A$2:$A$6,0))</x:f>
        <x:v>#NAME?</x:v>
      </x:c>
      <x:c r="V7" s="97" t="e">
        <x:f>I7*INDEX(Régions!$Y$2:$Y$6,MATCH($B7,Régions!$A$2:$A$6,0))</x:f>
        <x:v>#NAME?</x:v>
      </x:c>
      <x:c r="W7" s="97" t="e">
        <x:f>Q7+(AU7/100)*J7*Régions!$O$2</x:f>
        <x:v>#NAME?</x:v>
      </x:c>
      <x:c r="X7" s="97" t="e">
        <x:f>R7+(AV7/100)*J7*Régions!$O$2</x:f>
        <x:v>#NAME?</x:v>
      </x:c>
      <x:c r="Y7" s="97" t="e">
        <x:f>S7+(AW7/100)*J7*Régions!$O$2</x:f>
        <x:v>#NAME?</x:v>
      </x:c>
      <x:c r="Z7" s="97" t="e">
        <x:f>T7+(AX7/100)*J7*Régions!$O$2</x:f>
        <x:v>#NAME?</x:v>
      </x:c>
      <x:c r="AA7" s="97" t="e">
        <x:f>U7</x:f>
        <x:v>#NAME?</x:v>
      </x:c>
      <x:c r="AB7" s="97" t="e">
        <x:f>V7</x:f>
        <x:v>#NAME?</x:v>
      </x:c>
      <x:c r="AC7" s="97" t="e">
        <x:f>D7*INDEX(Régions!$Z$2:$Z$6,MATCH($B7,Régions!$A$2:$A$6,0))</x:f>
        <x:v>#NAME?</x:v>
      </x:c>
      <x:c r="AD7" s="97" t="e">
        <x:f>E7*INDEX(Régions!$AA$2:$AA$6,MATCH($B7,Régions!$A$2:$A$6,0))</x:f>
        <x:v>#NAME?</x:v>
      </x:c>
      <x:c r="AE7" s="97" t="e">
        <x:f>F7*INDEX(Régions!$AB$2:$AB$6,MATCH($B7,Régions!$A$2:$A$6,0))</x:f>
        <x:v>#NAME?</x:v>
      </x:c>
      <x:c r="AF7" s="97" t="e">
        <x:f>G7*INDEX(Régions!$AC$2:$AC$6,MATCH($B7,Régions!$A$2:$A$6,0))</x:f>
        <x:v>#NAME?</x:v>
      </x:c>
      <x:c r="AG7" s="97" t="e">
        <x:f>H7*INDEX(Régions!$AD$2:$AD$6,MATCH($B7,Régions!$A$2:$A$6,0))</x:f>
        <x:v>#NAME?</x:v>
      </x:c>
      <x:c r="AH7" s="97" t="e">
        <x:f>I7*INDEX(Régions!$AE$2:$AE$6,MATCH($B7,Régions!$A$2:$A$6,0))</x:f>
        <x:v>#NAME?</x:v>
      </x:c>
      <x:c r="AI7" s="97" t="e">
        <x:f>D7*INDEX(Régions!$AF$2:$AF$6,MATCH($B7,Régions!$A$2:$A$6,0))</x:f>
        <x:v>#NAME?</x:v>
      </x:c>
      <x:c r="AJ7" s="97" t="e">
        <x:f>E7*INDEX(Régions!$AG$2:$AG$6,MATCH($B7,Régions!$A$2:$A$6,0))</x:f>
        <x:v>#NAME?</x:v>
      </x:c>
      <x:c r="AK7" s="97" t="e">
        <x:f>F7*INDEX(Régions!$AH$2:$AH$6,MATCH($B7,Régions!$A$2:$A$6,0))</x:f>
        <x:v>#NAME?</x:v>
      </x:c>
      <x:c r="AL7" s="97" t="e">
        <x:f>G7*INDEX(Régions!$AI$2:$AI$6,MATCH($B7,Régions!$A$2:$A$6,0))</x:f>
        <x:v>#NAME?</x:v>
      </x:c>
      <x:c r="AM7" s="97" t="e">
        <x:f>H7*INDEX(Régions!$AJ$2:$AJ$6,MATCH($B7,Régions!$A$2:$A$6,0))</x:f>
        <x:v>#NAME?</x:v>
      </x:c>
      <x:c r="AN7" s="97" t="e">
        <x:f>I7*INDEX(Régions!$AK$2:$AK$6,MATCH($B7,Régions!$A$2:$A$6,0))</x:f>
        <x:v>#NAME?</x:v>
      </x:c>
      <x:c r="AO7" s="99" t="str">
        <x:f>INDEX({"CAQ","PLQ","QS","PQ","PCQ","Autre"},MATCH(MAX(Q7:V7),Q7:V7,0))</x:f>
        <x:v>CAQ</x:v>
      </x:c>
      <x:c r="AP7" s="99" t="str">
        <x:f>INDEX({"CAQ","PLQ","QS","PQ","PCQ","Autre"},MATCH(MAX(W7:AB7),W7:AB7,0))</x:f>
        <x:v>CAQ</x:v>
      </x:c>
      <x:c r="AQ7" s="99" t="str">
        <x:f>INDEX({"CAQ","PLQ","QS","PQ","PCQ","Autre"},MATCH(MAX(AC7:AH7),AC7:AH7,0))</x:f>
        <x:v>CAQ</x:v>
      </x:c>
      <x:c r="AR7" s="99" t="str">
        <x:f>INDEX({"CAQ","PLQ","QS","PQ","PCQ","Autre"},MATCH(MAX(AI7:AN7),AI7:AN7,0))</x:f>
        <x:v>CAQ</x:v>
      </x:c>
      <x:c r="AS7" s="100" t="n">
        <x:f>(MAX(K7:P7)-LARGE(K7:P7,2))*100</x:f>
        <x:v>27.09487144851186</x:v>
      </x:c>
      <x:c r="AT7" s="101" t="str">
        <x:f>IF(AS7&lt;5,"Oui","Non")</x:f>
        <x:v>Non</x:v>
      </x:c>
      <x:c r="AU7" s="102" t="n">
        <x:v>-16.008</x:v>
      </x:c>
      <x:c r="AV7" s="102" t="n">
        <x:v>5.147</x:v>
      </x:c>
      <x:c r="AW7" s="102" t="n">
        <x:v>-2.372</x:v>
      </x:c>
      <x:c r="AX7" s="102" t="n">
        <x:v>4.61</x:v>
      </x:c>
      <x:c r="AY7" s="96" t="n">
        <x:v>25130</x:v>
      </x:c>
      <x:c r="AZ7" s="96" t="n">
        <x:v>4619</x:v>
      </x:c>
      <x:c r="BA7" s="96" t="n">
        <x:v>5119</x:v>
      </x:c>
      <x:c r="BB7" s="96" t="n">
        <x:v>3828</x:v>
      </x:c>
      <x:c r="BC7" s="96" t="n">
        <x:v>1963</x:v>
      </x:c>
      <x:c r="BD7" s="97" t="e">
        <x:f>AY7*INDEX(Régions!$AQ$2:$AQ$6,MATCH($B7,Régions!$A$2:$A$6,0))</x:f>
        <x:v>#NAME?</x:v>
      </x:c>
      <x:c r="BE7" s="97" t="e">
        <x:f>AZ7*INDEX(Régions!$AR$2:$AR$6,MATCH($B7,Régions!$A$2:$A$6,0))</x:f>
        <x:v>#NAME?</x:v>
      </x:c>
      <x:c r="BF7" s="97" t="e">
        <x:f>BA7*INDEX(Régions!$AS$2:$AS$6,MATCH($B7,Régions!$A$2:$A$6,0))</x:f>
        <x:v>#NAME?</x:v>
      </x:c>
      <x:c r="BG7" s="97" t="e">
        <x:f>BB7*INDEX(Régions!$AT$2:$AT$6,MATCH($B7,Régions!$A$2:$A$6,0))</x:f>
        <x:v>#NAME?</x:v>
      </x:c>
      <x:c r="BH7" s="97" t="e">
        <x:f>U7</x:f>
        <x:v>#NAME?</x:v>
      </x:c>
      <x:c r="BI7" s="97" t="e">
        <x:f>BC7*INDEX(Régions!$AU$2:$AU$6,MATCH($B7,Régions!$A$2:$A$6,0))</x:f>
        <x:v>#NAME?</x:v>
      </x:c>
      <x:c r="BJ7" s="97" t="str">
        <x:f>INDEX({"CAQ","PLQ","QS","PQ","PCQ","Autre"},MATCH(MAX(BD7:BI7),BD7:BI7,0))</x:f>
        <x:v>CAQ</x:v>
      </x:c>
    </x:row>
    <x:row r="8" s="60" customFormat="1" ht="15" customHeight="1">
      <x:c r="A8" s="94" t="inlineStr">
        <x:is>
          <x:t xml:space="preserve">Beauce-Nord</x:t>
        </x:is>
      </x:c>
      <x:c r="B8" s="94" t="inlineStr">
        <x:is>
          <x:t xml:space="preserve">Reste du Québec</x:t>
        </x:is>
      </x:c>
      <x:c r="C8" s="95" t="inlineStr">
        <x:is>
          <x:t xml:space="preserve">CAQ</x:t>
        </x:is>
      </x:c>
      <x:c r="D8" s="96" t="n">
        <x:v>14590</x:v>
      </x:c>
      <x:c r="E8" s="96" t="n">
        <x:v>951</x:v>
      </x:c>
      <x:c r="F8" s="96" t="n">
        <x:v>1522</x:v>
      </x:c>
      <x:c r="G8" s="96" t="n">
        <x:v>1994</x:v>
      </x:c>
      <x:c r="H8" s="96" t="n">
        <x:v>14388</x:v>
      </x:c>
      <x:c r="I8" s="96" t="n">
        <x:v>146</x:v>
      </x:c>
      <x:c r="J8" s="97" t="n">
        <x:f>SUM(D8:I8)</x:f>
        <x:v>33591</x:v>
      </x:c>
      <x:c r="K8" s="98" t="n">
        <x:f>IFERROR(D8/J8,0)</x:f>
        <x:v>0.43434253222589386</x:v>
      </x:c>
      <x:c r="L8" s="98" t="n">
        <x:f>IFERROR(E8/J8,0)</x:f>
        <x:v>0.02831115477360007</x:v>
      </x:c>
      <x:c r="M8" s="98" t="n">
        <x:f>IFERROR(F8/J8,0)</x:f>
        <x:v>0.04530975558929475</x:v>
      </x:c>
      <x:c r="N8" s="98" t="n">
        <x:f>IFERROR(G8/J8,0)</x:f>
        <x:v>0.05936113840016671</x:v>
      </x:c>
      <x:c r="O8" s="98" t="n">
        <x:f>IFERROR(H8/J8,0)</x:f>
        <x:v>0.428329016700902</x:v>
      </x:c>
      <x:c r="P8" s="98" t="n">
        <x:f>IFERROR(I8/J8,0)</x:f>
        <x:v>0.0043464023101425974</x:v>
      </x:c>
      <x:c r="Q8" s="97" t="e">
        <x:f>D8*INDEX(Régions!$T$2:$T$6,MATCH($B8,Régions!$A$2:$A$6,0))</x:f>
        <x:v>#NAME?</x:v>
      </x:c>
      <x:c r="R8" s="97" t="e">
        <x:f>E8*INDEX(Régions!$U$2:$U$6,MATCH($B8,Régions!$A$2:$A$6,0))</x:f>
        <x:v>#NAME?</x:v>
      </x:c>
      <x:c r="S8" s="97" t="e">
        <x:f>F8*INDEX(Régions!$V$2:$V$6,MATCH($B8,Régions!$A$2:$A$6,0))</x:f>
        <x:v>#NAME?</x:v>
      </x:c>
      <x:c r="T8" s="97" t="e">
        <x:f>G8*INDEX(Régions!$W$2:$W$6,MATCH($B8,Régions!$A$2:$A$6,0))</x:f>
        <x:v>#NAME?</x:v>
      </x:c>
      <x:c r="U8" s="97" t="e">
        <x:f>H8*INDEX(Régions!$X$2:$X$6,MATCH($B8,Régions!$A$2:$A$6,0))</x:f>
        <x:v>#NAME?</x:v>
      </x:c>
      <x:c r="V8" s="97" t="e">
        <x:f>I8*INDEX(Régions!$Y$2:$Y$6,MATCH($B8,Régions!$A$2:$A$6,0))</x:f>
        <x:v>#NAME?</x:v>
      </x:c>
      <x:c r="W8" s="97" t="e">
        <x:f>Q8+(AU8/100)*J8*Régions!$O$2</x:f>
        <x:v>#NAME?</x:v>
      </x:c>
      <x:c r="X8" s="97" t="e">
        <x:f>R8+(AV8/100)*J8*Régions!$O$2</x:f>
        <x:v>#NAME?</x:v>
      </x:c>
      <x:c r="Y8" s="97" t="e">
        <x:f>S8+(AW8/100)*J8*Régions!$O$2</x:f>
        <x:v>#NAME?</x:v>
      </x:c>
      <x:c r="Z8" s="97" t="e">
        <x:f>T8+(AX8/100)*J8*Régions!$O$2</x:f>
        <x:v>#NAME?</x:v>
      </x:c>
      <x:c r="AA8" s="97" t="e">
        <x:f>U8</x:f>
        <x:v>#NAME?</x:v>
      </x:c>
      <x:c r="AB8" s="97" t="e">
        <x:f>V8</x:f>
        <x:v>#NAME?</x:v>
      </x:c>
      <x:c r="AC8" s="97" t="e">
        <x:f>D8*INDEX(Régions!$Z$2:$Z$6,MATCH($B8,Régions!$A$2:$A$6,0))</x:f>
        <x:v>#NAME?</x:v>
      </x:c>
      <x:c r="AD8" s="97" t="e">
        <x:f>E8*INDEX(Régions!$AA$2:$AA$6,MATCH($B8,Régions!$A$2:$A$6,0))</x:f>
        <x:v>#NAME?</x:v>
      </x:c>
      <x:c r="AE8" s="97" t="e">
        <x:f>F8*INDEX(Régions!$AB$2:$AB$6,MATCH($B8,Régions!$A$2:$A$6,0))</x:f>
        <x:v>#NAME?</x:v>
      </x:c>
      <x:c r="AF8" s="97" t="e">
        <x:f>G8*INDEX(Régions!$AC$2:$AC$6,MATCH($B8,Régions!$A$2:$A$6,0))</x:f>
        <x:v>#NAME?</x:v>
      </x:c>
      <x:c r="AG8" s="97" t="e">
        <x:f>H8*INDEX(Régions!$AD$2:$AD$6,MATCH($B8,Régions!$A$2:$A$6,0))</x:f>
        <x:v>#NAME?</x:v>
      </x:c>
      <x:c r="AH8" s="97" t="e">
        <x:f>I8*INDEX(Régions!$AE$2:$AE$6,MATCH($B8,Régions!$A$2:$A$6,0))</x:f>
        <x:v>#NAME?</x:v>
      </x:c>
      <x:c r="AI8" s="97" t="e">
        <x:f>D8*INDEX(Régions!$AF$2:$AF$6,MATCH($B8,Régions!$A$2:$A$6,0))</x:f>
        <x:v>#NAME?</x:v>
      </x:c>
      <x:c r="AJ8" s="97" t="e">
        <x:f>E8*INDEX(Régions!$AG$2:$AG$6,MATCH($B8,Régions!$A$2:$A$6,0))</x:f>
        <x:v>#NAME?</x:v>
      </x:c>
      <x:c r="AK8" s="97" t="e">
        <x:f>F8*INDEX(Régions!$AH$2:$AH$6,MATCH($B8,Régions!$A$2:$A$6,0))</x:f>
        <x:v>#NAME?</x:v>
      </x:c>
      <x:c r="AL8" s="97" t="e">
        <x:f>G8*INDEX(Régions!$AI$2:$AI$6,MATCH($B8,Régions!$A$2:$A$6,0))</x:f>
        <x:v>#NAME?</x:v>
      </x:c>
      <x:c r="AM8" s="97" t="e">
        <x:f>H8*INDEX(Régions!$AJ$2:$AJ$6,MATCH($B8,Régions!$A$2:$A$6,0))</x:f>
        <x:v>#NAME?</x:v>
      </x:c>
      <x:c r="AN8" s="97" t="e">
        <x:f>I8*INDEX(Régions!$AK$2:$AK$6,MATCH($B8,Régions!$A$2:$A$6,0))</x:f>
        <x:v>#NAME?</x:v>
      </x:c>
      <x:c r="AO8" s="99" t="str">
        <x:f>INDEX({"CAQ","PLQ","QS","PQ","PCQ","Autre"},MATCH(MAX(Q8:V8),Q8:V8,0))</x:f>
        <x:v>CAQ</x:v>
      </x:c>
      <x:c r="AP8" s="99" t="str">
        <x:f>INDEX({"CAQ","PLQ","QS","PQ","PCQ","Autre"},MATCH(MAX(W8:AB8),W8:AB8,0))</x:f>
        <x:v>CAQ</x:v>
      </x:c>
      <x:c r="AQ8" s="99" t="str">
        <x:f>INDEX({"CAQ","PLQ","QS","PQ","PCQ","Autre"},MATCH(MAX(AC8:AH8),AC8:AH8,0))</x:f>
        <x:v>CAQ</x:v>
      </x:c>
      <x:c r="AR8" s="99" t="str">
        <x:f>INDEX({"CAQ","PLQ","QS","PQ","PCQ","Autre"},MATCH(MAX(AI8:AN8),AI8:AN8,0))</x:f>
        <x:v>CAQ</x:v>
      </x:c>
      <x:c r="AS8" s="100" t="n">
        <x:f>(MAX(K8:P8)-LARGE(K8:P8,2))*100</x:f>
        <x:v>0.6013515524991853</x:v>
      </x:c>
      <x:c r="AT8" s="101" t="str">
        <x:f>IF(AS8&lt;5,"Oui","Non")</x:f>
        <x:v>Oui</x:v>
      </x:c>
      <x:c r="AU8" s="102" t="n">
        <x:v>-28.885</x:v>
      </x:c>
      <x:c r="AV8" s="102" t="n">
        <x:v>-0.081</x:v>
      </x:c>
      <x:c r="AW8" s="102" t="n">
        <x:v>-1.54</x:v>
      </x:c>
      <x:c r="AX8" s="102" t="n">
        <x:v>4.8</x:v>
      </x:c>
      <x:c r="AY8" s="96" t="n">
        <x:v>20038</x:v>
      </x:c>
      <x:c r="AZ8" s="96" t="n">
        <x:v>4729</x:v>
      </x:c>
      <x:c r="BA8" s="96" t="n">
        <x:v>2131</x:v>
      </x:c>
      <x:c r="BB8" s="96" t="n">
        <x:v>1546</x:v>
      </x:c>
      <x:c r="BC8" s="96" t="n">
        <x:v>1748</x:v>
      </x:c>
      <x:c r="BD8" s="97" t="e">
        <x:f>AY8*INDEX(Régions!$AQ$2:$AQ$6,MATCH($B8,Régions!$A$2:$A$6,0))</x:f>
        <x:v>#NAME?</x:v>
      </x:c>
      <x:c r="BE8" s="97" t="e">
        <x:f>AZ8*INDEX(Régions!$AR$2:$AR$6,MATCH($B8,Régions!$A$2:$A$6,0))</x:f>
        <x:v>#NAME?</x:v>
      </x:c>
      <x:c r="BF8" s="97" t="e">
        <x:f>BA8*INDEX(Régions!$AS$2:$AS$6,MATCH($B8,Régions!$A$2:$A$6,0))</x:f>
        <x:v>#NAME?</x:v>
      </x:c>
      <x:c r="BG8" s="97" t="e">
        <x:f>BB8*INDEX(Régions!$AT$2:$AT$6,MATCH($B8,Régions!$A$2:$A$6,0))</x:f>
        <x:v>#NAME?</x:v>
      </x:c>
      <x:c r="BH8" s="97" t="e">
        <x:f>U8</x:f>
        <x:v>#NAME?</x:v>
      </x:c>
      <x:c r="BI8" s="97" t="e">
        <x:f>BC8*INDEX(Régions!$AU$2:$AU$6,MATCH($B8,Régions!$A$2:$A$6,0))</x:f>
        <x:v>#NAME?</x:v>
      </x:c>
      <x:c r="BJ8" s="97" t="str">
        <x:f>INDEX({"CAQ","PLQ","QS","PQ","PCQ","Autre"},MATCH(MAX(BD8:BI8),BD8:BI8,0))</x:f>
        <x:v>CAQ</x:v>
      </x:c>
    </x:row>
    <x:row r="9" s="60" customFormat="1" ht="15" customHeight="1">
      <x:c r="A9" s="94" t="inlineStr">
        <x:is>
          <x:t xml:space="preserve">Beauce-Sud</x:t>
        </x:is>
      </x:c>
      <x:c r="B9" s="94" t="inlineStr">
        <x:is>
          <x:t xml:space="preserve">Reste du Québec</x:t>
        </x:is>
      </x:c>
      <x:c r="C9" s="95" t="inlineStr">
        <x:is>
          <x:t xml:space="preserve">CAQ</x:t>
        </x:is>
      </x:c>
      <x:c r="D9" s="96" t="n">
        <x:v>16615</x:v>
      </x:c>
      <x:c r="E9" s="96" t="n">
        <x:v>1057</x:v>
      </x:c>
      <x:c r="F9" s="96" t="n">
        <x:v>1623</x:v>
      </x:c>
      <x:c r="G9" s="96" t="n">
        <x:v>1505</x:v>
      </x:c>
      <x:c r="H9" s="96" t="n">
        <x:v>16187</x:v>
      </x:c>
      <x:c r="I9" s="96" t="n">
        <x:v>306</x:v>
      </x:c>
      <x:c r="J9" s="97" t="n">
        <x:f>SUM(D9:I9)</x:f>
        <x:v>37293</x:v>
      </x:c>
      <x:c r="K9" s="98" t="n">
        <x:f>IFERROR(D9/J9,0)</x:f>
        <x:v>0.4455259700211836</x:v>
      </x:c>
      <x:c r="L9" s="98" t="n">
        <x:f>IFERROR(E9/J9,0)</x:f>
        <x:v>0.028343120692891428</x:v>
      </x:c>
      <x:c r="M9" s="98" t="n">
        <x:f>IFERROR(F9/J9,0)</x:f>
        <x:v>0.04352023167886735</x:v>
      </x:c>
      <x:c r="N9" s="98" t="n">
        <x:f>IFERROR(G9/J9,0)</x:f>
        <x:v>0.040356098999812295</x:v>
      </x:c>
      <x:c r="O9" s="98" t="n">
        <x:f>IFERROR(H9/J9,0)</x:f>
        <x:v>0.4340492853886788</x:v>
      </x:c>
      <x:c r="P9" s="98" t="n">
        <x:f>IFERROR(I9/J9,0)</x:f>
        <x:v>0.008205293218566487</x:v>
      </x:c>
      <x:c r="Q9" s="97" t="e">
        <x:f>D9*INDEX(Régions!$T$2:$T$6,MATCH($B9,Régions!$A$2:$A$6,0))</x:f>
        <x:v>#NAME?</x:v>
      </x:c>
      <x:c r="R9" s="97" t="e">
        <x:f>E9*INDEX(Régions!$U$2:$U$6,MATCH($B9,Régions!$A$2:$A$6,0))</x:f>
        <x:v>#NAME?</x:v>
      </x:c>
      <x:c r="S9" s="97" t="e">
        <x:f>F9*INDEX(Régions!$V$2:$V$6,MATCH($B9,Régions!$A$2:$A$6,0))</x:f>
        <x:v>#NAME?</x:v>
      </x:c>
      <x:c r="T9" s="97" t="e">
        <x:f>G9*INDEX(Régions!$W$2:$W$6,MATCH($B9,Régions!$A$2:$A$6,0))</x:f>
        <x:v>#NAME?</x:v>
      </x:c>
      <x:c r="U9" s="97" t="e">
        <x:f>H9*INDEX(Régions!$X$2:$X$6,MATCH($B9,Régions!$A$2:$A$6,0))</x:f>
        <x:v>#NAME?</x:v>
      </x:c>
      <x:c r="V9" s="97" t="e">
        <x:f>I9*INDEX(Régions!$Y$2:$Y$6,MATCH($B9,Régions!$A$2:$A$6,0))</x:f>
        <x:v>#NAME?</x:v>
      </x:c>
      <x:c r="W9" s="97" t="e">
        <x:f>Q9+(AU9/100)*J9*Régions!$O$2</x:f>
        <x:v>#NAME?</x:v>
      </x:c>
      <x:c r="X9" s="97" t="e">
        <x:f>R9+(AV9/100)*J9*Régions!$O$2</x:f>
        <x:v>#NAME?</x:v>
      </x:c>
      <x:c r="Y9" s="97" t="e">
        <x:f>S9+(AW9/100)*J9*Régions!$O$2</x:f>
        <x:v>#NAME?</x:v>
      </x:c>
      <x:c r="Z9" s="97" t="e">
        <x:f>T9+(AX9/100)*J9*Régions!$O$2</x:f>
        <x:v>#NAME?</x:v>
      </x:c>
      <x:c r="AA9" s="97" t="e">
        <x:f>U9</x:f>
        <x:v>#NAME?</x:v>
      </x:c>
      <x:c r="AB9" s="97" t="e">
        <x:f>V9</x:f>
        <x:v>#NAME?</x:v>
      </x:c>
      <x:c r="AC9" s="97" t="e">
        <x:f>D9*INDEX(Régions!$Z$2:$Z$6,MATCH($B9,Régions!$A$2:$A$6,0))</x:f>
        <x:v>#NAME?</x:v>
      </x:c>
      <x:c r="AD9" s="97" t="e">
        <x:f>E9*INDEX(Régions!$AA$2:$AA$6,MATCH($B9,Régions!$A$2:$A$6,0))</x:f>
        <x:v>#NAME?</x:v>
      </x:c>
      <x:c r="AE9" s="97" t="e">
        <x:f>F9*INDEX(Régions!$AB$2:$AB$6,MATCH($B9,Régions!$A$2:$A$6,0))</x:f>
        <x:v>#NAME?</x:v>
      </x:c>
      <x:c r="AF9" s="97" t="e">
        <x:f>G9*INDEX(Régions!$AC$2:$AC$6,MATCH($B9,Régions!$A$2:$A$6,0))</x:f>
        <x:v>#NAME?</x:v>
      </x:c>
      <x:c r="AG9" s="97" t="e">
        <x:f>H9*INDEX(Régions!$AD$2:$AD$6,MATCH($B9,Régions!$A$2:$A$6,0))</x:f>
        <x:v>#NAME?</x:v>
      </x:c>
      <x:c r="AH9" s="97" t="e">
        <x:f>I9*INDEX(Régions!$AE$2:$AE$6,MATCH($B9,Régions!$A$2:$A$6,0))</x:f>
        <x:v>#NAME?</x:v>
      </x:c>
      <x:c r="AI9" s="97" t="e">
        <x:f>D9*INDEX(Régions!$AF$2:$AF$6,MATCH($B9,Régions!$A$2:$A$6,0))</x:f>
        <x:v>#NAME?</x:v>
      </x:c>
      <x:c r="AJ9" s="97" t="e">
        <x:f>E9*INDEX(Régions!$AG$2:$AG$6,MATCH($B9,Régions!$A$2:$A$6,0))</x:f>
        <x:v>#NAME?</x:v>
      </x:c>
      <x:c r="AK9" s="97" t="e">
        <x:f>F9*INDEX(Régions!$AH$2:$AH$6,MATCH($B9,Régions!$A$2:$A$6,0))</x:f>
        <x:v>#NAME?</x:v>
      </x:c>
      <x:c r="AL9" s="97" t="e">
        <x:f>G9*INDEX(Régions!$AI$2:$AI$6,MATCH($B9,Régions!$A$2:$A$6,0))</x:f>
        <x:v>#NAME?</x:v>
      </x:c>
      <x:c r="AM9" s="97" t="e">
        <x:f>H9*INDEX(Régions!$AJ$2:$AJ$6,MATCH($B9,Régions!$A$2:$A$6,0))</x:f>
        <x:v>#NAME?</x:v>
      </x:c>
      <x:c r="AN9" s="97" t="e">
        <x:f>I9*INDEX(Régions!$AK$2:$AK$6,MATCH($B9,Régions!$A$2:$A$6,0))</x:f>
        <x:v>#NAME?</x:v>
      </x:c>
      <x:c r="AO9" s="99" t="str">
        <x:f>INDEX({"CAQ","PLQ","QS","PQ","PCQ","Autre"},MATCH(MAX(Q9:V9),Q9:V9,0))</x:f>
        <x:v>CAQ</x:v>
      </x:c>
      <x:c r="AP9" s="99" t="str">
        <x:f>INDEX({"CAQ","PLQ","QS","PQ","PCQ","Autre"},MATCH(MAX(W9:AB9),W9:AB9,0))</x:f>
        <x:v>CAQ</x:v>
      </x:c>
      <x:c r="AQ9" s="99" t="str">
        <x:f>INDEX({"CAQ","PLQ","QS","PQ","PCQ","Autre"},MATCH(MAX(AC9:AH9),AC9:AH9,0))</x:f>
        <x:v>CAQ</x:v>
      </x:c>
      <x:c r="AR9" s="99" t="str">
        <x:f>INDEX({"CAQ","PLQ","QS","PQ","PCQ","Autre"},MATCH(MAX(AI9:AN9),AI9:AN9,0))</x:f>
        <x:v>CAQ</x:v>
      </x:c>
      <x:c r="AS9" s="100" t="n">
        <x:f>(MAX(K9:P9)-LARGE(K9:P9,2))*100</x:f>
        <x:v>1.1476684632504786</x:v>
      </x:c>
      <x:c r="AT9" s="101" t="str">
        <x:f>IF(AS9&lt;5,"Oui","Non")</x:f>
        <x:v>Oui</x:v>
      </x:c>
      <x:c r="AU9" s="102" t="n">
        <x:v>-24.076</x:v>
      </x:c>
      <x:c r="AV9" s="102" t="n">
        <x:v>-5.246</x:v>
      </x:c>
      <x:c r="AW9" s="102" t="n">
        <x:v>-0.451</x:v>
      </x:c>
      <x:c r="AX9" s="102" t="n">
        <x:v>3.906</x:v>
      </x:c>
      <x:c r="AY9" s="96" t="n">
        <x:v>20937</x:v>
      </x:c>
      <x:c r="AZ9" s="96" t="n">
        <x:v>6958</x:v>
      </x:c>
      <x:c r="BA9" s="96" t="n">
        <x:v>1934</x:v>
      </x:c>
      <x:c r="BB9" s="96" t="n">
        <x:v>1374</x:v>
      </x:c>
      <x:c r="BC9" s="96" t="n">
        <x:v>2200</x:v>
      </x:c>
      <x:c r="BD9" s="97" t="e">
        <x:f>AY9*INDEX(Régions!$AQ$2:$AQ$6,MATCH($B9,Régions!$A$2:$A$6,0))</x:f>
        <x:v>#NAME?</x:v>
      </x:c>
      <x:c r="BE9" s="97" t="e">
        <x:f>AZ9*INDEX(Régions!$AR$2:$AR$6,MATCH($B9,Régions!$A$2:$A$6,0))</x:f>
        <x:v>#NAME?</x:v>
      </x:c>
      <x:c r="BF9" s="97" t="e">
        <x:f>BA9*INDEX(Régions!$AS$2:$AS$6,MATCH($B9,Régions!$A$2:$A$6,0))</x:f>
        <x:v>#NAME?</x:v>
      </x:c>
      <x:c r="BG9" s="97" t="e">
        <x:f>BB9*INDEX(Régions!$AT$2:$AT$6,MATCH($B9,Régions!$A$2:$A$6,0))</x:f>
        <x:v>#NAME?</x:v>
      </x:c>
      <x:c r="BH9" s="97" t="e">
        <x:f>U9</x:f>
        <x:v>#NAME?</x:v>
      </x:c>
      <x:c r="BI9" s="97" t="e">
        <x:f>BC9*INDEX(Régions!$AU$2:$AU$6,MATCH($B9,Régions!$A$2:$A$6,0))</x:f>
        <x:v>#NAME?</x:v>
      </x:c>
      <x:c r="BJ9" s="97" t="str">
        <x:f>INDEX({"CAQ","PLQ","QS","PQ","PCQ","Autre"},MATCH(MAX(BD9:BI9),BD9:BI9,0))</x:f>
        <x:v>CAQ</x:v>
      </x:c>
    </x:row>
    <x:row r="10" s="60" customFormat="1" ht="15" customHeight="1">
      <x:c r="A10" s="94" t="inlineStr">
        <x:is>
          <x:t xml:space="preserve">Beauharnois</x:t>
        </x:is>
      </x:c>
      <x:c r="B10" s="94" t="inlineStr">
        <x:is>
          <x:t xml:space="preserve">Banlieue de Montréal</x:t>
        </x:is>
      </x:c>
      <x:c r="C10" s="95" t="inlineStr">
        <x:is>
          <x:t xml:space="preserve">CAQ</x:t>
        </x:is>
      </x:c>
      <x:c r="D10" s="96" t="n">
        <x:v>19554</x:v>
      </x:c>
      <x:c r="E10" s="96" t="n">
        <x:v>2796</x:v>
      </x:c>
      <x:c r="F10" s="96" t="n">
        <x:v>4724</x:v>
      </x:c>
      <x:c r="G10" s="96" t="n">
        <x:v>6043</x:v>
      </x:c>
      <x:c r="H10" s="96" t="n">
        <x:v>3601</x:v>
      </x:c>
      <x:c r="I10" s="96" t="n">
        <x:v>457</x:v>
      </x:c>
      <x:c r="J10" s="97" t="n">
        <x:f>SUM(D10:I10)</x:f>
        <x:v>37175</x:v>
      </x:c>
      <x:c r="K10" s="98" t="n">
        <x:f>IFERROR(D10/J10,0)</x:f>
        <x:v>0.5259986550100875</x:v>
      </x:c>
      <x:c r="L10" s="98" t="n">
        <x:f>IFERROR(E10/J10,0)</x:f>
        <x:v>0.07521183591123067</x:v>
      </x:c>
      <x:c r="M10" s="98" t="n">
        <x:f>IFERROR(F10/J10,0)</x:f>
        <x:v>0.12707464694014795</x:v>
      </x:c>
      <x:c r="N10" s="98" t="n">
        <x:f>IFERROR(G10/J10,0)</x:f>
        <x:v>0.16255548083389373</x:v>
      </x:c>
      <x:c r="O10" s="98" t="n">
        <x:f>IFERROR(H10/J10,0)</x:f>
        <x:v>0.09686617350369872</x:v>
      </x:c>
      <x:c r="P10" s="98" t="n">
        <x:f>IFERROR(I10/J10,0)</x:f>
        <x:v>0.012293207800941492</x:v>
      </x:c>
      <x:c r="Q10" s="97" t="e">
        <x:f>D10*INDEX(Régions!$T$2:$T$6,MATCH($B10,Régions!$A$2:$A$6,0))</x:f>
        <x:v>#NAME?</x:v>
      </x:c>
      <x:c r="R10" s="97" t="e">
        <x:f>E10*INDEX(Régions!$U$2:$U$6,MATCH($B10,Régions!$A$2:$A$6,0))</x:f>
        <x:v>#NAME?</x:v>
      </x:c>
      <x:c r="S10" s="97" t="e">
        <x:f>F10*INDEX(Régions!$V$2:$V$6,MATCH($B10,Régions!$A$2:$A$6,0))</x:f>
        <x:v>#NAME?</x:v>
      </x:c>
      <x:c r="T10" s="97" t="e">
        <x:f>G10*INDEX(Régions!$W$2:$W$6,MATCH($B10,Régions!$A$2:$A$6,0))</x:f>
        <x:v>#NAME?</x:v>
      </x:c>
      <x:c r="U10" s="97" t="e">
        <x:f>H10*INDEX(Régions!$X$2:$X$6,MATCH($B10,Régions!$A$2:$A$6,0))</x:f>
        <x:v>#NAME?</x:v>
      </x:c>
      <x:c r="V10" s="97" t="e">
        <x:f>I10*INDEX(Régions!$Y$2:$Y$6,MATCH($B10,Régions!$A$2:$A$6,0))</x:f>
        <x:v>#NAME?</x:v>
      </x:c>
      <x:c r="W10" s="97" t="e">
        <x:f>Q10+(AU10/100)*J10*Régions!$O$2</x:f>
        <x:v>#NAME?</x:v>
      </x:c>
      <x:c r="X10" s="97" t="e">
        <x:f>R10+(AV10/100)*J10*Régions!$O$2</x:f>
        <x:v>#NAME?</x:v>
      </x:c>
      <x:c r="Y10" s="97" t="e">
        <x:f>S10+(AW10/100)*J10*Régions!$O$2</x:f>
        <x:v>#NAME?</x:v>
      </x:c>
      <x:c r="Z10" s="97" t="e">
        <x:f>T10+(AX10/100)*J10*Régions!$O$2</x:f>
        <x:v>#NAME?</x:v>
      </x:c>
      <x:c r="AA10" s="97" t="e">
        <x:f>U10</x:f>
        <x:v>#NAME?</x:v>
      </x:c>
      <x:c r="AB10" s="97" t="e">
        <x:f>V10</x:f>
        <x:v>#NAME?</x:v>
      </x:c>
      <x:c r="AC10" s="97" t="e">
        <x:f>D10*INDEX(Régions!$Z$2:$Z$6,MATCH($B10,Régions!$A$2:$A$6,0))</x:f>
        <x:v>#NAME?</x:v>
      </x:c>
      <x:c r="AD10" s="97" t="e">
        <x:f>E10*INDEX(Régions!$AA$2:$AA$6,MATCH($B10,Régions!$A$2:$A$6,0))</x:f>
        <x:v>#NAME?</x:v>
      </x:c>
      <x:c r="AE10" s="97" t="e">
        <x:f>F10*INDEX(Régions!$AB$2:$AB$6,MATCH($B10,Régions!$A$2:$A$6,0))</x:f>
        <x:v>#NAME?</x:v>
      </x:c>
      <x:c r="AF10" s="97" t="e">
        <x:f>G10*INDEX(Régions!$AC$2:$AC$6,MATCH($B10,Régions!$A$2:$A$6,0))</x:f>
        <x:v>#NAME?</x:v>
      </x:c>
      <x:c r="AG10" s="97" t="e">
        <x:f>H10*INDEX(Régions!$AD$2:$AD$6,MATCH($B10,Régions!$A$2:$A$6,0))</x:f>
        <x:v>#NAME?</x:v>
      </x:c>
      <x:c r="AH10" s="97" t="e">
        <x:f>I10*INDEX(Régions!$AE$2:$AE$6,MATCH($B10,Régions!$A$2:$A$6,0))</x:f>
        <x:v>#NAME?</x:v>
      </x:c>
      <x:c r="AI10" s="97" t="e">
        <x:f>D10*INDEX(Régions!$AF$2:$AF$6,MATCH($B10,Régions!$A$2:$A$6,0))</x:f>
        <x:v>#NAME?</x:v>
      </x:c>
      <x:c r="AJ10" s="97" t="e">
        <x:f>E10*INDEX(Régions!$AG$2:$AG$6,MATCH($B10,Régions!$A$2:$A$6,0))</x:f>
        <x:v>#NAME?</x:v>
      </x:c>
      <x:c r="AK10" s="97" t="e">
        <x:f>F10*INDEX(Régions!$AH$2:$AH$6,MATCH($B10,Régions!$A$2:$A$6,0))</x:f>
        <x:v>#NAME?</x:v>
      </x:c>
      <x:c r="AL10" s="97" t="e">
        <x:f>G10*INDEX(Régions!$AI$2:$AI$6,MATCH($B10,Régions!$A$2:$A$6,0))</x:f>
        <x:v>#NAME?</x:v>
      </x:c>
      <x:c r="AM10" s="97" t="e">
        <x:f>H10*INDEX(Régions!$AJ$2:$AJ$6,MATCH($B10,Régions!$A$2:$A$6,0))</x:f>
        <x:v>#NAME?</x:v>
      </x:c>
      <x:c r="AN10" s="97" t="e">
        <x:f>I10*INDEX(Régions!$AK$2:$AK$6,MATCH($B10,Régions!$A$2:$A$6,0))</x:f>
        <x:v>#NAME?</x:v>
      </x:c>
      <x:c r="AO10" s="99" t="str">
        <x:f>INDEX({"CAQ","PLQ","QS","PQ","PCQ","Autre"},MATCH(MAX(Q10:V10),Q10:V10,0))</x:f>
        <x:v>CAQ</x:v>
      </x:c>
      <x:c r="AP10" s="99" t="str">
        <x:f>INDEX({"CAQ","PLQ","QS","PQ","PCQ","Autre"},MATCH(MAX(W10:AB10),W10:AB10,0))</x:f>
        <x:v>CAQ</x:v>
      </x:c>
      <x:c r="AQ10" s="99" t="str">
        <x:f>INDEX({"CAQ","PLQ","QS","PQ","PCQ","Autre"},MATCH(MAX(AC10:AH10),AC10:AH10,0))</x:f>
        <x:v>CAQ</x:v>
      </x:c>
      <x:c r="AR10" s="99" t="str">
        <x:f>INDEX({"CAQ","PLQ","QS","PQ","PCQ","Autre"},MATCH(MAX(AI10:AN10),AI10:AN10,0))</x:f>
        <x:v>CAQ</x:v>
      </x:c>
      <x:c r="AS10" s="100" t="n">
        <x:f>(MAX(K10:P10)-LARGE(K10:P10,2))*100</x:f>
        <x:v>36.34431741761938</x:v>
      </x:c>
      <x:c r="AT10" s="101" t="str">
        <x:f>IF(AS10&lt;5,"Oui","Non")</x:f>
        <x:v>Non</x:v>
      </x:c>
      <x:c r="AU10" s="102" t="n">
        <x:v>3.564</x:v>
      </x:c>
      <x:c r="AV10" s="102" t="n">
        <x:v>-0.528</x:v>
      </x:c>
      <x:c r="AW10" s="102" t="n">
        <x:v>-1.274</x:v>
      </x:c>
      <x:c r="AX10" s="102" t="n">
        <x:v>-1.366</x:v>
      </x:c>
      <x:c r="AY10" s="96" t="n">
        <x:v>16442</x:v>
      </x:c>
      <x:c r="AZ10" s="96" t="n">
        <x:v>5355</x:v>
      </x:c>
      <x:c r="BA10" s="96" t="n">
        <x:v>5256</x:v>
      </x:c>
      <x:c r="BB10" s="96" t="n">
        <x:v>7386</x:v>
      </x:c>
      <x:c r="BC10" s="96" t="n">
        <x:v>1375</x:v>
      </x:c>
      <x:c r="BD10" s="97" t="e">
        <x:f>AY10*INDEX(Régions!$AQ$2:$AQ$6,MATCH($B10,Régions!$A$2:$A$6,0))</x:f>
        <x:v>#NAME?</x:v>
      </x:c>
      <x:c r="BE10" s="97" t="e">
        <x:f>AZ10*INDEX(Régions!$AR$2:$AR$6,MATCH($B10,Régions!$A$2:$A$6,0))</x:f>
        <x:v>#NAME?</x:v>
      </x:c>
      <x:c r="BF10" s="97" t="e">
        <x:f>BA10*INDEX(Régions!$AS$2:$AS$6,MATCH($B10,Régions!$A$2:$A$6,0))</x:f>
        <x:v>#NAME?</x:v>
      </x:c>
      <x:c r="BG10" s="97" t="e">
        <x:f>BB10*INDEX(Régions!$AT$2:$AT$6,MATCH($B10,Régions!$A$2:$A$6,0))</x:f>
        <x:v>#NAME?</x:v>
      </x:c>
      <x:c r="BH10" s="97" t="e">
        <x:f>U10</x:f>
        <x:v>#NAME?</x:v>
      </x:c>
      <x:c r="BI10" s="97" t="e">
        <x:f>BC10*INDEX(Régions!$AU$2:$AU$6,MATCH($B10,Régions!$A$2:$A$6,0))</x:f>
        <x:v>#NAME?</x:v>
      </x:c>
      <x:c r="BJ10" s="97" t="str">
        <x:f>INDEX({"CAQ","PLQ","QS","PQ","PCQ","Autre"},MATCH(MAX(BD10:BI10),BD10:BI10,0))</x:f>
        <x:v>CAQ</x:v>
      </x:c>
    </x:row>
    <x:row r="11" s="60" customFormat="1" ht="15" customHeight="1">
      <x:c r="A11" s="94" t="inlineStr">
        <x:is>
          <x:t xml:space="preserve">Bellechasse</x:t>
        </x:is>
      </x:c>
      <x:c r="B11" s="94" t="inlineStr">
        <x:is>
          <x:t xml:space="preserve">Reste du Québec</x:t>
        </x:is>
      </x:c>
      <x:c r="C11" s="95" t="inlineStr">
        <x:is>
          <x:t xml:space="preserve">CAQ</x:t>
        </x:is>
      </x:c>
      <x:c r="D11" s="96" t="n">
        <x:v>15065</x:v>
      </x:c>
      <x:c r="E11" s="96" t="n">
        <x:v>1360</x:v>
      </x:c>
      <x:c r="F11" s="96" t="n">
        <x:v>1988</x:v>
      </x:c>
      <x:c r="G11" s="96" t="n">
        <x:v>2908</x:v>
      </x:c>
      <x:c r="H11" s="96" t="n">
        <x:v>11612</x:v>
      </x:c>
      <x:c r="I11" s="96" t="n">
        <x:v>0</x:v>
      </x:c>
      <x:c r="J11" s="97" t="n">
        <x:f>SUM(D11:I11)</x:f>
        <x:v>32933</x:v>
      </x:c>
      <x:c r="K11" s="98" t="n">
        <x:f>IFERROR(D11/J11,0)</x:f>
        <x:v>0.45744390125406126</x:v>
      </x:c>
      <x:c r="L11" s="98" t="n">
        <x:f>IFERROR(E11/J11,0)</x:f>
        <x:v>0.041295964534053986</x:v>
      </x:c>
      <x:c r="M11" s="98" t="n">
        <x:f>IFERROR(F11/J11,0)</x:f>
        <x:v>0.06036498345124951</x:v>
      </x:c>
      <x:c r="N11" s="98" t="n">
        <x:f>IFERROR(G11/J11,0)</x:f>
        <x:v>0.08830048887134485</x:v>
      </x:c>
      <x:c r="O11" s="98" t="n">
        <x:f>IFERROR(H11/J11,0)</x:f>
        <x:v>0.3525946618892904</x:v>
      </x:c>
      <x:c r="P11" s="98" t="n">
        <x:f>IFERROR(I11/J11,0)</x:f>
        <x:v>0</x:v>
      </x:c>
      <x:c r="Q11" s="97" t="e">
        <x:f>D11*INDEX(Régions!$T$2:$T$6,MATCH($B11,Régions!$A$2:$A$6,0))</x:f>
        <x:v>#NAME?</x:v>
      </x:c>
      <x:c r="R11" s="97" t="e">
        <x:f>E11*INDEX(Régions!$U$2:$U$6,MATCH($B11,Régions!$A$2:$A$6,0))</x:f>
        <x:v>#NAME?</x:v>
      </x:c>
      <x:c r="S11" s="97" t="e">
        <x:f>F11*INDEX(Régions!$V$2:$V$6,MATCH($B11,Régions!$A$2:$A$6,0))</x:f>
        <x:v>#NAME?</x:v>
      </x:c>
      <x:c r="T11" s="97" t="e">
        <x:f>G11*INDEX(Régions!$W$2:$W$6,MATCH($B11,Régions!$A$2:$A$6,0))</x:f>
        <x:v>#NAME?</x:v>
      </x:c>
      <x:c r="U11" s="97" t="e">
        <x:f>H11*INDEX(Régions!$X$2:$X$6,MATCH($B11,Régions!$A$2:$A$6,0))</x:f>
        <x:v>#NAME?</x:v>
      </x:c>
      <x:c r="V11" s="97" t="e">
        <x:f>I11*INDEX(Régions!$Y$2:$Y$6,MATCH($B11,Régions!$A$2:$A$6,0))</x:f>
        <x:v>#NAME?</x:v>
      </x:c>
      <x:c r="W11" s="97" t="e">
        <x:f>Q11+(AU11/100)*J11*Régions!$O$2</x:f>
        <x:v>#NAME?</x:v>
      </x:c>
      <x:c r="X11" s="97" t="e">
        <x:f>R11+(AV11/100)*J11*Régions!$O$2</x:f>
        <x:v>#NAME?</x:v>
      </x:c>
      <x:c r="Y11" s="97" t="e">
        <x:f>S11+(AW11/100)*J11*Régions!$O$2</x:f>
        <x:v>#NAME?</x:v>
      </x:c>
      <x:c r="Z11" s="97" t="e">
        <x:f>T11+(AX11/100)*J11*Régions!$O$2</x:f>
        <x:v>#NAME?</x:v>
      </x:c>
      <x:c r="AA11" s="97" t="e">
        <x:f>U11</x:f>
        <x:v>#NAME?</x:v>
      </x:c>
      <x:c r="AB11" s="97" t="e">
        <x:f>V11</x:f>
        <x:v>#NAME?</x:v>
      </x:c>
      <x:c r="AC11" s="97" t="e">
        <x:f>D11*INDEX(Régions!$Z$2:$Z$6,MATCH($B11,Régions!$A$2:$A$6,0))</x:f>
        <x:v>#NAME?</x:v>
      </x:c>
      <x:c r="AD11" s="97" t="e">
        <x:f>E11*INDEX(Régions!$AA$2:$AA$6,MATCH($B11,Régions!$A$2:$A$6,0))</x:f>
        <x:v>#NAME?</x:v>
      </x:c>
      <x:c r="AE11" s="97" t="e">
        <x:f>F11*INDEX(Régions!$AB$2:$AB$6,MATCH($B11,Régions!$A$2:$A$6,0))</x:f>
        <x:v>#NAME?</x:v>
      </x:c>
      <x:c r="AF11" s="97" t="e">
        <x:f>G11*INDEX(Régions!$AC$2:$AC$6,MATCH($B11,Régions!$A$2:$A$6,0))</x:f>
        <x:v>#NAME?</x:v>
      </x:c>
      <x:c r="AG11" s="97" t="e">
        <x:f>H11*INDEX(Régions!$AD$2:$AD$6,MATCH($B11,Régions!$A$2:$A$6,0))</x:f>
        <x:v>#NAME?</x:v>
      </x:c>
      <x:c r="AH11" s="97" t="e">
        <x:f>I11*INDEX(Régions!$AE$2:$AE$6,MATCH($B11,Régions!$A$2:$A$6,0))</x:f>
        <x:v>#NAME?</x:v>
      </x:c>
      <x:c r="AI11" s="97" t="e">
        <x:f>D11*INDEX(Régions!$AF$2:$AF$6,MATCH($B11,Régions!$A$2:$A$6,0))</x:f>
        <x:v>#NAME?</x:v>
      </x:c>
      <x:c r="AJ11" s="97" t="e">
        <x:f>E11*INDEX(Régions!$AG$2:$AG$6,MATCH($B11,Régions!$A$2:$A$6,0))</x:f>
        <x:v>#NAME?</x:v>
      </x:c>
      <x:c r="AK11" s="97" t="e">
        <x:f>F11*INDEX(Régions!$AH$2:$AH$6,MATCH($B11,Régions!$A$2:$A$6,0))</x:f>
        <x:v>#NAME?</x:v>
      </x:c>
      <x:c r="AL11" s="97" t="e">
        <x:f>G11*INDEX(Régions!$AI$2:$AI$6,MATCH($B11,Régions!$A$2:$A$6,0))</x:f>
        <x:v>#NAME?</x:v>
      </x:c>
      <x:c r="AM11" s="97" t="e">
        <x:f>H11*INDEX(Régions!$AJ$2:$AJ$6,MATCH($B11,Régions!$A$2:$A$6,0))</x:f>
        <x:v>#NAME?</x:v>
      </x:c>
      <x:c r="AN11" s="97" t="e">
        <x:f>I11*INDEX(Régions!$AK$2:$AK$6,MATCH($B11,Régions!$A$2:$A$6,0))</x:f>
        <x:v>#NAME?</x:v>
      </x:c>
      <x:c r="AO11" s="99" t="str">
        <x:f>INDEX({"CAQ","PLQ","QS","PQ","PCQ","Autre"},MATCH(MAX(Q11:V11),Q11:V11,0))</x:f>
        <x:v>CAQ</x:v>
      </x:c>
      <x:c r="AP11" s="99" t="str">
        <x:f>INDEX({"CAQ","PLQ","QS","PQ","PCQ","Autre"},MATCH(MAX(W11:AB11),W11:AB11,0))</x:f>
        <x:v>CAQ</x:v>
      </x:c>
      <x:c r="AQ11" s="99" t="str">
        <x:f>INDEX({"CAQ","PLQ","QS","PQ","PCQ","Autre"},MATCH(MAX(AC11:AH11),AC11:AH11,0))</x:f>
        <x:v>CAQ</x:v>
      </x:c>
      <x:c r="AR11" s="99" t="str">
        <x:f>INDEX({"CAQ","PLQ","QS","PQ","PCQ","Autre"},MATCH(MAX(AI11:AN11),AI11:AN11,0))</x:f>
        <x:v>CAQ</x:v>
      </x:c>
      <x:c r="AS11" s="100" t="n">
        <x:f>(MAX(K11:P11)-LARGE(K11:P11,2))*100</x:f>
        <x:v>10.484923936477086</x:v>
      </x:c>
      <x:c r="AT11" s="101" t="str">
        <x:f>IF(AS11&lt;5,"Oui","Non")</x:f>
        <x:v>Non</x:v>
      </x:c>
      <x:c r="AU11" s="102" t="n">
        <x:v>-14.054</x:v>
      </x:c>
      <x:c r="AV11" s="102" t="n">
        <x:v>-10.282</x:v>
      </x:c>
      <x:c r="AW11" s="102" t="n">
        <x:v>-0.481</x:v>
      </x:c>
      <x:c r="AX11" s="102" t="n">
        <x:v>5.554</x:v>
      </x:c>
      <x:c r="AY11" s="96" t="n">
        <x:v>16302</x:v>
      </x:c>
      <x:c r="AZ11" s="96" t="n">
        <x:v>8223</x:v>
      </x:c>
      <x:c r="BA11" s="96" t="n">
        <x:v>2272</x:v>
      </x:c>
      <x:c r="BB11" s="96" t="n">
        <x:v>2198</x:v>
      </x:c>
      <x:c r="BC11" s="96" t="n">
        <x:v>1279</x:v>
      </x:c>
      <x:c r="BD11" s="97" t="e">
        <x:f>AY11*INDEX(Régions!$AQ$2:$AQ$6,MATCH($B11,Régions!$A$2:$A$6,0))</x:f>
        <x:v>#NAME?</x:v>
      </x:c>
      <x:c r="BE11" s="97" t="e">
        <x:f>AZ11*INDEX(Régions!$AR$2:$AR$6,MATCH($B11,Régions!$A$2:$A$6,0))</x:f>
        <x:v>#NAME?</x:v>
      </x:c>
      <x:c r="BF11" s="97" t="e">
        <x:f>BA11*INDEX(Régions!$AS$2:$AS$6,MATCH($B11,Régions!$A$2:$A$6,0))</x:f>
        <x:v>#NAME?</x:v>
      </x:c>
      <x:c r="BG11" s="97" t="e">
        <x:f>BB11*INDEX(Régions!$AT$2:$AT$6,MATCH($B11,Régions!$A$2:$A$6,0))</x:f>
        <x:v>#NAME?</x:v>
      </x:c>
      <x:c r="BH11" s="97" t="e">
        <x:f>U11</x:f>
        <x:v>#NAME?</x:v>
      </x:c>
      <x:c r="BI11" s="97" t="e">
        <x:f>BC11*INDEX(Régions!$AU$2:$AU$6,MATCH($B11,Régions!$A$2:$A$6,0))</x:f>
        <x:v>#NAME?</x:v>
      </x:c>
      <x:c r="BJ11" s="97" t="str">
        <x:f>INDEX({"CAQ","PLQ","QS","PQ","PCQ","Autre"},MATCH(MAX(BD11:BI11),BD11:BI11,0))</x:f>
        <x:v>CAQ</x:v>
      </x:c>
    </x:row>
    <x:row r="12" s="60" customFormat="1" ht="15" customHeight="1">
      <x:c r="A12" s="94" t="inlineStr">
        <x:is>
          <x:t xml:space="preserve">Bellefeuille</x:t>
        </x:is>
      </x:c>
      <x:c r="B12" s="94" t="inlineStr">
        <x:is>
          <x:t xml:space="preserve">Reste du Québec</x:t>
        </x:is>
      </x:c>
      <x:c r="C12" s="95" t="inlineStr">
        <x:is>
          <x:t xml:space="preserve">CAQ</x:t>
        </x:is>
      </x:c>
      <x:c r="D12" s="96" t="n">
        <x:v>13523</x:v>
      </x:c>
      <x:c r="E12" s="96" t="n">
        <x:v>1898</x:v>
      </x:c>
      <x:c r="F12" s="96" t="n">
        <x:v>3856</x:v>
      </x:c>
      <x:c r="G12" s="96" t="n">
        <x:v>4873</x:v>
      </x:c>
      <x:c r="H12" s="96" t="n">
        <x:v>3366</x:v>
      </x:c>
      <x:c r="I12" s="96" t="n">
        <x:v>330</x:v>
      </x:c>
      <x:c r="J12" s="97" t="n">
        <x:f>SUM(D12:I12)</x:f>
        <x:v>27846</x:v>
      </x:c>
      <x:c r="K12" s="98" t="n">
        <x:f>IFERROR(D12/J12,0)</x:f>
        <x:v>0.4856352797529268</x:v>
      </x:c>
      <x:c r="L12" s="98" t="n">
        <x:f>IFERROR(E12/J12,0)</x:f>
        <x:v>0.06816059757236227</x:v>
      </x:c>
      <x:c r="M12" s="98" t="n">
        <x:f>IFERROR(F12/J12,0)</x:f>
        <x:v>0.13847590318178554</x:v>
      </x:c>
      <x:c r="N12" s="98" t="n">
        <x:f>IFERROR(G12/J12,0)</x:f>
        <x:v>0.1749982044099691</x:v>
      </x:c>
      <x:c r="O12" s="98" t="n">
        <x:f>IFERROR(H12/J12,0)</x:f>
        <x:v>0.12087912087912088</x:v>
      </x:c>
      <x:c r="P12" s="98" t="n">
        <x:f>IFERROR(I12/J12,0)</x:f>
        <x:v>0.01185089420383538</x:v>
      </x:c>
      <x:c r="Q12" s="97" t="e">
        <x:f>D12*INDEX(Régions!$T$2:$T$6,MATCH($B12,Régions!$A$2:$A$6,0))</x:f>
        <x:v>#NAME?</x:v>
      </x:c>
      <x:c r="R12" s="97" t="e">
        <x:f>E12*INDEX(Régions!$U$2:$U$6,MATCH($B12,Régions!$A$2:$A$6,0))</x:f>
        <x:v>#NAME?</x:v>
      </x:c>
      <x:c r="S12" s="97" t="e">
        <x:f>F12*INDEX(Régions!$V$2:$V$6,MATCH($B12,Régions!$A$2:$A$6,0))</x:f>
        <x:v>#NAME?</x:v>
      </x:c>
      <x:c r="T12" s="97" t="e">
        <x:f>G12*INDEX(Régions!$W$2:$W$6,MATCH($B12,Régions!$A$2:$A$6,0))</x:f>
        <x:v>#NAME?</x:v>
      </x:c>
      <x:c r="U12" s="97" t="e">
        <x:f>H12*INDEX(Régions!$X$2:$X$6,MATCH($B12,Régions!$A$2:$A$6,0))</x:f>
        <x:v>#NAME?</x:v>
      </x:c>
      <x:c r="V12" s="97" t="e">
        <x:f>I12*INDEX(Régions!$Y$2:$Y$6,MATCH($B12,Régions!$A$2:$A$6,0))</x:f>
        <x:v>#NAME?</x:v>
      </x:c>
      <x:c r="W12" s="97" t="e">
        <x:f>Q12+(AU12/100)*J12*Régions!$O$2</x:f>
        <x:v>#NAME?</x:v>
      </x:c>
      <x:c r="X12" s="97" t="e">
        <x:f>R12+(AV12/100)*J12*Régions!$O$2</x:f>
        <x:v>#NAME?</x:v>
      </x:c>
      <x:c r="Y12" s="97" t="e">
        <x:f>S12+(AW12/100)*J12*Régions!$O$2</x:f>
        <x:v>#NAME?</x:v>
      </x:c>
      <x:c r="Z12" s="97" t="e">
        <x:f>T12+(AX12/100)*J12*Régions!$O$2</x:f>
        <x:v>#NAME?</x:v>
      </x:c>
      <x:c r="AA12" s="97" t="e">
        <x:f>U12</x:f>
        <x:v>#NAME?</x:v>
      </x:c>
      <x:c r="AB12" s="97" t="e">
        <x:f>V12</x:f>
        <x:v>#NAME?</x:v>
      </x:c>
      <x:c r="AC12" s="97" t="e">
        <x:f>D12*INDEX(Régions!$Z$2:$Z$6,MATCH($B12,Régions!$A$2:$A$6,0))</x:f>
        <x:v>#NAME?</x:v>
      </x:c>
      <x:c r="AD12" s="97" t="e">
        <x:f>E12*INDEX(Régions!$AA$2:$AA$6,MATCH($B12,Régions!$A$2:$A$6,0))</x:f>
        <x:v>#NAME?</x:v>
      </x:c>
      <x:c r="AE12" s="97" t="e">
        <x:f>F12*INDEX(Régions!$AB$2:$AB$6,MATCH($B12,Régions!$A$2:$A$6,0))</x:f>
        <x:v>#NAME?</x:v>
      </x:c>
      <x:c r="AF12" s="97" t="e">
        <x:f>G12*INDEX(Régions!$AC$2:$AC$6,MATCH($B12,Régions!$A$2:$A$6,0))</x:f>
        <x:v>#NAME?</x:v>
      </x:c>
      <x:c r="AG12" s="97" t="e">
        <x:f>H12*INDEX(Régions!$AD$2:$AD$6,MATCH($B12,Régions!$A$2:$A$6,0))</x:f>
        <x:v>#NAME?</x:v>
      </x:c>
      <x:c r="AH12" s="97" t="e">
        <x:f>I12*INDEX(Régions!$AE$2:$AE$6,MATCH($B12,Régions!$A$2:$A$6,0))</x:f>
        <x:v>#NAME?</x:v>
      </x:c>
      <x:c r="AI12" s="97" t="e">
        <x:f>D12*INDEX(Régions!$AF$2:$AF$6,MATCH($B12,Régions!$A$2:$A$6,0))</x:f>
        <x:v>#NAME?</x:v>
      </x:c>
      <x:c r="AJ12" s="97" t="e">
        <x:f>E12*INDEX(Régions!$AG$2:$AG$6,MATCH($B12,Régions!$A$2:$A$6,0))</x:f>
        <x:v>#NAME?</x:v>
      </x:c>
      <x:c r="AK12" s="97" t="e">
        <x:f>F12*INDEX(Régions!$AH$2:$AH$6,MATCH($B12,Régions!$A$2:$A$6,0))</x:f>
        <x:v>#NAME?</x:v>
      </x:c>
      <x:c r="AL12" s="97" t="e">
        <x:f>G12*INDEX(Régions!$AI$2:$AI$6,MATCH($B12,Régions!$A$2:$A$6,0))</x:f>
        <x:v>#NAME?</x:v>
      </x:c>
      <x:c r="AM12" s="97" t="e">
        <x:f>H12*INDEX(Régions!$AJ$2:$AJ$6,MATCH($B12,Régions!$A$2:$A$6,0))</x:f>
        <x:v>#NAME?</x:v>
      </x:c>
      <x:c r="AN12" s="97" t="e">
        <x:f>I12*INDEX(Régions!$AK$2:$AK$6,MATCH($B12,Régions!$A$2:$A$6,0))</x:f>
        <x:v>#NAME?</x:v>
      </x:c>
      <x:c r="AO12" s="99" t="str">
        <x:f>INDEX({"CAQ","PLQ","QS","PQ","PCQ","Autre"},MATCH(MAX(Q12:V12),Q12:V12,0))</x:f>
        <x:v>CAQ</x:v>
      </x:c>
      <x:c r="AP12" s="99" t="str">
        <x:f>INDEX({"CAQ","PLQ","QS","PQ","PCQ","Autre"},MATCH(MAX(W12:AB12),W12:AB12,0))</x:f>
        <x:v>CAQ</x:v>
      </x:c>
      <x:c r="AQ12" s="99" t="str">
        <x:f>INDEX({"CAQ","PLQ","QS","PQ","PCQ","Autre"},MATCH(MAX(AC12:AH12),AC12:AH12,0))</x:f>
        <x:v>CAQ</x:v>
      </x:c>
      <x:c r="AR12" s="99" t="str">
        <x:f>INDEX({"CAQ","PLQ","QS","PQ","PCQ","Autre"},MATCH(MAX(AI12:AN12),AI12:AN12,0))</x:f>
        <x:v>CAQ</x:v>
      </x:c>
      <x:c r="AS12" s="100" t="n">
        <x:f>(MAX(K12:P12)-LARGE(K12:P12,2))*100</x:f>
        <x:v>31.06370753429577</x:v>
      </x:c>
      <x:c r="AT12" s="101" t="str">
        <x:f>IF(AS12&lt;5,"Oui","Non")</x:f>
        <x:v>Non</x:v>
      </x:c>
      <x:c r="AU12" s="102" t="n">
        <x:v>-2.474</x:v>
      </x:c>
      <x:c r="AV12" s="102" t="n">
        <x:v>8.09</x:v>
      </x:c>
      <x:c r="AW12" s="102" t="n">
        <x:v>0.311</x:v>
      </x:c>
      <x:c r="AX12" s="102" t="n">
        <x:v>-1.669</x:v>
      </x:c>
      <x:c r="AY12" s="96" t="n">
        <x:v>11805</x:v>
      </x:c>
      <x:c r="AZ12" s="96" t="n">
        <x:v>3005</x:v>
      </x:c>
      <x:c r="BA12" s="96" t="n">
        <x:v>3803</x:v>
      </x:c>
      <x:c r="BB12" s="96" t="n">
        <x:v>6061</x:v>
      </x:c>
      <x:c r="BC12" s="96" t="n">
        <x:v>1507</x:v>
      </x:c>
      <x:c r="BD12" s="97" t="e">
        <x:f>AY12*INDEX(Régions!$AQ$2:$AQ$6,MATCH($B12,Régions!$A$2:$A$6,0))</x:f>
        <x:v>#NAME?</x:v>
      </x:c>
      <x:c r="BE12" s="97" t="e">
        <x:f>AZ12*INDEX(Régions!$AR$2:$AR$6,MATCH($B12,Régions!$A$2:$A$6,0))</x:f>
        <x:v>#NAME?</x:v>
      </x:c>
      <x:c r="BF12" s="97" t="e">
        <x:f>BA12*INDEX(Régions!$AS$2:$AS$6,MATCH($B12,Régions!$A$2:$A$6,0))</x:f>
        <x:v>#NAME?</x:v>
      </x:c>
      <x:c r="BG12" s="97" t="e">
        <x:f>BB12*INDEX(Régions!$AT$2:$AT$6,MATCH($B12,Régions!$A$2:$A$6,0))</x:f>
        <x:v>#NAME?</x:v>
      </x:c>
      <x:c r="BH12" s="97" t="e">
        <x:f>U12</x:f>
        <x:v>#NAME?</x:v>
      </x:c>
      <x:c r="BI12" s="97" t="e">
        <x:f>BC12*INDEX(Régions!$AU$2:$AU$6,MATCH($B12,Régions!$A$2:$A$6,0))</x:f>
        <x:v>#NAME?</x:v>
      </x:c>
      <x:c r="BJ12" s="97" t="str">
        <x:f>INDEX({"CAQ","PLQ","QS","PQ","PCQ","Autre"},MATCH(MAX(BD12:BI12),BD12:BI12,0))</x:f>
        <x:v>CAQ</x:v>
      </x:c>
    </x:row>
    <x:row r="13" s="60" customFormat="1" ht="15" customHeight="1">
      <x:c r="A13" s="94" t="inlineStr">
        <x:is>
          <x:t xml:space="preserve">Berthier</x:t>
        </x:is>
      </x:c>
      <x:c r="B13" s="94" t="inlineStr">
        <x:is>
          <x:t xml:space="preserve">Reste du Québec</x:t>
        </x:is>
      </x:c>
      <x:c r="C13" s="95" t="inlineStr">
        <x:is>
          <x:t xml:space="preserve">CAQ</x:t>
        </x:is>
      </x:c>
      <x:c r="D13" s="96" t="n">
        <x:v>17317</x:v>
      </x:c>
      <x:c r="E13" s="96" t="n">
        <x:v>867</x:v>
      </x:c>
      <x:c r="F13" s="96" t="n">
        <x:v>4788</x:v>
      </x:c>
      <x:c r="G13" s="96" t="n">
        <x:v>7073</x:v>
      </x:c>
      <x:c r="H13" s="96" t="n">
        <x:v>3735</x:v>
      </x:c>
      <x:c r="I13" s="96" t="n">
        <x:v>197</x:v>
      </x:c>
      <x:c r="J13" s="97" t="n">
        <x:f>SUM(D13:I13)</x:f>
        <x:v>33977</x:v>
      </x:c>
      <x:c r="K13" s="98" t="n">
        <x:f>IFERROR(D13/J13,0)</x:f>
        <x:v>0.5096683050298731</x:v>
      </x:c>
      <x:c r="L13" s="98" t="n">
        <x:f>IFERROR(E13/J13,0)</x:f>
        <x:v>0.025517261677016807</x:v>
      </x:c>
      <x:c r="M13" s="98" t="n">
        <x:f>IFERROR(F13/J13,0)</x:f>
        <x:v>0.14091885687376754</x:v>
      </x:c>
      <x:c r="N13" s="98" t="n">
        <x:f>IFERROR(G13/J13,0)</x:f>
        <x:v>0.20817023280454425</x:v>
      </x:c>
      <x:c r="O13" s="98" t="n">
        <x:f>IFERROR(H13/J13,0)</x:f>
        <x:v>0.10992730376431115</x:v>
      </x:c>
      <x:c r="P13" s="98" t="n">
        <x:f>IFERROR(I13/J13,0)</x:f>
        <x:v>0.0057980398504870944</x:v>
      </x:c>
      <x:c r="Q13" s="97" t="e">
        <x:f>D13*INDEX(Régions!$T$2:$T$6,MATCH($B13,Régions!$A$2:$A$6,0))</x:f>
        <x:v>#NAME?</x:v>
      </x:c>
      <x:c r="R13" s="97" t="e">
        <x:f>E13*INDEX(Régions!$U$2:$U$6,MATCH($B13,Régions!$A$2:$A$6,0))</x:f>
        <x:v>#NAME?</x:v>
      </x:c>
      <x:c r="S13" s="97" t="e">
        <x:f>F13*INDEX(Régions!$V$2:$V$6,MATCH($B13,Régions!$A$2:$A$6,0))</x:f>
        <x:v>#NAME?</x:v>
      </x:c>
      <x:c r="T13" s="97" t="e">
        <x:f>G13*INDEX(Régions!$W$2:$W$6,MATCH($B13,Régions!$A$2:$A$6,0))</x:f>
        <x:v>#NAME?</x:v>
      </x:c>
      <x:c r="U13" s="97" t="e">
        <x:f>H13*INDEX(Régions!$X$2:$X$6,MATCH($B13,Régions!$A$2:$A$6,0))</x:f>
        <x:v>#NAME?</x:v>
      </x:c>
      <x:c r="V13" s="97" t="e">
        <x:f>I13*INDEX(Régions!$Y$2:$Y$6,MATCH($B13,Régions!$A$2:$A$6,0))</x:f>
        <x:v>#NAME?</x:v>
      </x:c>
      <x:c r="W13" s="97" t="e">
        <x:f>Q13+(AU13/100)*J13*Régions!$O$2</x:f>
        <x:v>#NAME?</x:v>
      </x:c>
      <x:c r="X13" s="97" t="e">
        <x:f>R13+(AV13/100)*J13*Régions!$O$2</x:f>
        <x:v>#NAME?</x:v>
      </x:c>
      <x:c r="Y13" s="97" t="e">
        <x:f>S13+(AW13/100)*J13*Régions!$O$2</x:f>
        <x:v>#NAME?</x:v>
      </x:c>
      <x:c r="Z13" s="97" t="e">
        <x:f>T13+(AX13/100)*J13*Régions!$O$2</x:f>
        <x:v>#NAME?</x:v>
      </x:c>
      <x:c r="AA13" s="97" t="e">
        <x:f>U13</x:f>
        <x:v>#NAME?</x:v>
      </x:c>
      <x:c r="AB13" s="97" t="e">
        <x:f>V13</x:f>
        <x:v>#NAME?</x:v>
      </x:c>
      <x:c r="AC13" s="97" t="e">
        <x:f>D13*INDEX(Régions!$Z$2:$Z$6,MATCH($B13,Régions!$A$2:$A$6,0))</x:f>
        <x:v>#NAME?</x:v>
      </x:c>
      <x:c r="AD13" s="97" t="e">
        <x:f>E13*INDEX(Régions!$AA$2:$AA$6,MATCH($B13,Régions!$A$2:$A$6,0))</x:f>
        <x:v>#NAME?</x:v>
      </x:c>
      <x:c r="AE13" s="97" t="e">
        <x:f>F13*INDEX(Régions!$AB$2:$AB$6,MATCH($B13,Régions!$A$2:$A$6,0))</x:f>
        <x:v>#NAME?</x:v>
      </x:c>
      <x:c r="AF13" s="97" t="e">
        <x:f>G13*INDEX(Régions!$AC$2:$AC$6,MATCH($B13,Régions!$A$2:$A$6,0))</x:f>
        <x:v>#NAME?</x:v>
      </x:c>
      <x:c r="AG13" s="97" t="e">
        <x:f>H13*INDEX(Régions!$AD$2:$AD$6,MATCH($B13,Régions!$A$2:$A$6,0))</x:f>
        <x:v>#NAME?</x:v>
      </x:c>
      <x:c r="AH13" s="97" t="e">
        <x:f>I13*INDEX(Régions!$AE$2:$AE$6,MATCH($B13,Régions!$A$2:$A$6,0))</x:f>
        <x:v>#NAME?</x:v>
      </x:c>
      <x:c r="AI13" s="97" t="e">
        <x:f>D13*INDEX(Régions!$AF$2:$AF$6,MATCH($B13,Régions!$A$2:$A$6,0))</x:f>
        <x:v>#NAME?</x:v>
      </x:c>
      <x:c r="AJ13" s="97" t="e">
        <x:f>E13*INDEX(Régions!$AG$2:$AG$6,MATCH($B13,Régions!$A$2:$A$6,0))</x:f>
        <x:v>#NAME?</x:v>
      </x:c>
      <x:c r="AK13" s="97" t="e">
        <x:f>F13*INDEX(Régions!$AH$2:$AH$6,MATCH($B13,Régions!$A$2:$A$6,0))</x:f>
        <x:v>#NAME?</x:v>
      </x:c>
      <x:c r="AL13" s="97" t="e">
        <x:f>G13*INDEX(Régions!$AI$2:$AI$6,MATCH($B13,Régions!$A$2:$A$6,0))</x:f>
        <x:v>#NAME?</x:v>
      </x:c>
      <x:c r="AM13" s="97" t="e">
        <x:f>H13*INDEX(Régions!$AJ$2:$AJ$6,MATCH($B13,Régions!$A$2:$A$6,0))</x:f>
        <x:v>#NAME?</x:v>
      </x:c>
      <x:c r="AN13" s="97" t="e">
        <x:f>I13*INDEX(Régions!$AK$2:$AK$6,MATCH($B13,Régions!$A$2:$A$6,0))</x:f>
        <x:v>#NAME?</x:v>
      </x:c>
      <x:c r="AO13" s="99" t="str">
        <x:f>INDEX({"CAQ","PLQ","QS","PQ","PCQ","Autre"},MATCH(MAX(Q13:V13),Q13:V13,0))</x:f>
        <x:v>CAQ</x:v>
      </x:c>
      <x:c r="AP13" s="99" t="str">
        <x:f>INDEX({"CAQ","PLQ","QS","PQ","PCQ","Autre"},MATCH(MAX(W13:AB13),W13:AB13,0))</x:f>
        <x:v>CAQ</x:v>
      </x:c>
      <x:c r="AQ13" s="99" t="str">
        <x:f>INDEX({"CAQ","PLQ","QS","PQ","PCQ","Autre"},MATCH(MAX(AC13:AH13),AC13:AH13,0))</x:f>
        <x:v>CAQ</x:v>
      </x:c>
      <x:c r="AR13" s="99" t="str">
        <x:f>INDEX({"CAQ","PLQ","QS","PQ","PCQ","Autre"},MATCH(MAX(AI13:AN13),AI13:AN13,0))</x:f>
        <x:v>CAQ</x:v>
      </x:c>
      <x:c r="AS13" s="100" t="n">
        <x:f>(MAX(K13:P13)-LARGE(K13:P13,2))*100</x:f>
        <x:v>30.149807222532885</x:v>
      </x:c>
      <x:c r="AT13" s="101" t="str">
        <x:f>IF(AS13&lt;5,"Oui","Non")</x:f>
        <x:v>Non</x:v>
      </x:c>
      <x:c r="AU13" s="102" t="n">
        <x:v>-0.114</x:v>
      </x:c>
      <x:c r="AV13" s="102" t="n">
        <x:v>7.668</x:v>
      </x:c>
      <x:c r="AW13" s="102" t="n">
        <x:v>-0.347</x:v>
      </x:c>
      <x:c r="AX13" s="102" t="n">
        <x:v>-4.123</x:v>
      </x:c>
      <x:c r="AY13" s="96" t="n">
        <x:v>14703</x:v>
      </x:c>
      <x:c r="AZ13" s="96" t="n">
        <x:v>2487</x:v>
      </x:c>
      <x:c r="BA13" s="96" t="n">
        <x:v>5026</x:v>
      </x:c>
      <x:c r="BB13" s="96" t="n">
        <x:v>9423</x:v>
      </x:c>
      <x:c r="BC13" s="96" t="n">
        <x:v>940</x:v>
      </x:c>
      <x:c r="BD13" s="97" t="e">
        <x:f>AY13*INDEX(Régions!$AQ$2:$AQ$6,MATCH($B13,Régions!$A$2:$A$6,0))</x:f>
        <x:v>#NAME?</x:v>
      </x:c>
      <x:c r="BE13" s="97" t="e">
        <x:f>AZ13*INDEX(Régions!$AR$2:$AR$6,MATCH($B13,Régions!$A$2:$A$6,0))</x:f>
        <x:v>#NAME?</x:v>
      </x:c>
      <x:c r="BF13" s="97" t="e">
        <x:f>BA13*INDEX(Régions!$AS$2:$AS$6,MATCH($B13,Régions!$A$2:$A$6,0))</x:f>
        <x:v>#NAME?</x:v>
      </x:c>
      <x:c r="BG13" s="97" t="e">
        <x:f>BB13*INDEX(Régions!$AT$2:$AT$6,MATCH($B13,Régions!$A$2:$A$6,0))</x:f>
        <x:v>#NAME?</x:v>
      </x:c>
      <x:c r="BH13" s="97" t="e">
        <x:f>U13</x:f>
        <x:v>#NAME?</x:v>
      </x:c>
      <x:c r="BI13" s="97" t="e">
        <x:f>BC13*INDEX(Régions!$AU$2:$AU$6,MATCH($B13,Régions!$A$2:$A$6,0))</x:f>
        <x:v>#NAME?</x:v>
      </x:c>
      <x:c r="BJ13" s="97" t="str">
        <x:f>INDEX({"CAQ","PLQ","QS","PQ","PCQ","Autre"},MATCH(MAX(BD13:BI13),BD13:BI13,0))</x:f>
        <x:v>CAQ</x:v>
      </x:c>
    </x:row>
    <x:row r="14" s="60" customFormat="1" ht="15" customHeight="1">
      <x:c r="A14" s="94" t="inlineStr">
        <x:is>
          <x:t xml:space="preserve">Bertrand</x:t>
        </x:is>
      </x:c>
      <x:c r="B14" s="94" t="inlineStr">
        <x:is>
          <x:t xml:space="preserve">Banlieue de Montréal</x:t>
        </x:is>
      </x:c>
      <x:c r="C14" s="95" t="inlineStr">
        <x:is>
          <x:t xml:space="preserve">CAQ</x:t>
        </x:is>
      </x:c>
      <x:c r="D14" s="96" t="n">
        <x:v>15922</x:v>
      </x:c>
      <x:c r="E14" s="96" t="n">
        <x:v>2114</x:v>
      </x:c>
      <x:c r="F14" s="96" t="n">
        <x:v>5680</x:v>
      </x:c>
      <x:c r="G14" s="96" t="n">
        <x:v>7257</x:v>
      </x:c>
      <x:c r="H14" s="96" t="n">
        <x:v>3443</x:v>
      </x:c>
      <x:c r="I14" s="96" t="n">
        <x:v>761</x:v>
      </x:c>
      <x:c r="J14" s="97" t="n">
        <x:f>SUM(D14:I14)</x:f>
        <x:v>35177</x:v>
      </x:c>
      <x:c r="K14" s="98" t="n">
        <x:f>IFERROR(D14/J14,0)</x:f>
        <x:v>0.45262529493703274</x:v>
      </x:c>
      <x:c r="L14" s="98" t="n">
        <x:f>IFERROR(E14/J14,0)</x:f>
        <x:v>0.06009608551041874</x:v>
      </x:c>
      <x:c r="M14" s="98" t="n">
        <x:f>IFERROR(F14/J14,0)</x:f>
        <x:v>0.16146914176876936</x:v>
      </x:c>
      <x:c r="N14" s="98" t="n">
        <x:f>IFERROR(G14/J14,0)</x:f>
        <x:v>0.20629957074224636</x:v>
      </x:c>
      <x:c r="O14" s="98" t="n">
        <x:f>IFERROR(H14/J14,0)</x:f>
        <x:v>0.09787645336441425</x:v>
      </x:c>
      <x:c r="P14" s="98" t="n">
        <x:f>IFERROR(I14/J14,0)</x:f>
        <x:v>0.021633453677118573</x:v>
      </x:c>
      <x:c r="Q14" s="97" t="e">
        <x:f>D14*INDEX(Régions!$T$2:$T$6,MATCH($B14,Régions!$A$2:$A$6,0))</x:f>
        <x:v>#NAME?</x:v>
      </x:c>
      <x:c r="R14" s="97" t="e">
        <x:f>E14*INDEX(Régions!$U$2:$U$6,MATCH($B14,Régions!$A$2:$A$6,0))</x:f>
        <x:v>#NAME?</x:v>
      </x:c>
      <x:c r="S14" s="97" t="e">
        <x:f>F14*INDEX(Régions!$V$2:$V$6,MATCH($B14,Régions!$A$2:$A$6,0))</x:f>
        <x:v>#NAME?</x:v>
      </x:c>
      <x:c r="T14" s="97" t="e">
        <x:f>G14*INDEX(Régions!$W$2:$W$6,MATCH($B14,Régions!$A$2:$A$6,0))</x:f>
        <x:v>#NAME?</x:v>
      </x:c>
      <x:c r="U14" s="97" t="e">
        <x:f>H14*INDEX(Régions!$X$2:$X$6,MATCH($B14,Régions!$A$2:$A$6,0))</x:f>
        <x:v>#NAME?</x:v>
      </x:c>
      <x:c r="V14" s="97" t="e">
        <x:f>I14*INDEX(Régions!$Y$2:$Y$6,MATCH($B14,Régions!$A$2:$A$6,0))</x:f>
        <x:v>#NAME?</x:v>
      </x:c>
      <x:c r="W14" s="97" t="e">
        <x:f>Q14+(AU14/100)*J14*Régions!$O$2</x:f>
        <x:v>#NAME?</x:v>
      </x:c>
      <x:c r="X14" s="97" t="e">
        <x:f>R14+(AV14/100)*J14*Régions!$O$2</x:f>
        <x:v>#NAME?</x:v>
      </x:c>
      <x:c r="Y14" s="97" t="e">
        <x:f>S14+(AW14/100)*J14*Régions!$O$2</x:f>
        <x:v>#NAME?</x:v>
      </x:c>
      <x:c r="Z14" s="97" t="e">
        <x:f>T14+(AX14/100)*J14*Régions!$O$2</x:f>
        <x:v>#NAME?</x:v>
      </x:c>
      <x:c r="AA14" s="97" t="e">
        <x:f>U14</x:f>
        <x:v>#NAME?</x:v>
      </x:c>
      <x:c r="AB14" s="97" t="e">
        <x:f>V14</x:f>
        <x:v>#NAME?</x:v>
      </x:c>
      <x:c r="AC14" s="97" t="e">
        <x:f>D14*INDEX(Régions!$Z$2:$Z$6,MATCH($B14,Régions!$A$2:$A$6,0))</x:f>
        <x:v>#NAME?</x:v>
      </x:c>
      <x:c r="AD14" s="97" t="e">
        <x:f>E14*INDEX(Régions!$AA$2:$AA$6,MATCH($B14,Régions!$A$2:$A$6,0))</x:f>
        <x:v>#NAME?</x:v>
      </x:c>
      <x:c r="AE14" s="97" t="e">
        <x:f>F14*INDEX(Régions!$AB$2:$AB$6,MATCH($B14,Régions!$A$2:$A$6,0))</x:f>
        <x:v>#NAME?</x:v>
      </x:c>
      <x:c r="AF14" s="97" t="e">
        <x:f>G14*INDEX(Régions!$AC$2:$AC$6,MATCH($B14,Régions!$A$2:$A$6,0))</x:f>
        <x:v>#NAME?</x:v>
      </x:c>
      <x:c r="AG14" s="97" t="e">
        <x:f>H14*INDEX(Régions!$AD$2:$AD$6,MATCH($B14,Régions!$A$2:$A$6,0))</x:f>
        <x:v>#NAME?</x:v>
      </x:c>
      <x:c r="AH14" s="97" t="e">
        <x:f>I14*INDEX(Régions!$AE$2:$AE$6,MATCH($B14,Régions!$A$2:$A$6,0))</x:f>
        <x:v>#NAME?</x:v>
      </x:c>
      <x:c r="AI14" s="97" t="e">
        <x:f>D14*INDEX(Régions!$AF$2:$AF$6,MATCH($B14,Régions!$A$2:$A$6,0))</x:f>
        <x:v>#NAME?</x:v>
      </x:c>
      <x:c r="AJ14" s="97" t="e">
        <x:f>E14*INDEX(Régions!$AG$2:$AG$6,MATCH($B14,Régions!$A$2:$A$6,0))</x:f>
        <x:v>#NAME?</x:v>
      </x:c>
      <x:c r="AK14" s="97" t="e">
        <x:f>F14*INDEX(Régions!$AH$2:$AH$6,MATCH($B14,Régions!$A$2:$A$6,0))</x:f>
        <x:v>#NAME?</x:v>
      </x:c>
      <x:c r="AL14" s="97" t="e">
        <x:f>G14*INDEX(Régions!$AI$2:$AI$6,MATCH($B14,Régions!$A$2:$A$6,0))</x:f>
        <x:v>#NAME?</x:v>
      </x:c>
      <x:c r="AM14" s="97" t="e">
        <x:f>H14*INDEX(Régions!$AJ$2:$AJ$6,MATCH($B14,Régions!$A$2:$A$6,0))</x:f>
        <x:v>#NAME?</x:v>
      </x:c>
      <x:c r="AN14" s="97" t="e">
        <x:f>I14*INDEX(Régions!$AK$2:$AK$6,MATCH($B14,Régions!$A$2:$A$6,0))</x:f>
        <x:v>#NAME?</x:v>
      </x:c>
      <x:c r="AO14" s="99" t="str">
        <x:f>INDEX({"CAQ","PLQ","QS","PQ","PCQ","Autre"},MATCH(MAX(Q14:V14),Q14:V14,0))</x:f>
        <x:v>CAQ</x:v>
      </x:c>
      <x:c r="AP14" s="99" t="str">
        <x:f>INDEX({"CAQ","PLQ","QS","PQ","PCQ","Autre"},MATCH(MAX(W14:AB14),W14:AB14,0))</x:f>
        <x:v>CAQ</x:v>
      </x:c>
      <x:c r="AQ14" s="99" t="str">
        <x:f>INDEX({"CAQ","PLQ","QS","PQ","PCQ","Autre"},MATCH(MAX(AC14:AH14),AC14:AH14,0))</x:f>
        <x:v>CAQ</x:v>
      </x:c>
      <x:c r="AR14" s="99" t="str">
        <x:f>INDEX({"CAQ","PLQ","QS","PQ","PCQ","Autre"},MATCH(MAX(AI14:AN14),AI14:AN14,0))</x:f>
        <x:v>CAQ</x:v>
      </x:c>
      <x:c r="AS14" s="100" t="n">
        <x:f>(MAX(K14:P14)-LARGE(K14:P14,2))*100</x:f>
        <x:v>24.632572419478638</x:v>
      </x:c>
      <x:c r="AT14" s="101" t="str">
        <x:f>IF(AS14&lt;5,"Oui","Non")</x:f>
        <x:v>Non</x:v>
      </x:c>
      <x:c r="AU14" s="102" t="n">
        <x:v>0.589</x:v>
      </x:c>
      <x:c r="AV14" s="102" t="n">
        <x:v>-0.48</x:v>
      </x:c>
      <x:c r="AW14" s="102" t="n">
        <x:v>-1.274</x:v>
      </x:c>
      <x:c r="AX14" s="102" t="n">
        <x:v>0.216</x:v>
      </x:c>
      <x:c r="AY14" s="96" t="n">
        <x:v>13864</x:v>
      </x:c>
      <x:c r="AZ14" s="96" t="n">
        <x:v>4469</x:v>
      </x:c>
      <x:c r="BA14" s="96" t="n">
        <x:v>6045</x:v>
      </x:c>
      <x:c r="BB14" s="96" t="n">
        <x:v>7813</x:v>
      </x:c>
      <x:c r="BC14" s="96" t="n">
        <x:v>1178</x:v>
      </x:c>
      <x:c r="BD14" s="97" t="e">
        <x:f>AY14*INDEX(Régions!$AQ$2:$AQ$6,MATCH($B14,Régions!$A$2:$A$6,0))</x:f>
        <x:v>#NAME?</x:v>
      </x:c>
      <x:c r="BE14" s="97" t="e">
        <x:f>AZ14*INDEX(Régions!$AR$2:$AR$6,MATCH($B14,Régions!$A$2:$A$6,0))</x:f>
        <x:v>#NAME?</x:v>
      </x:c>
      <x:c r="BF14" s="97" t="e">
        <x:f>BA14*INDEX(Régions!$AS$2:$AS$6,MATCH($B14,Régions!$A$2:$A$6,0))</x:f>
        <x:v>#NAME?</x:v>
      </x:c>
      <x:c r="BG14" s="97" t="e">
        <x:f>BB14*INDEX(Régions!$AT$2:$AT$6,MATCH($B14,Régions!$A$2:$A$6,0))</x:f>
        <x:v>#NAME?</x:v>
      </x:c>
      <x:c r="BH14" s="97" t="e">
        <x:f>U14</x:f>
        <x:v>#NAME?</x:v>
      </x:c>
      <x:c r="BI14" s="97" t="e">
        <x:f>BC14*INDEX(Régions!$AU$2:$AU$6,MATCH($B14,Régions!$A$2:$A$6,0))</x:f>
        <x:v>#NAME?</x:v>
      </x:c>
      <x:c r="BJ14" s="97" t="str">
        <x:f>INDEX({"CAQ","PLQ","QS","PQ","PCQ","Autre"},MATCH(MAX(BD14:BI14),BD14:BI14,0))</x:f>
        <x:v>CAQ</x:v>
      </x:c>
    </x:row>
    <x:row r="15" s="60" customFormat="1" ht="15" customHeight="1">
      <x:c r="A15" s="94" t="inlineStr">
        <x:is>
          <x:t xml:space="preserve">Blainville</x:t>
        </x:is>
      </x:c>
      <x:c r="B15" s="94" t="inlineStr">
        <x:is>
          <x:t xml:space="preserve">Banlieue de Montréal</x:t>
        </x:is>
      </x:c>
      <x:c r="C15" s="95" t="inlineStr">
        <x:is>
          <x:t xml:space="preserve">CAQ</x:t>
        </x:is>
      </x:c>
      <x:c r="D15" s="96" t="n">
        <x:v>21151</x:v>
      </x:c>
      <x:c r="E15" s="96" t="n">
        <x:v>4719</x:v>
      </x:c>
      <x:c r="F15" s="96" t="n">
        <x:v>5988</x:v>
      </x:c>
      <x:c r="G15" s="96" t="n">
        <x:v>6601</x:v>
      </x:c>
      <x:c r="H15" s="96" t="n">
        <x:v>4175</x:v>
      </x:c>
      <x:c r="I15" s="96" t="n">
        <x:v>140</x:v>
      </x:c>
      <x:c r="J15" s="97" t="n">
        <x:f>SUM(D15:I15)</x:f>
        <x:v>42774</x:v>
      </x:c>
      <x:c r="K15" s="98" t="n">
        <x:f>IFERROR(D15/J15,0)</x:f>
        <x:v>0.49448262963482487</x:v>
      </x:c>
      <x:c r="L15" s="98" t="n">
        <x:f>IFERROR(E15/J15,0)</x:f>
        <x:v>0.1103240286155141</x:v>
      </x:c>
      <x:c r="M15" s="98" t="n">
        <x:f>IFERROR(F15/J15,0)</x:f>
        <x:v>0.1399915836723243</x:v>
      </x:c>
      <x:c r="N15" s="98" t="n">
        <x:f>IFERROR(G15/J15,0)</x:f>
        <x:v>0.15432271940898676</x:v>
      </x:c>
      <x:c r="O15" s="98" t="n">
        <x:f>IFERROR(H15/J15,0)</x:f>
        <x:v>0.09760602235002572</x:v>
      </x:c>
      <x:c r="P15" s="98" t="n">
        <x:f>IFERROR(I15/J15,0)</x:f>
        <x:v>0.0032730163183242156</x:v>
      </x:c>
      <x:c r="Q15" s="97" t="e">
        <x:f>D15*INDEX(Régions!$T$2:$T$6,MATCH($B15,Régions!$A$2:$A$6,0))</x:f>
        <x:v>#NAME?</x:v>
      </x:c>
      <x:c r="R15" s="97" t="e">
        <x:f>E15*INDEX(Régions!$U$2:$U$6,MATCH($B15,Régions!$A$2:$A$6,0))</x:f>
        <x:v>#NAME?</x:v>
      </x:c>
      <x:c r="S15" s="97" t="e">
        <x:f>F15*INDEX(Régions!$V$2:$V$6,MATCH($B15,Régions!$A$2:$A$6,0))</x:f>
        <x:v>#NAME?</x:v>
      </x:c>
      <x:c r="T15" s="97" t="e">
        <x:f>G15*INDEX(Régions!$W$2:$W$6,MATCH($B15,Régions!$A$2:$A$6,0))</x:f>
        <x:v>#NAME?</x:v>
      </x:c>
      <x:c r="U15" s="97" t="e">
        <x:f>H15*INDEX(Régions!$X$2:$X$6,MATCH($B15,Régions!$A$2:$A$6,0))</x:f>
        <x:v>#NAME?</x:v>
      </x:c>
      <x:c r="V15" s="97" t="e">
        <x:f>I15*INDEX(Régions!$Y$2:$Y$6,MATCH($B15,Régions!$A$2:$A$6,0))</x:f>
        <x:v>#NAME?</x:v>
      </x:c>
      <x:c r="W15" s="97" t="e">
        <x:f>Q15+(AU15/100)*J15*Régions!$O$2</x:f>
        <x:v>#NAME?</x:v>
      </x:c>
      <x:c r="X15" s="97" t="e">
        <x:f>R15+(AV15/100)*J15*Régions!$O$2</x:f>
        <x:v>#NAME?</x:v>
      </x:c>
      <x:c r="Y15" s="97" t="e">
        <x:f>S15+(AW15/100)*J15*Régions!$O$2</x:f>
        <x:v>#NAME?</x:v>
      </x:c>
      <x:c r="Z15" s="97" t="e">
        <x:f>T15+(AX15/100)*J15*Régions!$O$2</x:f>
        <x:v>#NAME?</x:v>
      </x:c>
      <x:c r="AA15" s="97" t="e">
        <x:f>U15</x:f>
        <x:v>#NAME?</x:v>
      </x:c>
      <x:c r="AB15" s="97" t="e">
        <x:f>V15</x:f>
        <x:v>#NAME?</x:v>
      </x:c>
      <x:c r="AC15" s="97" t="e">
        <x:f>D15*INDEX(Régions!$Z$2:$Z$6,MATCH($B15,Régions!$A$2:$A$6,0))</x:f>
        <x:v>#NAME?</x:v>
      </x:c>
      <x:c r="AD15" s="97" t="e">
        <x:f>E15*INDEX(Régions!$AA$2:$AA$6,MATCH($B15,Régions!$A$2:$A$6,0))</x:f>
        <x:v>#NAME?</x:v>
      </x:c>
      <x:c r="AE15" s="97" t="e">
        <x:f>F15*INDEX(Régions!$AB$2:$AB$6,MATCH($B15,Régions!$A$2:$A$6,0))</x:f>
        <x:v>#NAME?</x:v>
      </x:c>
      <x:c r="AF15" s="97" t="e">
        <x:f>G15*INDEX(Régions!$AC$2:$AC$6,MATCH($B15,Régions!$A$2:$A$6,0))</x:f>
        <x:v>#NAME?</x:v>
      </x:c>
      <x:c r="AG15" s="97" t="e">
        <x:f>H15*INDEX(Régions!$AD$2:$AD$6,MATCH($B15,Régions!$A$2:$A$6,0))</x:f>
        <x:v>#NAME?</x:v>
      </x:c>
      <x:c r="AH15" s="97" t="e">
        <x:f>I15*INDEX(Régions!$AE$2:$AE$6,MATCH($B15,Régions!$A$2:$A$6,0))</x:f>
        <x:v>#NAME?</x:v>
      </x:c>
      <x:c r="AI15" s="97" t="e">
        <x:f>D15*INDEX(Régions!$AF$2:$AF$6,MATCH($B15,Régions!$A$2:$A$6,0))</x:f>
        <x:v>#NAME?</x:v>
      </x:c>
      <x:c r="AJ15" s="97" t="e">
        <x:f>E15*INDEX(Régions!$AG$2:$AG$6,MATCH($B15,Régions!$A$2:$A$6,0))</x:f>
        <x:v>#NAME?</x:v>
      </x:c>
      <x:c r="AK15" s="97" t="e">
        <x:f>F15*INDEX(Régions!$AH$2:$AH$6,MATCH($B15,Régions!$A$2:$A$6,0))</x:f>
        <x:v>#NAME?</x:v>
      </x:c>
      <x:c r="AL15" s="97" t="e">
        <x:f>G15*INDEX(Régions!$AI$2:$AI$6,MATCH($B15,Régions!$A$2:$A$6,0))</x:f>
        <x:v>#NAME?</x:v>
      </x:c>
      <x:c r="AM15" s="97" t="e">
        <x:f>H15*INDEX(Régions!$AJ$2:$AJ$6,MATCH($B15,Régions!$A$2:$A$6,0))</x:f>
        <x:v>#NAME?</x:v>
      </x:c>
      <x:c r="AN15" s="97" t="e">
        <x:f>I15*INDEX(Régions!$AK$2:$AK$6,MATCH($B15,Régions!$A$2:$A$6,0))</x:f>
        <x:v>#NAME?</x:v>
      </x:c>
      <x:c r="AO15" s="99" t="str">
        <x:f>INDEX({"CAQ","PLQ","QS","PQ","PCQ","Autre"},MATCH(MAX(Q15:V15),Q15:V15,0))</x:f>
        <x:v>CAQ</x:v>
      </x:c>
      <x:c r="AP15" s="99" t="str">
        <x:f>INDEX({"CAQ","PLQ","QS","PQ","PCQ","Autre"},MATCH(MAX(W15:AB15),W15:AB15,0))</x:f>
        <x:v>CAQ</x:v>
      </x:c>
      <x:c r="AQ15" s="99" t="str">
        <x:f>INDEX({"CAQ","PLQ","QS","PQ","PCQ","Autre"},MATCH(MAX(AC15:AH15),AC15:AH15,0))</x:f>
        <x:v>CAQ</x:v>
      </x:c>
      <x:c r="AR15" s="99" t="str">
        <x:f>INDEX({"CAQ","PLQ","QS","PQ","PCQ","Autre"},MATCH(MAX(AI15:AN15),AI15:AN15,0))</x:f>
        <x:v>CAQ</x:v>
      </x:c>
      <x:c r="AS15" s="100" t="n">
        <x:f>(MAX(K15:P15)-LARGE(K15:P15,2))*100</x:f>
        <x:v>34.01599102258381</x:v>
      </x:c>
      <x:c r="AT15" s="101" t="str">
        <x:f>IF(AS15&lt;5,"Oui","Non")</x:f>
        <x:v>Non</x:v>
      </x:c>
      <x:c r="AU15" s="102" t="n">
        <x:v>-1.951</x:v>
      </x:c>
      <x:c r="AV15" s="102" t="n">
        <x:v>-1.137</x:v>
      </x:c>
      <x:c r="AW15" s="102" t="n">
        <x:v>-0.428</x:v>
      </x:c>
      <x:c r="AX15" s="102" t="n">
        <x:v>4.877</x:v>
      </x:c>
      <x:c r="AY15" s="96" t="n">
        <x:v>20459</x:v>
      </x:c>
      <x:c r="AZ15" s="96" t="n">
        <x:v>8083</x:v>
      </x:c>
      <x:c r="BA15" s="96" t="n">
        <x:v>6409</x:v>
      </x:c>
      <x:c r="BB15" s="96" t="n">
        <x:v>5745</x:v>
      </x:c>
      <x:c r="BC15" s="96" t="n">
        <x:v>1686</x:v>
      </x:c>
      <x:c r="BD15" s="97" t="e">
        <x:f>AY15*INDEX(Régions!$AQ$2:$AQ$6,MATCH($B15,Régions!$A$2:$A$6,0))</x:f>
        <x:v>#NAME?</x:v>
      </x:c>
      <x:c r="BE15" s="97" t="e">
        <x:f>AZ15*INDEX(Régions!$AR$2:$AR$6,MATCH($B15,Régions!$A$2:$A$6,0))</x:f>
        <x:v>#NAME?</x:v>
      </x:c>
      <x:c r="BF15" s="97" t="e">
        <x:f>BA15*INDEX(Régions!$AS$2:$AS$6,MATCH($B15,Régions!$A$2:$A$6,0))</x:f>
        <x:v>#NAME?</x:v>
      </x:c>
      <x:c r="BG15" s="97" t="e">
        <x:f>BB15*INDEX(Régions!$AT$2:$AT$6,MATCH($B15,Régions!$A$2:$A$6,0))</x:f>
        <x:v>#NAME?</x:v>
      </x:c>
      <x:c r="BH15" s="97" t="e">
        <x:f>U15</x:f>
        <x:v>#NAME?</x:v>
      </x:c>
      <x:c r="BI15" s="97" t="e">
        <x:f>BC15*INDEX(Régions!$AU$2:$AU$6,MATCH($B15,Régions!$A$2:$A$6,0))</x:f>
        <x:v>#NAME?</x:v>
      </x:c>
      <x:c r="BJ15" s="97" t="str">
        <x:f>INDEX({"CAQ","PLQ","QS","PQ","PCQ","Autre"},MATCH(MAX(BD15:BI15),BD15:BI15,0))</x:f>
        <x:v>CAQ</x:v>
      </x:c>
    </x:row>
    <x:row r="16" s="60" customFormat="1" ht="15" customHeight="1">
      <x:c r="A16" s="94" t="inlineStr">
        <x:is>
          <x:t xml:space="preserve">Bonaventure</x:t>
        </x:is>
      </x:c>
      <x:c r="B16" s="94" t="inlineStr">
        <x:is>
          <x:t xml:space="preserve">Reste du Québec</x:t>
        </x:is>
      </x:c>
      <x:c r="C16" s="95" t="inlineStr">
        <x:is>
          <x:t xml:space="preserve">CAQ</x:t>
        </x:is>
      </x:c>
      <x:c r="D16" s="96" t="n">
        <x:v>9919</x:v>
      </x:c>
      <x:c r="E16" s="96" t="n">
        <x:v>1911</x:v>
      </x:c>
      <x:c r="F16" s="96" t="n">
        <x:v>2417</x:v>
      </x:c>
      <x:c r="G16" s="96" t="n">
        <x:v>6708</x:v>
      </x:c>
      <x:c r="H16" s="96" t="n">
        <x:v>1219</x:v>
      </x:c>
      <x:c r="I16" s="96" t="n">
        <x:v>139</x:v>
      </x:c>
      <x:c r="J16" s="97" t="n">
        <x:f>SUM(D16:I16)</x:f>
        <x:v>22313</x:v>
      </x:c>
      <x:c r="K16" s="98" t="n">
        <x:f>IFERROR(D16/J16,0)</x:f>
        <x:v>0.44453905794828125</x:v>
      </x:c>
      <x:c r="L16" s="98" t="n">
        <x:f>IFERROR(E16/J16,0)</x:f>
        <x:v>0.08564513960471475</x:v>
      </x:c>
      <x:c r="M16" s="98" t="n">
        <x:f>IFERROR(F16/J16,0)</x:f>
        <x:v>0.10832250257697307</x:v>
      </x:c>
      <x:c r="N16" s="98" t="n">
        <x:f>IFERROR(G16/J16,0)</x:f>
        <x:v>0.3006319186124681</x:v>
      </x:c>
      <x:c r="O16" s="98" t="n">
        <x:f>IFERROR(H16/J16,0)</x:f>
        <x:v>0.05463182897862233</x:v>
      </x:c>
      <x:c r="P16" s="98" t="n">
        <x:f>IFERROR(I16/J16,0)</x:f>
        <x:v>0.006229552278940528</x:v>
      </x:c>
      <x:c r="Q16" s="97" t="e">
        <x:f>D16*INDEX(Régions!$T$2:$T$6,MATCH($B16,Régions!$A$2:$A$6,0))</x:f>
        <x:v>#NAME?</x:v>
      </x:c>
      <x:c r="R16" s="97" t="e">
        <x:f>E16*INDEX(Régions!$U$2:$U$6,MATCH($B16,Régions!$A$2:$A$6,0))</x:f>
        <x:v>#NAME?</x:v>
      </x:c>
      <x:c r="S16" s="97" t="e">
        <x:f>F16*INDEX(Régions!$V$2:$V$6,MATCH($B16,Régions!$A$2:$A$6,0))</x:f>
        <x:v>#NAME?</x:v>
      </x:c>
      <x:c r="T16" s="97" t="e">
        <x:f>G16*INDEX(Régions!$W$2:$W$6,MATCH($B16,Régions!$A$2:$A$6,0))</x:f>
        <x:v>#NAME?</x:v>
      </x:c>
      <x:c r="U16" s="97" t="e">
        <x:f>H16*INDEX(Régions!$X$2:$X$6,MATCH($B16,Régions!$A$2:$A$6,0))</x:f>
        <x:v>#NAME?</x:v>
      </x:c>
      <x:c r="V16" s="97" t="e">
        <x:f>I16*INDEX(Régions!$Y$2:$Y$6,MATCH($B16,Régions!$A$2:$A$6,0))</x:f>
        <x:v>#NAME?</x:v>
      </x:c>
      <x:c r="W16" s="97" t="e">
        <x:f>Q16+(AU16/100)*J16*Régions!$O$2</x:f>
        <x:v>#NAME?</x:v>
      </x:c>
      <x:c r="X16" s="97" t="e">
        <x:f>R16+(AV16/100)*J16*Régions!$O$2</x:f>
        <x:v>#NAME?</x:v>
      </x:c>
      <x:c r="Y16" s="97" t="e">
        <x:f>S16+(AW16/100)*J16*Régions!$O$2</x:f>
        <x:v>#NAME?</x:v>
      </x:c>
      <x:c r="Z16" s="97" t="e">
        <x:f>T16+(AX16/100)*J16*Régions!$O$2</x:f>
        <x:v>#NAME?</x:v>
      </x:c>
      <x:c r="AA16" s="97" t="e">
        <x:f>U16</x:f>
        <x:v>#NAME?</x:v>
      </x:c>
      <x:c r="AB16" s="97" t="e">
        <x:f>V16</x:f>
        <x:v>#NAME?</x:v>
      </x:c>
      <x:c r="AC16" s="97" t="e">
        <x:f>D16*INDEX(Régions!$Z$2:$Z$6,MATCH($B16,Régions!$A$2:$A$6,0))</x:f>
        <x:v>#NAME?</x:v>
      </x:c>
      <x:c r="AD16" s="97" t="e">
        <x:f>E16*INDEX(Régions!$AA$2:$AA$6,MATCH($B16,Régions!$A$2:$A$6,0))</x:f>
        <x:v>#NAME?</x:v>
      </x:c>
      <x:c r="AE16" s="97" t="e">
        <x:f>F16*INDEX(Régions!$AB$2:$AB$6,MATCH($B16,Régions!$A$2:$A$6,0))</x:f>
        <x:v>#NAME?</x:v>
      </x:c>
      <x:c r="AF16" s="97" t="e">
        <x:f>G16*INDEX(Régions!$AC$2:$AC$6,MATCH($B16,Régions!$A$2:$A$6,0))</x:f>
        <x:v>#NAME?</x:v>
      </x:c>
      <x:c r="AG16" s="97" t="e">
        <x:f>H16*INDEX(Régions!$AD$2:$AD$6,MATCH($B16,Régions!$A$2:$A$6,0))</x:f>
        <x:v>#NAME?</x:v>
      </x:c>
      <x:c r="AH16" s="97" t="e">
        <x:f>I16*INDEX(Régions!$AE$2:$AE$6,MATCH($B16,Régions!$A$2:$A$6,0))</x:f>
        <x:v>#NAME?</x:v>
      </x:c>
      <x:c r="AI16" s="97" t="e">
        <x:f>D16*INDEX(Régions!$AF$2:$AF$6,MATCH($B16,Régions!$A$2:$A$6,0))</x:f>
        <x:v>#NAME?</x:v>
      </x:c>
      <x:c r="AJ16" s="97" t="e">
        <x:f>E16*INDEX(Régions!$AG$2:$AG$6,MATCH($B16,Régions!$A$2:$A$6,0))</x:f>
        <x:v>#NAME?</x:v>
      </x:c>
      <x:c r="AK16" s="97" t="e">
        <x:f>F16*INDEX(Régions!$AH$2:$AH$6,MATCH($B16,Régions!$A$2:$A$6,0))</x:f>
        <x:v>#NAME?</x:v>
      </x:c>
      <x:c r="AL16" s="97" t="e">
        <x:f>G16*INDEX(Régions!$AI$2:$AI$6,MATCH($B16,Régions!$A$2:$A$6,0))</x:f>
        <x:v>#NAME?</x:v>
      </x:c>
      <x:c r="AM16" s="97" t="e">
        <x:f>H16*INDEX(Régions!$AJ$2:$AJ$6,MATCH($B16,Régions!$A$2:$A$6,0))</x:f>
        <x:v>#NAME?</x:v>
      </x:c>
      <x:c r="AN16" s="97" t="e">
        <x:f>I16*INDEX(Régions!$AK$2:$AK$6,MATCH($B16,Régions!$A$2:$A$6,0))</x:f>
        <x:v>#NAME?</x:v>
      </x:c>
      <x:c r="AO16" s="99" t="str">
        <x:f>INDEX({"CAQ","PLQ","QS","PQ","PCQ","Autre"},MATCH(MAX(Q16:V16),Q16:V16,0))</x:f>
        <x:v>CAQ</x:v>
      </x:c>
      <x:c r="AP16" s="99" t="str">
        <x:f>INDEX({"CAQ","PLQ","QS","PQ","PCQ","Autre"},MATCH(MAX(W16:AB16),W16:AB16,0))</x:f>
        <x:v>CAQ</x:v>
      </x:c>
      <x:c r="AQ16" s="99" t="str">
        <x:f>INDEX({"CAQ","PLQ","QS","PQ","PCQ","Autre"},MATCH(MAX(AC16:AH16),AC16:AH16,0))</x:f>
        <x:v>CAQ</x:v>
      </x:c>
      <x:c r="AR16" s="99" t="str">
        <x:f>INDEX({"CAQ","PLQ","QS","PQ","PCQ","Autre"},MATCH(MAX(AI16:AN16),AI16:AN16,0))</x:f>
        <x:v>CAQ</x:v>
      </x:c>
      <x:c r="AS16" s="100" t="n">
        <x:f>(MAX(K16:P16)-LARGE(K16:P16,2))*100</x:f>
        <x:v>14.390713933581317</x:v>
      </x:c>
      <x:c r="AT16" s="101" t="str">
        <x:f>IF(AS16&lt;5,"Oui","Non")</x:f>
        <x:v>Non</x:v>
      </x:c>
      <x:c r="AU16" s="102" t="n">
        <x:v>22.5</x:v>
      </x:c>
      <x:c r="AV16" s="102" t="n">
        <x:v>-4.213</x:v>
      </x:c>
      <x:c r="AW16" s="102" t="n">
        <x:v>-3.179</x:v>
      </x:c>
      <x:c r="AX16" s="102" t="n">
        <x:v>-4.413</x:v>
      </x:c>
      <x:c r="AY16" s="96" t="n">
        <x:v>3502</x:v>
      </x:c>
      <x:c r="AZ16" s="96" t="n">
        <x:v>5586</x:v>
      </x:c>
      <x:c r="BA16" s="96" t="n">
        <x:v>3282</x:v>
      </x:c>
      <x:c r="BB16" s="96" t="n">
        <x:v>8415</x:v>
      </x:c>
      <x:c r="BC16" s="96" t="n">
        <x:v>1096</x:v>
      </x:c>
      <x:c r="BD16" s="97" t="e">
        <x:f>AY16*INDEX(Régions!$AQ$2:$AQ$6,MATCH($B16,Régions!$A$2:$A$6,0))</x:f>
        <x:v>#NAME?</x:v>
      </x:c>
      <x:c r="BE16" s="97" t="e">
        <x:f>AZ16*INDEX(Régions!$AR$2:$AR$6,MATCH($B16,Régions!$A$2:$A$6,0))</x:f>
        <x:v>#NAME?</x:v>
      </x:c>
      <x:c r="BF16" s="97" t="e">
        <x:f>BA16*INDEX(Régions!$AS$2:$AS$6,MATCH($B16,Régions!$A$2:$A$6,0))</x:f>
        <x:v>#NAME?</x:v>
      </x:c>
      <x:c r="BG16" s="97" t="e">
        <x:f>BB16*INDEX(Régions!$AT$2:$AT$6,MATCH($B16,Régions!$A$2:$A$6,0))</x:f>
        <x:v>#NAME?</x:v>
      </x:c>
      <x:c r="BH16" s="97" t="e">
        <x:f>U16</x:f>
        <x:v>#NAME?</x:v>
      </x:c>
      <x:c r="BI16" s="97" t="e">
        <x:f>BC16*INDEX(Régions!$AU$2:$AU$6,MATCH($B16,Régions!$A$2:$A$6,0))</x:f>
        <x:v>#NAME?</x:v>
      </x:c>
      <x:c r="BJ16" s="97" t="str">
        <x:f>INDEX({"CAQ","PLQ","QS","PQ","PCQ","Autre"},MATCH(MAX(BD16:BI16),BD16:BI16,0))</x:f>
        <x:v>CAQ</x:v>
      </x:c>
    </x:row>
    <x:row r="17" s="60" customFormat="1" ht="15" customHeight="1">
      <x:c r="A17" s="94" t="inlineStr">
        <x:is>
          <x:t xml:space="preserve">Borduas</x:t>
        </x:is>
      </x:c>
      <x:c r="B17" s="94" t="inlineStr">
        <x:is>
          <x:t xml:space="preserve">Banlieue de Montréal</x:t>
        </x:is>
      </x:c>
      <x:c r="C17" s="95" t="inlineStr">
        <x:is>
          <x:t xml:space="preserve">CAQ</x:t>
        </x:is>
      </x:c>
      <x:c r="D17" s="96" t="n">
        <x:v>21265</x:v>
      </x:c>
      <x:c r="E17" s="96" t="n">
        <x:v>2173</x:v>
      </x:c>
      <x:c r="F17" s="96" t="n">
        <x:v>6284</x:v>
      </x:c>
      <x:c r="G17" s="96" t="n">
        <x:v>8078</x:v>
      </x:c>
      <x:c r="H17" s="96" t="n">
        <x:v>3136</x:v>
      </x:c>
      <x:c r="I17" s="96" t="n">
        <x:v>574</x:v>
      </x:c>
      <x:c r="J17" s="97" t="n">
        <x:f>SUM(D17:I17)</x:f>
        <x:v>41510</x:v>
      </x:c>
      <x:c r="K17" s="98" t="n">
        <x:f>IFERROR(D17/J17,0)</x:f>
        <x:v>0.512286196097326</x:v>
      </x:c>
      <x:c r="L17" s="98" t="n">
        <x:f>IFERROR(E17/J17,0)</x:f>
        <x:v>0.05234883160684173</x:v>
      </x:c>
      <x:c r="M17" s="98" t="n">
        <x:f>IFERROR(F17/J17,0)</x:f>
        <x:v>0.15138520838352204</x:v>
      </x:c>
      <x:c r="N17" s="98" t="n">
        <x:f>IFERROR(G17/J17,0)</x:f>
        <x:v>0.1946037099494098</x:v>
      </x:c>
      <x:c r="O17" s="98" t="n">
        <x:f>IFERROR(H17/J17,0)</x:f>
        <x:v>0.07554806070826307</x:v>
      </x:c>
      <x:c r="P17" s="98" t="n">
        <x:f>IFERROR(I17/J17,0)</x:f>
        <x:v>0.013827993254637436</x:v>
      </x:c>
      <x:c r="Q17" s="97" t="e">
        <x:f>D17*INDEX(Régions!$T$2:$T$6,MATCH($B17,Régions!$A$2:$A$6,0))</x:f>
        <x:v>#NAME?</x:v>
      </x:c>
      <x:c r="R17" s="97" t="e">
        <x:f>E17*INDEX(Régions!$U$2:$U$6,MATCH($B17,Régions!$A$2:$A$6,0))</x:f>
        <x:v>#NAME?</x:v>
      </x:c>
      <x:c r="S17" s="97" t="e">
        <x:f>F17*INDEX(Régions!$V$2:$V$6,MATCH($B17,Régions!$A$2:$A$6,0))</x:f>
        <x:v>#NAME?</x:v>
      </x:c>
      <x:c r="T17" s="97" t="e">
        <x:f>G17*INDEX(Régions!$W$2:$W$6,MATCH($B17,Régions!$A$2:$A$6,0))</x:f>
        <x:v>#NAME?</x:v>
      </x:c>
      <x:c r="U17" s="97" t="e">
        <x:f>H17*INDEX(Régions!$X$2:$X$6,MATCH($B17,Régions!$A$2:$A$6,0))</x:f>
        <x:v>#NAME?</x:v>
      </x:c>
      <x:c r="V17" s="97" t="e">
        <x:f>I17*INDEX(Régions!$Y$2:$Y$6,MATCH($B17,Régions!$A$2:$A$6,0))</x:f>
        <x:v>#NAME?</x:v>
      </x:c>
      <x:c r="W17" s="97" t="e">
        <x:f>Q17+(AU17/100)*J17*Régions!$O$2</x:f>
        <x:v>#NAME?</x:v>
      </x:c>
      <x:c r="X17" s="97" t="e">
        <x:f>R17+(AV17/100)*J17*Régions!$O$2</x:f>
        <x:v>#NAME?</x:v>
      </x:c>
      <x:c r="Y17" s="97" t="e">
        <x:f>S17+(AW17/100)*J17*Régions!$O$2</x:f>
        <x:v>#NAME?</x:v>
      </x:c>
      <x:c r="Z17" s="97" t="e">
        <x:f>T17+(AX17/100)*J17*Régions!$O$2</x:f>
        <x:v>#NAME?</x:v>
      </x:c>
      <x:c r="AA17" s="97" t="e">
        <x:f>U17</x:f>
        <x:v>#NAME?</x:v>
      </x:c>
      <x:c r="AB17" s="97" t="e">
        <x:f>V17</x:f>
        <x:v>#NAME?</x:v>
      </x:c>
      <x:c r="AC17" s="97" t="e">
        <x:f>D17*INDEX(Régions!$Z$2:$Z$6,MATCH($B17,Régions!$A$2:$A$6,0))</x:f>
        <x:v>#NAME?</x:v>
      </x:c>
      <x:c r="AD17" s="97" t="e">
        <x:f>E17*INDEX(Régions!$AA$2:$AA$6,MATCH($B17,Régions!$A$2:$A$6,0))</x:f>
        <x:v>#NAME?</x:v>
      </x:c>
      <x:c r="AE17" s="97" t="e">
        <x:f>F17*INDEX(Régions!$AB$2:$AB$6,MATCH($B17,Régions!$A$2:$A$6,0))</x:f>
        <x:v>#NAME?</x:v>
      </x:c>
      <x:c r="AF17" s="97" t="e">
        <x:f>G17*INDEX(Régions!$AC$2:$AC$6,MATCH($B17,Régions!$A$2:$A$6,0))</x:f>
        <x:v>#NAME?</x:v>
      </x:c>
      <x:c r="AG17" s="97" t="e">
        <x:f>H17*INDEX(Régions!$AD$2:$AD$6,MATCH($B17,Régions!$A$2:$A$6,0))</x:f>
        <x:v>#NAME?</x:v>
      </x:c>
      <x:c r="AH17" s="97" t="e">
        <x:f>I17*INDEX(Régions!$AE$2:$AE$6,MATCH($B17,Régions!$A$2:$A$6,0))</x:f>
        <x:v>#NAME?</x:v>
      </x:c>
      <x:c r="AI17" s="97" t="e">
        <x:f>D17*INDEX(Régions!$AF$2:$AF$6,MATCH($B17,Régions!$A$2:$A$6,0))</x:f>
        <x:v>#NAME?</x:v>
      </x:c>
      <x:c r="AJ17" s="97" t="e">
        <x:f>E17*INDEX(Régions!$AG$2:$AG$6,MATCH($B17,Régions!$A$2:$A$6,0))</x:f>
        <x:v>#NAME?</x:v>
      </x:c>
      <x:c r="AK17" s="97" t="e">
        <x:f>F17*INDEX(Régions!$AH$2:$AH$6,MATCH($B17,Régions!$A$2:$A$6,0))</x:f>
        <x:v>#NAME?</x:v>
      </x:c>
      <x:c r="AL17" s="97" t="e">
        <x:f>G17*INDEX(Régions!$AI$2:$AI$6,MATCH($B17,Régions!$A$2:$A$6,0))</x:f>
        <x:v>#NAME?</x:v>
      </x:c>
      <x:c r="AM17" s="97" t="e">
        <x:f>H17*INDEX(Régions!$AJ$2:$AJ$6,MATCH($B17,Régions!$A$2:$A$6,0))</x:f>
        <x:v>#NAME?</x:v>
      </x:c>
      <x:c r="AN17" s="97" t="e">
        <x:f>I17*INDEX(Régions!$AK$2:$AK$6,MATCH($B17,Régions!$A$2:$A$6,0))</x:f>
        <x:v>#NAME?</x:v>
      </x:c>
      <x:c r="AO17" s="99" t="str">
        <x:f>INDEX({"CAQ","PLQ","QS","PQ","PCQ","Autre"},MATCH(MAX(Q17:V17),Q17:V17,0))</x:f>
        <x:v>CAQ</x:v>
      </x:c>
      <x:c r="AP17" s="99" t="str">
        <x:f>INDEX({"CAQ","PLQ","QS","PQ","PCQ","Autre"},MATCH(MAX(W17:AB17),W17:AB17,0))</x:f>
        <x:v>CAQ</x:v>
      </x:c>
      <x:c r="AQ17" s="99" t="str">
        <x:f>INDEX({"CAQ","PLQ","QS","PQ","PCQ","Autre"},MATCH(MAX(AC17:AH17),AC17:AH17,0))</x:f>
        <x:v>CAQ</x:v>
      </x:c>
      <x:c r="AR17" s="99" t="str">
        <x:f>INDEX({"CAQ","PLQ","QS","PQ","PCQ","Autre"},MATCH(MAX(AI17:AN17),AI17:AN17,0))</x:f>
        <x:v>CAQ</x:v>
      </x:c>
      <x:c r="AS17" s="100" t="n">
        <x:f>(MAX(K17:P17)-LARGE(K17:P17,2))*100</x:f>
        <x:v>31.768248614791617</x:v>
      </x:c>
      <x:c r="AT17" s="101" t="str">
        <x:f>IF(AS17&lt;5,"Oui","Non")</x:f>
        <x:v>Non</x:v>
      </x:c>
      <x:c r="AU17" s="102" t="n">
        <x:v>0.319</x:v>
      </x:c>
      <x:c r="AV17" s="102" t="n">
        <x:v>0.653</x:v>
      </x:c>
      <x:c r="AW17" s="102" t="n">
        <x:v>0.187</x:v>
      </x:c>
      <x:c r="AX17" s="102" t="n">
        <x:v>1.062</x:v>
      </x:c>
      <x:c r="AY17" s="96" t="n">
        <x:v>19482</x:v>
      </x:c>
      <x:c r="AZ17" s="96" t="n">
        <x:v>4683</x:v>
      </x:c>
      <x:c r="BA17" s="96" t="n">
        <x:v>6379</x:v>
      </x:c>
      <x:c r="BB17" s="96" t="n">
        <x:v>8725</x:v>
      </x:c>
      <x:c r="BC17" s="96" t="n">
        <x:v>1503</x:v>
      </x:c>
      <x:c r="BD17" s="97" t="e">
        <x:f>AY17*INDEX(Régions!$AQ$2:$AQ$6,MATCH($B17,Régions!$A$2:$A$6,0))</x:f>
        <x:v>#NAME?</x:v>
      </x:c>
      <x:c r="BE17" s="97" t="e">
        <x:f>AZ17*INDEX(Régions!$AR$2:$AR$6,MATCH($B17,Régions!$A$2:$A$6,0))</x:f>
        <x:v>#NAME?</x:v>
      </x:c>
      <x:c r="BF17" s="97" t="e">
        <x:f>BA17*INDEX(Régions!$AS$2:$AS$6,MATCH($B17,Régions!$A$2:$A$6,0))</x:f>
        <x:v>#NAME?</x:v>
      </x:c>
      <x:c r="BG17" s="97" t="e">
        <x:f>BB17*INDEX(Régions!$AT$2:$AT$6,MATCH($B17,Régions!$A$2:$A$6,0))</x:f>
        <x:v>#NAME?</x:v>
      </x:c>
      <x:c r="BH17" s="97" t="e">
        <x:f>U17</x:f>
        <x:v>#NAME?</x:v>
      </x:c>
      <x:c r="BI17" s="97" t="e">
        <x:f>BC17*INDEX(Régions!$AU$2:$AU$6,MATCH($B17,Régions!$A$2:$A$6,0))</x:f>
        <x:v>#NAME?</x:v>
      </x:c>
      <x:c r="BJ17" s="97" t="str">
        <x:f>INDEX({"CAQ","PLQ","QS","PQ","PCQ","Autre"},MATCH(MAX(BD17:BI17),BD17:BI17,0))</x:f>
        <x:v>CAQ</x:v>
      </x:c>
    </x:row>
    <x:row r="18" s="60" customFormat="1" ht="15" customHeight="1">
      <x:c r="A18" s="94" t="inlineStr">
        <x:is>
          <x:t xml:space="preserve">Bourassa-Sauvé</x:t>
        </x:is>
      </x:c>
      <x:c r="B18" s="94" t="inlineStr">
        <x:is>
          <x:t xml:space="preserve">Île de Montréal</x:t>
        </x:is>
      </x:c>
      <x:c r="C18" s="95" t="inlineStr">
        <x:is>
          <x:t xml:space="preserve">PLQ</x:t>
        </x:is>
      </x:c>
      <x:c r="D18" s="96" t="n">
        <x:v>6049</x:v>
      </x:c>
      <x:c r="E18" s="96" t="n">
        <x:v>9704</x:v>
      </x:c>
      <x:c r="F18" s="96" t="n">
        <x:v>3737</x:v>
      </x:c>
      <x:c r="G18" s="96" t="n">
        <x:v>2101</x:v>
      </x:c>
      <x:c r="H18" s="96" t="n">
        <x:v>2161</x:v>
      </x:c>
      <x:c r="I18" s="96" t="n">
        <x:v>430</x:v>
      </x:c>
      <x:c r="J18" s="97" t="n">
        <x:f>SUM(D18:I18)</x:f>
        <x:v>24182</x:v>
      </x:c>
      <x:c r="K18" s="98" t="n">
        <x:f>IFERROR(D18/J18,0)</x:f>
        <x:v>0.25014473575386653</x:v>
      </x:c>
      <x:c r="L18" s="98" t="n">
        <x:f>IFERROR(E18/J18,0)</x:f>
        <x:v>0.40129021586303865</x:v>
      </x:c>
      <x:c r="M18" s="98" t="n">
        <x:f>IFERROR(F18/J18,0)</x:f>
        <x:v>0.15453643205690182</x:v>
      </x:c>
      <x:c r="N18" s="98" t="n">
        <x:f>IFERROR(G18/J18,0)</x:f>
        <x:v>0.08688280539244066</x:v>
      </x:c>
      <x:c r="O18" s="98" t="n">
        <x:f>IFERROR(H18/J18,0)</x:f>
        <x:v>0.08936398974443802</x:v>
      </x:c>
      <x:c r="P18" s="98" t="n">
        <x:f>IFERROR(I18/J18,0)</x:f>
        <x:v>0.017781821189314366</x:v>
      </x:c>
      <x:c r="Q18" s="97" t="e">
        <x:f>D18*INDEX(Régions!$T$2:$T$6,MATCH($B18,Régions!$A$2:$A$6,0))</x:f>
        <x:v>#NAME?</x:v>
      </x:c>
      <x:c r="R18" s="97" t="e">
        <x:f>E18*INDEX(Régions!$U$2:$U$6,MATCH($B18,Régions!$A$2:$A$6,0))</x:f>
        <x:v>#NAME?</x:v>
      </x:c>
      <x:c r="S18" s="97" t="e">
        <x:f>F18*INDEX(Régions!$V$2:$V$6,MATCH($B18,Régions!$A$2:$A$6,0))</x:f>
        <x:v>#NAME?</x:v>
      </x:c>
      <x:c r="T18" s="97" t="e">
        <x:f>G18*INDEX(Régions!$W$2:$W$6,MATCH($B18,Régions!$A$2:$A$6,0))</x:f>
        <x:v>#NAME?</x:v>
      </x:c>
      <x:c r="U18" s="97" t="e">
        <x:f>H18*INDEX(Régions!$X$2:$X$6,MATCH($B18,Régions!$A$2:$A$6,0))</x:f>
        <x:v>#NAME?</x:v>
      </x:c>
      <x:c r="V18" s="97" t="e">
        <x:f>I18*INDEX(Régions!$Y$2:$Y$6,MATCH($B18,Régions!$A$2:$A$6,0))</x:f>
        <x:v>#NAME?</x:v>
      </x:c>
      <x:c r="W18" s="97" t="e">
        <x:f>Q18+(AU18/100)*J18*Régions!$O$2</x:f>
        <x:v>#NAME?</x:v>
      </x:c>
      <x:c r="X18" s="97" t="e">
        <x:f>R18+(AV18/100)*J18*Régions!$O$2</x:f>
        <x:v>#NAME?</x:v>
      </x:c>
      <x:c r="Y18" s="97" t="e">
        <x:f>S18+(AW18/100)*J18*Régions!$O$2</x:f>
        <x:v>#NAME?</x:v>
      </x:c>
      <x:c r="Z18" s="97" t="e">
        <x:f>T18+(AX18/100)*J18*Régions!$O$2</x:f>
        <x:v>#NAME?</x:v>
      </x:c>
      <x:c r="AA18" s="97" t="e">
        <x:f>U18</x:f>
        <x:v>#NAME?</x:v>
      </x:c>
      <x:c r="AB18" s="97" t="e">
        <x:f>V18</x:f>
        <x:v>#NAME?</x:v>
      </x:c>
      <x:c r="AC18" s="97" t="e">
        <x:f>D18*INDEX(Régions!$Z$2:$Z$6,MATCH($B18,Régions!$A$2:$A$6,0))</x:f>
        <x:v>#NAME?</x:v>
      </x:c>
      <x:c r="AD18" s="97" t="e">
        <x:f>E18*INDEX(Régions!$AA$2:$AA$6,MATCH($B18,Régions!$A$2:$A$6,0))</x:f>
        <x:v>#NAME?</x:v>
      </x:c>
      <x:c r="AE18" s="97" t="e">
        <x:f>F18*INDEX(Régions!$AB$2:$AB$6,MATCH($B18,Régions!$A$2:$A$6,0))</x:f>
        <x:v>#NAME?</x:v>
      </x:c>
      <x:c r="AF18" s="97" t="e">
        <x:f>G18*INDEX(Régions!$AC$2:$AC$6,MATCH($B18,Régions!$A$2:$A$6,0))</x:f>
        <x:v>#NAME?</x:v>
      </x:c>
      <x:c r="AG18" s="97" t="e">
        <x:f>H18*INDEX(Régions!$AD$2:$AD$6,MATCH($B18,Régions!$A$2:$A$6,0))</x:f>
        <x:v>#NAME?</x:v>
      </x:c>
      <x:c r="AH18" s="97" t="e">
        <x:f>I18*INDEX(Régions!$AE$2:$AE$6,MATCH($B18,Régions!$A$2:$A$6,0))</x:f>
        <x:v>#NAME?</x:v>
      </x:c>
      <x:c r="AI18" s="97" t="e">
        <x:f>D18*INDEX(Régions!$AF$2:$AF$6,MATCH($B18,Régions!$A$2:$A$6,0))</x:f>
        <x:v>#NAME?</x:v>
      </x:c>
      <x:c r="AJ18" s="97" t="e">
        <x:f>E18*INDEX(Régions!$AG$2:$AG$6,MATCH($B18,Régions!$A$2:$A$6,0))</x:f>
        <x:v>#NAME?</x:v>
      </x:c>
      <x:c r="AK18" s="97" t="e">
        <x:f>F18*INDEX(Régions!$AH$2:$AH$6,MATCH($B18,Régions!$A$2:$A$6,0))</x:f>
        <x:v>#NAME?</x:v>
      </x:c>
      <x:c r="AL18" s="97" t="e">
        <x:f>G18*INDEX(Régions!$AI$2:$AI$6,MATCH($B18,Régions!$A$2:$A$6,0))</x:f>
        <x:v>#NAME?</x:v>
      </x:c>
      <x:c r="AM18" s="97" t="e">
        <x:f>H18*INDEX(Régions!$AJ$2:$AJ$6,MATCH($B18,Régions!$A$2:$A$6,0))</x:f>
        <x:v>#NAME?</x:v>
      </x:c>
      <x:c r="AN18" s="97" t="e">
        <x:f>I18*INDEX(Régions!$AK$2:$AK$6,MATCH($B18,Régions!$A$2:$A$6,0))</x:f>
        <x:v>#NAME?</x:v>
      </x:c>
      <x:c r="AO18" s="99" t="str">
        <x:f>INDEX({"CAQ","PLQ","QS","PQ","PCQ","Autre"},MATCH(MAX(Q18:V18),Q18:V18,0))</x:f>
        <x:v>CAQ</x:v>
      </x:c>
      <x:c r="AP18" s="99" t="str">
        <x:f>INDEX({"CAQ","PLQ","QS","PQ","PCQ","Autre"},MATCH(MAX(W18:AB18),W18:AB18,0))</x:f>
        <x:v>CAQ</x:v>
      </x:c>
      <x:c r="AQ18" s="99" t="str">
        <x:f>INDEX({"CAQ","PLQ","QS","PQ","PCQ","Autre"},MATCH(MAX(AC18:AH18),AC18:AH18,0))</x:f>
        <x:v>CAQ</x:v>
      </x:c>
      <x:c r="AR18" s="99" t="str">
        <x:f>INDEX({"CAQ","PLQ","QS","PQ","PCQ","Autre"},MATCH(MAX(AI18:AN18),AI18:AN18,0))</x:f>
        <x:v>CAQ</x:v>
      </x:c>
      <x:c r="AS18" s="100" t="n">
        <x:f>(MAX(K18:P18)-LARGE(K18:P18,2))*100</x:f>
        <x:v>15.114548010917211</x:v>
      </x:c>
      <x:c r="AT18" s="101" t="str">
        <x:f>IF(AS18&lt;5,"Oui","Non")</x:f>
        <x:v>Non</x:v>
      </x:c>
      <x:c r="AU18" s="102" t="n">
        <x:v>-0.569</x:v>
      </x:c>
      <x:c r="AV18" s="102" t="n">
        <x:v>2.802</x:v>
      </x:c>
      <x:c r="AW18" s="102" t="n">
        <x:v>0.731</x:v>
      </x:c>
      <x:c r="AX18" s="102" t="n">
        <x:v>-0.795</x:v>
      </x:c>
      <x:c r="AY18" s="96" t="n">
        <x:v>5826</x:v>
      </x:c>
      <x:c r="AZ18" s="96" t="n">
        <x:v>11456</x:v>
      </x:c>
      <x:c r="BA18" s="96" t="n">
        <x:v>3469</x:v>
      </x:c>
      <x:c r="BB18" s="96" t="n">
        <x:v>2640</x:v>
      </x:c>
      <x:c r="BC18" s="96" t="n">
        <x:v>1426</x:v>
      </x:c>
      <x:c r="BD18" s="97" t="e">
        <x:f>AY18*INDEX(Régions!$AQ$2:$AQ$6,MATCH($B18,Régions!$A$2:$A$6,0))</x:f>
        <x:v>#NAME?</x:v>
      </x:c>
      <x:c r="BE18" s="97" t="e">
        <x:f>AZ18*INDEX(Régions!$AR$2:$AR$6,MATCH($B18,Régions!$A$2:$A$6,0))</x:f>
        <x:v>#NAME?</x:v>
      </x:c>
      <x:c r="BF18" s="97" t="e">
        <x:f>BA18*INDEX(Régions!$AS$2:$AS$6,MATCH($B18,Régions!$A$2:$A$6,0))</x:f>
        <x:v>#NAME?</x:v>
      </x:c>
      <x:c r="BG18" s="97" t="e">
        <x:f>BB18*INDEX(Régions!$AT$2:$AT$6,MATCH($B18,Régions!$A$2:$A$6,0))</x:f>
        <x:v>#NAME?</x:v>
      </x:c>
      <x:c r="BH18" s="97" t="e">
        <x:f>U18</x:f>
        <x:v>#NAME?</x:v>
      </x:c>
      <x:c r="BI18" s="97" t="e">
        <x:f>BC18*INDEX(Régions!$AU$2:$AU$6,MATCH($B18,Régions!$A$2:$A$6,0))</x:f>
        <x:v>#NAME?</x:v>
      </x:c>
      <x:c r="BJ18" s="97" t="str">
        <x:f>INDEX({"CAQ","PLQ","QS","PQ","PCQ","Autre"},MATCH(MAX(BD18:BI18),BD18:BI18,0))</x:f>
        <x:v>CAQ</x:v>
      </x:c>
    </x:row>
    <x:row r="19" s="60" customFormat="1" ht="15" customHeight="1">
      <x:c r="A19" s="94" t="inlineStr">
        <x:is>
          <x:t xml:space="preserve">Brome-Missisquoi</x:t>
        </x:is>
      </x:c>
      <x:c r="B19" s="94" t="inlineStr">
        <x:is>
          <x:t xml:space="preserve">Banlieue de Montréal</x:t>
        </x:is>
      </x:c>
      <x:c r="C19" s="95" t="inlineStr">
        <x:is>
          <x:t xml:space="preserve">CAQ</x:t>
        </x:is>
      </x:c>
      <x:c r="D19" s="96" t="n">
        <x:v>16477</x:v>
      </x:c>
      <x:c r="E19" s="96" t="n">
        <x:v>4279</x:v>
      </x:c>
      <x:c r="F19" s="96" t="n">
        <x:v>5716</x:v>
      </x:c>
      <x:c r="G19" s="96" t="n">
        <x:v>4291</x:v>
      </x:c>
      <x:c r="H19" s="96" t="n">
        <x:v>4418</x:v>
      </x:c>
      <x:c r="I19" s="96" t="n">
        <x:v>738</x:v>
      </x:c>
      <x:c r="J19" s="97" t="n">
        <x:f>SUM(D19:I19)</x:f>
        <x:v>35919</x:v>
      </x:c>
      <x:c r="K19" s="98" t="n">
        <x:f>IFERROR(D19/J19,0)</x:f>
        <x:v>0.4587265792477519</x:v>
      </x:c>
      <x:c r="L19" s="98" t="n">
        <x:f>IFERROR(E19/J19,0)</x:f>
        <x:v>0.11912915170244161</x:v>
      </x:c>
      <x:c r="M19" s="98" t="n">
        <x:f>IFERROR(F19/J19,0)</x:f>
        <x:v>0.15913583340293438</x:v>
      </x:c>
      <x:c r="N19" s="98" t="n">
        <x:f>IFERROR(G19/J19,0)</x:f>
        <x:v>0.11946323672708037</x:v>
      </x:c>
      <x:c r="O19" s="98" t="n">
        <x:f>IFERROR(H19/J19,0)</x:f>
        <x:v>0.12299896990450736</x:v>
      </x:c>
      <x:c r="P19" s="98" t="n">
        <x:f>IFERROR(I19/J19,0)</x:f>
        <x:v>0.02054622901528439</x:v>
      </x:c>
      <x:c r="Q19" s="97" t="e">
        <x:f>D19*INDEX(Régions!$T$2:$T$6,MATCH($B19,Régions!$A$2:$A$6,0))</x:f>
        <x:v>#NAME?</x:v>
      </x:c>
      <x:c r="R19" s="97" t="e">
        <x:f>E19*INDEX(Régions!$U$2:$U$6,MATCH($B19,Régions!$A$2:$A$6,0))</x:f>
        <x:v>#NAME?</x:v>
      </x:c>
      <x:c r="S19" s="97" t="e">
        <x:f>F19*INDEX(Régions!$V$2:$V$6,MATCH($B19,Régions!$A$2:$A$6,0))</x:f>
        <x:v>#NAME?</x:v>
      </x:c>
      <x:c r="T19" s="97" t="e">
        <x:f>G19*INDEX(Régions!$W$2:$W$6,MATCH($B19,Régions!$A$2:$A$6,0))</x:f>
        <x:v>#NAME?</x:v>
      </x:c>
      <x:c r="U19" s="97" t="e">
        <x:f>H19*INDEX(Régions!$X$2:$X$6,MATCH($B19,Régions!$A$2:$A$6,0))</x:f>
        <x:v>#NAME?</x:v>
      </x:c>
      <x:c r="V19" s="97" t="e">
        <x:f>I19*INDEX(Régions!$Y$2:$Y$6,MATCH($B19,Régions!$A$2:$A$6,0))</x:f>
        <x:v>#NAME?</x:v>
      </x:c>
      <x:c r="W19" s="97" t="e">
        <x:f>Q19+(AU19/100)*J19*Régions!$O$2</x:f>
        <x:v>#NAME?</x:v>
      </x:c>
      <x:c r="X19" s="97" t="e">
        <x:f>R19+(AV19/100)*J19*Régions!$O$2</x:f>
        <x:v>#NAME?</x:v>
      </x:c>
      <x:c r="Y19" s="97" t="e">
        <x:f>S19+(AW19/100)*J19*Régions!$O$2</x:f>
        <x:v>#NAME?</x:v>
      </x:c>
      <x:c r="Z19" s="97" t="e">
        <x:f>T19+(AX19/100)*J19*Régions!$O$2</x:f>
        <x:v>#NAME?</x:v>
      </x:c>
      <x:c r="AA19" s="97" t="e">
        <x:f>U19</x:f>
        <x:v>#NAME?</x:v>
      </x:c>
      <x:c r="AB19" s="97" t="e">
        <x:f>V19</x:f>
        <x:v>#NAME?</x:v>
      </x:c>
      <x:c r="AC19" s="97" t="e">
        <x:f>D19*INDEX(Régions!$Z$2:$Z$6,MATCH($B19,Régions!$A$2:$A$6,0))</x:f>
        <x:v>#NAME?</x:v>
      </x:c>
      <x:c r="AD19" s="97" t="e">
        <x:f>E19*INDEX(Régions!$AA$2:$AA$6,MATCH($B19,Régions!$A$2:$A$6,0))</x:f>
        <x:v>#NAME?</x:v>
      </x:c>
      <x:c r="AE19" s="97" t="e">
        <x:f>F19*INDEX(Régions!$AB$2:$AB$6,MATCH($B19,Régions!$A$2:$A$6,0))</x:f>
        <x:v>#NAME?</x:v>
      </x:c>
      <x:c r="AF19" s="97" t="e">
        <x:f>G19*INDEX(Régions!$AC$2:$AC$6,MATCH($B19,Régions!$A$2:$A$6,0))</x:f>
        <x:v>#NAME?</x:v>
      </x:c>
      <x:c r="AG19" s="97" t="e">
        <x:f>H19*INDEX(Régions!$AD$2:$AD$6,MATCH($B19,Régions!$A$2:$A$6,0))</x:f>
        <x:v>#NAME?</x:v>
      </x:c>
      <x:c r="AH19" s="97" t="e">
        <x:f>I19*INDEX(Régions!$AE$2:$AE$6,MATCH($B19,Régions!$A$2:$A$6,0))</x:f>
        <x:v>#NAME?</x:v>
      </x:c>
      <x:c r="AI19" s="97" t="e">
        <x:f>D19*INDEX(Régions!$AF$2:$AF$6,MATCH($B19,Régions!$A$2:$A$6,0))</x:f>
        <x:v>#NAME?</x:v>
      </x:c>
      <x:c r="AJ19" s="97" t="e">
        <x:f>E19*INDEX(Régions!$AG$2:$AG$6,MATCH($B19,Régions!$A$2:$A$6,0))</x:f>
        <x:v>#NAME?</x:v>
      </x:c>
      <x:c r="AK19" s="97" t="e">
        <x:f>F19*INDEX(Régions!$AH$2:$AH$6,MATCH($B19,Régions!$A$2:$A$6,0))</x:f>
        <x:v>#NAME?</x:v>
      </x:c>
      <x:c r="AL19" s="97" t="e">
        <x:f>G19*INDEX(Régions!$AI$2:$AI$6,MATCH($B19,Régions!$A$2:$A$6,0))</x:f>
        <x:v>#NAME?</x:v>
      </x:c>
      <x:c r="AM19" s="97" t="e">
        <x:f>H19*INDEX(Régions!$AJ$2:$AJ$6,MATCH($B19,Régions!$A$2:$A$6,0))</x:f>
        <x:v>#NAME?</x:v>
      </x:c>
      <x:c r="AN19" s="97" t="e">
        <x:f>I19*INDEX(Régions!$AK$2:$AK$6,MATCH($B19,Régions!$A$2:$A$6,0))</x:f>
        <x:v>#NAME?</x:v>
      </x:c>
      <x:c r="AO19" s="99" t="str">
        <x:f>INDEX({"CAQ","PLQ","QS","PQ","PCQ","Autre"},MATCH(MAX(Q19:V19),Q19:V19,0))</x:f>
        <x:v>CAQ</x:v>
      </x:c>
      <x:c r="AP19" s="99" t="str">
        <x:f>INDEX({"CAQ","PLQ","QS","PQ","PCQ","Autre"},MATCH(MAX(W19:AB19),W19:AB19,0))</x:f>
        <x:v>CAQ</x:v>
      </x:c>
      <x:c r="AQ19" s="99" t="str">
        <x:f>INDEX({"CAQ","PLQ","QS","PQ","PCQ","Autre"},MATCH(MAX(AC19:AH19),AC19:AH19,0))</x:f>
        <x:v>CAQ</x:v>
      </x:c>
      <x:c r="AR19" s="99" t="str">
        <x:f>INDEX({"CAQ","PLQ","QS","PQ","PCQ","Autre"},MATCH(MAX(AI19:AN19),AI19:AN19,0))</x:f>
        <x:v>CAQ</x:v>
      </x:c>
      <x:c r="AS19" s="100" t="n">
        <x:f>(MAX(K19:P19)-LARGE(K19:P19,2))*100</x:f>
        <x:v>29.959074584481748</x:v>
      </x:c>
      <x:c r="AT19" s="101" t="str">
        <x:f>IF(AS19&lt;5,"Oui","Non")</x:f>
        <x:v>Non</x:v>
      </x:c>
      <x:c r="AU19" s="102" t="n">
        <x:v>-1.639</x:v>
      </x:c>
      <x:c r="AV19" s="102" t="n">
        <x:v>-5.387</x:v>
      </x:c>
      <x:c r="AW19" s="102" t="n">
        <x:v>-0.673</x:v>
      </x:c>
      <x:c r="AX19" s="102" t="n">
        <x:v>4.228</x:v>
      </x:c>
      <x:c r="AY19" s="96" t="n">
        <x:v>14740</x:v>
      </x:c>
      <x:c r="AZ19" s="96" t="n">
        <x:v>8038</x:v>
      </x:c>
      <x:c r="BA19" s="96" t="n">
        <x:v>5739</x:v>
      </x:c>
      <x:c r="BB19" s="96" t="n">
        <x:v>3560</x:v>
      </x:c>
      <x:c r="BC19" s="96" t="n">
        <x:v>1133</x:v>
      </x:c>
      <x:c r="BD19" s="97" t="e">
        <x:f>AY19*INDEX(Régions!$AQ$2:$AQ$6,MATCH($B19,Régions!$A$2:$A$6,0))</x:f>
        <x:v>#NAME?</x:v>
      </x:c>
      <x:c r="BE19" s="97" t="e">
        <x:f>AZ19*INDEX(Régions!$AR$2:$AR$6,MATCH($B19,Régions!$A$2:$A$6,0))</x:f>
        <x:v>#NAME?</x:v>
      </x:c>
      <x:c r="BF19" s="97" t="e">
        <x:f>BA19*INDEX(Régions!$AS$2:$AS$6,MATCH($B19,Régions!$A$2:$A$6,0))</x:f>
        <x:v>#NAME?</x:v>
      </x:c>
      <x:c r="BG19" s="97" t="e">
        <x:f>BB19*INDEX(Régions!$AT$2:$AT$6,MATCH($B19,Régions!$A$2:$A$6,0))</x:f>
        <x:v>#NAME?</x:v>
      </x:c>
      <x:c r="BH19" s="97" t="e">
        <x:f>U19</x:f>
        <x:v>#NAME?</x:v>
      </x:c>
      <x:c r="BI19" s="97" t="e">
        <x:f>BC19*INDEX(Régions!$AU$2:$AU$6,MATCH($B19,Régions!$A$2:$A$6,0))</x:f>
        <x:v>#NAME?</x:v>
      </x:c>
      <x:c r="BJ19" s="97" t="str">
        <x:f>INDEX({"CAQ","PLQ","QS","PQ","PCQ","Autre"},MATCH(MAX(BD19:BI19),BD19:BI19,0))</x:f>
        <x:v>CAQ</x:v>
      </x:c>
    </x:row>
    <x:row r="20" s="60" customFormat="1" ht="15" customHeight="1">
      <x:c r="A20" s="94" t="inlineStr">
        <x:is>
          <x:t xml:space="preserve">Camille-Laurin</x:t>
        </x:is>
      </x:c>
      <x:c r="B20" s="94" t="inlineStr">
        <x:is>
          <x:t xml:space="preserve">Île de Montréal</x:t>
        </x:is>
      </x:c>
      <x:c r="C20" s="95" t="inlineStr">
        <x:is>
          <x:t xml:space="preserve">PQ</x:t>
        </x:is>
      </x:c>
      <x:c r="D20" s="96" t="n">
        <x:v>9165</x:v>
      </x:c>
      <x:c r="E20" s="96" t="n">
        <x:v>4724</x:v>
      </x:c>
      <x:c r="F20" s="96" t="n">
        <x:v>0</x:v>
      </x:c>
      <x:c r="G20" s="96" t="n">
        <x:v>11959</x:v>
      </x:c>
      <x:c r="H20" s="96" t="n">
        <x:v>1869</x:v>
      </x:c>
      <x:c r="I20" s="96" t="n">
        <x:v>973</x:v>
      </x:c>
      <x:c r="J20" s="97" t="n">
        <x:f>SUM(D20:I20)</x:f>
        <x:v>28690</x:v>
      </x:c>
      <x:c r="K20" s="98" t="n">
        <x:f>IFERROR(D20/J20,0)</x:f>
        <x:v>0.3194492854653189</x:v>
      </x:c>
      <x:c r="L20" s="98" t="n">
        <x:f>IFERROR(E20/J20,0)</x:f>
        <x:v>0.16465667479958174</x:v>
      </x:c>
      <x:c r="M20" s="98" t="n">
        <x:f>IFERROR(F20/J20,0)</x:f>
        <x:v>0</x:v>
      </x:c>
      <x:c r="N20" s="98" t="n">
        <x:f>IFERROR(G20/J20,0)</x:f>
        <x:v>0.41683513419309864</x:v>
      </x:c>
      <x:c r="O20" s="98" t="n">
        <x:f>IFERROR(H20/J20,0)</x:f>
        <x:v>0.06514464970372952</x:v>
      </x:c>
      <x:c r="P20" s="98" t="n">
        <x:f>IFERROR(I20/J20,0)</x:f>
        <x:v>0.03391425583827117</x:v>
      </x:c>
      <x:c r="Q20" s="97" t="e">
        <x:f>D20*INDEX(Régions!$T$2:$T$6,MATCH($B20,Régions!$A$2:$A$6,0))</x:f>
        <x:v>#NAME?</x:v>
      </x:c>
      <x:c r="R20" s="97" t="e">
        <x:f>E20*INDEX(Régions!$U$2:$U$6,MATCH($B20,Régions!$A$2:$A$6,0))</x:f>
        <x:v>#NAME?</x:v>
      </x:c>
      <x:c r="S20" s="97" t="e">
        <x:f>F20*INDEX(Régions!$V$2:$V$6,MATCH($B20,Régions!$A$2:$A$6,0))</x:f>
        <x:v>#NAME?</x:v>
      </x:c>
      <x:c r="T20" s="97" t="e">
        <x:f>G20*INDEX(Régions!$W$2:$W$6,MATCH($B20,Régions!$A$2:$A$6,0))</x:f>
        <x:v>#NAME?</x:v>
      </x:c>
      <x:c r="U20" s="97" t="e">
        <x:f>H20*INDEX(Régions!$X$2:$X$6,MATCH($B20,Régions!$A$2:$A$6,0))</x:f>
        <x:v>#NAME?</x:v>
      </x:c>
      <x:c r="V20" s="97" t="e">
        <x:f>I20*INDEX(Régions!$Y$2:$Y$6,MATCH($B20,Régions!$A$2:$A$6,0))</x:f>
        <x:v>#NAME?</x:v>
      </x:c>
      <x:c r="W20" s="97" t="e">
        <x:f>Q20+(AU20/100)*J20*Régions!$O$2</x:f>
        <x:v>#NAME?</x:v>
      </x:c>
      <x:c r="X20" s="97" t="e">
        <x:f>R20+(AV20/100)*J20*Régions!$O$2</x:f>
        <x:v>#NAME?</x:v>
      </x:c>
      <x:c r="Y20" s="97" t="e">
        <x:f>S20+(AW20/100)*J20*Régions!$O$2</x:f>
        <x:v>#NAME?</x:v>
      </x:c>
      <x:c r="Z20" s="97" t="e">
        <x:f>T20+(AX20/100)*J20*Régions!$O$2</x:f>
        <x:v>#NAME?</x:v>
      </x:c>
      <x:c r="AA20" s="97" t="e">
        <x:f>U20</x:f>
        <x:v>#NAME?</x:v>
      </x:c>
      <x:c r="AB20" s="97" t="e">
        <x:f>V20</x:f>
        <x:v>#NAME?</x:v>
      </x:c>
      <x:c r="AC20" s="97" t="e">
        <x:f>D20*INDEX(Régions!$Z$2:$Z$6,MATCH($B20,Régions!$A$2:$A$6,0))</x:f>
        <x:v>#NAME?</x:v>
      </x:c>
      <x:c r="AD20" s="97" t="e">
        <x:f>E20*INDEX(Régions!$AA$2:$AA$6,MATCH($B20,Régions!$A$2:$A$6,0))</x:f>
        <x:v>#NAME?</x:v>
      </x:c>
      <x:c r="AE20" s="97" t="e">
        <x:f>F20*INDEX(Régions!$AB$2:$AB$6,MATCH($B20,Régions!$A$2:$A$6,0))</x:f>
        <x:v>#NAME?</x:v>
      </x:c>
      <x:c r="AF20" s="97" t="e">
        <x:f>G20*INDEX(Régions!$AC$2:$AC$6,MATCH($B20,Régions!$A$2:$A$6,0))</x:f>
        <x:v>#NAME?</x:v>
      </x:c>
      <x:c r="AG20" s="97" t="e">
        <x:f>H20*INDEX(Régions!$AD$2:$AD$6,MATCH($B20,Régions!$A$2:$A$6,0))</x:f>
        <x:v>#NAME?</x:v>
      </x:c>
      <x:c r="AH20" s="97" t="e">
        <x:f>I20*INDEX(Régions!$AE$2:$AE$6,MATCH($B20,Régions!$A$2:$A$6,0))</x:f>
        <x:v>#NAME?</x:v>
      </x:c>
      <x:c r="AI20" s="97" t="e">
        <x:f>D20*INDEX(Régions!$AF$2:$AF$6,MATCH($B20,Régions!$A$2:$A$6,0))</x:f>
        <x:v>#NAME?</x:v>
      </x:c>
      <x:c r="AJ20" s="97" t="e">
        <x:f>E20*INDEX(Régions!$AG$2:$AG$6,MATCH($B20,Régions!$A$2:$A$6,0))</x:f>
        <x:v>#NAME?</x:v>
      </x:c>
      <x:c r="AK20" s="97" t="e">
        <x:f>F20*INDEX(Régions!$AH$2:$AH$6,MATCH($B20,Régions!$A$2:$A$6,0))</x:f>
        <x:v>#NAME?</x:v>
      </x:c>
      <x:c r="AL20" s="97" t="e">
        <x:f>G20*INDEX(Régions!$AI$2:$AI$6,MATCH($B20,Régions!$A$2:$A$6,0))</x:f>
        <x:v>#NAME?</x:v>
      </x:c>
      <x:c r="AM20" s="97" t="e">
        <x:f>H20*INDEX(Régions!$AJ$2:$AJ$6,MATCH($B20,Régions!$A$2:$A$6,0))</x:f>
        <x:v>#NAME?</x:v>
      </x:c>
      <x:c r="AN20" s="97" t="e">
        <x:f>I20*INDEX(Régions!$AK$2:$AK$6,MATCH($B20,Régions!$A$2:$A$6,0))</x:f>
        <x:v>#NAME?</x:v>
      </x:c>
      <x:c r="AO20" s="99" t="str">
        <x:f>INDEX({"CAQ","PLQ","QS","PQ","PCQ","Autre"},MATCH(MAX(Q20:V20),Q20:V20,0))</x:f>
        <x:v>CAQ</x:v>
      </x:c>
      <x:c r="AP20" s="99" t="str">
        <x:f>INDEX({"CAQ","PLQ","QS","PQ","PCQ","Autre"},MATCH(MAX(W20:AB20),W20:AB20,0))</x:f>
        <x:v>CAQ</x:v>
      </x:c>
      <x:c r="AQ20" s="99" t="str">
        <x:f>INDEX({"CAQ","PLQ","QS","PQ","PCQ","Autre"},MATCH(MAX(AC20:AH20),AC20:AH20,0))</x:f>
        <x:v>CAQ</x:v>
      </x:c>
      <x:c r="AR20" s="99" t="str">
        <x:f>INDEX({"CAQ","PLQ","QS","PQ","PCQ","Autre"},MATCH(MAX(AI20:AN20),AI20:AN20,0))</x:f>
        <x:v>CAQ</x:v>
      </x:c>
      <x:c r="AS20" s="100" t="n">
        <x:f>(MAX(K20:P20)-LARGE(K20:P20,2))*100</x:f>
        <x:v>9.738584872777972</x:v>
      </x:c>
      <x:c r="AT20" s="101" t="str">
        <x:f>IF(AS20&lt;5,"Oui","Non")</x:f>
        <x:v>Non</x:v>
      </x:c>
      <x:c r="AU20" s="102" t="n">
        <x:v>2.272</x:v>
      </x:c>
      <x:c r="AV20" s="102" t="n">
        <x:v>6.424</x:v>
      </x:c>
      <x:c r="AW20" s="102" t="n">
        <x:v>-25.186</x:v>
      </x:c>
      <x:c r="AX20" s="102" t="n">
        <x:v>16.827</x:v>
      </x:c>
      <x:c r="AY20" s="96" t="n">
        <x:v>8870</x:v>
      </x:c>
      <x:c r="AZ20" s="96" t="n">
        <x:v>6074</x:v>
      </x:c>
      <x:c r="BA20" s="96" t="n">
        <x:v>7865</x:v>
      </x:c>
      <x:c r="BB20" s="96" t="n">
        <x:v>8370</x:v>
      </x:c>
      <x:c r="BC20" s="96" t="n">
        <x:v>999</x:v>
      </x:c>
      <x:c r="BD20" s="97" t="e">
        <x:f>AY20*INDEX(Régions!$AQ$2:$AQ$6,MATCH($B20,Régions!$A$2:$A$6,0))</x:f>
        <x:v>#NAME?</x:v>
      </x:c>
      <x:c r="BE20" s="97" t="e">
        <x:f>AZ20*INDEX(Régions!$AR$2:$AR$6,MATCH($B20,Régions!$A$2:$A$6,0))</x:f>
        <x:v>#NAME?</x:v>
      </x:c>
      <x:c r="BF20" s="97" t="e">
        <x:f>BA20*INDEX(Régions!$AS$2:$AS$6,MATCH($B20,Régions!$A$2:$A$6,0))</x:f>
        <x:v>#NAME?</x:v>
      </x:c>
      <x:c r="BG20" s="97" t="e">
        <x:f>BB20*INDEX(Régions!$AT$2:$AT$6,MATCH($B20,Régions!$A$2:$A$6,0))</x:f>
        <x:v>#NAME?</x:v>
      </x:c>
      <x:c r="BH20" s="97" t="e">
        <x:f>U20</x:f>
        <x:v>#NAME?</x:v>
      </x:c>
      <x:c r="BI20" s="97" t="e">
        <x:f>BC20*INDEX(Régions!$AU$2:$AU$6,MATCH($B20,Régions!$A$2:$A$6,0))</x:f>
        <x:v>#NAME?</x:v>
      </x:c>
      <x:c r="BJ20" s="97" t="str">
        <x:f>INDEX({"CAQ","PLQ","QS","PQ","PCQ","Autre"},MATCH(MAX(BD20:BI20),BD20:BI20,0))</x:f>
        <x:v>CAQ</x:v>
      </x:c>
    </x:row>
    <x:row r="21" s="60" customFormat="1" ht="15" customHeight="1">
      <x:c r="A21" s="94" t="inlineStr">
        <x:is>
          <x:t xml:space="preserve">Chambly</x:t>
        </x:is>
      </x:c>
      <x:c r="B21" s="94" t="inlineStr">
        <x:is>
          <x:t xml:space="preserve">Banlieue de Montréal</x:t>
        </x:is>
      </x:c>
      <x:c r="C21" s="95" t="inlineStr">
        <x:is>
          <x:t xml:space="preserve">CAQ</x:t>
        </x:is>
      </x:c>
      <x:c r="D21" s="96" t="n">
        <x:v>18501</x:v>
      </x:c>
      <x:c r="E21" s="96" t="n">
        <x:v>2997</x:v>
      </x:c>
      <x:c r="F21" s="96" t="n">
        <x:v>6250</x:v>
      </x:c>
      <x:c r="G21" s="96" t="n">
        <x:v>6831</x:v>
      </x:c>
      <x:c r="H21" s="96" t="n">
        <x:v>3181</x:v>
      </x:c>
      <x:c r="I21" s="96" t="n">
        <x:v>411</x:v>
      </x:c>
      <x:c r="J21" s="97" t="n">
        <x:f>SUM(D21:I21)</x:f>
        <x:v>38171</x:v>
      </x:c>
      <x:c r="K21" s="98" t="n">
        <x:f>IFERROR(D21/J21,0)</x:f>
        <x:v>0.4846873280762883</x:v>
      </x:c>
      <x:c r="L21" s="98" t="n">
        <x:f>IFERROR(E21/J21,0)</x:f>
        <x:v>0.07851510308873229</x:v>
      </x:c>
      <x:c r="M21" s="98" t="n">
        <x:f>IFERROR(F21/J21,0)</x:f>
        <x:v>0.1637368683031621</x:v>
      </x:c>
      <x:c r="N21" s="98" t="n">
        <x:f>IFERROR(G21/J21,0)</x:f>
        <x:v>0.17895784758062402</x:v>
      </x:c>
      <x:c r="O21" s="98" t="n">
        <x:f>IFERROR(H21/J21,0)</x:f>
        <x:v>0.08333551649157737</x:v>
      </x:c>
      <x:c r="P21" s="98" t="n">
        <x:f>IFERROR(I21/J21,0)</x:f>
        <x:v>0.010767336459615938</x:v>
      </x:c>
      <x:c r="Q21" s="97" t="e">
        <x:f>D21*INDEX(Régions!$T$2:$T$6,MATCH($B21,Régions!$A$2:$A$6,0))</x:f>
        <x:v>#NAME?</x:v>
      </x:c>
      <x:c r="R21" s="97" t="e">
        <x:f>E21*INDEX(Régions!$U$2:$U$6,MATCH($B21,Régions!$A$2:$A$6,0))</x:f>
        <x:v>#NAME?</x:v>
      </x:c>
      <x:c r="S21" s="97" t="e">
        <x:f>F21*INDEX(Régions!$V$2:$V$6,MATCH($B21,Régions!$A$2:$A$6,0))</x:f>
        <x:v>#NAME?</x:v>
      </x:c>
      <x:c r="T21" s="97" t="e">
        <x:f>G21*INDEX(Régions!$W$2:$W$6,MATCH($B21,Régions!$A$2:$A$6,0))</x:f>
        <x:v>#NAME?</x:v>
      </x:c>
      <x:c r="U21" s="97" t="e">
        <x:f>H21*INDEX(Régions!$X$2:$X$6,MATCH($B21,Régions!$A$2:$A$6,0))</x:f>
        <x:v>#NAME?</x:v>
      </x:c>
      <x:c r="V21" s="97" t="e">
        <x:f>I21*INDEX(Régions!$Y$2:$Y$6,MATCH($B21,Régions!$A$2:$A$6,0))</x:f>
        <x:v>#NAME?</x:v>
      </x:c>
      <x:c r="W21" s="97" t="e">
        <x:f>Q21+(AU21/100)*J21*Régions!$O$2</x:f>
        <x:v>#NAME?</x:v>
      </x:c>
      <x:c r="X21" s="97" t="e">
        <x:f>R21+(AV21/100)*J21*Régions!$O$2</x:f>
        <x:v>#NAME?</x:v>
      </x:c>
      <x:c r="Y21" s="97" t="e">
        <x:f>S21+(AW21/100)*J21*Régions!$O$2</x:f>
        <x:v>#NAME?</x:v>
      </x:c>
      <x:c r="Z21" s="97" t="e">
        <x:f>T21+(AX21/100)*J21*Régions!$O$2</x:f>
        <x:v>#NAME?</x:v>
      </x:c>
      <x:c r="AA21" s="97" t="e">
        <x:f>U21</x:f>
        <x:v>#NAME?</x:v>
      </x:c>
      <x:c r="AB21" s="97" t="e">
        <x:f>V21</x:f>
        <x:v>#NAME?</x:v>
      </x:c>
      <x:c r="AC21" s="97" t="e">
        <x:f>D21*INDEX(Régions!$Z$2:$Z$6,MATCH($B21,Régions!$A$2:$A$6,0))</x:f>
        <x:v>#NAME?</x:v>
      </x:c>
      <x:c r="AD21" s="97" t="e">
        <x:f>E21*INDEX(Régions!$AA$2:$AA$6,MATCH($B21,Régions!$A$2:$A$6,0))</x:f>
        <x:v>#NAME?</x:v>
      </x:c>
      <x:c r="AE21" s="97" t="e">
        <x:f>F21*INDEX(Régions!$AB$2:$AB$6,MATCH($B21,Régions!$A$2:$A$6,0))</x:f>
        <x:v>#NAME?</x:v>
      </x:c>
      <x:c r="AF21" s="97" t="e">
        <x:f>G21*INDEX(Régions!$AC$2:$AC$6,MATCH($B21,Régions!$A$2:$A$6,0))</x:f>
        <x:v>#NAME?</x:v>
      </x:c>
      <x:c r="AG21" s="97" t="e">
        <x:f>H21*INDEX(Régions!$AD$2:$AD$6,MATCH($B21,Régions!$A$2:$A$6,0))</x:f>
        <x:v>#NAME?</x:v>
      </x:c>
      <x:c r="AH21" s="97" t="e">
        <x:f>I21*INDEX(Régions!$AE$2:$AE$6,MATCH($B21,Régions!$A$2:$A$6,0))</x:f>
        <x:v>#NAME?</x:v>
      </x:c>
      <x:c r="AI21" s="97" t="e">
        <x:f>D21*INDEX(Régions!$AF$2:$AF$6,MATCH($B21,Régions!$A$2:$A$6,0))</x:f>
        <x:v>#NAME?</x:v>
      </x:c>
      <x:c r="AJ21" s="97" t="e">
        <x:f>E21*INDEX(Régions!$AG$2:$AG$6,MATCH($B21,Régions!$A$2:$A$6,0))</x:f>
        <x:v>#NAME?</x:v>
      </x:c>
      <x:c r="AK21" s="97" t="e">
        <x:f>F21*INDEX(Régions!$AH$2:$AH$6,MATCH($B21,Régions!$A$2:$A$6,0))</x:f>
        <x:v>#NAME?</x:v>
      </x:c>
      <x:c r="AL21" s="97" t="e">
        <x:f>G21*INDEX(Régions!$AI$2:$AI$6,MATCH($B21,Régions!$A$2:$A$6,0))</x:f>
        <x:v>#NAME?</x:v>
      </x:c>
      <x:c r="AM21" s="97" t="e">
        <x:f>H21*INDEX(Régions!$AJ$2:$AJ$6,MATCH($B21,Régions!$A$2:$A$6,0))</x:f>
        <x:v>#NAME?</x:v>
      </x:c>
      <x:c r="AN21" s="97" t="e">
        <x:f>I21*INDEX(Régions!$AK$2:$AK$6,MATCH($B21,Régions!$A$2:$A$6,0))</x:f>
        <x:v>#NAME?</x:v>
      </x:c>
      <x:c r="AO21" s="99" t="str">
        <x:f>INDEX({"CAQ","PLQ","QS","PQ","PCQ","Autre"},MATCH(MAX(Q21:V21),Q21:V21,0))</x:f>
        <x:v>CAQ</x:v>
      </x:c>
      <x:c r="AP21" s="99" t="str">
        <x:f>INDEX({"CAQ","PLQ","QS","PQ","PCQ","Autre"},MATCH(MAX(W21:AB21),W21:AB21,0))</x:f>
        <x:v>CAQ</x:v>
      </x:c>
      <x:c r="AQ21" s="99" t="str">
        <x:f>INDEX({"CAQ","PLQ","QS","PQ","PCQ","Autre"},MATCH(MAX(AC21:AH21),AC21:AH21,0))</x:f>
        <x:v>CAQ</x:v>
      </x:c>
      <x:c r="AR21" s="99" t="str">
        <x:f>INDEX({"CAQ","PLQ","QS","PQ","PCQ","Autre"},MATCH(MAX(AI21:AN21),AI21:AN21,0))</x:f>
        <x:v>CAQ</x:v>
      </x:c>
      <x:c r="AS21" s="100" t="n">
        <x:f>(MAX(K21:P21)-LARGE(K21:P21,2))*100</x:f>
        <x:v>30.572948049566428</x:v>
      </x:c>
      <x:c r="AT21" s="101" t="str">
        <x:f>IF(AS21&lt;5,"Oui","Non")</x:f>
        <x:v>Non</x:v>
      </x:c>
      <x:c r="AU21" s="102" t="n">
        <x:v>-4.917</x:v>
      </x:c>
      <x:c r="AV21" s="102" t="n">
        <x:v>2.55</x:v>
      </x:c>
      <x:c r="AW21" s="102" t="n">
        <x:v>0.678</x:v>
      </x:c>
      <x:c r="AX21" s="102" t="n">
        <x:v>3.479</x:v>
      </x:c>
      <x:c r="AY21" s="96" t="n">
        <x:v>18914</x:v>
      </x:c>
      <x:c r="AZ21" s="96" t="n">
        <x:v>4593</x:v>
      </x:c>
      <x:c r="BA21" s="96" t="n">
        <x:v>6169</x:v>
      </x:c>
      <x:c r="BB21" s="96" t="n">
        <x:v>6555</x:v>
      </x:c>
      <x:c r="BC21" s="96" t="n">
        <x:v>1403</x:v>
      </x:c>
      <x:c r="BD21" s="97" t="e">
        <x:f>AY21*INDEX(Régions!$AQ$2:$AQ$6,MATCH($B21,Régions!$A$2:$A$6,0))</x:f>
        <x:v>#NAME?</x:v>
      </x:c>
      <x:c r="BE21" s="97" t="e">
        <x:f>AZ21*INDEX(Régions!$AR$2:$AR$6,MATCH($B21,Régions!$A$2:$A$6,0))</x:f>
        <x:v>#NAME?</x:v>
      </x:c>
      <x:c r="BF21" s="97" t="e">
        <x:f>BA21*INDEX(Régions!$AS$2:$AS$6,MATCH($B21,Régions!$A$2:$A$6,0))</x:f>
        <x:v>#NAME?</x:v>
      </x:c>
      <x:c r="BG21" s="97" t="e">
        <x:f>BB21*INDEX(Régions!$AT$2:$AT$6,MATCH($B21,Régions!$A$2:$A$6,0))</x:f>
        <x:v>#NAME?</x:v>
      </x:c>
      <x:c r="BH21" s="97" t="e">
        <x:f>U21</x:f>
        <x:v>#NAME?</x:v>
      </x:c>
      <x:c r="BI21" s="97" t="e">
        <x:f>BC21*INDEX(Régions!$AU$2:$AU$6,MATCH($B21,Régions!$A$2:$A$6,0))</x:f>
        <x:v>#NAME?</x:v>
      </x:c>
      <x:c r="BJ21" s="97" t="str">
        <x:f>INDEX({"CAQ","PLQ","QS","PQ","PCQ","Autre"},MATCH(MAX(BD21:BI21),BD21:BI21,0))</x:f>
        <x:v>CAQ</x:v>
      </x:c>
    </x:row>
    <x:row r="22" s="60" customFormat="1" ht="15" customHeight="1">
      <x:c r="A22" s="94" t="inlineStr">
        <x:is>
          <x:t xml:space="preserve">Champlain</x:t>
        </x:is>
      </x:c>
      <x:c r="B22" s="94" t="inlineStr">
        <x:is>
          <x:t xml:space="preserve">Reste du Québec</x:t>
        </x:is>
      </x:c>
      <x:c r="C22" s="95" t="inlineStr">
        <x:is>
          <x:t xml:space="preserve">CAQ</x:t>
        </x:is>
      </x:c>
      <x:c r="D22" s="96" t="n">
        <x:v>23513</x:v>
      </x:c>
      <x:c r="E22" s="96" t="n">
        <x:v>2138</x:v>
      </x:c>
      <x:c r="F22" s="96" t="n">
        <x:v>3775</x:v>
      </x:c>
      <x:c r="G22" s="96" t="n">
        <x:v>5065</x:v>
      </x:c>
      <x:c r="H22" s="96" t="n">
        <x:v>7383</x:v>
      </x:c>
      <x:c r="I22" s="96" t="n">
        <x:v>194</x:v>
      </x:c>
      <x:c r="J22" s="97" t="n">
        <x:f>SUM(D22:I22)</x:f>
        <x:v>42068</x:v>
      </x:c>
      <x:c r="K22" s="98" t="n">
        <x:f>IFERROR(D22/J22,0)</x:f>
        <x:v>0.5589284016354473</x:v>
      </x:c>
      <x:c r="L22" s="98" t="n">
        <x:f>IFERROR(E22/J22,0)</x:f>
        <x:v>0.050822477892935244</x:v>
      </x:c>
      <x:c r="M22" s="98" t="n">
        <x:f>IFERROR(F22/J22,0)</x:f>
        <x:v>0.08973566606446705</x:v>
      </x:c>
      <x:c r="N22" s="98" t="n">
        <x:f>IFERROR(G22/J22,0)</x:f>
        <x:v>0.12040030426927831</x:v>
      </x:c>
      <x:c r="O22" s="98" t="n">
        <x:f>IFERROR(H22/J22,0)</x:f>
        <x:v>0.1755015688884663</x:v>
      </x:c>
      <x:c r="P22" s="98" t="n">
        <x:f>IFERROR(I22/J22,0)</x:f>
        <x:v>0.004611581249405724</x:v>
      </x:c>
      <x:c r="Q22" s="97" t="e">
        <x:f>D22*INDEX(Régions!$T$2:$T$6,MATCH($B22,Régions!$A$2:$A$6,0))</x:f>
        <x:v>#NAME?</x:v>
      </x:c>
      <x:c r="R22" s="97" t="e">
        <x:f>E22*INDEX(Régions!$U$2:$U$6,MATCH($B22,Régions!$A$2:$A$6,0))</x:f>
        <x:v>#NAME?</x:v>
      </x:c>
      <x:c r="S22" s="97" t="e">
        <x:f>F22*INDEX(Régions!$V$2:$V$6,MATCH($B22,Régions!$A$2:$A$6,0))</x:f>
        <x:v>#NAME?</x:v>
      </x:c>
      <x:c r="T22" s="97" t="e">
        <x:f>G22*INDEX(Régions!$W$2:$W$6,MATCH($B22,Régions!$A$2:$A$6,0))</x:f>
        <x:v>#NAME?</x:v>
      </x:c>
      <x:c r="U22" s="97" t="e">
        <x:f>H22*INDEX(Régions!$X$2:$X$6,MATCH($B22,Régions!$A$2:$A$6,0))</x:f>
        <x:v>#NAME?</x:v>
      </x:c>
      <x:c r="V22" s="97" t="e">
        <x:f>I22*INDEX(Régions!$Y$2:$Y$6,MATCH($B22,Régions!$A$2:$A$6,0))</x:f>
        <x:v>#NAME?</x:v>
      </x:c>
      <x:c r="W22" s="97" t="e">
        <x:f>Q22+(AU22/100)*J22*Régions!$O$2</x:f>
        <x:v>#NAME?</x:v>
      </x:c>
      <x:c r="X22" s="97" t="e">
        <x:f>R22+(AV22/100)*J22*Régions!$O$2</x:f>
        <x:v>#NAME?</x:v>
      </x:c>
      <x:c r="Y22" s="97" t="e">
        <x:f>S22+(AW22/100)*J22*Régions!$O$2</x:f>
        <x:v>#NAME?</x:v>
      </x:c>
      <x:c r="Z22" s="97" t="e">
        <x:f>T22+(AX22/100)*J22*Régions!$O$2</x:f>
        <x:v>#NAME?</x:v>
      </x:c>
      <x:c r="AA22" s="97" t="e">
        <x:f>U22</x:f>
        <x:v>#NAME?</x:v>
      </x:c>
      <x:c r="AB22" s="97" t="e">
        <x:f>V22</x:f>
        <x:v>#NAME?</x:v>
      </x:c>
      <x:c r="AC22" s="97" t="e">
        <x:f>D22*INDEX(Régions!$Z$2:$Z$6,MATCH($B22,Régions!$A$2:$A$6,0))</x:f>
        <x:v>#NAME?</x:v>
      </x:c>
      <x:c r="AD22" s="97" t="e">
        <x:f>E22*INDEX(Régions!$AA$2:$AA$6,MATCH($B22,Régions!$A$2:$A$6,0))</x:f>
        <x:v>#NAME?</x:v>
      </x:c>
      <x:c r="AE22" s="97" t="e">
        <x:f>F22*INDEX(Régions!$AB$2:$AB$6,MATCH($B22,Régions!$A$2:$A$6,0))</x:f>
        <x:v>#NAME?</x:v>
      </x:c>
      <x:c r="AF22" s="97" t="e">
        <x:f>G22*INDEX(Régions!$AC$2:$AC$6,MATCH($B22,Régions!$A$2:$A$6,0))</x:f>
        <x:v>#NAME?</x:v>
      </x:c>
      <x:c r="AG22" s="97" t="e">
        <x:f>H22*INDEX(Régions!$AD$2:$AD$6,MATCH($B22,Régions!$A$2:$A$6,0))</x:f>
        <x:v>#NAME?</x:v>
      </x:c>
      <x:c r="AH22" s="97" t="e">
        <x:f>I22*INDEX(Régions!$AE$2:$AE$6,MATCH($B22,Régions!$A$2:$A$6,0))</x:f>
        <x:v>#NAME?</x:v>
      </x:c>
      <x:c r="AI22" s="97" t="e">
        <x:f>D22*INDEX(Régions!$AF$2:$AF$6,MATCH($B22,Régions!$A$2:$A$6,0))</x:f>
        <x:v>#NAME?</x:v>
      </x:c>
      <x:c r="AJ22" s="97" t="e">
        <x:f>E22*INDEX(Régions!$AG$2:$AG$6,MATCH($B22,Régions!$A$2:$A$6,0))</x:f>
        <x:v>#NAME?</x:v>
      </x:c>
      <x:c r="AK22" s="97" t="e">
        <x:f>F22*INDEX(Régions!$AH$2:$AH$6,MATCH($B22,Régions!$A$2:$A$6,0))</x:f>
        <x:v>#NAME?</x:v>
      </x:c>
      <x:c r="AL22" s="97" t="e">
        <x:f>G22*INDEX(Régions!$AI$2:$AI$6,MATCH($B22,Régions!$A$2:$A$6,0))</x:f>
        <x:v>#NAME?</x:v>
      </x:c>
      <x:c r="AM22" s="97" t="e">
        <x:f>H22*INDEX(Régions!$AJ$2:$AJ$6,MATCH($B22,Régions!$A$2:$A$6,0))</x:f>
        <x:v>#NAME?</x:v>
      </x:c>
      <x:c r="AN22" s="97" t="e">
        <x:f>I22*INDEX(Régions!$AK$2:$AK$6,MATCH($B22,Régions!$A$2:$A$6,0))</x:f>
        <x:v>#NAME?</x:v>
      </x:c>
      <x:c r="AO22" s="99" t="str">
        <x:f>INDEX({"CAQ","PLQ","QS","PQ","PCQ","Autre"},MATCH(MAX(Q22:V22),Q22:V22,0))</x:f>
        <x:v>CAQ</x:v>
      </x:c>
      <x:c r="AP22" s="99" t="str">
        <x:f>INDEX({"CAQ","PLQ","QS","PQ","PCQ","Autre"},MATCH(MAX(W22:AB22),W22:AB22,0))</x:f>
        <x:v>CAQ</x:v>
      </x:c>
      <x:c r="AQ22" s="99" t="str">
        <x:f>INDEX({"CAQ","PLQ","QS","PQ","PCQ","Autre"},MATCH(MAX(AC22:AH22),AC22:AH22,0))</x:f>
        <x:v>CAQ</x:v>
      </x:c>
      <x:c r="AR22" s="99" t="str">
        <x:f>INDEX({"CAQ","PLQ","QS","PQ","PCQ","Autre"},MATCH(MAX(AI22:AN22),AI22:AN22,0))</x:f>
        <x:v>CAQ</x:v>
      </x:c>
      <x:c r="AS22" s="100" t="n">
        <x:f>(MAX(K22:P22)-LARGE(K22:P22,2))*100</x:f>
        <x:v>38.3426832746981</x:v>
      </x:c>
      <x:c r="AT22" s="101" t="str">
        <x:f>IF(AS22&lt;5,"Oui","Non")</x:f>
        <x:v>Non</x:v>
      </x:c>
      <x:c r="AU22" s="102" t="n">
        <x:v>-1.919</x:v>
      </x:c>
      <x:c r="AV22" s="102" t="n">
        <x:v>-0.825</x:v>
      </x:c>
      <x:c r="AW22" s="102" t="n">
        <x:v>-2.996</x:v>
      </x:c>
      <x:c r="AX22" s="102" t="n">
        <x:v>3.942</x:v>
      </x:c>
      <x:c r="AY22" s="96" t="n">
        <x:v>21153</x:v>
      </x:c>
      <x:c r="AZ22" s="96" t="n">
        <x:v>7610</x:v>
      </x:c>
      <x:c r="BA22" s="96" t="n">
        <x:v>5285</x:v>
      </x:c>
      <x:c r="BB22" s="96" t="n">
        <x:v>4928</x:v>
      </x:c>
      <x:c r="BC22" s="96" t="n">
        <x:v>1812</x:v>
      </x:c>
      <x:c r="BD22" s="97" t="e">
        <x:f>AY22*INDEX(Régions!$AQ$2:$AQ$6,MATCH($B22,Régions!$A$2:$A$6,0))</x:f>
        <x:v>#NAME?</x:v>
      </x:c>
      <x:c r="BE22" s="97" t="e">
        <x:f>AZ22*INDEX(Régions!$AR$2:$AR$6,MATCH($B22,Régions!$A$2:$A$6,0))</x:f>
        <x:v>#NAME?</x:v>
      </x:c>
      <x:c r="BF22" s="97" t="e">
        <x:f>BA22*INDEX(Régions!$AS$2:$AS$6,MATCH($B22,Régions!$A$2:$A$6,0))</x:f>
        <x:v>#NAME?</x:v>
      </x:c>
      <x:c r="BG22" s="97" t="e">
        <x:f>BB22*INDEX(Régions!$AT$2:$AT$6,MATCH($B22,Régions!$A$2:$A$6,0))</x:f>
        <x:v>#NAME?</x:v>
      </x:c>
      <x:c r="BH22" s="97" t="e">
        <x:f>U22</x:f>
        <x:v>#NAME?</x:v>
      </x:c>
      <x:c r="BI22" s="97" t="e">
        <x:f>BC22*INDEX(Régions!$AU$2:$AU$6,MATCH($B22,Régions!$A$2:$A$6,0))</x:f>
        <x:v>#NAME?</x:v>
      </x:c>
      <x:c r="BJ22" s="97" t="str">
        <x:f>INDEX({"CAQ","PLQ","QS","PQ","PCQ","Autre"},MATCH(MAX(BD22:BI22),BD22:BI22,0))</x:f>
        <x:v>CAQ</x:v>
      </x:c>
    </x:row>
    <x:row r="23" s="60" customFormat="1" ht="15" customHeight="1">
      <x:c r="A23" s="94" t="inlineStr">
        <x:is>
          <x:t xml:space="preserve">Chapleau</x:t>
        </x:is>
      </x:c>
      <x:c r="B23" s="94" t="inlineStr">
        <x:is>
          <x:t xml:space="preserve">Île de Montréal</x:t>
        </x:is>
      </x:c>
      <x:c r="C23" s="95" t="inlineStr">
        <x:is>
          <x:t xml:space="preserve">CAQ</x:t>
        </x:is>
      </x:c>
      <x:c r="D23" s="96" t="n">
        <x:v>17989</x:v>
      </x:c>
      <x:c r="E23" s="96" t="n">
        <x:v>4518</x:v>
      </x:c>
      <x:c r="F23" s="96" t="n">
        <x:v>4553</x:v>
      </x:c>
      <x:c r="G23" s="96" t="n">
        <x:v>3348</x:v>
      </x:c>
      <x:c r="H23" s="96" t="n">
        <x:v>3569</x:v>
      </x:c>
      <x:c r="I23" s="96" t="n">
        <x:v>385</x:v>
      </x:c>
      <x:c r="J23" s="97" t="n">
        <x:f>SUM(D23:I23)</x:f>
        <x:v>34362</x:v>
      </x:c>
      <x:c r="K23" s="98" t="n">
        <x:f>IFERROR(D23/J23,0)</x:f>
        <x:v>0.5235143472440487</x:v>
      </x:c>
      <x:c r="L23" s="98" t="n">
        <x:f>IFERROR(E23/J23,0)</x:f>
        <x:v>0.13148245154531168</x:v>
      </x:c>
      <x:c r="M23" s="98" t="n">
        <x:f>IFERROR(F23/J23,0)</x:f>
        <x:v>0.1325010185670217</x:v>
      </x:c>
      <x:c r="N23" s="98" t="n">
        <x:f>IFERROR(G23/J23,0)</x:f>
        <x:v>0.09743321110529073</x:v>
      </x:c>
      <x:c r="O23" s="98" t="n">
        <x:f>IFERROR(H23/J23,0)</x:f>
        <x:v>0.10386473429951691</x:v>
      </x:c>
      <x:c r="P23" s="98" t="n">
        <x:f>IFERROR(I23/J23,0)</x:f>
        <x:v>0.011204237238810314</x:v>
      </x:c>
      <x:c r="Q23" s="97" t="e">
        <x:f>D23*INDEX(Régions!$T$2:$T$6,MATCH($B23,Régions!$A$2:$A$6,0))</x:f>
        <x:v>#NAME?</x:v>
      </x:c>
      <x:c r="R23" s="97" t="e">
        <x:f>E23*INDEX(Régions!$U$2:$U$6,MATCH($B23,Régions!$A$2:$A$6,0))</x:f>
        <x:v>#NAME?</x:v>
      </x:c>
      <x:c r="S23" s="97" t="e">
        <x:f>F23*INDEX(Régions!$V$2:$V$6,MATCH($B23,Régions!$A$2:$A$6,0))</x:f>
        <x:v>#NAME?</x:v>
      </x:c>
      <x:c r="T23" s="97" t="e">
        <x:f>G23*INDEX(Régions!$W$2:$W$6,MATCH($B23,Régions!$A$2:$A$6,0))</x:f>
        <x:v>#NAME?</x:v>
      </x:c>
      <x:c r="U23" s="97" t="e">
        <x:f>H23*INDEX(Régions!$X$2:$X$6,MATCH($B23,Régions!$A$2:$A$6,0))</x:f>
        <x:v>#NAME?</x:v>
      </x:c>
      <x:c r="V23" s="97" t="e">
        <x:f>I23*INDEX(Régions!$Y$2:$Y$6,MATCH($B23,Régions!$A$2:$A$6,0))</x:f>
        <x:v>#NAME?</x:v>
      </x:c>
      <x:c r="W23" s="97" t="e">
        <x:f>Q23+(AU23/100)*J23*Régions!$O$2</x:f>
        <x:v>#NAME?</x:v>
      </x:c>
      <x:c r="X23" s="97" t="e">
        <x:f>R23+(AV23/100)*J23*Régions!$O$2</x:f>
        <x:v>#NAME?</x:v>
      </x:c>
      <x:c r="Y23" s="97" t="e">
        <x:f>S23+(AW23/100)*J23*Régions!$O$2</x:f>
        <x:v>#NAME?</x:v>
      </x:c>
      <x:c r="Z23" s="97" t="e">
        <x:f>T23+(AX23/100)*J23*Régions!$O$2</x:f>
        <x:v>#NAME?</x:v>
      </x:c>
      <x:c r="AA23" s="97" t="e">
        <x:f>U23</x:f>
        <x:v>#NAME?</x:v>
      </x:c>
      <x:c r="AB23" s="97" t="e">
        <x:f>V23</x:f>
        <x:v>#NAME?</x:v>
      </x:c>
      <x:c r="AC23" s="97" t="e">
        <x:f>D23*INDEX(Régions!$Z$2:$Z$6,MATCH($B23,Régions!$A$2:$A$6,0))</x:f>
        <x:v>#NAME?</x:v>
      </x:c>
      <x:c r="AD23" s="97" t="e">
        <x:f>E23*INDEX(Régions!$AA$2:$AA$6,MATCH($B23,Régions!$A$2:$A$6,0))</x:f>
        <x:v>#NAME?</x:v>
      </x:c>
      <x:c r="AE23" s="97" t="e">
        <x:f>F23*INDEX(Régions!$AB$2:$AB$6,MATCH($B23,Régions!$A$2:$A$6,0))</x:f>
        <x:v>#NAME?</x:v>
      </x:c>
      <x:c r="AF23" s="97" t="e">
        <x:f>G23*INDEX(Régions!$AC$2:$AC$6,MATCH($B23,Régions!$A$2:$A$6,0))</x:f>
        <x:v>#NAME?</x:v>
      </x:c>
      <x:c r="AG23" s="97" t="e">
        <x:f>H23*INDEX(Régions!$AD$2:$AD$6,MATCH($B23,Régions!$A$2:$A$6,0))</x:f>
        <x:v>#NAME?</x:v>
      </x:c>
      <x:c r="AH23" s="97" t="e">
        <x:f>I23*INDEX(Régions!$AE$2:$AE$6,MATCH($B23,Régions!$A$2:$A$6,0))</x:f>
        <x:v>#NAME?</x:v>
      </x:c>
      <x:c r="AI23" s="97" t="e">
        <x:f>D23*INDEX(Régions!$AF$2:$AF$6,MATCH($B23,Régions!$A$2:$A$6,0))</x:f>
        <x:v>#NAME?</x:v>
      </x:c>
      <x:c r="AJ23" s="97" t="e">
        <x:f>E23*INDEX(Régions!$AG$2:$AG$6,MATCH($B23,Régions!$A$2:$A$6,0))</x:f>
        <x:v>#NAME?</x:v>
      </x:c>
      <x:c r="AK23" s="97" t="e">
        <x:f>F23*INDEX(Régions!$AH$2:$AH$6,MATCH($B23,Régions!$A$2:$A$6,0))</x:f>
        <x:v>#NAME?</x:v>
      </x:c>
      <x:c r="AL23" s="97" t="e">
        <x:f>G23*INDEX(Régions!$AI$2:$AI$6,MATCH($B23,Régions!$A$2:$A$6,0))</x:f>
        <x:v>#NAME?</x:v>
      </x:c>
      <x:c r="AM23" s="97" t="e">
        <x:f>H23*INDEX(Régions!$AJ$2:$AJ$6,MATCH($B23,Régions!$A$2:$A$6,0))</x:f>
        <x:v>#NAME?</x:v>
      </x:c>
      <x:c r="AN23" s="97" t="e">
        <x:f>I23*INDEX(Régions!$AK$2:$AK$6,MATCH($B23,Régions!$A$2:$A$6,0))</x:f>
        <x:v>#NAME?</x:v>
      </x:c>
      <x:c r="AO23" s="99" t="str">
        <x:f>INDEX({"CAQ","PLQ","QS","PQ","PCQ","Autre"},MATCH(MAX(Q23:V23),Q23:V23,0))</x:f>
        <x:v>CAQ</x:v>
      </x:c>
      <x:c r="AP23" s="99" t="str">
        <x:f>INDEX({"CAQ","PLQ","QS","PQ","PCQ","Autre"},MATCH(MAX(W23:AB23),W23:AB23,0))</x:f>
        <x:v>CAQ</x:v>
      </x:c>
      <x:c r="AQ23" s="99" t="str">
        <x:f>INDEX({"CAQ","PLQ","QS","PQ","PCQ","Autre"},MATCH(MAX(AC23:AH23),AC23:AH23,0))</x:f>
        <x:v>CAQ</x:v>
      </x:c>
      <x:c r="AR23" s="99" t="str">
        <x:f>INDEX({"CAQ","PLQ","QS","PQ","PCQ","Autre"},MATCH(MAX(AI23:AN23),AI23:AN23,0))</x:f>
        <x:v>CAQ</x:v>
      </x:c>
      <x:c r="AS23" s="100" t="n">
        <x:f>(MAX(K23:P23)-LARGE(K23:P23,2))*100</x:f>
        <x:v>39.101332867702695</x:v>
      </x:c>
      <x:c r="AT23" s="101" t="str">
        <x:f>IF(AS23&lt;5,"Oui","Non")</x:f>
        <x:v>Non</x:v>
      </x:c>
      <x:c r="AU23" s="102" t="n">
        <x:v>9.272</x:v>
      </x:c>
      <x:c r="AV23" s="102" t="n">
        <x:v>-9.789999999999999</x:v>
      </x:c>
      <x:c r="AW23" s="102" t="n">
        <x:v>-3.281</x:v>
      </x:c>
      <x:c r="AX23" s="102" t="n">
        <x:v>1.722</x:v>
      </x:c>
      <x:c r="AY23" s="96" t="n">
        <x:v>14451</x:v>
      </x:c>
      <x:c r="AZ23" s="96" t="n">
        <x:v>11207</x:v>
      </x:c>
      <x:c r="BA23" s="96" t="n">
        <x:v>5568</x:v>
      </x:c>
      <x:c r="BB23" s="96" t="n">
        <x:v>3236</x:v>
      </x:c>
      <x:c r="BC23" s="96" t="n">
        <x:v>808</x:v>
      </x:c>
      <x:c r="BD23" s="97" t="e">
        <x:f>AY23*INDEX(Régions!$AQ$2:$AQ$6,MATCH($B23,Régions!$A$2:$A$6,0))</x:f>
        <x:v>#NAME?</x:v>
      </x:c>
      <x:c r="BE23" s="97" t="e">
        <x:f>AZ23*INDEX(Régions!$AR$2:$AR$6,MATCH($B23,Régions!$A$2:$A$6,0))</x:f>
        <x:v>#NAME?</x:v>
      </x:c>
      <x:c r="BF23" s="97" t="e">
        <x:f>BA23*INDEX(Régions!$AS$2:$AS$6,MATCH($B23,Régions!$A$2:$A$6,0))</x:f>
        <x:v>#NAME?</x:v>
      </x:c>
      <x:c r="BG23" s="97" t="e">
        <x:f>BB23*INDEX(Régions!$AT$2:$AT$6,MATCH($B23,Régions!$A$2:$A$6,0))</x:f>
        <x:v>#NAME?</x:v>
      </x:c>
      <x:c r="BH23" s="97" t="e">
        <x:f>U23</x:f>
        <x:v>#NAME?</x:v>
      </x:c>
      <x:c r="BI23" s="97" t="e">
        <x:f>BC23*INDEX(Régions!$AU$2:$AU$6,MATCH($B23,Régions!$A$2:$A$6,0))</x:f>
        <x:v>#NAME?</x:v>
      </x:c>
      <x:c r="BJ23" s="97" t="str">
        <x:f>INDEX({"CAQ","PLQ","QS","PQ","PCQ","Autre"},MATCH(MAX(BD23:BI23),BD23:BI23,0))</x:f>
        <x:v>CAQ</x:v>
      </x:c>
    </x:row>
    <x:row r="24" s="60" customFormat="1" ht="15" customHeight="1">
      <x:c r="A24" s="94" t="inlineStr">
        <x:is>
          <x:t xml:space="preserve">Charlesbourg</x:t>
        </x:is>
      </x:c>
      <x:c r="B24" s="94" t="inlineStr">
        <x:is>
          <x:t xml:space="preserve">Québec RMR</x:t>
        </x:is>
      </x:c>
      <x:c r="C24" s="95" t="inlineStr">
        <x:is>
          <x:t xml:space="preserve">CAQ</x:t>
        </x:is>
      </x:c>
      <x:c r="D24" s="96" t="n">
        <x:v>18921</x:v>
      </x:c>
      <x:c r="E24" s="96" t="n">
        <x:v>2518</x:v>
      </x:c>
      <x:c r="F24" s="96" t="n">
        <x:v>5486</x:v>
      </x:c>
      <x:c r="G24" s="96" t="n">
        <x:v>5967</x:v>
      </x:c>
      <x:c r="H24" s="96" t="n">
        <x:v>8564</x:v>
      </x:c>
      <x:c r="I24" s="96" t="n">
        <x:v>586</x:v>
      </x:c>
      <x:c r="J24" s="97" t="n">
        <x:f>SUM(D24:I24)</x:f>
        <x:v>42042</x:v>
      </x:c>
      <x:c r="K24" s="98" t="n">
        <x:f>IFERROR(D24/J24,0)</x:f>
        <x:v>0.4500499500499501</x:v>
      </x:c>
      <x:c r="L24" s="98" t="n">
        <x:f>IFERROR(E24/J24,0)</x:f>
        <x:v>0.05989248846391704</x:v>
      </x:c>
      <x:c r="M24" s="98" t="n">
        <x:f>IFERROR(F24/J24,0)</x:f>
        <x:v>0.13048855905998763</x:v>
      </x:c>
      <x:c r="N24" s="98" t="n">
        <x:f>IFERROR(G24/J24,0)</x:f>
        <x:v>0.14192949907235622</x:v>
      </x:c>
      <x:c r="O24" s="98" t="n">
        <x:f>IFERROR(H24/J24,0)</x:f>
        <x:v>0.20370106084391798</x:v>
      </x:c>
      <x:c r="P24" s="98" t="n">
        <x:f>IFERROR(I24/J24,0)</x:f>
        <x:v>0.013938442509871082</x:v>
      </x:c>
      <x:c r="Q24" s="97" t="e">
        <x:f>D24*INDEX(Régions!$T$2:$T$6,MATCH($B24,Régions!$A$2:$A$6,0))</x:f>
        <x:v>#NAME?</x:v>
      </x:c>
      <x:c r="R24" s="97" t="e">
        <x:f>E24*INDEX(Régions!$U$2:$U$6,MATCH($B24,Régions!$A$2:$A$6,0))</x:f>
        <x:v>#NAME?</x:v>
      </x:c>
      <x:c r="S24" s="97" t="e">
        <x:f>F24*INDEX(Régions!$V$2:$V$6,MATCH($B24,Régions!$A$2:$A$6,0))</x:f>
        <x:v>#NAME?</x:v>
      </x:c>
      <x:c r="T24" s="97" t="e">
        <x:f>G24*INDEX(Régions!$W$2:$W$6,MATCH($B24,Régions!$A$2:$A$6,0))</x:f>
        <x:v>#NAME?</x:v>
      </x:c>
      <x:c r="U24" s="97" t="e">
        <x:f>H24*INDEX(Régions!$X$2:$X$6,MATCH($B24,Régions!$A$2:$A$6,0))</x:f>
        <x:v>#NAME?</x:v>
      </x:c>
      <x:c r="V24" s="97" t="e">
        <x:f>I24*INDEX(Régions!$Y$2:$Y$6,MATCH($B24,Régions!$A$2:$A$6,0))</x:f>
        <x:v>#NAME?</x:v>
      </x:c>
      <x:c r="W24" s="97" t="e">
        <x:f>Q24+(AU24/100)*J24*Régions!$O$2</x:f>
        <x:v>#NAME?</x:v>
      </x:c>
      <x:c r="X24" s="97" t="e">
        <x:f>R24+(AV24/100)*J24*Régions!$O$2</x:f>
        <x:v>#NAME?</x:v>
      </x:c>
      <x:c r="Y24" s="97" t="e">
        <x:f>S24+(AW24/100)*J24*Régions!$O$2</x:f>
        <x:v>#NAME?</x:v>
      </x:c>
      <x:c r="Z24" s="97" t="e">
        <x:f>T24+(AX24/100)*J24*Régions!$O$2</x:f>
        <x:v>#NAME?</x:v>
      </x:c>
      <x:c r="AA24" s="97" t="e">
        <x:f>U24</x:f>
        <x:v>#NAME?</x:v>
      </x:c>
      <x:c r="AB24" s="97" t="e">
        <x:f>V24</x:f>
        <x:v>#NAME?</x:v>
      </x:c>
      <x:c r="AC24" s="97" t="e">
        <x:f>D24*INDEX(Régions!$Z$2:$Z$6,MATCH($B24,Régions!$A$2:$A$6,0))</x:f>
        <x:v>#NAME?</x:v>
      </x:c>
      <x:c r="AD24" s="97" t="e">
        <x:f>E24*INDEX(Régions!$AA$2:$AA$6,MATCH($B24,Régions!$A$2:$A$6,0))</x:f>
        <x:v>#NAME?</x:v>
      </x:c>
      <x:c r="AE24" s="97" t="e">
        <x:f>F24*INDEX(Régions!$AB$2:$AB$6,MATCH($B24,Régions!$A$2:$A$6,0))</x:f>
        <x:v>#NAME?</x:v>
      </x:c>
      <x:c r="AF24" s="97" t="e">
        <x:f>G24*INDEX(Régions!$AC$2:$AC$6,MATCH($B24,Régions!$A$2:$A$6,0))</x:f>
        <x:v>#NAME?</x:v>
      </x:c>
      <x:c r="AG24" s="97" t="e">
        <x:f>H24*INDEX(Régions!$AD$2:$AD$6,MATCH($B24,Régions!$A$2:$A$6,0))</x:f>
        <x:v>#NAME?</x:v>
      </x:c>
      <x:c r="AH24" s="97" t="e">
        <x:f>I24*INDEX(Régions!$AE$2:$AE$6,MATCH($B24,Régions!$A$2:$A$6,0))</x:f>
        <x:v>#NAME?</x:v>
      </x:c>
      <x:c r="AI24" s="97" t="e">
        <x:f>D24*INDEX(Régions!$AF$2:$AF$6,MATCH($B24,Régions!$A$2:$A$6,0))</x:f>
        <x:v>#NAME?</x:v>
      </x:c>
      <x:c r="AJ24" s="97" t="e">
        <x:f>E24*INDEX(Régions!$AG$2:$AG$6,MATCH($B24,Régions!$A$2:$A$6,0))</x:f>
        <x:v>#NAME?</x:v>
      </x:c>
      <x:c r="AK24" s="97" t="e">
        <x:f>F24*INDEX(Régions!$AH$2:$AH$6,MATCH($B24,Régions!$A$2:$A$6,0))</x:f>
        <x:v>#NAME?</x:v>
      </x:c>
      <x:c r="AL24" s="97" t="e">
        <x:f>G24*INDEX(Régions!$AI$2:$AI$6,MATCH($B24,Régions!$A$2:$A$6,0))</x:f>
        <x:v>#NAME?</x:v>
      </x:c>
      <x:c r="AM24" s="97" t="e">
        <x:f>H24*INDEX(Régions!$AJ$2:$AJ$6,MATCH($B24,Régions!$A$2:$A$6,0))</x:f>
        <x:v>#NAME?</x:v>
      </x:c>
      <x:c r="AN24" s="97" t="e">
        <x:f>I24*INDEX(Régions!$AK$2:$AK$6,MATCH($B24,Régions!$A$2:$A$6,0))</x:f>
        <x:v>#NAME?</x:v>
      </x:c>
      <x:c r="AO24" s="99" t="str">
        <x:f>INDEX({"CAQ","PLQ","QS","PQ","PCQ","Autre"},MATCH(MAX(Q24:V24),Q24:V24,0))</x:f>
        <x:v>CAQ</x:v>
      </x:c>
      <x:c r="AP24" s="99" t="str">
        <x:f>INDEX({"CAQ","PLQ","QS","PQ","PCQ","Autre"},MATCH(MAX(W24:AB24),W24:AB24,0))</x:f>
        <x:v>CAQ</x:v>
      </x:c>
      <x:c r="AQ24" s="99" t="str">
        <x:f>INDEX({"CAQ","PLQ","QS","PQ","PCQ","Autre"},MATCH(MAX(AC24:AH24),AC24:AH24,0))</x:f>
        <x:v>CAQ</x:v>
      </x:c>
      <x:c r="AR24" s="99" t="str">
        <x:f>INDEX({"CAQ","PLQ","QS","PQ","PCQ","Autre"},MATCH(MAX(AI24:AN24),AI24:AN24,0))</x:f>
        <x:v>CAQ</x:v>
      </x:c>
      <x:c r="AS24" s="100" t="n">
        <x:f>(MAX(K24:P24)-LARGE(K24:P24,2))*100</x:f>
        <x:v>24.63488892060321</x:v>
      </x:c>
      <x:c r="AT24" s="101" t="str">
        <x:f>IF(AS24&lt;5,"Oui","Non")</x:f>
        <x:v>Non</x:v>
      </x:c>
      <x:c r="AU24" s="102" t="n">
        <x:v>-0.019</x:v>
      </x:c>
      <x:c r="AV24" s="102" t="n">
        <x:v>-1.586</x:v>
      </x:c>
      <x:c r="AW24" s="102" t="n">
        <x:v>-0.029</x:v>
      </x:c>
      <x:c r="AX24" s="102" t="n">
        <x:v>0.522</x:v>
      </x:c>
      <x:c r="AY24" s="96" t="n">
        <x:v>19985</x:v>
      </x:c>
      <x:c r="AZ24" s="96" t="n">
        <x:v>9319</x:v>
      </x:c>
      <x:c r="BA24" s="96" t="n">
        <x:v>5613</x:v>
      </x:c>
      <x:c r="BB24" s="96" t="n">
        <x:v>4868</x:v>
      </x:c>
      <x:c r="BC24" s="96" t="n">
        <x:v>1742</x:v>
      </x:c>
      <x:c r="BD24" s="97" t="e">
        <x:f>AY24*INDEX(Régions!$AQ$2:$AQ$6,MATCH($B24,Régions!$A$2:$A$6,0))</x:f>
        <x:v>#NAME?</x:v>
      </x:c>
      <x:c r="BE24" s="97" t="e">
        <x:f>AZ24*INDEX(Régions!$AR$2:$AR$6,MATCH($B24,Régions!$A$2:$A$6,0))</x:f>
        <x:v>#NAME?</x:v>
      </x:c>
      <x:c r="BF24" s="97" t="e">
        <x:f>BA24*INDEX(Régions!$AS$2:$AS$6,MATCH($B24,Régions!$A$2:$A$6,0))</x:f>
        <x:v>#NAME?</x:v>
      </x:c>
      <x:c r="BG24" s="97" t="e">
        <x:f>BB24*INDEX(Régions!$AT$2:$AT$6,MATCH($B24,Régions!$A$2:$A$6,0))</x:f>
        <x:v>#NAME?</x:v>
      </x:c>
      <x:c r="BH24" s="97" t="e">
        <x:f>U24</x:f>
        <x:v>#NAME?</x:v>
      </x:c>
      <x:c r="BI24" s="97" t="e">
        <x:f>BC24*INDEX(Régions!$AU$2:$AU$6,MATCH($B24,Régions!$A$2:$A$6,0))</x:f>
        <x:v>#NAME?</x:v>
      </x:c>
      <x:c r="BJ24" s="97" t="str">
        <x:f>INDEX({"CAQ","PLQ","QS","PQ","PCQ","Autre"},MATCH(MAX(BD24:BI24),BD24:BI24,0))</x:f>
        <x:v>CAQ</x:v>
      </x:c>
    </x:row>
    <x:row r="25" s="60" customFormat="1" ht="15" customHeight="1">
      <x:c r="A25" s="94" t="inlineStr">
        <x:is>
          <x:t xml:space="preserve">Charlevoix–Côte-de-Beaupré</x:t>
        </x:is>
      </x:c>
      <x:c r="B25" s="94" t="inlineStr">
        <x:is>
          <x:t xml:space="preserve">Québec RMR</x:t>
        </x:is>
      </x:c>
      <x:c r="C25" s="95" t="inlineStr">
        <x:is>
          <x:t xml:space="preserve">CAQ</x:t>
        </x:is>
      </x:c>
      <x:c r="D25" s="96" t="n">
        <x:v>17979</x:v>
      </x:c>
      <x:c r="E25" s="96" t="n">
        <x:v>1756</x:v>
      </x:c>
      <x:c r="F25" s="96" t="n">
        <x:v>4677</x:v>
      </x:c>
      <x:c r="G25" s="96" t="n">
        <x:v>6041</x:v>
      </x:c>
      <x:c r="H25" s="96" t="n">
        <x:v>6763</x:v>
      </x:c>
      <x:c r="I25" s="96" t="n">
        <x:v>106</x:v>
      </x:c>
      <x:c r="J25" s="97" t="n">
        <x:f>SUM(D25:I25)</x:f>
        <x:v>37322</x:v>
      </x:c>
      <x:c r="K25" s="98" t="n">
        <x:f>IFERROR(D25/J25,0)</x:f>
        <x:v>0.48172659557365627</x:v>
      </x:c>
      <x:c r="L25" s="98" t="n">
        <x:f>IFERROR(E25/J25,0)</x:f>
        <x:v>0.04704999732061518</x:v>
      </x:c>
      <x:c r="M25" s="98" t="n">
        <x:f>IFERROR(F25/J25,0)</x:f>
        <x:v>0.12531482771555652</x:v>
      </x:c>
      <x:c r="N25" s="98" t="n">
        <x:f>IFERROR(G25/J25,0)</x:f>
        <x:v>0.16186163656824393</x:v>
      </x:c>
      <x:c r="O25" s="98" t="n">
        <x:f>IFERROR(H25/J25,0)</x:f>
        <x:v>0.1812067949198864</x:v>
      </x:c>
      <x:c r="P25" s="98" t="n">
        <x:f>IFERROR(I25/J25,0)</x:f>
        <x:v>0.0028401479020416912</x:v>
      </x:c>
      <x:c r="Q25" s="97" t="e">
        <x:f>D25*INDEX(Régions!$T$2:$T$6,MATCH($B25,Régions!$A$2:$A$6,0))</x:f>
        <x:v>#NAME?</x:v>
      </x:c>
      <x:c r="R25" s="97" t="e">
        <x:f>E25*INDEX(Régions!$U$2:$U$6,MATCH($B25,Régions!$A$2:$A$6,0))</x:f>
        <x:v>#NAME?</x:v>
      </x:c>
      <x:c r="S25" s="97" t="e">
        <x:f>F25*INDEX(Régions!$V$2:$V$6,MATCH($B25,Régions!$A$2:$A$6,0))</x:f>
        <x:v>#NAME?</x:v>
      </x:c>
      <x:c r="T25" s="97" t="e">
        <x:f>G25*INDEX(Régions!$W$2:$W$6,MATCH($B25,Régions!$A$2:$A$6,0))</x:f>
        <x:v>#NAME?</x:v>
      </x:c>
      <x:c r="U25" s="97" t="e">
        <x:f>H25*INDEX(Régions!$X$2:$X$6,MATCH($B25,Régions!$A$2:$A$6,0))</x:f>
        <x:v>#NAME?</x:v>
      </x:c>
      <x:c r="V25" s="97" t="e">
        <x:f>I25*INDEX(Régions!$Y$2:$Y$6,MATCH($B25,Régions!$A$2:$A$6,0))</x:f>
        <x:v>#NAME?</x:v>
      </x:c>
      <x:c r="W25" s="97" t="e">
        <x:f>Q25+(AU25/100)*J25*Régions!$O$2</x:f>
        <x:v>#NAME?</x:v>
      </x:c>
      <x:c r="X25" s="97" t="e">
        <x:f>R25+(AV25/100)*J25*Régions!$O$2</x:f>
        <x:v>#NAME?</x:v>
      </x:c>
      <x:c r="Y25" s="97" t="e">
        <x:f>S25+(AW25/100)*J25*Régions!$O$2</x:f>
        <x:v>#NAME?</x:v>
      </x:c>
      <x:c r="Z25" s="97" t="e">
        <x:f>T25+(AX25/100)*J25*Régions!$O$2</x:f>
        <x:v>#NAME?</x:v>
      </x:c>
      <x:c r="AA25" s="97" t="e">
        <x:f>U25</x:f>
        <x:v>#NAME?</x:v>
      </x:c>
      <x:c r="AB25" s="97" t="e">
        <x:f>V25</x:f>
        <x:v>#NAME?</x:v>
      </x:c>
      <x:c r="AC25" s="97" t="e">
        <x:f>D25*INDEX(Régions!$Z$2:$Z$6,MATCH($B25,Régions!$A$2:$A$6,0))</x:f>
        <x:v>#NAME?</x:v>
      </x:c>
      <x:c r="AD25" s="97" t="e">
        <x:f>E25*INDEX(Régions!$AA$2:$AA$6,MATCH($B25,Régions!$A$2:$A$6,0))</x:f>
        <x:v>#NAME?</x:v>
      </x:c>
      <x:c r="AE25" s="97" t="e">
        <x:f>F25*INDEX(Régions!$AB$2:$AB$6,MATCH($B25,Régions!$A$2:$A$6,0))</x:f>
        <x:v>#NAME?</x:v>
      </x:c>
      <x:c r="AF25" s="97" t="e">
        <x:f>G25*INDEX(Régions!$AC$2:$AC$6,MATCH($B25,Régions!$A$2:$A$6,0))</x:f>
        <x:v>#NAME?</x:v>
      </x:c>
      <x:c r="AG25" s="97" t="e">
        <x:f>H25*INDEX(Régions!$AD$2:$AD$6,MATCH($B25,Régions!$A$2:$A$6,0))</x:f>
        <x:v>#NAME?</x:v>
      </x:c>
      <x:c r="AH25" s="97" t="e">
        <x:f>I25*INDEX(Régions!$AE$2:$AE$6,MATCH($B25,Régions!$A$2:$A$6,0))</x:f>
        <x:v>#NAME?</x:v>
      </x:c>
      <x:c r="AI25" s="97" t="e">
        <x:f>D25*INDEX(Régions!$AF$2:$AF$6,MATCH($B25,Régions!$A$2:$A$6,0))</x:f>
        <x:v>#NAME?</x:v>
      </x:c>
      <x:c r="AJ25" s="97" t="e">
        <x:f>E25*INDEX(Régions!$AG$2:$AG$6,MATCH($B25,Régions!$A$2:$A$6,0))</x:f>
        <x:v>#NAME?</x:v>
      </x:c>
      <x:c r="AK25" s="97" t="e">
        <x:f>F25*INDEX(Régions!$AH$2:$AH$6,MATCH($B25,Régions!$A$2:$A$6,0))</x:f>
        <x:v>#NAME?</x:v>
      </x:c>
      <x:c r="AL25" s="97" t="e">
        <x:f>G25*INDEX(Régions!$AI$2:$AI$6,MATCH($B25,Régions!$A$2:$A$6,0))</x:f>
        <x:v>#NAME?</x:v>
      </x:c>
      <x:c r="AM25" s="97" t="e">
        <x:f>H25*INDEX(Régions!$AJ$2:$AJ$6,MATCH($B25,Régions!$A$2:$A$6,0))</x:f>
        <x:v>#NAME?</x:v>
      </x:c>
      <x:c r="AN25" s="97" t="e">
        <x:f>I25*INDEX(Régions!$AK$2:$AK$6,MATCH($B25,Régions!$A$2:$A$6,0))</x:f>
        <x:v>#NAME?</x:v>
      </x:c>
      <x:c r="AO25" s="99" t="str">
        <x:f>INDEX({"CAQ","PLQ","QS","PQ","PCQ","Autre"},MATCH(MAX(Q25:V25),Q25:V25,0))</x:f>
        <x:v>CAQ</x:v>
      </x:c>
      <x:c r="AP25" s="99" t="str">
        <x:f>INDEX({"CAQ","PLQ","QS","PQ","PCQ","Autre"},MATCH(MAX(W25:AB25),W25:AB25,0))</x:f>
        <x:v>CAQ</x:v>
      </x:c>
      <x:c r="AQ25" s="99" t="str">
        <x:f>INDEX({"CAQ","PLQ","QS","PQ","PCQ","Autre"},MATCH(MAX(AC25:AH25),AC25:AH25,0))</x:f>
        <x:v>CAQ</x:v>
      </x:c>
      <x:c r="AR25" s="99" t="str">
        <x:f>INDEX({"CAQ","PLQ","QS","PQ","PCQ","Autre"},MATCH(MAX(AI25:AN25),AI25:AN25,0))</x:f>
        <x:v>CAQ</x:v>
      </x:c>
      <x:c r="AS25" s="100" t="n">
        <x:f>(MAX(K25:P25)-LARGE(K25:P25,2))*100</x:f>
        <x:v>30.051980065376988</x:v>
      </x:c>
      <x:c r="AT25" s="101" t="str">
        <x:f>IF(AS25&lt;5,"Oui","Non")</x:f>
        <x:v>Non</x:v>
      </x:c>
      <x:c r="AU25" s="102" t="n">
        <x:v>5.903</x:v>
      </x:c>
      <x:c r="AV25" s="102" t="n">
        <x:v>-3.088</x:v>
      </x:c>
      <x:c r="AW25" s="102" t="n">
        <x:v>0.097</x:v>
      </x:c>
      <x:c r="AX25" s="102" t="n">
        <x:v>-3.069</x:v>
      </x:c>
      <x:c r="AY25" s="96" t="n">
        <x:v>15762</x:v>
      </x:c>
      <x:c r="AZ25" s="96" t="n">
        <x:v>7871</x:v>
      </x:c>
      <x:c r="BA25" s="96" t="n">
        <x:v>4472</x:v>
      </x:c>
      <x:c r="BB25" s="96" t="n">
        <x:v>6012</x:v>
      </x:c>
      <x:c r="BC25" s="96" t="n">
        <x:v>622</x:v>
      </x:c>
      <x:c r="BD25" s="97" t="e">
        <x:f>AY25*INDEX(Régions!$AQ$2:$AQ$6,MATCH($B25,Régions!$A$2:$A$6,0))</x:f>
        <x:v>#NAME?</x:v>
      </x:c>
      <x:c r="BE25" s="97" t="e">
        <x:f>AZ25*INDEX(Régions!$AR$2:$AR$6,MATCH($B25,Régions!$A$2:$A$6,0))</x:f>
        <x:v>#NAME?</x:v>
      </x:c>
      <x:c r="BF25" s="97" t="e">
        <x:f>BA25*INDEX(Régions!$AS$2:$AS$6,MATCH($B25,Régions!$A$2:$A$6,0))</x:f>
        <x:v>#NAME?</x:v>
      </x:c>
      <x:c r="BG25" s="97" t="e">
        <x:f>BB25*INDEX(Régions!$AT$2:$AT$6,MATCH($B25,Régions!$A$2:$A$6,0))</x:f>
        <x:v>#NAME?</x:v>
      </x:c>
      <x:c r="BH25" s="97" t="e">
        <x:f>U25</x:f>
        <x:v>#NAME?</x:v>
      </x:c>
      <x:c r="BI25" s="97" t="e">
        <x:f>BC25*INDEX(Régions!$AU$2:$AU$6,MATCH($B25,Régions!$A$2:$A$6,0))</x:f>
        <x:v>#NAME?</x:v>
      </x:c>
      <x:c r="BJ25" s="97" t="str">
        <x:f>INDEX({"CAQ","PLQ","QS","PQ","PCQ","Autre"},MATCH(MAX(BD25:BI25),BD25:BI25,0))</x:f>
        <x:v>CAQ</x:v>
      </x:c>
    </x:row>
    <x:row r="26" s="60" customFormat="1" ht="15" customHeight="1">
      <x:c r="A26" s="94" t="inlineStr">
        <x:is>
          <x:t xml:space="preserve">Chauveau</x:t>
        </x:is>
      </x:c>
      <x:c r="B26" s="94" t="inlineStr">
        <x:is>
          <x:t xml:space="preserve">Québec RMR</x:t>
        </x:is>
      </x:c>
      <x:c r="C26" s="95" t="inlineStr">
        <x:is>
          <x:t xml:space="preserve">CAQ</x:t>
        </x:is>
      </x:c>
      <x:c r="D26" s="96" t="n">
        <x:v>20292</x:v>
      </x:c>
      <x:c r="E26" s="96" t="n">
        <x:v>1651</x:v>
      </x:c>
      <x:c r="F26" s="96" t="n">
        <x:v>3816</x:v>
      </x:c>
      <x:c r="G26" s="96" t="n">
        <x:v>3307</x:v>
      </x:c>
      <x:c r="H26" s="96" t="n">
        <x:v>13794</x:v>
      </x:c>
      <x:c r="I26" s="96" t="n">
        <x:v>458</x:v>
      </x:c>
      <x:c r="J26" s="97" t="n">
        <x:f>SUM(D26:I26)</x:f>
        <x:v>43318</x:v>
      </x:c>
      <x:c r="K26" s="98" t="n">
        <x:f>IFERROR(D26/J26,0)</x:f>
        <x:v>0.46844267971743847</x:v>
      </x:c>
      <x:c r="L26" s="98" t="n">
        <x:f>IFERROR(E26/J26,0)</x:f>
        <x:v>0.03811348631054065</x:v>
      </x:c>
      <x:c r="M26" s="98" t="n">
        <x:f>IFERROR(F26/J26,0)</x:f>
        <x:v>0.08809270972805762</x:v>
      </x:c>
      <x:c r="N26" s="98" t="n">
        <x:f>IFERROR(G26/J26,0)</x:f>
        <x:v>0.07634239807932038</x:v>
      </x:c>
      <x:c r="O26" s="98" t="n">
        <x:f>IFERROR(H26/J26,0)</x:f>
        <x:v>0.31843575418994413</x:v>
      </x:c>
      <x:c r="P26" s="98" t="n">
        <x:f>IFERROR(I26/J26,0)</x:f>
        <x:v>0.010572971974698739</x:v>
      </x:c>
      <x:c r="Q26" s="97" t="e">
        <x:f>D26*INDEX(Régions!$T$2:$T$6,MATCH($B26,Régions!$A$2:$A$6,0))</x:f>
        <x:v>#NAME?</x:v>
      </x:c>
      <x:c r="R26" s="97" t="e">
        <x:f>E26*INDEX(Régions!$U$2:$U$6,MATCH($B26,Régions!$A$2:$A$6,0))</x:f>
        <x:v>#NAME?</x:v>
      </x:c>
      <x:c r="S26" s="97" t="e">
        <x:f>F26*INDEX(Régions!$V$2:$V$6,MATCH($B26,Régions!$A$2:$A$6,0))</x:f>
        <x:v>#NAME?</x:v>
      </x:c>
      <x:c r="T26" s="97" t="e">
        <x:f>G26*INDEX(Régions!$W$2:$W$6,MATCH($B26,Régions!$A$2:$A$6,0))</x:f>
        <x:v>#NAME?</x:v>
      </x:c>
      <x:c r="U26" s="97" t="e">
        <x:f>H26*INDEX(Régions!$X$2:$X$6,MATCH($B26,Régions!$A$2:$A$6,0))</x:f>
        <x:v>#NAME?</x:v>
      </x:c>
      <x:c r="V26" s="97" t="e">
        <x:f>I26*INDEX(Régions!$Y$2:$Y$6,MATCH($B26,Régions!$A$2:$A$6,0))</x:f>
        <x:v>#NAME?</x:v>
      </x:c>
      <x:c r="W26" s="97" t="e">
        <x:f>Q26+(AU26/100)*J26*Régions!$O$2</x:f>
        <x:v>#NAME?</x:v>
      </x:c>
      <x:c r="X26" s="97" t="e">
        <x:f>R26+(AV26/100)*J26*Régions!$O$2</x:f>
        <x:v>#NAME?</x:v>
      </x:c>
      <x:c r="Y26" s="97" t="e">
        <x:f>S26+(AW26/100)*J26*Régions!$O$2</x:f>
        <x:v>#NAME?</x:v>
      </x:c>
      <x:c r="Z26" s="97" t="e">
        <x:f>T26+(AX26/100)*J26*Régions!$O$2</x:f>
        <x:v>#NAME?</x:v>
      </x:c>
      <x:c r="AA26" s="97" t="e">
        <x:f>U26</x:f>
        <x:v>#NAME?</x:v>
      </x:c>
      <x:c r="AB26" s="97" t="e">
        <x:f>V26</x:f>
        <x:v>#NAME?</x:v>
      </x:c>
      <x:c r="AC26" s="97" t="e">
        <x:f>D26*INDEX(Régions!$Z$2:$Z$6,MATCH($B26,Régions!$A$2:$A$6,0))</x:f>
        <x:v>#NAME?</x:v>
      </x:c>
      <x:c r="AD26" s="97" t="e">
        <x:f>E26*INDEX(Régions!$AA$2:$AA$6,MATCH($B26,Régions!$A$2:$A$6,0))</x:f>
        <x:v>#NAME?</x:v>
      </x:c>
      <x:c r="AE26" s="97" t="e">
        <x:f>F26*INDEX(Régions!$AB$2:$AB$6,MATCH($B26,Régions!$A$2:$A$6,0))</x:f>
        <x:v>#NAME?</x:v>
      </x:c>
      <x:c r="AF26" s="97" t="e">
        <x:f>G26*INDEX(Régions!$AC$2:$AC$6,MATCH($B26,Régions!$A$2:$A$6,0))</x:f>
        <x:v>#NAME?</x:v>
      </x:c>
      <x:c r="AG26" s="97" t="e">
        <x:f>H26*INDEX(Régions!$AD$2:$AD$6,MATCH($B26,Régions!$A$2:$A$6,0))</x:f>
        <x:v>#NAME?</x:v>
      </x:c>
      <x:c r="AH26" s="97" t="e">
        <x:f>I26*INDEX(Régions!$AE$2:$AE$6,MATCH($B26,Régions!$A$2:$A$6,0))</x:f>
        <x:v>#NAME?</x:v>
      </x:c>
      <x:c r="AI26" s="97" t="e">
        <x:f>D26*INDEX(Régions!$AF$2:$AF$6,MATCH($B26,Régions!$A$2:$A$6,0))</x:f>
        <x:v>#NAME?</x:v>
      </x:c>
      <x:c r="AJ26" s="97" t="e">
        <x:f>E26*INDEX(Régions!$AG$2:$AG$6,MATCH($B26,Régions!$A$2:$A$6,0))</x:f>
        <x:v>#NAME?</x:v>
      </x:c>
      <x:c r="AK26" s="97" t="e">
        <x:f>F26*INDEX(Régions!$AH$2:$AH$6,MATCH($B26,Régions!$A$2:$A$6,0))</x:f>
        <x:v>#NAME?</x:v>
      </x:c>
      <x:c r="AL26" s="97" t="e">
        <x:f>G26*INDEX(Régions!$AI$2:$AI$6,MATCH($B26,Régions!$A$2:$A$6,0))</x:f>
        <x:v>#NAME?</x:v>
      </x:c>
      <x:c r="AM26" s="97" t="e">
        <x:f>H26*INDEX(Régions!$AJ$2:$AJ$6,MATCH($B26,Régions!$A$2:$A$6,0))</x:f>
        <x:v>#NAME?</x:v>
      </x:c>
      <x:c r="AN26" s="97" t="e">
        <x:f>I26*INDEX(Régions!$AK$2:$AK$6,MATCH($B26,Régions!$A$2:$A$6,0))</x:f>
        <x:v>#NAME?</x:v>
      </x:c>
      <x:c r="AO26" s="99" t="str">
        <x:f>INDEX({"CAQ","PLQ","QS","PQ","PCQ","Autre"},MATCH(MAX(Q26:V26),Q26:V26,0))</x:f>
        <x:v>CAQ</x:v>
      </x:c>
      <x:c r="AP26" s="99" t="str">
        <x:f>INDEX({"CAQ","PLQ","QS","PQ","PCQ","Autre"},MATCH(MAX(W26:AB26),W26:AB26,0))</x:f>
        <x:v>CAQ</x:v>
      </x:c>
      <x:c r="AQ26" s="99" t="str">
        <x:f>INDEX({"CAQ","PLQ","QS","PQ","PCQ","Autre"},MATCH(MAX(AC26:AH26),AC26:AH26,0))</x:f>
        <x:v>CAQ</x:v>
      </x:c>
      <x:c r="AR26" s="99" t="str">
        <x:f>INDEX({"CAQ","PLQ","QS","PQ","PCQ","Autre"},MATCH(MAX(AI26:AN26),AI26:AN26,0))</x:f>
        <x:v>CAQ</x:v>
      </x:c>
      <x:c r="AS26" s="100" t="n">
        <x:f>(MAX(K26:P26)-LARGE(K26:P26,2))*100</x:f>
        <x:v>15.000692552749435</x:v>
      </x:c>
      <x:c r="AT26" s="101" t="str">
        <x:f>IF(AS26&lt;5,"Oui","Non")</x:f>
        <x:v>Non</x:v>
      </x:c>
      <x:c r="AU26" s="102" t="n">
        <x:v>2.881</x:v>
      </x:c>
      <x:c r="AV26" s="102" t="n">
        <x:v>-3.796</x:v>
      </x:c>
      <x:c r="AW26" s="102" t="n">
        <x:v>-1.103</x:v>
      </x:c>
      <x:c r="AX26" s="102" t="n">
        <x:v>-3.519</x:v>
      </x:c>
      <x:c r="AY26" s="96" t="n">
        <x:v>18424</x:v>
      </x:c>
      <x:c r="AZ26" s="96" t="n">
        <x:v>8797</x:v>
      </x:c>
      <x:c r="BA26" s="96" t="n">
        <x:v>4052</x:v>
      </x:c>
      <x:c r="BB26" s="96" t="n">
        <x:v>3603</x:v>
      </x:c>
      <x:c r="BC26" s="96" t="n">
        <x:v>4270</x:v>
      </x:c>
      <x:c r="BD26" s="97" t="e">
        <x:f>AY26*INDEX(Régions!$AQ$2:$AQ$6,MATCH($B26,Régions!$A$2:$A$6,0))</x:f>
        <x:v>#NAME?</x:v>
      </x:c>
      <x:c r="BE26" s="97" t="e">
        <x:f>AZ26*INDEX(Régions!$AR$2:$AR$6,MATCH($B26,Régions!$A$2:$A$6,0))</x:f>
        <x:v>#NAME?</x:v>
      </x:c>
      <x:c r="BF26" s="97" t="e">
        <x:f>BA26*INDEX(Régions!$AS$2:$AS$6,MATCH($B26,Régions!$A$2:$A$6,0))</x:f>
        <x:v>#NAME?</x:v>
      </x:c>
      <x:c r="BG26" s="97" t="e">
        <x:f>BB26*INDEX(Régions!$AT$2:$AT$6,MATCH($B26,Régions!$A$2:$A$6,0))</x:f>
        <x:v>#NAME?</x:v>
      </x:c>
      <x:c r="BH26" s="97" t="e">
        <x:f>U26</x:f>
        <x:v>#NAME?</x:v>
      </x:c>
      <x:c r="BI26" s="97" t="e">
        <x:f>BC26*INDEX(Régions!$AU$2:$AU$6,MATCH($B26,Régions!$A$2:$A$6,0))</x:f>
        <x:v>#NAME?</x:v>
      </x:c>
      <x:c r="BJ26" s="97" t="str">
        <x:f>INDEX({"CAQ","PLQ","QS","PQ","PCQ","Autre"},MATCH(MAX(BD26:BI26),BD26:BI26,0))</x:f>
        <x:v>CAQ</x:v>
      </x:c>
    </x:row>
    <x:row r="27" s="60" customFormat="1" ht="15" customHeight="1">
      <x:c r="A27" s="94" t="inlineStr">
        <x:is>
          <x:t xml:space="preserve">Chicoutimi</x:t>
        </x:is>
      </x:c>
      <x:c r="B27" s="94" t="inlineStr">
        <x:is>
          <x:t xml:space="preserve">Reste du Québec</x:t>
        </x:is>
      </x:c>
      <x:c r="C27" s="95" t="inlineStr">
        <x:is>
          <x:t xml:space="preserve">CAQ</x:t>
        </x:is>
      </x:c>
      <x:c r="D27" s="96" t="n">
        <x:v>19297</x:v>
      </x:c>
      <x:c r="E27" s="96" t="n">
        <x:v>941</x:v>
      </x:c>
      <x:c r="F27" s="96" t="n">
        <x:v>3732</x:v>
      </x:c>
      <x:c r="G27" s="96" t="n">
        <x:v>4404</x:v>
      </x:c>
      <x:c r="H27" s="96" t="n">
        <x:v>2613</x:v>
      </x:c>
      <x:c r="I27" s="96" t="n">
        <x:v>0</x:v>
      </x:c>
      <x:c r="J27" s="97" t="n">
        <x:f>SUM(D27:I27)</x:f>
        <x:v>30987</x:v>
      </x:c>
      <x:c r="K27" s="98" t="n">
        <x:f>IFERROR(D27/J27,0)</x:f>
        <x:v>0.6227450221060444</x:v>
      </x:c>
      <x:c r="L27" s="98" t="n">
        <x:f>IFERROR(E27/J27,0)</x:f>
        <x:v>0.030367573498563914</x:v>
      </x:c>
      <x:c r="M27" s="98" t="n">
        <x:f>IFERROR(F27/J27,0)</x:f>
        <x:v>0.12043760286571788</x:v>
      </x:c>
      <x:c r="N27" s="98" t="n">
        <x:f>IFERROR(G27/J27,0)</x:f>
        <x:v>0.14212411656501114</x:v>
      </x:c>
      <x:c r="O27" s="98" t="n">
        <x:f>IFERROR(H27/J27,0)</x:f>
        <x:v>0.0843256849646626</x:v>
      </x:c>
      <x:c r="P27" s="98" t="n">
        <x:f>IFERROR(I27/J27,0)</x:f>
        <x:v>0</x:v>
      </x:c>
      <x:c r="Q27" s="97" t="e">
        <x:f>D27*INDEX(Régions!$T$2:$T$6,MATCH($B27,Régions!$A$2:$A$6,0))</x:f>
        <x:v>#NAME?</x:v>
      </x:c>
      <x:c r="R27" s="97" t="e">
        <x:f>E27*INDEX(Régions!$U$2:$U$6,MATCH($B27,Régions!$A$2:$A$6,0))</x:f>
        <x:v>#NAME?</x:v>
      </x:c>
      <x:c r="S27" s="97" t="e">
        <x:f>F27*INDEX(Régions!$V$2:$V$6,MATCH($B27,Régions!$A$2:$A$6,0))</x:f>
        <x:v>#NAME?</x:v>
      </x:c>
      <x:c r="T27" s="97" t="e">
        <x:f>G27*INDEX(Régions!$W$2:$W$6,MATCH($B27,Régions!$A$2:$A$6,0))</x:f>
        <x:v>#NAME?</x:v>
      </x:c>
      <x:c r="U27" s="97" t="e">
        <x:f>H27*INDEX(Régions!$X$2:$X$6,MATCH($B27,Régions!$A$2:$A$6,0))</x:f>
        <x:v>#NAME?</x:v>
      </x:c>
      <x:c r="V27" s="97" t="e">
        <x:f>I27*INDEX(Régions!$Y$2:$Y$6,MATCH($B27,Régions!$A$2:$A$6,0))</x:f>
        <x:v>#NAME?</x:v>
      </x:c>
      <x:c r="W27" s="97" t="e">
        <x:f>Q27+(AU27/100)*J27*Régions!$O$2</x:f>
        <x:v>#NAME?</x:v>
      </x:c>
      <x:c r="X27" s="97" t="e">
        <x:f>R27+(AV27/100)*J27*Régions!$O$2</x:f>
        <x:v>#NAME?</x:v>
      </x:c>
      <x:c r="Y27" s="97" t="e">
        <x:f>S27+(AW27/100)*J27*Régions!$O$2</x:f>
        <x:v>#NAME?</x:v>
      </x:c>
      <x:c r="Z27" s="97" t="e">
        <x:f>T27+(AX27/100)*J27*Régions!$O$2</x:f>
        <x:v>#NAME?</x:v>
      </x:c>
      <x:c r="AA27" s="97" t="e">
        <x:f>U27</x:f>
        <x:v>#NAME?</x:v>
      </x:c>
      <x:c r="AB27" s="97" t="e">
        <x:f>V27</x:f>
        <x:v>#NAME?</x:v>
      </x:c>
      <x:c r="AC27" s="97" t="e">
        <x:f>D27*INDEX(Régions!$Z$2:$Z$6,MATCH($B27,Régions!$A$2:$A$6,0))</x:f>
        <x:v>#NAME?</x:v>
      </x:c>
      <x:c r="AD27" s="97" t="e">
        <x:f>E27*INDEX(Régions!$AA$2:$AA$6,MATCH($B27,Régions!$A$2:$A$6,0))</x:f>
        <x:v>#NAME?</x:v>
      </x:c>
      <x:c r="AE27" s="97" t="e">
        <x:f>F27*INDEX(Régions!$AB$2:$AB$6,MATCH($B27,Régions!$A$2:$A$6,0))</x:f>
        <x:v>#NAME?</x:v>
      </x:c>
      <x:c r="AF27" s="97" t="e">
        <x:f>G27*INDEX(Régions!$AC$2:$AC$6,MATCH($B27,Régions!$A$2:$A$6,0))</x:f>
        <x:v>#NAME?</x:v>
      </x:c>
      <x:c r="AG27" s="97" t="e">
        <x:f>H27*INDEX(Régions!$AD$2:$AD$6,MATCH($B27,Régions!$A$2:$A$6,0))</x:f>
        <x:v>#NAME?</x:v>
      </x:c>
      <x:c r="AH27" s="97" t="e">
        <x:f>I27*INDEX(Régions!$AE$2:$AE$6,MATCH($B27,Régions!$A$2:$A$6,0))</x:f>
        <x:v>#NAME?</x:v>
      </x:c>
      <x:c r="AI27" s="97" t="e">
        <x:f>D27*INDEX(Régions!$AF$2:$AF$6,MATCH($B27,Régions!$A$2:$A$6,0))</x:f>
        <x:v>#NAME?</x:v>
      </x:c>
      <x:c r="AJ27" s="97" t="e">
        <x:f>E27*INDEX(Régions!$AG$2:$AG$6,MATCH($B27,Régions!$A$2:$A$6,0))</x:f>
        <x:v>#NAME?</x:v>
      </x:c>
      <x:c r="AK27" s="97" t="e">
        <x:f>F27*INDEX(Régions!$AH$2:$AH$6,MATCH($B27,Régions!$A$2:$A$6,0))</x:f>
        <x:v>#NAME?</x:v>
      </x:c>
      <x:c r="AL27" s="97" t="e">
        <x:f>G27*INDEX(Régions!$AI$2:$AI$6,MATCH($B27,Régions!$A$2:$A$6,0))</x:f>
        <x:v>#NAME?</x:v>
      </x:c>
      <x:c r="AM27" s="97" t="e">
        <x:f>H27*INDEX(Régions!$AJ$2:$AJ$6,MATCH($B27,Régions!$A$2:$A$6,0))</x:f>
        <x:v>#NAME?</x:v>
      </x:c>
      <x:c r="AN27" s="97" t="e">
        <x:f>I27*INDEX(Régions!$AK$2:$AK$6,MATCH($B27,Régions!$A$2:$A$6,0))</x:f>
        <x:v>#NAME?</x:v>
      </x:c>
      <x:c r="AO27" s="99" t="str">
        <x:f>INDEX({"CAQ","PLQ","QS","PQ","PCQ","Autre"},MATCH(MAX(Q27:V27),Q27:V27,0))</x:f>
        <x:v>CAQ</x:v>
      </x:c>
      <x:c r="AP27" s="99" t="str">
        <x:f>INDEX({"CAQ","PLQ","QS","PQ","PCQ","Autre"},MATCH(MAX(W27:AB27),W27:AB27,0))</x:f>
        <x:v>CAQ</x:v>
      </x:c>
      <x:c r="AQ27" s="99" t="str">
        <x:f>INDEX({"CAQ","PLQ","QS","PQ","PCQ","Autre"},MATCH(MAX(AC27:AH27),AC27:AH27,0))</x:f>
        <x:v>CAQ</x:v>
      </x:c>
      <x:c r="AR27" s="99" t="str">
        <x:f>INDEX({"CAQ","PLQ","QS","PQ","PCQ","Autre"},MATCH(MAX(AI27:AN27),AI27:AN27,0))</x:f>
        <x:v>CAQ</x:v>
      </x:c>
      <x:c r="AS27" s="100" t="n">
        <x:f>(MAX(K27:P27)-LARGE(K27:P27,2))*100</x:f>
        <x:v>48.062090554103335</x:v>
      </x:c>
      <x:c r="AT27" s="101" t="str">
        <x:f>IF(AS27&lt;5,"Oui","Non")</x:f>
        <x:v>Non</x:v>
      </x:c>
      <x:c r="AU27" s="102" t="n">
        <x:v>17.064</x:v>
      </x:c>
      <x:c r="AV27" s="102" t="n">
        <x:v>-3.951</x:v>
      </x:c>
      <x:c r="AW27" s="102" t="n">
        <x:v>0.151</x:v>
      </x:c>
      <x:c r="AX27" s="102" t="n">
        <x:v>-6.76</x:v>
      </x:c>
      <x:c r="AY27" s="96" t="n">
        <x:v>12093</x:v>
      </x:c>
      <x:c r="AZ27" s="96" t="n">
        <x:v>6079</x:v>
      </x:c>
      <x:c r="BA27" s="96" t="n">
        <x:v>3967</x:v>
      </x:c>
      <x:c r="BB27" s="96" t="n">
        <x:v>7688</x:v>
      </x:c>
      <x:c r="BC27" s="96" t="n">
        <x:v>975</x:v>
      </x:c>
      <x:c r="BD27" s="97" t="e">
        <x:f>AY27*INDEX(Régions!$AQ$2:$AQ$6,MATCH($B27,Régions!$A$2:$A$6,0))</x:f>
        <x:v>#NAME?</x:v>
      </x:c>
      <x:c r="BE27" s="97" t="e">
        <x:f>AZ27*INDEX(Régions!$AR$2:$AR$6,MATCH($B27,Régions!$A$2:$A$6,0))</x:f>
        <x:v>#NAME?</x:v>
      </x:c>
      <x:c r="BF27" s="97" t="e">
        <x:f>BA27*INDEX(Régions!$AS$2:$AS$6,MATCH($B27,Régions!$A$2:$A$6,0))</x:f>
        <x:v>#NAME?</x:v>
      </x:c>
      <x:c r="BG27" s="97" t="e">
        <x:f>BB27*INDEX(Régions!$AT$2:$AT$6,MATCH($B27,Régions!$A$2:$A$6,0))</x:f>
        <x:v>#NAME?</x:v>
      </x:c>
      <x:c r="BH27" s="97" t="e">
        <x:f>U27</x:f>
        <x:v>#NAME?</x:v>
      </x:c>
      <x:c r="BI27" s="97" t="e">
        <x:f>BC27*INDEX(Régions!$AU$2:$AU$6,MATCH($B27,Régions!$A$2:$A$6,0))</x:f>
        <x:v>#NAME?</x:v>
      </x:c>
      <x:c r="BJ27" s="97" t="str">
        <x:f>INDEX({"CAQ","PLQ","QS","PQ","PCQ","Autre"},MATCH(MAX(BD27:BI27),BD27:BI27,0))</x:f>
        <x:v>CAQ</x:v>
      </x:c>
    </x:row>
    <x:row r="28" s="60" customFormat="1" ht="15" customHeight="1">
      <x:c r="A28" s="94" t="inlineStr">
        <x:is>
          <x:t xml:space="preserve">Chomedey</x:t>
        </x:is>
      </x:c>
      <x:c r="B28" s="94" t="inlineStr">
        <x:is>
          <x:t xml:space="preserve">Banlieue de Montréal</x:t>
        </x:is>
      </x:c>
      <x:c r="C28" s="95" t="inlineStr">
        <x:is>
          <x:t xml:space="preserve">PLQ</x:t>
        </x:is>
      </x:c>
      <x:c r="D28" s="96" t="n">
        <x:v>7796</x:v>
      </x:c>
      <x:c r="E28" s="96" t="n">
        <x:v>10664</x:v>
      </x:c>
      <x:c r="F28" s="96" t="n">
        <x:v>2304</x:v>
      </x:c>
      <x:c r="G28" s="96" t="n">
        <x:v>2100</x:v>
      </x:c>
      <x:c r="H28" s="96" t="n">
        <x:v>5798</x:v>
      </x:c>
      <x:c r="I28" s="96" t="n">
        <x:v>539</x:v>
      </x:c>
      <x:c r="J28" s="97" t="n">
        <x:f>SUM(D28:I28)</x:f>
        <x:v>29201</x:v>
      </x:c>
      <x:c r="K28" s="98" t="n">
        <x:f>IFERROR(D28/J28,0)</x:f>
        <x:v>0.266977158316496</x:v>
      </x:c>
      <x:c r="L28" s="98" t="n">
        <x:f>IFERROR(E28/J28,0)</x:f>
        <x:v>0.36519297284339575</x:v>
      </x:c>
      <x:c r="M28" s="98" t="n">
        <x:f>IFERROR(F28/J28,0)</x:f>
        <x:v>0.078901407486045</x:v>
      </x:c>
      <x:c r="N28" s="98" t="n">
        <x:f>IFERROR(G28/J28,0)</x:f>
        <x:v>0.07191534536488477</x:v>
      </x:c>
      <x:c r="O28" s="98" t="n">
        <x:f>IFERROR(H28/J28,0)</x:f>
        <x:v>0.19855484401219137</x:v>
      </x:c>
      <x:c r="P28" s="98" t="n">
        <x:f>IFERROR(I28/J28,0)</x:f>
        <x:v>0.01845827197698709</x:v>
      </x:c>
      <x:c r="Q28" s="97" t="e">
        <x:f>D28*INDEX(Régions!$T$2:$T$6,MATCH($B28,Régions!$A$2:$A$6,0))</x:f>
        <x:v>#NAME?</x:v>
      </x:c>
      <x:c r="R28" s="97" t="e">
        <x:f>E28*INDEX(Régions!$U$2:$U$6,MATCH($B28,Régions!$A$2:$A$6,0))</x:f>
        <x:v>#NAME?</x:v>
      </x:c>
      <x:c r="S28" s="97" t="e">
        <x:f>F28*INDEX(Régions!$V$2:$V$6,MATCH($B28,Régions!$A$2:$A$6,0))</x:f>
        <x:v>#NAME?</x:v>
      </x:c>
      <x:c r="T28" s="97" t="e">
        <x:f>G28*INDEX(Régions!$W$2:$W$6,MATCH($B28,Régions!$A$2:$A$6,0))</x:f>
        <x:v>#NAME?</x:v>
      </x:c>
      <x:c r="U28" s="97" t="e">
        <x:f>H28*INDEX(Régions!$X$2:$X$6,MATCH($B28,Régions!$A$2:$A$6,0))</x:f>
        <x:v>#NAME?</x:v>
      </x:c>
      <x:c r="V28" s="97" t="e">
        <x:f>I28*INDEX(Régions!$Y$2:$Y$6,MATCH($B28,Régions!$A$2:$A$6,0))</x:f>
        <x:v>#NAME?</x:v>
      </x:c>
      <x:c r="W28" s="97" t="e">
        <x:f>Q28+(AU28/100)*J28*Régions!$O$2</x:f>
        <x:v>#NAME?</x:v>
      </x:c>
      <x:c r="X28" s="97" t="e">
        <x:f>R28+(AV28/100)*J28*Régions!$O$2</x:f>
        <x:v>#NAME?</x:v>
      </x:c>
      <x:c r="Y28" s="97" t="e">
        <x:f>S28+(AW28/100)*J28*Régions!$O$2</x:f>
        <x:v>#NAME?</x:v>
      </x:c>
      <x:c r="Z28" s="97" t="e">
        <x:f>T28+(AX28/100)*J28*Régions!$O$2</x:f>
        <x:v>#NAME?</x:v>
      </x:c>
      <x:c r="AA28" s="97" t="e">
        <x:f>U28</x:f>
        <x:v>#NAME?</x:v>
      </x:c>
      <x:c r="AB28" s="97" t="e">
        <x:f>V28</x:f>
        <x:v>#NAME?</x:v>
      </x:c>
      <x:c r="AC28" s="97" t="e">
        <x:f>D28*INDEX(Régions!$Z$2:$Z$6,MATCH($B28,Régions!$A$2:$A$6,0))</x:f>
        <x:v>#NAME?</x:v>
      </x:c>
      <x:c r="AD28" s="97" t="e">
        <x:f>E28*INDEX(Régions!$AA$2:$AA$6,MATCH($B28,Régions!$A$2:$A$6,0))</x:f>
        <x:v>#NAME?</x:v>
      </x:c>
      <x:c r="AE28" s="97" t="e">
        <x:f>F28*INDEX(Régions!$AB$2:$AB$6,MATCH($B28,Régions!$A$2:$A$6,0))</x:f>
        <x:v>#NAME?</x:v>
      </x:c>
      <x:c r="AF28" s="97" t="e">
        <x:f>G28*INDEX(Régions!$AC$2:$AC$6,MATCH($B28,Régions!$A$2:$A$6,0))</x:f>
        <x:v>#NAME?</x:v>
      </x:c>
      <x:c r="AG28" s="97" t="e">
        <x:f>H28*INDEX(Régions!$AD$2:$AD$6,MATCH($B28,Régions!$A$2:$A$6,0))</x:f>
        <x:v>#NAME?</x:v>
      </x:c>
      <x:c r="AH28" s="97" t="e">
        <x:f>I28*INDEX(Régions!$AE$2:$AE$6,MATCH($B28,Régions!$A$2:$A$6,0))</x:f>
        <x:v>#NAME?</x:v>
      </x:c>
      <x:c r="AI28" s="97" t="e">
        <x:f>D28*INDEX(Régions!$AF$2:$AF$6,MATCH($B28,Régions!$A$2:$A$6,0))</x:f>
        <x:v>#NAME?</x:v>
      </x:c>
      <x:c r="AJ28" s="97" t="e">
        <x:f>E28*INDEX(Régions!$AG$2:$AG$6,MATCH($B28,Régions!$A$2:$A$6,0))</x:f>
        <x:v>#NAME?</x:v>
      </x:c>
      <x:c r="AK28" s="97" t="e">
        <x:f>F28*INDEX(Régions!$AH$2:$AH$6,MATCH($B28,Régions!$A$2:$A$6,0))</x:f>
        <x:v>#NAME?</x:v>
      </x:c>
      <x:c r="AL28" s="97" t="e">
        <x:f>G28*INDEX(Régions!$AI$2:$AI$6,MATCH($B28,Régions!$A$2:$A$6,0))</x:f>
        <x:v>#NAME?</x:v>
      </x:c>
      <x:c r="AM28" s="97" t="e">
        <x:f>H28*INDEX(Régions!$AJ$2:$AJ$6,MATCH($B28,Régions!$A$2:$A$6,0))</x:f>
        <x:v>#NAME?</x:v>
      </x:c>
      <x:c r="AN28" s="97" t="e">
        <x:f>I28*INDEX(Régions!$AK$2:$AK$6,MATCH($B28,Régions!$A$2:$A$6,0))</x:f>
        <x:v>#NAME?</x:v>
      </x:c>
      <x:c r="AO28" s="99" t="str">
        <x:f>INDEX({"CAQ","PLQ","QS","PQ","PCQ","Autre"},MATCH(MAX(Q28:V28),Q28:V28,0))</x:f>
        <x:v>CAQ</x:v>
      </x:c>
      <x:c r="AP28" s="99" t="str">
        <x:f>INDEX({"CAQ","PLQ","QS","PQ","PCQ","Autre"},MATCH(MAX(W28:AB28),W28:AB28,0))</x:f>
        <x:v>CAQ</x:v>
      </x:c>
      <x:c r="AQ28" s="99" t="str">
        <x:f>INDEX({"CAQ","PLQ","QS","PQ","PCQ","Autre"},MATCH(MAX(AC28:AH28),AC28:AH28,0))</x:f>
        <x:v>CAQ</x:v>
      </x:c>
      <x:c r="AR28" s="99" t="str">
        <x:f>INDEX({"CAQ","PLQ","QS","PQ","PCQ","Autre"},MATCH(MAX(AI28:AN28),AI28:AN28,0))</x:f>
        <x:v>CAQ</x:v>
      </x:c>
      <x:c r="AS28" s="100" t="n">
        <x:f>(MAX(K28:P28)-LARGE(K28:P28,2))*100</x:f>
        <x:v>9.821581452689976</x:v>
      </x:c>
      <x:c r="AT28" s="101" t="str">
        <x:f>IF(AS28&lt;5,"Oui","Non")</x:f>
        <x:v>Non</x:v>
      </x:c>
      <x:c r="AU28" s="102" t="n">
        <x:v>-2.844</x:v>
      </x:c>
      <x:c r="AV28" s="102" t="n">
        <x:v>-9.256</x:v>
      </x:c>
      <x:c r="AW28" s="102" t="n">
        <x:v>1.518</x:v>
      </x:c>
      <x:c r="AX28" s="102" t="n">
        <x:v>2.611</x:v>
      </x:c>
      <x:c r="AY28" s="96" t="n">
        <x:v>7184</x:v>
      </x:c>
      <x:c r="AZ28" s="96" t="n">
        <x:v>14328</x:v>
      </x:c>
      <x:c r="BA28" s="96" t="n">
        <x:v>1922</x:v>
      </x:c>
      <x:c r="BB28" s="96" t="n">
        <x:v>2063</x:v>
      </x:c>
      <x:c r="BC28" s="96" t="n">
        <x:v>1702</x:v>
      </x:c>
      <x:c r="BD28" s="97" t="e">
        <x:f>AY28*INDEX(Régions!$AQ$2:$AQ$6,MATCH($B28,Régions!$A$2:$A$6,0))</x:f>
        <x:v>#NAME?</x:v>
      </x:c>
      <x:c r="BE28" s="97" t="e">
        <x:f>AZ28*INDEX(Régions!$AR$2:$AR$6,MATCH($B28,Régions!$A$2:$A$6,0))</x:f>
        <x:v>#NAME?</x:v>
      </x:c>
      <x:c r="BF28" s="97" t="e">
        <x:f>BA28*INDEX(Régions!$AS$2:$AS$6,MATCH($B28,Régions!$A$2:$A$6,0))</x:f>
        <x:v>#NAME?</x:v>
      </x:c>
      <x:c r="BG28" s="97" t="e">
        <x:f>BB28*INDEX(Régions!$AT$2:$AT$6,MATCH($B28,Régions!$A$2:$A$6,0))</x:f>
        <x:v>#NAME?</x:v>
      </x:c>
      <x:c r="BH28" s="97" t="e">
        <x:f>U28</x:f>
        <x:v>#NAME?</x:v>
      </x:c>
      <x:c r="BI28" s="97" t="e">
        <x:f>BC28*INDEX(Régions!$AU$2:$AU$6,MATCH($B28,Régions!$A$2:$A$6,0))</x:f>
        <x:v>#NAME?</x:v>
      </x:c>
      <x:c r="BJ28" s="97" t="str">
        <x:f>INDEX({"CAQ","PLQ","QS","PQ","PCQ","Autre"},MATCH(MAX(BD28:BI28),BD28:BI28,0))</x:f>
        <x:v>CAQ</x:v>
      </x:c>
    </x:row>
    <x:row r="29" s="60" customFormat="1" ht="15" customHeight="1">
      <x:c r="A29" s="94" t="inlineStr">
        <x:is>
          <x:t xml:space="preserve">Chutes-de-la-Chaudière</x:t>
        </x:is>
      </x:c>
      <x:c r="B29" s="94" t="inlineStr">
        <x:is>
          <x:t xml:space="preserve">Québec RMR</x:t>
        </x:is>
      </x:c>
      <x:c r="C29" s="95" t="inlineStr">
        <x:is>
          <x:t xml:space="preserve">CAQ</x:t>
        </x:is>
      </x:c>
      <x:c r="D29" s="96" t="n">
        <x:v>22055</x:v>
      </x:c>
      <x:c r="E29" s="96" t="n">
        <x:v>2298</x:v>
      </x:c>
      <x:c r="F29" s="96" t="n">
        <x:v>4311</x:v>
      </x:c>
      <x:c r="G29" s="96" t="n">
        <x:v>5163</x:v>
      </x:c>
      <x:c r="H29" s="96" t="n">
        <x:v>12640</x:v>
      </x:c>
      <x:c r="I29" s="96" t="n">
        <x:v>0</x:v>
      </x:c>
      <x:c r="J29" s="97" t="n">
        <x:f>SUM(D29:I29)</x:f>
        <x:v>46467</x:v>
      </x:c>
      <x:c r="K29" s="98" t="n">
        <x:f>IFERROR(D29/J29,0)</x:f>
        <x:v>0.4746379150795188</x:v>
      </x:c>
      <x:c r="L29" s="98" t="n">
        <x:f>IFERROR(E29/J29,0)</x:f>
        <x:v>0.04945445154625863</x:v>
      </x:c>
      <x:c r="M29" s="98" t="n">
        <x:f>IFERROR(F29/J29,0)</x:f>
        <x:v>0.09277551810962618</x:v>
      </x:c>
      <x:c r="N29" s="98" t="n">
        <x:f>IFERROR(G29/J29,0)</x:f>
        <x:v>0.1111111111111111</x:v>
      </x:c>
      <x:c r="O29" s="98" t="n">
        <x:f>IFERROR(H29/J29,0)</x:f>
        <x:v>0.2720210041534853</x:v>
      </x:c>
      <x:c r="P29" s="98" t="n">
        <x:f>IFERROR(I29/J29,0)</x:f>
        <x:v>0</x:v>
      </x:c>
      <x:c r="Q29" s="97" t="e">
        <x:f>D29*INDEX(Régions!$T$2:$T$6,MATCH($B29,Régions!$A$2:$A$6,0))</x:f>
        <x:v>#NAME?</x:v>
      </x:c>
      <x:c r="R29" s="97" t="e">
        <x:f>E29*INDEX(Régions!$U$2:$U$6,MATCH($B29,Régions!$A$2:$A$6,0))</x:f>
        <x:v>#NAME?</x:v>
      </x:c>
      <x:c r="S29" s="97" t="e">
        <x:f>F29*INDEX(Régions!$V$2:$V$6,MATCH($B29,Régions!$A$2:$A$6,0))</x:f>
        <x:v>#NAME?</x:v>
      </x:c>
      <x:c r="T29" s="97" t="e">
        <x:f>G29*INDEX(Régions!$W$2:$W$6,MATCH($B29,Régions!$A$2:$A$6,0))</x:f>
        <x:v>#NAME?</x:v>
      </x:c>
      <x:c r="U29" s="97" t="e">
        <x:f>H29*INDEX(Régions!$X$2:$X$6,MATCH($B29,Régions!$A$2:$A$6,0))</x:f>
        <x:v>#NAME?</x:v>
      </x:c>
      <x:c r="V29" s="97" t="e">
        <x:f>I29*INDEX(Régions!$Y$2:$Y$6,MATCH($B29,Régions!$A$2:$A$6,0))</x:f>
        <x:v>#NAME?</x:v>
      </x:c>
      <x:c r="W29" s="97" t="e">
        <x:f>Q29+(AU29/100)*J29*Régions!$O$2</x:f>
        <x:v>#NAME?</x:v>
      </x:c>
      <x:c r="X29" s="97" t="e">
        <x:f>R29+(AV29/100)*J29*Régions!$O$2</x:f>
        <x:v>#NAME?</x:v>
      </x:c>
      <x:c r="Y29" s="97" t="e">
        <x:f>S29+(AW29/100)*J29*Régions!$O$2</x:f>
        <x:v>#NAME?</x:v>
      </x:c>
      <x:c r="Z29" s="97" t="e">
        <x:f>T29+(AX29/100)*J29*Régions!$O$2</x:f>
        <x:v>#NAME?</x:v>
      </x:c>
      <x:c r="AA29" s="97" t="e">
        <x:f>U29</x:f>
        <x:v>#NAME?</x:v>
      </x:c>
      <x:c r="AB29" s="97" t="e">
        <x:f>V29</x:f>
        <x:v>#NAME?</x:v>
      </x:c>
      <x:c r="AC29" s="97" t="e">
        <x:f>D29*INDEX(Régions!$Z$2:$Z$6,MATCH($B29,Régions!$A$2:$A$6,0))</x:f>
        <x:v>#NAME?</x:v>
      </x:c>
      <x:c r="AD29" s="97" t="e">
        <x:f>E29*INDEX(Régions!$AA$2:$AA$6,MATCH($B29,Régions!$A$2:$A$6,0))</x:f>
        <x:v>#NAME?</x:v>
      </x:c>
      <x:c r="AE29" s="97" t="e">
        <x:f>F29*INDEX(Régions!$AB$2:$AB$6,MATCH($B29,Régions!$A$2:$A$6,0))</x:f>
        <x:v>#NAME?</x:v>
      </x:c>
      <x:c r="AF29" s="97" t="e">
        <x:f>G29*INDEX(Régions!$AC$2:$AC$6,MATCH($B29,Régions!$A$2:$A$6,0))</x:f>
        <x:v>#NAME?</x:v>
      </x:c>
      <x:c r="AG29" s="97" t="e">
        <x:f>H29*INDEX(Régions!$AD$2:$AD$6,MATCH($B29,Régions!$A$2:$A$6,0))</x:f>
        <x:v>#NAME?</x:v>
      </x:c>
      <x:c r="AH29" s="97" t="e">
        <x:f>I29*INDEX(Régions!$AE$2:$AE$6,MATCH($B29,Régions!$A$2:$A$6,0))</x:f>
        <x:v>#NAME?</x:v>
      </x:c>
      <x:c r="AI29" s="97" t="e">
        <x:f>D29*INDEX(Régions!$AF$2:$AF$6,MATCH($B29,Régions!$A$2:$A$6,0))</x:f>
        <x:v>#NAME?</x:v>
      </x:c>
      <x:c r="AJ29" s="97" t="e">
        <x:f>E29*INDEX(Régions!$AG$2:$AG$6,MATCH($B29,Régions!$A$2:$A$6,0))</x:f>
        <x:v>#NAME?</x:v>
      </x:c>
      <x:c r="AK29" s="97" t="e">
        <x:f>F29*INDEX(Régions!$AH$2:$AH$6,MATCH($B29,Régions!$A$2:$A$6,0))</x:f>
        <x:v>#NAME?</x:v>
      </x:c>
      <x:c r="AL29" s="97" t="e">
        <x:f>G29*INDEX(Régions!$AI$2:$AI$6,MATCH($B29,Régions!$A$2:$A$6,0))</x:f>
        <x:v>#NAME?</x:v>
      </x:c>
      <x:c r="AM29" s="97" t="e">
        <x:f>H29*INDEX(Régions!$AJ$2:$AJ$6,MATCH($B29,Régions!$A$2:$A$6,0))</x:f>
        <x:v>#NAME?</x:v>
      </x:c>
      <x:c r="AN29" s="97" t="e">
        <x:f>I29*INDEX(Régions!$AK$2:$AK$6,MATCH($B29,Régions!$A$2:$A$6,0))</x:f>
        <x:v>#NAME?</x:v>
      </x:c>
      <x:c r="AO29" s="99" t="str">
        <x:f>INDEX({"CAQ","PLQ","QS","PQ","PCQ","Autre"},MATCH(MAX(Q29:V29),Q29:V29,0))</x:f>
        <x:v>CAQ</x:v>
      </x:c>
      <x:c r="AP29" s="99" t="str">
        <x:f>INDEX({"CAQ","PLQ","QS","PQ","PCQ","Autre"},MATCH(MAX(W29:AB29),W29:AB29,0))</x:f>
        <x:v>CAQ</x:v>
      </x:c>
      <x:c r="AQ29" s="99" t="str">
        <x:f>INDEX({"CAQ","PLQ","QS","PQ","PCQ","Autre"},MATCH(MAX(AC29:AH29),AC29:AH29,0))</x:f>
        <x:v>CAQ</x:v>
      </x:c>
      <x:c r="AR29" s="99" t="str">
        <x:f>INDEX({"CAQ","PLQ","QS","PQ","PCQ","Autre"},MATCH(MAX(AI29:AN29),AI29:AN29,0))</x:f>
        <x:v>CAQ</x:v>
      </x:c>
      <x:c r="AS29" s="100" t="n">
        <x:f>(MAX(K29:P29)-LARGE(K29:P29,2))*100</x:f>
        <x:v>20.26169109260335</x:v>
      </x:c>
      <x:c r="AT29" s="101" t="str">
        <x:f>IF(AS29&lt;5,"Oui","Non")</x:f>
        <x:v>Non</x:v>
      </x:c>
      <x:c r="AU29" s="102" t="n">
        <x:v>-8.944000000000001</x:v>
      </x:c>
      <x:c r="AV29" s="102" t="n">
        <x:v>5.871</x:v>
      </x:c>
      <x:c r="AW29" s="102" t="n">
        <x:v>-1.711</x:v>
      </x:c>
      <x:c r="AX29" s="102" t="n">
        <x:v>-0.199</x:v>
      </x:c>
      <x:c r="AY29" s="96" t="n">
        <x:v>25777</x:v>
      </x:c>
      <x:c r="AZ29" s="96" t="n">
        <x:v>6038</x:v>
      </x:c>
      <x:c r="BA29" s="96" t="n">
        <x:v>4950</x:v>
      </x:c>
      <x:c r="BB29" s="96" t="n">
        <x:v>4055</x:v>
      </x:c>
      <x:c r="BC29" s="96" t="n">
        <x:v>2496</x:v>
      </x:c>
      <x:c r="BD29" s="97" t="e">
        <x:f>AY29*INDEX(Régions!$AQ$2:$AQ$6,MATCH($B29,Régions!$A$2:$A$6,0))</x:f>
        <x:v>#NAME?</x:v>
      </x:c>
      <x:c r="BE29" s="97" t="e">
        <x:f>AZ29*INDEX(Régions!$AR$2:$AR$6,MATCH($B29,Régions!$A$2:$A$6,0))</x:f>
        <x:v>#NAME?</x:v>
      </x:c>
      <x:c r="BF29" s="97" t="e">
        <x:f>BA29*INDEX(Régions!$AS$2:$AS$6,MATCH($B29,Régions!$A$2:$A$6,0))</x:f>
        <x:v>#NAME?</x:v>
      </x:c>
      <x:c r="BG29" s="97" t="e">
        <x:f>BB29*INDEX(Régions!$AT$2:$AT$6,MATCH($B29,Régions!$A$2:$A$6,0))</x:f>
        <x:v>#NAME?</x:v>
      </x:c>
      <x:c r="BH29" s="97" t="e">
        <x:f>U29</x:f>
        <x:v>#NAME?</x:v>
      </x:c>
      <x:c r="BI29" s="97" t="e">
        <x:f>BC29*INDEX(Régions!$AU$2:$AU$6,MATCH($B29,Régions!$A$2:$A$6,0))</x:f>
        <x:v>#NAME?</x:v>
      </x:c>
      <x:c r="BJ29" s="97" t="str">
        <x:f>INDEX({"CAQ","PLQ","QS","PQ","PCQ","Autre"},MATCH(MAX(BD29:BI29),BD29:BI29,0))</x:f>
        <x:v>CAQ</x:v>
      </x:c>
    </x:row>
    <x:row r="30" s="60" customFormat="1" ht="15" customHeight="1">
      <x:c r="A30" s="94" t="inlineStr">
        <x:is>
          <x:t xml:space="preserve">Châteauguay</x:t>
        </x:is>
      </x:c>
      <x:c r="B30" s="94" t="inlineStr">
        <x:is>
          <x:t xml:space="preserve">Banlieue de Montréal</x:t>
        </x:is>
      </x:c>
      <x:c r="C30" s="95" t="inlineStr">
        <x:is>
          <x:t xml:space="preserve">CAQ</x:t>
        </x:is>
      </x:c>
      <x:c r="D30" s="96" t="n">
        <x:v>13038</x:v>
      </x:c>
      <x:c r="E30" s="96" t="n">
        <x:v>8260</x:v>
      </x:c>
      <x:c r="F30" s="96" t="n">
        <x:v>4261</x:v>
      </x:c>
      <x:c r="G30" s="96" t="n">
        <x:v>3947</x:v>
      </x:c>
      <x:c r="H30" s="96" t="n">
        <x:v>3363</x:v>
      </x:c>
      <x:c r="I30" s="96" t="n">
        <x:v>463</x:v>
      </x:c>
      <x:c r="J30" s="97" t="n">
        <x:f>SUM(D30:I30)</x:f>
        <x:v>33332</x:v>
      </x:c>
      <x:c r="K30" s="98" t="n">
        <x:f>IFERROR(D30/J30,0)</x:f>
        <x:v>0.39115564622584903</x:v>
      </x:c>
      <x:c r="L30" s="98" t="n">
        <x:f>IFERROR(E30/J30,0)</x:f>
        <x:v>0.24780991239649586</x:v>
      </x:c>
      <x:c r="M30" s="98" t="n">
        <x:f>IFERROR(F30/J30,0)</x:f>
        <x:v>0.12783511340453618</x:v>
      </x:c>
      <x:c r="N30" s="98" t="n">
        <x:f>IFERROR(G30/J30,0)</x:f>
        <x:v>0.11841473658946358</x:v>
      </x:c>
      <x:c r="O30" s="98" t="n">
        <x:f>IFERROR(H30/J30,0)</x:f>
        <x:v>0.10089403576143045</x:v>
      </x:c>
      <x:c r="P30" s="98" t="n">
        <x:f>IFERROR(I30/J30,0)</x:f>
        <x:v>0.013890555622224889</x:v>
      </x:c>
      <x:c r="Q30" s="97" t="e">
        <x:f>D30*INDEX(Régions!$T$2:$T$6,MATCH($B30,Régions!$A$2:$A$6,0))</x:f>
        <x:v>#NAME?</x:v>
      </x:c>
      <x:c r="R30" s="97" t="e">
        <x:f>E30*INDEX(Régions!$U$2:$U$6,MATCH($B30,Régions!$A$2:$A$6,0))</x:f>
        <x:v>#NAME?</x:v>
      </x:c>
      <x:c r="S30" s="97" t="e">
        <x:f>F30*INDEX(Régions!$V$2:$V$6,MATCH($B30,Régions!$A$2:$A$6,0))</x:f>
        <x:v>#NAME?</x:v>
      </x:c>
      <x:c r="T30" s="97" t="e">
        <x:f>G30*INDEX(Régions!$W$2:$W$6,MATCH($B30,Régions!$A$2:$A$6,0))</x:f>
        <x:v>#NAME?</x:v>
      </x:c>
      <x:c r="U30" s="97" t="e">
        <x:f>H30*INDEX(Régions!$X$2:$X$6,MATCH($B30,Régions!$A$2:$A$6,0))</x:f>
        <x:v>#NAME?</x:v>
      </x:c>
      <x:c r="V30" s="97" t="e">
        <x:f>I30*INDEX(Régions!$Y$2:$Y$6,MATCH($B30,Régions!$A$2:$A$6,0))</x:f>
        <x:v>#NAME?</x:v>
      </x:c>
      <x:c r="W30" s="97" t="e">
        <x:f>Q30+(AU30/100)*J30*Régions!$O$2</x:f>
        <x:v>#NAME?</x:v>
      </x:c>
      <x:c r="X30" s="97" t="e">
        <x:f>R30+(AV30/100)*J30*Régions!$O$2</x:f>
        <x:v>#NAME?</x:v>
      </x:c>
      <x:c r="Y30" s="97" t="e">
        <x:f>S30+(AW30/100)*J30*Régions!$O$2</x:f>
        <x:v>#NAME?</x:v>
      </x:c>
      <x:c r="Z30" s="97" t="e">
        <x:f>T30+(AX30/100)*J30*Régions!$O$2</x:f>
        <x:v>#NAME?</x:v>
      </x:c>
      <x:c r="AA30" s="97" t="e">
        <x:f>U30</x:f>
        <x:v>#NAME?</x:v>
      </x:c>
      <x:c r="AB30" s="97" t="e">
        <x:f>V30</x:f>
        <x:v>#NAME?</x:v>
      </x:c>
      <x:c r="AC30" s="97" t="e">
        <x:f>D30*INDEX(Régions!$Z$2:$Z$6,MATCH($B30,Régions!$A$2:$A$6,0))</x:f>
        <x:v>#NAME?</x:v>
      </x:c>
      <x:c r="AD30" s="97" t="e">
        <x:f>E30*INDEX(Régions!$AA$2:$AA$6,MATCH($B30,Régions!$A$2:$A$6,0))</x:f>
        <x:v>#NAME?</x:v>
      </x:c>
      <x:c r="AE30" s="97" t="e">
        <x:f>F30*INDEX(Régions!$AB$2:$AB$6,MATCH($B30,Régions!$A$2:$A$6,0))</x:f>
        <x:v>#NAME?</x:v>
      </x:c>
      <x:c r="AF30" s="97" t="e">
        <x:f>G30*INDEX(Régions!$AC$2:$AC$6,MATCH($B30,Régions!$A$2:$A$6,0))</x:f>
        <x:v>#NAME?</x:v>
      </x:c>
      <x:c r="AG30" s="97" t="e">
        <x:f>H30*INDEX(Régions!$AD$2:$AD$6,MATCH($B30,Régions!$A$2:$A$6,0))</x:f>
        <x:v>#NAME?</x:v>
      </x:c>
      <x:c r="AH30" s="97" t="e">
        <x:f>I30*INDEX(Régions!$AE$2:$AE$6,MATCH($B30,Régions!$A$2:$A$6,0))</x:f>
        <x:v>#NAME?</x:v>
      </x:c>
      <x:c r="AI30" s="97" t="e">
        <x:f>D30*INDEX(Régions!$AF$2:$AF$6,MATCH($B30,Régions!$A$2:$A$6,0))</x:f>
        <x:v>#NAME?</x:v>
      </x:c>
      <x:c r="AJ30" s="97" t="e">
        <x:f>E30*INDEX(Régions!$AG$2:$AG$6,MATCH($B30,Régions!$A$2:$A$6,0))</x:f>
        <x:v>#NAME?</x:v>
      </x:c>
      <x:c r="AK30" s="97" t="e">
        <x:f>F30*INDEX(Régions!$AH$2:$AH$6,MATCH($B30,Régions!$A$2:$A$6,0))</x:f>
        <x:v>#NAME?</x:v>
      </x:c>
      <x:c r="AL30" s="97" t="e">
        <x:f>G30*INDEX(Régions!$AI$2:$AI$6,MATCH($B30,Régions!$A$2:$A$6,0))</x:f>
        <x:v>#NAME?</x:v>
      </x:c>
      <x:c r="AM30" s="97" t="e">
        <x:f>H30*INDEX(Régions!$AJ$2:$AJ$6,MATCH($B30,Régions!$A$2:$A$6,0))</x:f>
        <x:v>#NAME?</x:v>
      </x:c>
      <x:c r="AN30" s="97" t="e">
        <x:f>I30*INDEX(Régions!$AK$2:$AK$6,MATCH($B30,Régions!$A$2:$A$6,0))</x:f>
        <x:v>#NAME?</x:v>
      </x:c>
      <x:c r="AO30" s="99" t="str">
        <x:f>INDEX({"CAQ","PLQ","QS","PQ","PCQ","Autre"},MATCH(MAX(Q30:V30),Q30:V30,0))</x:f>
        <x:v>CAQ</x:v>
      </x:c>
      <x:c r="AP30" s="99" t="str">
        <x:f>INDEX({"CAQ","PLQ","QS","PQ","PCQ","Autre"},MATCH(MAX(W30:AB30),W30:AB30,0))</x:f>
        <x:v>CAQ</x:v>
      </x:c>
      <x:c r="AQ30" s="99" t="str">
        <x:f>INDEX({"CAQ","PLQ","QS","PQ","PCQ","Autre"},MATCH(MAX(AC30:AH30),AC30:AH30,0))</x:f>
        <x:v>CAQ</x:v>
      </x:c>
      <x:c r="AR30" s="99" t="str">
        <x:f>INDEX({"CAQ","PLQ","QS","PQ","PCQ","Autre"},MATCH(MAX(AI30:AN30),AI30:AN30,0))</x:f>
        <x:v>CAQ</x:v>
      </x:c>
      <x:c r="AS30" s="100" t="n">
        <x:f>(MAX(K30:P30)-LARGE(K30:P30,2))*100</x:f>
        <x:v>14.334573382935318</x:v>
      </x:c>
      <x:c r="AT30" s="101" t="str">
        <x:f>IF(AS30&lt;5,"Oui","Non")</x:f>
        <x:v>Non</x:v>
      </x:c>
      <x:c r="AU30" s="102" t="n">
        <x:v>-1.07</x:v>
      </x:c>
      <x:c r="AV30" s="102" t="n">
        <x:v>-1.986</x:v>
      </x:c>
      <x:c r="AW30" s="102" t="n">
        <x:v>0.673</x:v>
      </x:c>
      <x:c r="AX30" s="102" t="n">
        <x:v>2.585</x:v>
      </x:c>
      <x:c r="AY30" s="96" t="n">
        <x:v>12258</x:v>
      </x:c>
      <x:c r="AZ30" s="96" t="n">
        <x:v>11137</x:v>
      </x:c>
      <x:c r="BA30" s="96" t="n">
        <x:v>4236</x:v>
      </x:c>
      <x:c r="BB30" s="96" t="n">
        <x:v>4055</x:v>
      </x:c>
      <x:c r="BC30" s="96" t="n">
        <x:v>1392</x:v>
      </x:c>
      <x:c r="BD30" s="97" t="e">
        <x:f>AY30*INDEX(Régions!$AQ$2:$AQ$6,MATCH($B30,Régions!$A$2:$A$6,0))</x:f>
        <x:v>#NAME?</x:v>
      </x:c>
      <x:c r="BE30" s="97" t="e">
        <x:f>AZ30*INDEX(Régions!$AR$2:$AR$6,MATCH($B30,Régions!$A$2:$A$6,0))</x:f>
        <x:v>#NAME?</x:v>
      </x:c>
      <x:c r="BF30" s="97" t="e">
        <x:f>BA30*INDEX(Régions!$AS$2:$AS$6,MATCH($B30,Régions!$A$2:$A$6,0))</x:f>
        <x:v>#NAME?</x:v>
      </x:c>
      <x:c r="BG30" s="97" t="e">
        <x:f>BB30*INDEX(Régions!$AT$2:$AT$6,MATCH($B30,Régions!$A$2:$A$6,0))</x:f>
        <x:v>#NAME?</x:v>
      </x:c>
      <x:c r="BH30" s="97" t="e">
        <x:f>U30</x:f>
        <x:v>#NAME?</x:v>
      </x:c>
      <x:c r="BI30" s="97" t="e">
        <x:f>BC30*INDEX(Régions!$AU$2:$AU$6,MATCH($B30,Régions!$A$2:$A$6,0))</x:f>
        <x:v>#NAME?</x:v>
      </x:c>
      <x:c r="BJ30" s="97" t="str">
        <x:f>INDEX({"CAQ","PLQ","QS","PQ","PCQ","Autre"},MATCH(MAX(BD30:BI30),BD30:BI30,0))</x:f>
        <x:v>CAQ</x:v>
      </x:c>
    </x:row>
    <x:row r="31" s="60" customFormat="1" ht="15" customHeight="1">
      <x:c r="A31" s="94" t="inlineStr">
        <x:is>
          <x:t xml:space="preserve">Côte-du-Sud</x:t>
        </x:is>
      </x:c>
      <x:c r="B31" s="94" t="inlineStr">
        <x:is>
          <x:t xml:space="preserve">Reste du Québec</x:t>
        </x:is>
      </x:c>
      <x:c r="C31" s="95" t="inlineStr">
        <x:is>
          <x:t xml:space="preserve">CAQ</x:t>
        </x:is>
      </x:c>
      <x:c r="D31" s="96" t="n">
        <x:v>16116</x:v>
      </x:c>
      <x:c r="E31" s="96" t="n">
        <x:v>2132</x:v>
      </x:c>
      <x:c r="F31" s="96" t="n">
        <x:v>3154</x:v>
      </x:c>
      <x:c r="G31" s="96" t="n">
        <x:v>4316</x:v>
      </x:c>
      <x:c r="H31" s="96" t="n">
        <x:v>7910</x:v>
      </x:c>
      <x:c r="I31" s="96" t="n">
        <x:v>164</x:v>
      </x:c>
      <x:c r="J31" s="97" t="n">
        <x:f>SUM(D31:I31)</x:f>
        <x:v>33792</x:v>
      </x:c>
      <x:c r="K31" s="98" t="n">
        <x:f>IFERROR(D31/J31,0)</x:f>
        <x:v>0.47691761363636365</x:v>
      </x:c>
      <x:c r="L31" s="98" t="n">
        <x:f>IFERROR(E31/J31,0)</x:f>
        <x:v>0.06309185606060606</x:v>
      </x:c>
      <x:c r="M31" s="98" t="n">
        <x:f>IFERROR(F31/J31,0)</x:f>
        <x:v>0.09333570075757576</x:v>
      </x:c>
      <x:c r="N31" s="98" t="n">
        <x:f>IFERROR(G31/J31,0)</x:f>
        <x:v>0.12772253787878787</x:v>
      </x:c>
      <x:c r="O31" s="98" t="n">
        <x:f>IFERROR(H31/J31,0)</x:f>
        <x:v>0.23407907196969696</x:v>
      </x:c>
      <x:c r="P31" s="98" t="n">
        <x:f>IFERROR(I31/J31,0)</x:f>
        <x:v>0.004853219696969697</x:v>
      </x:c>
      <x:c r="Q31" s="97" t="e">
        <x:f>D31*INDEX(Régions!$T$2:$T$6,MATCH($B31,Régions!$A$2:$A$6,0))</x:f>
        <x:v>#NAME?</x:v>
      </x:c>
      <x:c r="R31" s="97" t="e">
        <x:f>E31*INDEX(Régions!$U$2:$U$6,MATCH($B31,Régions!$A$2:$A$6,0))</x:f>
        <x:v>#NAME?</x:v>
      </x:c>
      <x:c r="S31" s="97" t="e">
        <x:f>F31*INDEX(Régions!$V$2:$V$6,MATCH($B31,Régions!$A$2:$A$6,0))</x:f>
        <x:v>#NAME?</x:v>
      </x:c>
      <x:c r="T31" s="97" t="e">
        <x:f>G31*INDEX(Régions!$W$2:$W$6,MATCH($B31,Régions!$A$2:$A$6,0))</x:f>
        <x:v>#NAME?</x:v>
      </x:c>
      <x:c r="U31" s="97" t="e">
        <x:f>H31*INDEX(Régions!$X$2:$X$6,MATCH($B31,Régions!$A$2:$A$6,0))</x:f>
        <x:v>#NAME?</x:v>
      </x:c>
      <x:c r="V31" s="97" t="e">
        <x:f>I31*INDEX(Régions!$Y$2:$Y$6,MATCH($B31,Régions!$A$2:$A$6,0))</x:f>
        <x:v>#NAME?</x:v>
      </x:c>
      <x:c r="W31" s="97" t="e">
        <x:f>Q31+(AU31/100)*J31*Régions!$O$2</x:f>
        <x:v>#NAME?</x:v>
      </x:c>
      <x:c r="X31" s="97" t="e">
        <x:f>R31+(AV31/100)*J31*Régions!$O$2</x:f>
        <x:v>#NAME?</x:v>
      </x:c>
      <x:c r="Y31" s="97" t="e">
        <x:f>S31+(AW31/100)*J31*Régions!$O$2</x:f>
        <x:v>#NAME?</x:v>
      </x:c>
      <x:c r="Z31" s="97" t="e">
        <x:f>T31+(AX31/100)*J31*Régions!$O$2</x:f>
        <x:v>#NAME?</x:v>
      </x:c>
      <x:c r="AA31" s="97" t="e">
        <x:f>U31</x:f>
        <x:v>#NAME?</x:v>
      </x:c>
      <x:c r="AB31" s="97" t="e">
        <x:f>V31</x:f>
        <x:v>#NAME?</x:v>
      </x:c>
      <x:c r="AC31" s="97" t="e">
        <x:f>D31*INDEX(Régions!$Z$2:$Z$6,MATCH($B31,Régions!$A$2:$A$6,0))</x:f>
        <x:v>#NAME?</x:v>
      </x:c>
      <x:c r="AD31" s="97" t="e">
        <x:f>E31*INDEX(Régions!$AA$2:$AA$6,MATCH($B31,Régions!$A$2:$A$6,0))</x:f>
        <x:v>#NAME?</x:v>
      </x:c>
      <x:c r="AE31" s="97" t="e">
        <x:f>F31*INDEX(Régions!$AB$2:$AB$6,MATCH($B31,Régions!$A$2:$A$6,0))</x:f>
        <x:v>#NAME?</x:v>
      </x:c>
      <x:c r="AF31" s="97" t="e">
        <x:f>G31*INDEX(Régions!$AC$2:$AC$6,MATCH($B31,Régions!$A$2:$A$6,0))</x:f>
        <x:v>#NAME?</x:v>
      </x:c>
      <x:c r="AG31" s="97" t="e">
        <x:f>H31*INDEX(Régions!$AD$2:$AD$6,MATCH($B31,Régions!$A$2:$A$6,0))</x:f>
        <x:v>#NAME?</x:v>
      </x:c>
      <x:c r="AH31" s="97" t="e">
        <x:f>I31*INDEX(Régions!$AE$2:$AE$6,MATCH($B31,Régions!$A$2:$A$6,0))</x:f>
        <x:v>#NAME?</x:v>
      </x:c>
      <x:c r="AI31" s="97" t="e">
        <x:f>D31*INDEX(Régions!$AF$2:$AF$6,MATCH($B31,Régions!$A$2:$A$6,0))</x:f>
        <x:v>#NAME?</x:v>
      </x:c>
      <x:c r="AJ31" s="97" t="e">
        <x:f>E31*INDEX(Régions!$AG$2:$AG$6,MATCH($B31,Régions!$A$2:$A$6,0))</x:f>
        <x:v>#NAME?</x:v>
      </x:c>
      <x:c r="AK31" s="97" t="e">
        <x:f>F31*INDEX(Régions!$AH$2:$AH$6,MATCH($B31,Régions!$A$2:$A$6,0))</x:f>
        <x:v>#NAME?</x:v>
      </x:c>
      <x:c r="AL31" s="97" t="e">
        <x:f>G31*INDEX(Régions!$AI$2:$AI$6,MATCH($B31,Régions!$A$2:$A$6,0))</x:f>
        <x:v>#NAME?</x:v>
      </x:c>
      <x:c r="AM31" s="97" t="e">
        <x:f>H31*INDEX(Régions!$AJ$2:$AJ$6,MATCH($B31,Régions!$A$2:$A$6,0))</x:f>
        <x:v>#NAME?</x:v>
      </x:c>
      <x:c r="AN31" s="97" t="e">
        <x:f>I31*INDEX(Régions!$AK$2:$AK$6,MATCH($B31,Régions!$A$2:$A$6,0))</x:f>
        <x:v>#NAME?</x:v>
      </x:c>
      <x:c r="AO31" s="99" t="str">
        <x:f>INDEX({"CAQ","PLQ","QS","PQ","PCQ","Autre"},MATCH(MAX(Q31:V31),Q31:V31,0))</x:f>
        <x:v>CAQ</x:v>
      </x:c>
      <x:c r="AP31" s="99" t="str">
        <x:f>INDEX({"CAQ","PLQ","QS","PQ","PCQ","Autre"},MATCH(MAX(W31:AB31),W31:AB31,0))</x:f>
        <x:v>CAQ</x:v>
      </x:c>
      <x:c r="AQ31" s="99" t="str">
        <x:f>INDEX({"CAQ","PLQ","QS","PQ","PCQ","Autre"},MATCH(MAX(AC31:AH31),AC31:AH31,0))</x:f>
        <x:v>CAQ</x:v>
      </x:c>
      <x:c r="AR31" s="99" t="str">
        <x:f>INDEX({"CAQ","PLQ","QS","PQ","PCQ","Autre"},MATCH(MAX(AI31:AN31),AI31:AN31,0))</x:f>
        <x:v>CAQ</x:v>
      </x:c>
      <x:c r="AS31" s="100" t="n">
        <x:f>(MAX(K31:P31)-LARGE(K31:P31,2))*100</x:f>
        <x:v>24.283854166666668</x:v>
      </x:c>
      <x:c r="AT31" s="101" t="str">
        <x:f>IF(AS31&lt;5,"Oui","Non")</x:f>
        <x:v>Non</x:v>
      </x:c>
      <x:c r="AU31" s="102" t="n">
        <x:v>-11.903</x:v>
      </x:c>
      <x:c r="AV31" s="102" t="n">
        <x:v>-2.929</x:v>
      </x:c>
      <x:c r="AW31" s="102" t="n">
        <x:v>-0.533</x:v>
      </x:c>
      <x:c r="AX31" s="102" t="n">
        <x:v>6.649</x:v>
      </x:c>
      <x:c r="AY31" s="96" t="n">
        <x:v>17595</x:v>
      </x:c>
      <x:c r="AZ31" s="96" t="n">
        <x:v>7212</x:v>
      </x:c>
      <x:c r="BA31" s="96" t="n">
        <x:v>3560</x:v>
      </x:c>
      <x:c r="BB31" s="96" t="n">
        <x:v>3315</x:v>
      </x:c>
      <x:c r="BC31" s="96" t="n">
        <x:v>1117</x:v>
      </x:c>
      <x:c r="BD31" s="97" t="e">
        <x:f>AY31*INDEX(Régions!$AQ$2:$AQ$6,MATCH($B31,Régions!$A$2:$A$6,0))</x:f>
        <x:v>#NAME?</x:v>
      </x:c>
      <x:c r="BE31" s="97" t="e">
        <x:f>AZ31*INDEX(Régions!$AR$2:$AR$6,MATCH($B31,Régions!$A$2:$A$6,0))</x:f>
        <x:v>#NAME?</x:v>
      </x:c>
      <x:c r="BF31" s="97" t="e">
        <x:f>BA31*INDEX(Régions!$AS$2:$AS$6,MATCH($B31,Régions!$A$2:$A$6,0))</x:f>
        <x:v>#NAME?</x:v>
      </x:c>
      <x:c r="BG31" s="97" t="e">
        <x:f>BB31*INDEX(Régions!$AT$2:$AT$6,MATCH($B31,Régions!$A$2:$A$6,0))</x:f>
        <x:v>#NAME?</x:v>
      </x:c>
      <x:c r="BH31" s="97" t="e">
        <x:f>U31</x:f>
        <x:v>#NAME?</x:v>
      </x:c>
      <x:c r="BI31" s="97" t="e">
        <x:f>BC31*INDEX(Régions!$AU$2:$AU$6,MATCH($B31,Régions!$A$2:$A$6,0))</x:f>
        <x:v>#NAME?</x:v>
      </x:c>
      <x:c r="BJ31" s="97" t="str">
        <x:f>INDEX({"CAQ","PLQ","QS","PQ","PCQ","Autre"},MATCH(MAX(BD31:BI31),BD31:BI31,0))</x:f>
        <x:v>CAQ</x:v>
      </x:c>
    </x:row>
    <x:row r="32" s="60" customFormat="1" ht="15" customHeight="1">
      <x:c r="A32" s="94" t="inlineStr">
        <x:is>
          <x:t xml:space="preserve">D'Arcy-McGee</x:t>
        </x:is>
      </x:c>
      <x:c r="B32" s="94" t="inlineStr">
        <x:is>
          <x:t xml:space="preserve">Île de Montréal</x:t>
        </x:is>
      </x:c>
      <x:c r="C32" s="95" t="inlineStr">
        <x:is>
          <x:t xml:space="preserve">PLQ</x:t>
        </x:is>
      </x:c>
      <x:c r="D32" s="96" t="n">
        <x:v>1529</x:v>
      </x:c>
      <x:c r="E32" s="96" t="n">
        <x:v>13298</x:v>
      </x:c>
      <x:c r="F32" s="96" t="n">
        <x:v>2203</x:v>
      </x:c>
      <x:c r="G32" s="96" t="n">
        <x:v>648</x:v>
      </x:c>
      <x:c r="H32" s="96" t="n">
        <x:v>6962</x:v>
      </x:c>
      <x:c r="I32" s="96" t="n">
        <x:v>1226</x:v>
      </x:c>
      <x:c r="J32" s="97" t="n">
        <x:f>SUM(D32:I32)</x:f>
        <x:v>25866</x:v>
      </x:c>
      <x:c r="K32" s="98" t="n">
        <x:f>IFERROR(D32/J32,0)</x:f>
        <x:v>0.05911234825639836</x:v>
      </x:c>
      <x:c r="L32" s="98" t="n">
        <x:f>IFERROR(E32/J32,0)</x:f>
        <x:v>0.5141111884326915</x:v>
      </x:c>
      <x:c r="M32" s="98" t="n">
        <x:f>IFERROR(F32/J32,0)</x:f>
        <x:v>0.08516972086909456</x:v>
      </x:c>
      <x:c r="N32" s="98" t="n">
        <x:f>IFERROR(G32/J32,0)</x:f>
        <x:v>0.025052192066805846</x:v>
      </x:c>
      <x:c r="O32" s="98" t="n">
        <x:f>IFERROR(H32/J32,0)</x:f>
        <x:v>0.2691564215572566</x:v>
      </x:c>
      <x:c r="P32" s="98" t="n">
        <x:f>IFERROR(I32/J32,0)</x:f>
        <x:v>0.04739812881775304</x:v>
      </x:c>
      <x:c r="Q32" s="97" t="e">
        <x:f>D32*INDEX(Régions!$T$2:$T$6,MATCH($B32,Régions!$A$2:$A$6,0))</x:f>
        <x:v>#NAME?</x:v>
      </x:c>
      <x:c r="R32" s="97" t="e">
        <x:f>E32*INDEX(Régions!$U$2:$U$6,MATCH($B32,Régions!$A$2:$A$6,0))</x:f>
        <x:v>#NAME?</x:v>
      </x:c>
      <x:c r="S32" s="97" t="e">
        <x:f>F32*INDEX(Régions!$V$2:$V$6,MATCH($B32,Régions!$A$2:$A$6,0))</x:f>
        <x:v>#NAME?</x:v>
      </x:c>
      <x:c r="T32" s="97" t="e">
        <x:f>G32*INDEX(Régions!$W$2:$W$6,MATCH($B32,Régions!$A$2:$A$6,0))</x:f>
        <x:v>#NAME?</x:v>
      </x:c>
      <x:c r="U32" s="97" t="e">
        <x:f>H32*INDEX(Régions!$X$2:$X$6,MATCH($B32,Régions!$A$2:$A$6,0))</x:f>
        <x:v>#NAME?</x:v>
      </x:c>
      <x:c r="V32" s="97" t="e">
        <x:f>I32*INDEX(Régions!$Y$2:$Y$6,MATCH($B32,Régions!$A$2:$A$6,0))</x:f>
        <x:v>#NAME?</x:v>
      </x:c>
      <x:c r="W32" s="97" t="e">
        <x:f>Q32+(AU32/100)*J32*Régions!$O$2</x:f>
        <x:v>#NAME?</x:v>
      </x:c>
      <x:c r="X32" s="97" t="e">
        <x:f>R32+(AV32/100)*J32*Régions!$O$2</x:f>
        <x:v>#NAME?</x:v>
      </x:c>
      <x:c r="Y32" s="97" t="e">
        <x:f>S32+(AW32/100)*J32*Régions!$O$2</x:f>
        <x:v>#NAME?</x:v>
      </x:c>
      <x:c r="Z32" s="97" t="e">
        <x:f>T32+(AX32/100)*J32*Régions!$O$2</x:f>
        <x:v>#NAME?</x:v>
      </x:c>
      <x:c r="AA32" s="97" t="e">
        <x:f>U32</x:f>
        <x:v>#NAME?</x:v>
      </x:c>
      <x:c r="AB32" s="97" t="e">
        <x:f>V32</x:f>
        <x:v>#NAME?</x:v>
      </x:c>
      <x:c r="AC32" s="97" t="e">
        <x:f>D32*INDEX(Régions!$Z$2:$Z$6,MATCH($B32,Régions!$A$2:$A$6,0))</x:f>
        <x:v>#NAME?</x:v>
      </x:c>
      <x:c r="AD32" s="97" t="e">
        <x:f>E32*INDEX(Régions!$AA$2:$AA$6,MATCH($B32,Régions!$A$2:$A$6,0))</x:f>
        <x:v>#NAME?</x:v>
      </x:c>
      <x:c r="AE32" s="97" t="e">
        <x:f>F32*INDEX(Régions!$AB$2:$AB$6,MATCH($B32,Régions!$A$2:$A$6,0))</x:f>
        <x:v>#NAME?</x:v>
      </x:c>
      <x:c r="AF32" s="97" t="e">
        <x:f>G32*INDEX(Régions!$AC$2:$AC$6,MATCH($B32,Régions!$A$2:$A$6,0))</x:f>
        <x:v>#NAME?</x:v>
      </x:c>
      <x:c r="AG32" s="97" t="e">
        <x:f>H32*INDEX(Régions!$AD$2:$AD$6,MATCH($B32,Régions!$A$2:$A$6,0))</x:f>
        <x:v>#NAME?</x:v>
      </x:c>
      <x:c r="AH32" s="97" t="e">
        <x:f>I32*INDEX(Régions!$AE$2:$AE$6,MATCH($B32,Régions!$A$2:$A$6,0))</x:f>
        <x:v>#NAME?</x:v>
      </x:c>
      <x:c r="AI32" s="97" t="e">
        <x:f>D32*INDEX(Régions!$AF$2:$AF$6,MATCH($B32,Régions!$A$2:$A$6,0))</x:f>
        <x:v>#NAME?</x:v>
      </x:c>
      <x:c r="AJ32" s="97" t="e">
        <x:f>E32*INDEX(Régions!$AG$2:$AG$6,MATCH($B32,Régions!$A$2:$A$6,0))</x:f>
        <x:v>#NAME?</x:v>
      </x:c>
      <x:c r="AK32" s="97" t="e">
        <x:f>F32*INDEX(Régions!$AH$2:$AH$6,MATCH($B32,Régions!$A$2:$A$6,0))</x:f>
        <x:v>#NAME?</x:v>
      </x:c>
      <x:c r="AL32" s="97" t="e">
        <x:f>G32*INDEX(Régions!$AI$2:$AI$6,MATCH($B32,Régions!$A$2:$A$6,0))</x:f>
        <x:v>#NAME?</x:v>
      </x:c>
      <x:c r="AM32" s="97" t="e">
        <x:f>H32*INDEX(Régions!$AJ$2:$AJ$6,MATCH($B32,Régions!$A$2:$A$6,0))</x:f>
        <x:v>#NAME?</x:v>
      </x:c>
      <x:c r="AN32" s="97" t="e">
        <x:f>I32*INDEX(Régions!$AK$2:$AK$6,MATCH($B32,Régions!$A$2:$A$6,0))</x:f>
        <x:v>#NAME?</x:v>
      </x:c>
      <x:c r="AO32" s="99" t="str">
        <x:f>INDEX({"CAQ","PLQ","QS","PQ","PCQ","Autre"},MATCH(MAX(Q32:V32),Q32:V32,0))</x:f>
        <x:v>CAQ</x:v>
      </x:c>
      <x:c r="AP32" s="99" t="str">
        <x:f>INDEX({"CAQ","PLQ","QS","PQ","PCQ","Autre"},MATCH(MAX(W32:AB32),W32:AB32,0))</x:f>
        <x:v>CAQ</x:v>
      </x:c>
      <x:c r="AQ32" s="99" t="str">
        <x:f>INDEX({"CAQ","PLQ","QS","PQ","PCQ","Autre"},MATCH(MAX(AC32:AH32),AC32:AH32,0))</x:f>
        <x:v>CAQ</x:v>
      </x:c>
      <x:c r="AR32" s="99" t="str">
        <x:f>INDEX({"CAQ","PLQ","QS","PQ","PCQ","Autre"},MATCH(MAX(AI32:AN32),AI32:AN32,0))</x:f>
        <x:v>CAQ</x:v>
      </x:c>
      <x:c r="AS32" s="100" t="n">
        <x:f>(MAX(K32:P32)-LARGE(K32:P32,2))*100</x:f>
        <x:v>24.495476687543494</x:v>
      </x:c>
      <x:c r="AT32" s="101" t="str">
        <x:f>IF(AS32&lt;5,"Oui","Non")</x:f>
        <x:v>Non</x:v>
      </x:c>
      <x:c r="AU32" s="102" t="n">
        <x:v>-2.594</x:v>
      </x:c>
      <x:c r="AV32" s="102" t="n">
        <x:v>-14.069</x:v>
      </x:c>
      <x:c r="AW32" s="102" t="n">
        <x:v>0.526</x:v>
      </x:c>
      <x:c r="AX32" s="102" t="n">
        <x:v>1.102</x:v>
      </x:c>
      <x:c r="AY32" s="96" t="n">
        <x:v>1643</x:v>
      </x:c>
      <x:c r="AZ32" s="96" t="n">
        <x:v>19085</x:v>
      </x:c>
      <x:c r="BA32" s="96" t="n">
        <x:v>1861</x:v>
      </x:c>
      <x:c r="BB32" s="96" t="n">
        <x:v>657</x:v>
      </x:c>
      <x:c r="BC32" s="96" t="n">
        <x:v>2435</x:v>
      </x:c>
      <x:c r="BD32" s="97" t="e">
        <x:f>AY32*INDEX(Régions!$AQ$2:$AQ$6,MATCH($B32,Régions!$A$2:$A$6,0))</x:f>
        <x:v>#NAME?</x:v>
      </x:c>
      <x:c r="BE32" s="97" t="e">
        <x:f>AZ32*INDEX(Régions!$AR$2:$AR$6,MATCH($B32,Régions!$A$2:$A$6,0))</x:f>
        <x:v>#NAME?</x:v>
      </x:c>
      <x:c r="BF32" s="97" t="e">
        <x:f>BA32*INDEX(Régions!$AS$2:$AS$6,MATCH($B32,Régions!$A$2:$A$6,0))</x:f>
        <x:v>#NAME?</x:v>
      </x:c>
      <x:c r="BG32" s="97" t="e">
        <x:f>BB32*INDEX(Régions!$AT$2:$AT$6,MATCH($B32,Régions!$A$2:$A$6,0))</x:f>
        <x:v>#NAME?</x:v>
      </x:c>
      <x:c r="BH32" s="97" t="e">
        <x:f>U32</x:f>
        <x:v>#NAME?</x:v>
      </x:c>
      <x:c r="BI32" s="97" t="e">
        <x:f>BC32*INDEX(Régions!$AU$2:$AU$6,MATCH($B32,Régions!$A$2:$A$6,0))</x:f>
        <x:v>#NAME?</x:v>
      </x:c>
      <x:c r="BJ32" s="97" t="str">
        <x:f>INDEX({"CAQ","PLQ","QS","PQ","PCQ","Autre"},MATCH(MAX(BD32:BI32),BD32:BI32,0))</x:f>
        <x:v>CAQ</x:v>
      </x:c>
    </x:row>
    <x:row r="33" s="60" customFormat="1" ht="15" customHeight="1">
      <x:c r="A33" s="94" t="inlineStr">
        <x:is>
          <x:t xml:space="preserve">Daniel-Johnson</x:t>
        </x:is>
      </x:c>
      <x:c r="B33" s="94" t="inlineStr">
        <x:is>
          <x:t xml:space="preserve">Banlieue de Montréal</x:t>
        </x:is>
      </x:c>
      <x:c r="C33" s="95" t="inlineStr">
        <x:is>
          <x:t xml:space="preserve">CAQ</x:t>
        </x:is>
      </x:c>
      <x:c r="D33" s="96" t="n">
        <x:v>16209</x:v>
      </x:c>
      <x:c r="E33" s="96" t="n">
        <x:v>1949</x:v>
      </x:c>
      <x:c r="F33" s="96" t="n">
        <x:v>4768</x:v>
      </x:c>
      <x:c r="G33" s="96" t="n">
        <x:v>4530</x:v>
      </x:c>
      <x:c r="H33" s="96" t="n">
        <x:v>4268</x:v>
      </x:c>
      <x:c r="I33" s="96" t="n">
        <x:v>341</x:v>
      </x:c>
      <x:c r="J33" s="97" t="n">
        <x:f>SUM(D33:I33)</x:f>
        <x:v>32065</x:v>
      </x:c>
      <x:c r="K33" s="98" t="n">
        <x:f>IFERROR(D33/J33,0)</x:f>
        <x:v>0.505504444097926</x:v>
      </x:c>
      <x:c r="L33" s="98" t="n">
        <x:f>IFERROR(E33/J33,0)</x:f>
        <x:v>0.06078278496803368</x:v>
      </x:c>
      <x:c r="M33" s="98" t="n">
        <x:f>IFERROR(F33/J33,0)</x:f>
        <x:v>0.1486979572742866</x:v>
      </x:c>
      <x:c r="N33" s="98" t="n">
        <x:f>IFERROR(G33/J33,0)</x:f>
        <x:v>0.14127553407141744</x:v>
      </x:c>
      <x:c r="O33" s="98" t="n">
        <x:f>IFERROR(H33/J33,0)</x:f>
        <x:v>0.13310463121783878</x:v>
      </x:c>
      <x:c r="P33" s="98" t="n">
        <x:f>IFERROR(I33/J33,0)</x:f>
        <x:v>0.010634648370497428</x:v>
      </x:c>
      <x:c r="Q33" s="97" t="e">
        <x:f>D33*INDEX(Régions!$T$2:$T$6,MATCH($B33,Régions!$A$2:$A$6,0))</x:f>
        <x:v>#NAME?</x:v>
      </x:c>
      <x:c r="R33" s="97" t="e">
        <x:f>E33*INDEX(Régions!$U$2:$U$6,MATCH($B33,Régions!$A$2:$A$6,0))</x:f>
        <x:v>#NAME?</x:v>
      </x:c>
      <x:c r="S33" s="97" t="e">
        <x:f>F33*INDEX(Régions!$V$2:$V$6,MATCH($B33,Régions!$A$2:$A$6,0))</x:f>
        <x:v>#NAME?</x:v>
      </x:c>
      <x:c r="T33" s="97" t="e">
        <x:f>G33*INDEX(Régions!$W$2:$W$6,MATCH($B33,Régions!$A$2:$A$6,0))</x:f>
        <x:v>#NAME?</x:v>
      </x:c>
      <x:c r="U33" s="97" t="e">
        <x:f>H33*INDEX(Régions!$X$2:$X$6,MATCH($B33,Régions!$A$2:$A$6,0))</x:f>
        <x:v>#NAME?</x:v>
      </x:c>
      <x:c r="V33" s="97" t="e">
        <x:f>I33*INDEX(Régions!$Y$2:$Y$6,MATCH($B33,Régions!$A$2:$A$6,0))</x:f>
        <x:v>#NAME?</x:v>
      </x:c>
      <x:c r="W33" s="97" t="e">
        <x:f>Q33+(AU33/100)*J33*Régions!$O$2</x:f>
        <x:v>#NAME?</x:v>
      </x:c>
      <x:c r="X33" s="97" t="e">
        <x:f>R33+(AV33/100)*J33*Régions!$O$2</x:f>
        <x:v>#NAME?</x:v>
      </x:c>
      <x:c r="Y33" s="97" t="e">
        <x:f>S33+(AW33/100)*J33*Régions!$O$2</x:f>
        <x:v>#NAME?</x:v>
      </x:c>
      <x:c r="Z33" s="97" t="e">
        <x:f>T33+(AX33/100)*J33*Régions!$O$2</x:f>
        <x:v>#NAME?</x:v>
      </x:c>
      <x:c r="AA33" s="97" t="e">
        <x:f>U33</x:f>
        <x:v>#NAME?</x:v>
      </x:c>
      <x:c r="AB33" s="97" t="e">
        <x:f>V33</x:f>
        <x:v>#NAME?</x:v>
      </x:c>
      <x:c r="AC33" s="97" t="e">
        <x:f>D33*INDEX(Régions!$Z$2:$Z$6,MATCH($B33,Régions!$A$2:$A$6,0))</x:f>
        <x:v>#NAME?</x:v>
      </x:c>
      <x:c r="AD33" s="97" t="e">
        <x:f>E33*INDEX(Régions!$AA$2:$AA$6,MATCH($B33,Régions!$A$2:$A$6,0))</x:f>
        <x:v>#NAME?</x:v>
      </x:c>
      <x:c r="AE33" s="97" t="e">
        <x:f>F33*INDEX(Régions!$AB$2:$AB$6,MATCH($B33,Régions!$A$2:$A$6,0))</x:f>
        <x:v>#NAME?</x:v>
      </x:c>
      <x:c r="AF33" s="97" t="e">
        <x:f>G33*INDEX(Régions!$AC$2:$AC$6,MATCH($B33,Régions!$A$2:$A$6,0))</x:f>
        <x:v>#NAME?</x:v>
      </x:c>
      <x:c r="AG33" s="97" t="e">
        <x:f>H33*INDEX(Régions!$AD$2:$AD$6,MATCH($B33,Régions!$A$2:$A$6,0))</x:f>
        <x:v>#NAME?</x:v>
      </x:c>
      <x:c r="AH33" s="97" t="e">
        <x:f>I33*INDEX(Régions!$AE$2:$AE$6,MATCH($B33,Régions!$A$2:$A$6,0))</x:f>
        <x:v>#NAME?</x:v>
      </x:c>
      <x:c r="AI33" s="97" t="e">
        <x:f>D33*INDEX(Régions!$AF$2:$AF$6,MATCH($B33,Régions!$A$2:$A$6,0))</x:f>
        <x:v>#NAME?</x:v>
      </x:c>
      <x:c r="AJ33" s="97" t="e">
        <x:f>E33*INDEX(Régions!$AG$2:$AG$6,MATCH($B33,Régions!$A$2:$A$6,0))</x:f>
        <x:v>#NAME?</x:v>
      </x:c>
      <x:c r="AK33" s="97" t="e">
        <x:f>F33*INDEX(Régions!$AH$2:$AH$6,MATCH($B33,Régions!$A$2:$A$6,0))</x:f>
        <x:v>#NAME?</x:v>
      </x:c>
      <x:c r="AL33" s="97" t="e">
        <x:f>G33*INDEX(Régions!$AI$2:$AI$6,MATCH($B33,Régions!$A$2:$A$6,0))</x:f>
        <x:v>#NAME?</x:v>
      </x:c>
      <x:c r="AM33" s="97" t="e">
        <x:f>H33*INDEX(Régions!$AJ$2:$AJ$6,MATCH($B33,Régions!$A$2:$A$6,0))</x:f>
        <x:v>#NAME?</x:v>
      </x:c>
      <x:c r="AN33" s="97" t="e">
        <x:f>I33*INDEX(Régions!$AK$2:$AK$6,MATCH($B33,Régions!$A$2:$A$6,0))</x:f>
        <x:v>#NAME?</x:v>
      </x:c>
      <x:c r="AO33" s="99" t="str">
        <x:f>INDEX({"CAQ","PLQ","QS","PQ","PCQ","Autre"},MATCH(MAX(Q33:V33),Q33:V33,0))</x:f>
        <x:v>CAQ</x:v>
      </x:c>
      <x:c r="AP33" s="99" t="str">
        <x:f>INDEX({"CAQ","PLQ","QS","PQ","PCQ","Autre"},MATCH(MAX(W33:AB33),W33:AB33,0))</x:f>
        <x:v>CAQ</x:v>
      </x:c>
      <x:c r="AQ33" s="99" t="str">
        <x:f>INDEX({"CAQ","PLQ","QS","PQ","PCQ","Autre"},MATCH(MAX(AC33:AH33),AC33:AH33,0))</x:f>
        <x:v>CAQ</x:v>
      </x:c>
      <x:c r="AR33" s="99" t="str">
        <x:f>INDEX({"CAQ","PLQ","QS","PQ","PCQ","Autre"},MATCH(MAX(AI33:AN33),AI33:AN33,0))</x:f>
        <x:v>CAQ</x:v>
      </x:c>
      <x:c r="AS33" s="100" t="n">
        <x:f>(MAX(K33:P33)-LARGE(K33:P33,2))*100</x:f>
        <x:v>35.680648682363945</x:v>
      </x:c>
      <x:c r="AT33" s="101" t="str">
        <x:f>IF(AS33&lt;5,"Oui","Non")</x:f>
        <x:v>Non</x:v>
      </x:c>
      <x:c r="AU33" s="102" t="n">
        <x:v>-1.851</x:v>
      </x:c>
      <x:c r="AV33" s="102" t="n">
        <x:v>-2.819</x:v>
      </x:c>
      <x:c r="AW33" s="102" t="n">
        <x:v>-2.033</x:v>
      </x:c>
      <x:c r="AX33" s="102" t="n">
        <x:v>3.538</x:v>
      </x:c>
      <x:c r="AY33" s="96" t="n">
        <x:v>14972</x:v>
      </x:c>
      <x:c r="AZ33" s="96" t="n">
        <x:v>4801</x:v>
      </x:c>
      <x:c r="BA33" s="96" t="n">
        <x:v>5346</x:v>
      </x:c>
      <x:c r="BB33" s="96" t="n">
        <x:v>4130</x:v>
      </x:c>
      <x:c r="BC33" s="96" t="n">
        <x:v>1136</x:v>
      </x:c>
      <x:c r="BD33" s="97" t="e">
        <x:f>AY33*INDEX(Régions!$AQ$2:$AQ$6,MATCH($B33,Régions!$A$2:$A$6,0))</x:f>
        <x:v>#NAME?</x:v>
      </x:c>
      <x:c r="BE33" s="97" t="e">
        <x:f>AZ33*INDEX(Régions!$AR$2:$AR$6,MATCH($B33,Régions!$A$2:$A$6,0))</x:f>
        <x:v>#NAME?</x:v>
      </x:c>
      <x:c r="BF33" s="97" t="e">
        <x:f>BA33*INDEX(Régions!$AS$2:$AS$6,MATCH($B33,Régions!$A$2:$A$6,0))</x:f>
        <x:v>#NAME?</x:v>
      </x:c>
      <x:c r="BG33" s="97" t="e">
        <x:f>BB33*INDEX(Régions!$AT$2:$AT$6,MATCH($B33,Régions!$A$2:$A$6,0))</x:f>
        <x:v>#NAME?</x:v>
      </x:c>
      <x:c r="BH33" s="97" t="e">
        <x:f>U33</x:f>
        <x:v>#NAME?</x:v>
      </x:c>
      <x:c r="BI33" s="97" t="e">
        <x:f>BC33*INDEX(Régions!$AU$2:$AU$6,MATCH($B33,Régions!$A$2:$A$6,0))</x:f>
        <x:v>#NAME?</x:v>
      </x:c>
      <x:c r="BJ33" s="97" t="str">
        <x:f>INDEX({"CAQ","PLQ","QS","PQ","PCQ","Autre"},MATCH(MAX(BD33:BI33),BD33:BI33,0))</x:f>
        <x:v>CAQ</x:v>
      </x:c>
    </x:row>
    <x:row r="34" s="60" customFormat="1" ht="15" customHeight="1">
      <x:c r="A34" s="94" t="inlineStr">
        <x:is>
          <x:t xml:space="preserve">Deux-Montagnes</x:t>
        </x:is>
      </x:c>
      <x:c r="B34" s="94" t="inlineStr">
        <x:is>
          <x:t xml:space="preserve">Banlieue de Montréal</x:t>
        </x:is>
      </x:c>
      <x:c r="C34" s="95" t="inlineStr">
        <x:is>
          <x:t xml:space="preserve">CAQ</x:t>
        </x:is>
      </x:c>
      <x:c r="D34" s="96" t="n">
        <x:v>15854</x:v>
      </x:c>
      <x:c r="E34" s="96" t="n">
        <x:v>3460</x:v>
      </x:c>
      <x:c r="F34" s="96" t="n">
        <x:v>4766</x:v>
      </x:c>
      <x:c r="G34" s="96" t="n">
        <x:v>5777</x:v>
      </x:c>
      <x:c r="H34" s="96" t="n">
        <x:v>3308</x:v>
      </x:c>
      <x:c r="I34" s="96" t="n">
        <x:v>510</x:v>
      </x:c>
      <x:c r="J34" s="97" t="n">
        <x:f>SUM(D34:I34)</x:f>
        <x:v>33675</x:v>
      </x:c>
      <x:c r="K34" s="98" t="n">
        <x:f>IFERROR(D34/J34,0)</x:f>
        <x:v>0.47079435783221973</x:v>
      </x:c>
      <x:c r="L34" s="98" t="n">
        <x:f>IFERROR(E34/J34,0)</x:f>
        <x:v>0.10274684484038604</x:v>
      </x:c>
      <x:c r="M34" s="98" t="n">
        <x:f>IFERROR(F34/J34,0)</x:f>
        <x:v>0.14152932442464736</x:v>
      </x:c>
      <x:c r="N34" s="98" t="n">
        <x:f>IFERROR(G34/J34,0)</x:f>
        <x:v>0.1715515961395694</x:v>
      </x:c>
      <x:c r="O34" s="98" t="n">
        <x:f>IFERROR(H34/J34,0)</x:f>
        <x:v>0.09823311061618412</x:v>
      </x:c>
      <x:c r="P34" s="98" t="n">
        <x:f>IFERROR(I34/J34,0)</x:f>
        <x:v>0.015144766146993319</x:v>
      </x:c>
      <x:c r="Q34" s="97" t="e">
        <x:f>D34*INDEX(Régions!$T$2:$T$6,MATCH($B34,Régions!$A$2:$A$6,0))</x:f>
        <x:v>#NAME?</x:v>
      </x:c>
      <x:c r="R34" s="97" t="e">
        <x:f>E34*INDEX(Régions!$U$2:$U$6,MATCH($B34,Régions!$A$2:$A$6,0))</x:f>
        <x:v>#NAME?</x:v>
      </x:c>
      <x:c r="S34" s="97" t="e">
        <x:f>F34*INDEX(Régions!$V$2:$V$6,MATCH($B34,Régions!$A$2:$A$6,0))</x:f>
        <x:v>#NAME?</x:v>
      </x:c>
      <x:c r="T34" s="97" t="e">
        <x:f>G34*INDEX(Régions!$W$2:$W$6,MATCH($B34,Régions!$A$2:$A$6,0))</x:f>
        <x:v>#NAME?</x:v>
      </x:c>
      <x:c r="U34" s="97" t="e">
        <x:f>H34*INDEX(Régions!$X$2:$X$6,MATCH($B34,Régions!$A$2:$A$6,0))</x:f>
        <x:v>#NAME?</x:v>
      </x:c>
      <x:c r="V34" s="97" t="e">
        <x:f>I34*INDEX(Régions!$Y$2:$Y$6,MATCH($B34,Régions!$A$2:$A$6,0))</x:f>
        <x:v>#NAME?</x:v>
      </x:c>
      <x:c r="W34" s="97" t="e">
        <x:f>Q34+(AU34/100)*J34*Régions!$O$2</x:f>
        <x:v>#NAME?</x:v>
      </x:c>
      <x:c r="X34" s="97" t="e">
        <x:f>R34+(AV34/100)*J34*Régions!$O$2</x:f>
        <x:v>#NAME?</x:v>
      </x:c>
      <x:c r="Y34" s="97" t="e">
        <x:f>S34+(AW34/100)*J34*Régions!$O$2</x:f>
        <x:v>#NAME?</x:v>
      </x:c>
      <x:c r="Z34" s="97" t="e">
        <x:f>T34+(AX34/100)*J34*Régions!$O$2</x:f>
        <x:v>#NAME?</x:v>
      </x:c>
      <x:c r="AA34" s="97" t="e">
        <x:f>U34</x:f>
        <x:v>#NAME?</x:v>
      </x:c>
      <x:c r="AB34" s="97" t="e">
        <x:f>V34</x:f>
        <x:v>#NAME?</x:v>
      </x:c>
      <x:c r="AC34" s="97" t="e">
        <x:f>D34*INDEX(Régions!$Z$2:$Z$6,MATCH($B34,Régions!$A$2:$A$6,0))</x:f>
        <x:v>#NAME?</x:v>
      </x:c>
      <x:c r="AD34" s="97" t="e">
        <x:f>E34*INDEX(Régions!$AA$2:$AA$6,MATCH($B34,Régions!$A$2:$A$6,0))</x:f>
        <x:v>#NAME?</x:v>
      </x:c>
      <x:c r="AE34" s="97" t="e">
        <x:f>F34*INDEX(Régions!$AB$2:$AB$6,MATCH($B34,Régions!$A$2:$A$6,0))</x:f>
        <x:v>#NAME?</x:v>
      </x:c>
      <x:c r="AF34" s="97" t="e">
        <x:f>G34*INDEX(Régions!$AC$2:$AC$6,MATCH($B34,Régions!$A$2:$A$6,0))</x:f>
        <x:v>#NAME?</x:v>
      </x:c>
      <x:c r="AG34" s="97" t="e">
        <x:f>H34*INDEX(Régions!$AD$2:$AD$6,MATCH($B34,Régions!$A$2:$A$6,0))</x:f>
        <x:v>#NAME?</x:v>
      </x:c>
      <x:c r="AH34" s="97" t="e">
        <x:f>I34*INDEX(Régions!$AE$2:$AE$6,MATCH($B34,Régions!$A$2:$A$6,0))</x:f>
        <x:v>#NAME?</x:v>
      </x:c>
      <x:c r="AI34" s="97" t="e">
        <x:f>D34*INDEX(Régions!$AF$2:$AF$6,MATCH($B34,Régions!$A$2:$A$6,0))</x:f>
        <x:v>#NAME?</x:v>
      </x:c>
      <x:c r="AJ34" s="97" t="e">
        <x:f>E34*INDEX(Régions!$AG$2:$AG$6,MATCH($B34,Régions!$A$2:$A$6,0))</x:f>
        <x:v>#NAME?</x:v>
      </x:c>
      <x:c r="AK34" s="97" t="e">
        <x:f>F34*INDEX(Régions!$AH$2:$AH$6,MATCH($B34,Régions!$A$2:$A$6,0))</x:f>
        <x:v>#NAME?</x:v>
      </x:c>
      <x:c r="AL34" s="97" t="e">
        <x:f>G34*INDEX(Régions!$AI$2:$AI$6,MATCH($B34,Régions!$A$2:$A$6,0))</x:f>
        <x:v>#NAME?</x:v>
      </x:c>
      <x:c r="AM34" s="97" t="e">
        <x:f>H34*INDEX(Régions!$AJ$2:$AJ$6,MATCH($B34,Régions!$A$2:$A$6,0))</x:f>
        <x:v>#NAME?</x:v>
      </x:c>
      <x:c r="AN34" s="97" t="e">
        <x:f>I34*INDEX(Régions!$AK$2:$AK$6,MATCH($B34,Régions!$A$2:$A$6,0))</x:f>
        <x:v>#NAME?</x:v>
      </x:c>
      <x:c r="AO34" s="99" t="str">
        <x:f>INDEX({"CAQ","PLQ","QS","PQ","PCQ","Autre"},MATCH(MAX(Q34:V34),Q34:V34,0))</x:f>
        <x:v>CAQ</x:v>
      </x:c>
      <x:c r="AP34" s="99" t="str">
        <x:f>INDEX({"CAQ","PLQ","QS","PQ","PCQ","Autre"},MATCH(MAX(W34:AB34),W34:AB34,0))</x:f>
        <x:v>CAQ</x:v>
      </x:c>
      <x:c r="AQ34" s="99" t="str">
        <x:f>INDEX({"CAQ","PLQ","QS","PQ","PCQ","Autre"},MATCH(MAX(AC34:AH34),AC34:AH34,0))</x:f>
        <x:v>CAQ</x:v>
      </x:c>
      <x:c r="AR34" s="99" t="str">
        <x:f>INDEX({"CAQ","PLQ","QS","PQ","PCQ","Autre"},MATCH(MAX(AI34:AN34),AI34:AN34,0))</x:f>
        <x:v>CAQ</x:v>
      </x:c>
      <x:c r="AS34" s="100" t="n">
        <x:f>(MAX(K34:P34)-LARGE(K34:P34,2))*100</x:f>
        <x:v>29.924276169265028</x:v>
      </x:c>
      <x:c r="AT34" s="101" t="str">
        <x:f>IF(AS34&lt;5,"Oui","Non")</x:f>
        <x:v>Non</x:v>
      </x:c>
      <x:c r="AU34" s="102" t="n">
        <x:v>-3.488</x:v>
      </x:c>
      <x:c r="AV34" s="102" t="n">
        <x:v>3.797</x:v>
      </x:c>
      <x:c r="AW34" s="102" t="n">
        <x:v>0.317</x:v>
      </x:c>
      <x:c r="AX34" s="102" t="n">
        <x:v>1.036</x:v>
      </x:c>
      <x:c r="AY34" s="96" t="n">
        <x:v>16039</x:v>
      </x:c>
      <x:c r="AZ34" s="96" t="n">
        <x:v>4524</x:v>
      </x:c>
      <x:c r="BA34" s="96" t="n">
        <x:v>4912</x:v>
      </x:c>
      <x:c r="BB34" s="96" t="n">
        <x:v>6464</x:v>
      </x:c>
      <x:c r="BC34" s="96" t="n">
        <x:v>1869</x:v>
      </x:c>
      <x:c r="BD34" s="97" t="e">
        <x:f>AY34*INDEX(Régions!$AQ$2:$AQ$6,MATCH($B34,Régions!$A$2:$A$6,0))</x:f>
        <x:v>#NAME?</x:v>
      </x:c>
      <x:c r="BE34" s="97" t="e">
        <x:f>AZ34*INDEX(Régions!$AR$2:$AR$6,MATCH($B34,Régions!$A$2:$A$6,0))</x:f>
        <x:v>#NAME?</x:v>
      </x:c>
      <x:c r="BF34" s="97" t="e">
        <x:f>BA34*INDEX(Régions!$AS$2:$AS$6,MATCH($B34,Régions!$A$2:$A$6,0))</x:f>
        <x:v>#NAME?</x:v>
      </x:c>
      <x:c r="BG34" s="97" t="e">
        <x:f>BB34*INDEX(Régions!$AT$2:$AT$6,MATCH($B34,Régions!$A$2:$A$6,0))</x:f>
        <x:v>#NAME?</x:v>
      </x:c>
      <x:c r="BH34" s="97" t="e">
        <x:f>U34</x:f>
        <x:v>#NAME?</x:v>
      </x:c>
      <x:c r="BI34" s="97" t="e">
        <x:f>BC34*INDEX(Régions!$AU$2:$AU$6,MATCH($B34,Régions!$A$2:$A$6,0))</x:f>
        <x:v>#NAME?</x:v>
      </x:c>
      <x:c r="BJ34" s="97" t="str">
        <x:f>INDEX({"CAQ","PLQ","QS","PQ","PCQ","Autre"},MATCH(MAX(BD34:BI34),BD34:BI34,0))</x:f>
        <x:v>CAQ</x:v>
      </x:c>
    </x:row>
    <x:row r="35" s="60" customFormat="1" ht="15" customHeight="1">
      <x:c r="A35" s="94" t="inlineStr">
        <x:is>
          <x:t xml:space="preserve">Drummond–Bois-Francs</x:t>
        </x:is>
      </x:c>
      <x:c r="B35" s="94" t="inlineStr">
        <x:is>
          <x:t xml:space="preserve">Reste du Québec</x:t>
        </x:is>
      </x:c>
      <x:c r="C35" s="95" t="inlineStr">
        <x:is>
          <x:t xml:space="preserve">CAQ</x:t>
        </x:is>
      </x:c>
      <x:c r="D35" s="96" t="n">
        <x:v>18267</x:v>
      </x:c>
      <x:c r="E35" s="96" t="n">
        <x:v>1422</x:v>
      </x:c>
      <x:c r="F35" s="96" t="n">
        <x:v>3763</x:v>
      </x:c>
      <x:c r="G35" s="96" t="n">
        <x:v>5337</x:v>
      </x:c>
      <x:c r="H35" s="96" t="n">
        <x:v>6179</x:v>
      </x:c>
      <x:c r="I35" s="96" t="n">
        <x:v>441</x:v>
      </x:c>
      <x:c r="J35" s="97" t="n">
        <x:f>SUM(D35:I35)</x:f>
        <x:v>35409</x:v>
      </x:c>
      <x:c r="K35" s="98" t="n">
        <x:f>IFERROR(D35/J35,0)</x:f>
        <x:v>0.5158857917478608</x:v>
      </x:c>
      <x:c r="L35" s="98" t="n">
        <x:f>IFERROR(E35/J35,0)</x:f>
        <x:v>0.040159281538591884</x:v>
      </x:c>
      <x:c r="M35" s="98" t="n">
        <x:f>IFERROR(F35/J35,0)</x:f>
        <x:v>0.10627241661724421</x:v>
      </x:c>
      <x:c r="N35" s="98" t="n">
        <x:f>IFERROR(G35/J35,0)</x:f>
        <x:v>0.15072439210370245</x:v>
      </x:c>
      <x:c r="O35" s="98" t="n">
        <x:f>IFERROR(H35/J35,0)</x:f>
        <x:v>0.17450365726227796</x:v>
      </x:c>
      <x:c r="P35" s="98" t="n">
        <x:f>IFERROR(I35/J35,0)</x:f>
        <x:v>0.0124544607303228</x:v>
      </x:c>
      <x:c r="Q35" s="97" t="e">
        <x:f>D35*INDEX(Régions!$T$2:$T$6,MATCH($B35,Régions!$A$2:$A$6,0))</x:f>
        <x:v>#NAME?</x:v>
      </x:c>
      <x:c r="R35" s="97" t="e">
        <x:f>E35*INDEX(Régions!$U$2:$U$6,MATCH($B35,Régions!$A$2:$A$6,0))</x:f>
        <x:v>#NAME?</x:v>
      </x:c>
      <x:c r="S35" s="97" t="e">
        <x:f>F35*INDEX(Régions!$V$2:$V$6,MATCH($B35,Régions!$A$2:$A$6,0))</x:f>
        <x:v>#NAME?</x:v>
      </x:c>
      <x:c r="T35" s="97" t="e">
        <x:f>G35*INDEX(Régions!$W$2:$W$6,MATCH($B35,Régions!$A$2:$A$6,0))</x:f>
        <x:v>#NAME?</x:v>
      </x:c>
      <x:c r="U35" s="97" t="e">
        <x:f>H35*INDEX(Régions!$X$2:$X$6,MATCH($B35,Régions!$A$2:$A$6,0))</x:f>
        <x:v>#NAME?</x:v>
      </x:c>
      <x:c r="V35" s="97" t="e">
        <x:f>I35*INDEX(Régions!$Y$2:$Y$6,MATCH($B35,Régions!$A$2:$A$6,0))</x:f>
        <x:v>#NAME?</x:v>
      </x:c>
      <x:c r="W35" s="97" t="e">
        <x:f>Q35+(AU35/100)*J35*Régions!$O$2</x:f>
        <x:v>#NAME?</x:v>
      </x:c>
      <x:c r="X35" s="97" t="e">
        <x:f>R35+(AV35/100)*J35*Régions!$O$2</x:f>
        <x:v>#NAME?</x:v>
      </x:c>
      <x:c r="Y35" s="97" t="e">
        <x:f>S35+(AW35/100)*J35*Régions!$O$2</x:f>
        <x:v>#NAME?</x:v>
      </x:c>
      <x:c r="Z35" s="97" t="e">
        <x:f>T35+(AX35/100)*J35*Régions!$O$2</x:f>
        <x:v>#NAME?</x:v>
      </x:c>
      <x:c r="AA35" s="97" t="e">
        <x:f>U35</x:f>
        <x:v>#NAME?</x:v>
      </x:c>
      <x:c r="AB35" s="97" t="e">
        <x:f>V35</x:f>
        <x:v>#NAME?</x:v>
      </x:c>
      <x:c r="AC35" s="97" t="e">
        <x:f>D35*INDEX(Régions!$Z$2:$Z$6,MATCH($B35,Régions!$A$2:$A$6,0))</x:f>
        <x:v>#NAME?</x:v>
      </x:c>
      <x:c r="AD35" s="97" t="e">
        <x:f>E35*INDEX(Régions!$AA$2:$AA$6,MATCH($B35,Régions!$A$2:$A$6,0))</x:f>
        <x:v>#NAME?</x:v>
      </x:c>
      <x:c r="AE35" s="97" t="e">
        <x:f>F35*INDEX(Régions!$AB$2:$AB$6,MATCH($B35,Régions!$A$2:$A$6,0))</x:f>
        <x:v>#NAME?</x:v>
      </x:c>
      <x:c r="AF35" s="97" t="e">
        <x:f>G35*INDEX(Régions!$AC$2:$AC$6,MATCH($B35,Régions!$A$2:$A$6,0))</x:f>
        <x:v>#NAME?</x:v>
      </x:c>
      <x:c r="AG35" s="97" t="e">
        <x:f>H35*INDEX(Régions!$AD$2:$AD$6,MATCH($B35,Régions!$A$2:$A$6,0))</x:f>
        <x:v>#NAME?</x:v>
      </x:c>
      <x:c r="AH35" s="97" t="e">
        <x:f>I35*INDEX(Régions!$AE$2:$AE$6,MATCH($B35,Régions!$A$2:$A$6,0))</x:f>
        <x:v>#NAME?</x:v>
      </x:c>
      <x:c r="AI35" s="97" t="e">
        <x:f>D35*INDEX(Régions!$AF$2:$AF$6,MATCH($B35,Régions!$A$2:$A$6,0))</x:f>
        <x:v>#NAME?</x:v>
      </x:c>
      <x:c r="AJ35" s="97" t="e">
        <x:f>E35*INDEX(Régions!$AG$2:$AG$6,MATCH($B35,Régions!$A$2:$A$6,0))</x:f>
        <x:v>#NAME?</x:v>
      </x:c>
      <x:c r="AK35" s="97" t="e">
        <x:f>F35*INDEX(Régions!$AH$2:$AH$6,MATCH($B35,Régions!$A$2:$A$6,0))</x:f>
        <x:v>#NAME?</x:v>
      </x:c>
      <x:c r="AL35" s="97" t="e">
        <x:f>G35*INDEX(Régions!$AI$2:$AI$6,MATCH($B35,Régions!$A$2:$A$6,0))</x:f>
        <x:v>#NAME?</x:v>
      </x:c>
      <x:c r="AM35" s="97" t="e">
        <x:f>H35*INDEX(Régions!$AJ$2:$AJ$6,MATCH($B35,Régions!$A$2:$A$6,0))</x:f>
        <x:v>#NAME?</x:v>
      </x:c>
      <x:c r="AN35" s="97" t="e">
        <x:f>I35*INDEX(Régions!$AK$2:$AK$6,MATCH($B35,Régions!$A$2:$A$6,0))</x:f>
        <x:v>#NAME?</x:v>
      </x:c>
      <x:c r="AO35" s="99" t="str">
        <x:f>INDEX({"CAQ","PLQ","QS","PQ","PCQ","Autre"},MATCH(MAX(Q35:V35),Q35:V35,0))</x:f>
        <x:v>CAQ</x:v>
      </x:c>
      <x:c r="AP35" s="99" t="str">
        <x:f>INDEX({"CAQ","PLQ","QS","PQ","PCQ","Autre"},MATCH(MAX(W35:AB35),W35:AB35,0))</x:f>
        <x:v>CAQ</x:v>
      </x:c>
      <x:c r="AQ35" s="99" t="str">
        <x:f>INDEX({"CAQ","PLQ","QS","PQ","PCQ","Autre"},MATCH(MAX(AC35:AH35),AC35:AH35,0))</x:f>
        <x:v>CAQ</x:v>
      </x:c>
      <x:c r="AR35" s="99" t="str">
        <x:f>INDEX({"CAQ","PLQ","QS","PQ","PCQ","Autre"},MATCH(MAX(AI35:AN35),AI35:AN35,0))</x:f>
        <x:v>CAQ</x:v>
      </x:c>
      <x:c r="AS35" s="100" t="n">
        <x:f>(MAX(K35:P35)-LARGE(K35:P35,2))*100</x:f>
        <x:v>34.13821344855828</x:v>
      </x:c>
      <x:c r="AT35" s="101" t="str">
        <x:f>IF(AS35&lt;5,"Oui","Non")</x:f>
        <x:v>Non</x:v>
      </x:c>
      <x:c r="AU35" s="102" t="n">
        <x:v>-10.648</x:v>
      </x:c>
      <x:c r="AV35" s="102" t="n">
        <x:v>3.753</x:v>
      </x:c>
      <x:c r="AW35" s="102" t="n">
        <x:v>-3.367</x:v>
      </x:c>
      <x:c r="AX35" s="102" t="n">
        <x:v>6.479</x:v>
      </x:c>
      <x:c r="AY35" s="96" t="n">
        <x:v>19089</x:v>
      </x:c>
      <x:c r="AZ35" s="96" t="n">
        <x:v>4414</x:v>
      </x:c>
      <x:c r="BA35" s="96" t="n">
        <x:v>5081</x:v>
      </x:c>
      <x:c r="BB35" s="96" t="n">
        <x:v>4265</x:v>
      </x:c>
      <x:c r="BC35" s="96" t="n">
        <x:v>1066</x:v>
      </x:c>
      <x:c r="BD35" s="97" t="e">
        <x:f>AY35*INDEX(Régions!$AQ$2:$AQ$6,MATCH($B35,Régions!$A$2:$A$6,0))</x:f>
        <x:v>#NAME?</x:v>
      </x:c>
      <x:c r="BE35" s="97" t="e">
        <x:f>AZ35*INDEX(Régions!$AR$2:$AR$6,MATCH($B35,Régions!$A$2:$A$6,0))</x:f>
        <x:v>#NAME?</x:v>
      </x:c>
      <x:c r="BF35" s="97" t="e">
        <x:f>BA35*INDEX(Régions!$AS$2:$AS$6,MATCH($B35,Régions!$A$2:$A$6,0))</x:f>
        <x:v>#NAME?</x:v>
      </x:c>
      <x:c r="BG35" s="97" t="e">
        <x:f>BB35*INDEX(Régions!$AT$2:$AT$6,MATCH($B35,Régions!$A$2:$A$6,0))</x:f>
        <x:v>#NAME?</x:v>
      </x:c>
      <x:c r="BH35" s="97" t="e">
        <x:f>U35</x:f>
        <x:v>#NAME?</x:v>
      </x:c>
      <x:c r="BI35" s="97" t="e">
        <x:f>BC35*INDEX(Régions!$AU$2:$AU$6,MATCH($B35,Régions!$A$2:$A$6,0))</x:f>
        <x:v>#NAME?</x:v>
      </x:c>
      <x:c r="BJ35" s="97" t="str">
        <x:f>INDEX({"CAQ","PLQ","QS","PQ","PCQ","Autre"},MATCH(MAX(BD35:BI35),BD35:BI35,0))</x:f>
        <x:v>CAQ</x:v>
      </x:c>
    </x:row>
    <x:row r="36" s="60" customFormat="1" ht="15" customHeight="1">
      <x:c r="A36" s="94" t="inlineStr">
        <x:is>
          <x:t xml:space="preserve">Dubuc</x:t>
        </x:is>
      </x:c>
      <x:c r="B36" s="94" t="inlineStr">
        <x:is>
          <x:t xml:space="preserve">Reste du Québec</x:t>
        </x:is>
      </x:c>
      <x:c r="C36" s="95" t="inlineStr">
        <x:is>
          <x:t xml:space="preserve">CAQ</x:t>
        </x:is>
      </x:c>
      <x:c r="D36" s="96" t="n">
        <x:v>15475</x:v>
      </x:c>
      <x:c r="E36" s="96" t="n">
        <x:v>668</x:v>
      </x:c>
      <x:c r="F36" s="96" t="n">
        <x:v>2842</x:v>
      </x:c>
      <x:c r="G36" s="96" t="n">
        <x:v>4710</x:v>
      </x:c>
      <x:c r="H36" s="96" t="n">
        <x:v>2962</x:v>
      </x:c>
      <x:c r="I36" s="96" t="n">
        <x:v>200</x:v>
      </x:c>
      <x:c r="J36" s="97" t="n">
        <x:f>SUM(D36:I36)</x:f>
        <x:v>26857</x:v>
      </x:c>
      <x:c r="K36" s="98" t="n">
        <x:f>IFERROR(D36/J36,0)</x:f>
        <x:v>0.5761998734035819</x:v>
      </x:c>
      <x:c r="L36" s="98" t="n">
        <x:f>IFERROR(E36/J36,0)</x:f>
        <x:v>0.024872472725918755</x:v>
      </x:c>
      <x:c r="M36" s="98" t="n">
        <x:f>IFERROR(F36/J36,0)</x:f>
        <x:v>0.10581971180697769</x:v>
      </x:c>
      <x:c r="N36" s="98" t="n">
        <x:f>IFERROR(G36/J36,0)</x:f>
        <x:v>0.17537327326209182</x:v>
      </x:c>
      <x:c r="O36" s="98" t="n">
        <x:f>IFERROR(H36/J36,0)</x:f>
        <x:v>0.11028782067989723</x:v>
      </x:c>
      <x:c r="P36" s="98" t="n">
        <x:f>IFERROR(I36/J36,0)</x:f>
        <x:v>0.007446848121532562</x:v>
      </x:c>
      <x:c r="Q36" s="97" t="e">
        <x:f>D36*INDEX(Régions!$T$2:$T$6,MATCH($B36,Régions!$A$2:$A$6,0))</x:f>
        <x:v>#NAME?</x:v>
      </x:c>
      <x:c r="R36" s="97" t="e">
        <x:f>E36*INDEX(Régions!$U$2:$U$6,MATCH($B36,Régions!$A$2:$A$6,0))</x:f>
        <x:v>#NAME?</x:v>
      </x:c>
      <x:c r="S36" s="97" t="e">
        <x:f>F36*INDEX(Régions!$V$2:$V$6,MATCH($B36,Régions!$A$2:$A$6,0))</x:f>
        <x:v>#NAME?</x:v>
      </x:c>
      <x:c r="T36" s="97" t="e">
        <x:f>G36*INDEX(Régions!$W$2:$W$6,MATCH($B36,Régions!$A$2:$A$6,0))</x:f>
        <x:v>#NAME?</x:v>
      </x:c>
      <x:c r="U36" s="97" t="e">
        <x:f>H36*INDEX(Régions!$X$2:$X$6,MATCH($B36,Régions!$A$2:$A$6,0))</x:f>
        <x:v>#NAME?</x:v>
      </x:c>
      <x:c r="V36" s="97" t="e">
        <x:f>I36*INDEX(Régions!$Y$2:$Y$6,MATCH($B36,Régions!$A$2:$A$6,0))</x:f>
        <x:v>#NAME?</x:v>
      </x:c>
      <x:c r="W36" s="97" t="e">
        <x:f>Q36+(AU36/100)*J36*Régions!$O$2</x:f>
        <x:v>#NAME?</x:v>
      </x:c>
      <x:c r="X36" s="97" t="e">
        <x:f>R36+(AV36/100)*J36*Régions!$O$2</x:f>
        <x:v>#NAME?</x:v>
      </x:c>
      <x:c r="Y36" s="97" t="e">
        <x:f>S36+(AW36/100)*J36*Régions!$O$2</x:f>
        <x:v>#NAME?</x:v>
      </x:c>
      <x:c r="Z36" s="97" t="e">
        <x:f>T36+(AX36/100)*J36*Régions!$O$2</x:f>
        <x:v>#NAME?</x:v>
      </x:c>
      <x:c r="AA36" s="97" t="e">
        <x:f>U36</x:f>
        <x:v>#NAME?</x:v>
      </x:c>
      <x:c r="AB36" s="97" t="e">
        <x:f>V36</x:f>
        <x:v>#NAME?</x:v>
      </x:c>
      <x:c r="AC36" s="97" t="e">
        <x:f>D36*INDEX(Régions!$Z$2:$Z$6,MATCH($B36,Régions!$A$2:$A$6,0))</x:f>
        <x:v>#NAME?</x:v>
      </x:c>
      <x:c r="AD36" s="97" t="e">
        <x:f>E36*INDEX(Régions!$AA$2:$AA$6,MATCH($B36,Régions!$A$2:$A$6,0))</x:f>
        <x:v>#NAME?</x:v>
      </x:c>
      <x:c r="AE36" s="97" t="e">
        <x:f>F36*INDEX(Régions!$AB$2:$AB$6,MATCH($B36,Régions!$A$2:$A$6,0))</x:f>
        <x:v>#NAME?</x:v>
      </x:c>
      <x:c r="AF36" s="97" t="e">
        <x:f>G36*INDEX(Régions!$AC$2:$AC$6,MATCH($B36,Régions!$A$2:$A$6,0))</x:f>
        <x:v>#NAME?</x:v>
      </x:c>
      <x:c r="AG36" s="97" t="e">
        <x:f>H36*INDEX(Régions!$AD$2:$AD$6,MATCH($B36,Régions!$A$2:$A$6,0))</x:f>
        <x:v>#NAME?</x:v>
      </x:c>
      <x:c r="AH36" s="97" t="e">
        <x:f>I36*INDEX(Régions!$AE$2:$AE$6,MATCH($B36,Régions!$A$2:$A$6,0))</x:f>
        <x:v>#NAME?</x:v>
      </x:c>
      <x:c r="AI36" s="97" t="e">
        <x:f>D36*INDEX(Régions!$AF$2:$AF$6,MATCH($B36,Régions!$A$2:$A$6,0))</x:f>
        <x:v>#NAME?</x:v>
      </x:c>
      <x:c r="AJ36" s="97" t="e">
        <x:f>E36*INDEX(Régions!$AG$2:$AG$6,MATCH($B36,Régions!$A$2:$A$6,0))</x:f>
        <x:v>#NAME?</x:v>
      </x:c>
      <x:c r="AK36" s="97" t="e">
        <x:f>F36*INDEX(Régions!$AH$2:$AH$6,MATCH($B36,Régions!$A$2:$A$6,0))</x:f>
        <x:v>#NAME?</x:v>
      </x:c>
      <x:c r="AL36" s="97" t="e">
        <x:f>G36*INDEX(Régions!$AI$2:$AI$6,MATCH($B36,Régions!$A$2:$A$6,0))</x:f>
        <x:v>#NAME?</x:v>
      </x:c>
      <x:c r="AM36" s="97" t="e">
        <x:f>H36*INDEX(Régions!$AJ$2:$AJ$6,MATCH($B36,Régions!$A$2:$A$6,0))</x:f>
        <x:v>#NAME?</x:v>
      </x:c>
      <x:c r="AN36" s="97" t="e">
        <x:f>I36*INDEX(Régions!$AK$2:$AK$6,MATCH($B36,Régions!$A$2:$A$6,0))</x:f>
        <x:v>#NAME?</x:v>
      </x:c>
      <x:c r="AO36" s="99" t="str">
        <x:f>INDEX({"CAQ","PLQ","QS","PQ","PCQ","Autre"},MATCH(MAX(Q36:V36),Q36:V36,0))</x:f>
        <x:v>CAQ</x:v>
      </x:c>
      <x:c r="AP36" s="99" t="str">
        <x:f>INDEX({"CAQ","PLQ","QS","PQ","PCQ","Autre"},MATCH(MAX(W36:AB36),W36:AB36,0))</x:f>
        <x:v>CAQ</x:v>
      </x:c>
      <x:c r="AQ36" s="99" t="str">
        <x:f>INDEX({"CAQ","PLQ","QS","PQ","PCQ","Autre"},MATCH(MAX(AC36:AH36),AC36:AH36,0))</x:f>
        <x:v>CAQ</x:v>
      </x:c>
      <x:c r="AR36" s="99" t="str">
        <x:f>INDEX({"CAQ","PLQ","QS","PQ","PCQ","Autre"},MATCH(MAX(AI36:AN36),AI36:AN36,0))</x:f>
        <x:v>CAQ</x:v>
      </x:c>
      <x:c r="AS36" s="100" t="n">
        <x:f>(MAX(K36:P36)-LARGE(K36:P36,2))*100</x:f>
        <x:v>40.082660014149006</x:v>
      </x:c>
      <x:c r="AT36" s="101" t="str">
        <x:f>IF(AS36&lt;5,"Oui","Non")</x:f>
        <x:v>Non</x:v>
      </x:c>
      <x:c r="AU36" s="102" t="n">
        <x:v>11.445</x:v>
      </x:c>
      <x:c r="AV36" s="102" t="n">
        <x:v>-7.124</x:v>
      </x:c>
      <x:c r="AW36" s="102" t="n">
        <x:v>-0.511</x:v>
      </x:c>
      <x:c r="AX36" s="102" t="n">
        <x:v>0.347</x:v>
      </x:c>
      <x:c r="AY36" s="96" t="n">
        <x:v>10566</x:v>
      </x:c>
      <x:c r="AZ36" s="96" t="n">
        <x:v>5874</x:v>
      </x:c>
      <x:c r="BA36" s="96" t="n">
        <x:v>3173</x:v>
      </x:c>
      <x:c r="BB36" s="96" t="n">
        <x:v>5561</x:v>
      </x:c>
      <x:c r="BC36" s="96" t="n">
        <x:v>1092</x:v>
      </x:c>
      <x:c r="BD36" s="97" t="e">
        <x:f>AY36*INDEX(Régions!$AQ$2:$AQ$6,MATCH($B36,Régions!$A$2:$A$6,0))</x:f>
        <x:v>#NAME?</x:v>
      </x:c>
      <x:c r="BE36" s="97" t="e">
        <x:f>AZ36*INDEX(Régions!$AR$2:$AR$6,MATCH($B36,Régions!$A$2:$A$6,0))</x:f>
        <x:v>#NAME?</x:v>
      </x:c>
      <x:c r="BF36" s="97" t="e">
        <x:f>BA36*INDEX(Régions!$AS$2:$AS$6,MATCH($B36,Régions!$A$2:$A$6,0))</x:f>
        <x:v>#NAME?</x:v>
      </x:c>
      <x:c r="BG36" s="97" t="e">
        <x:f>BB36*INDEX(Régions!$AT$2:$AT$6,MATCH($B36,Régions!$A$2:$A$6,0))</x:f>
        <x:v>#NAME?</x:v>
      </x:c>
      <x:c r="BH36" s="97" t="e">
        <x:f>U36</x:f>
        <x:v>#NAME?</x:v>
      </x:c>
      <x:c r="BI36" s="97" t="e">
        <x:f>BC36*INDEX(Régions!$AU$2:$AU$6,MATCH($B36,Régions!$A$2:$A$6,0))</x:f>
        <x:v>#NAME?</x:v>
      </x:c>
      <x:c r="BJ36" s="97" t="str">
        <x:f>INDEX({"CAQ","PLQ","QS","PQ","PCQ","Autre"},MATCH(MAX(BD36:BI36),BD36:BI36,0))</x:f>
        <x:v>CAQ</x:v>
      </x:c>
    </x:row>
    <x:row r="37" s="60" customFormat="1" ht="15" customHeight="1">
      <x:c r="A37" s="94" t="inlineStr">
        <x:is>
          <x:t xml:space="preserve">Duplessis</x:t>
        </x:is>
      </x:c>
      <x:c r="B37" s="94" t="inlineStr">
        <x:is>
          <x:t xml:space="preserve">Reste du Québec</x:t>
        </x:is>
      </x:c>
      <x:c r="C37" s="95" t="inlineStr">
        <x:is>
          <x:t xml:space="preserve">CAQ</x:t>
        </x:is>
      </x:c>
      <x:c r="D37" s="96" t="n">
        <x:v>8785</x:v>
      </x:c>
      <x:c r="E37" s="96" t="n">
        <x:v>783</x:v>
      </x:c>
      <x:c r="F37" s="96" t="n">
        <x:v>1821</x:v>
      </x:c>
      <x:c r="G37" s="96" t="n">
        <x:v>4825</x:v>
      </x:c>
      <x:c r="H37" s="96" t="n">
        <x:v>3059</x:v>
      </x:c>
      <x:c r="I37" s="96" t="n">
        <x:v>190</x:v>
      </x:c>
      <x:c r="J37" s="97" t="n">
        <x:f>SUM(D37:I37)</x:f>
        <x:v>19463</x:v>
      </x:c>
      <x:c r="K37" s="98" t="n">
        <x:f>IFERROR(D37/J37,0)</x:f>
        <x:v>0.45136926475877304</x:v>
      </x:c>
      <x:c r="L37" s="98" t="n">
        <x:f>IFERROR(E37/J37,0)</x:f>
        <x:v>0.04023018034218774</x:v>
      </x:c>
      <x:c r="M37" s="98" t="n">
        <x:f>IFERROR(F37/J37,0)</x:f>
        <x:v>0.09356214355443662</x:v>
      </x:c>
      <x:c r="N37" s="98" t="n">
        <x:f>IFERROR(G37/J37,0)</x:f>
        <x:v>0.24790628371782356</x:v>
      </x:c>
      <x:c r="O37" s="98" t="n">
        <x:f>IFERROR(H37/J37,0)</x:f>
        <x:v>0.1571700149000668</x:v>
      </x:c>
      <x:c r="P37" s="98" t="n">
        <x:f>IFERROR(I37/J37,0)</x:f>
        <x:v>0.009762112726712223</x:v>
      </x:c>
      <x:c r="Q37" s="97" t="e">
        <x:f>D37*INDEX(Régions!$T$2:$T$6,MATCH($B37,Régions!$A$2:$A$6,0))</x:f>
        <x:v>#NAME?</x:v>
      </x:c>
      <x:c r="R37" s="97" t="e">
        <x:f>E37*INDEX(Régions!$U$2:$U$6,MATCH($B37,Régions!$A$2:$A$6,0))</x:f>
        <x:v>#NAME?</x:v>
      </x:c>
      <x:c r="S37" s="97" t="e">
        <x:f>F37*INDEX(Régions!$V$2:$V$6,MATCH($B37,Régions!$A$2:$A$6,0))</x:f>
        <x:v>#NAME?</x:v>
      </x:c>
      <x:c r="T37" s="97" t="e">
        <x:f>G37*INDEX(Régions!$W$2:$W$6,MATCH($B37,Régions!$A$2:$A$6,0))</x:f>
        <x:v>#NAME?</x:v>
      </x:c>
      <x:c r="U37" s="97" t="e">
        <x:f>H37*INDEX(Régions!$X$2:$X$6,MATCH($B37,Régions!$A$2:$A$6,0))</x:f>
        <x:v>#NAME?</x:v>
      </x:c>
      <x:c r="V37" s="97" t="e">
        <x:f>I37*INDEX(Régions!$Y$2:$Y$6,MATCH($B37,Régions!$A$2:$A$6,0))</x:f>
        <x:v>#NAME?</x:v>
      </x:c>
      <x:c r="W37" s="97" t="e">
        <x:f>Q37+(AU37/100)*J37*Régions!$O$2</x:f>
        <x:v>#NAME?</x:v>
      </x:c>
      <x:c r="X37" s="97" t="e">
        <x:f>R37+(AV37/100)*J37*Régions!$O$2</x:f>
        <x:v>#NAME?</x:v>
      </x:c>
      <x:c r="Y37" s="97" t="e">
        <x:f>S37+(AW37/100)*J37*Régions!$O$2</x:f>
        <x:v>#NAME?</x:v>
      </x:c>
      <x:c r="Z37" s="97" t="e">
        <x:f>T37+(AX37/100)*J37*Régions!$O$2</x:f>
        <x:v>#NAME?</x:v>
      </x:c>
      <x:c r="AA37" s="97" t="e">
        <x:f>U37</x:f>
        <x:v>#NAME?</x:v>
      </x:c>
      <x:c r="AB37" s="97" t="e">
        <x:f>V37</x:f>
        <x:v>#NAME?</x:v>
      </x:c>
      <x:c r="AC37" s="97" t="e">
        <x:f>D37*INDEX(Régions!$Z$2:$Z$6,MATCH($B37,Régions!$A$2:$A$6,0))</x:f>
        <x:v>#NAME?</x:v>
      </x:c>
      <x:c r="AD37" s="97" t="e">
        <x:f>E37*INDEX(Régions!$AA$2:$AA$6,MATCH($B37,Régions!$A$2:$A$6,0))</x:f>
        <x:v>#NAME?</x:v>
      </x:c>
      <x:c r="AE37" s="97" t="e">
        <x:f>F37*INDEX(Régions!$AB$2:$AB$6,MATCH($B37,Régions!$A$2:$A$6,0))</x:f>
        <x:v>#NAME?</x:v>
      </x:c>
      <x:c r="AF37" s="97" t="e">
        <x:f>G37*INDEX(Régions!$AC$2:$AC$6,MATCH($B37,Régions!$A$2:$A$6,0))</x:f>
        <x:v>#NAME?</x:v>
      </x:c>
      <x:c r="AG37" s="97" t="e">
        <x:f>H37*INDEX(Régions!$AD$2:$AD$6,MATCH($B37,Régions!$A$2:$A$6,0))</x:f>
        <x:v>#NAME?</x:v>
      </x:c>
      <x:c r="AH37" s="97" t="e">
        <x:f>I37*INDEX(Régions!$AE$2:$AE$6,MATCH($B37,Régions!$A$2:$A$6,0))</x:f>
        <x:v>#NAME?</x:v>
      </x:c>
      <x:c r="AI37" s="97" t="e">
        <x:f>D37*INDEX(Régions!$AF$2:$AF$6,MATCH($B37,Régions!$A$2:$A$6,0))</x:f>
        <x:v>#NAME?</x:v>
      </x:c>
      <x:c r="AJ37" s="97" t="e">
        <x:f>E37*INDEX(Régions!$AG$2:$AG$6,MATCH($B37,Régions!$A$2:$A$6,0))</x:f>
        <x:v>#NAME?</x:v>
      </x:c>
      <x:c r="AK37" s="97" t="e">
        <x:f>F37*INDEX(Régions!$AH$2:$AH$6,MATCH($B37,Régions!$A$2:$A$6,0))</x:f>
        <x:v>#NAME?</x:v>
      </x:c>
      <x:c r="AL37" s="97" t="e">
        <x:f>G37*INDEX(Régions!$AI$2:$AI$6,MATCH($B37,Régions!$A$2:$A$6,0))</x:f>
        <x:v>#NAME?</x:v>
      </x:c>
      <x:c r="AM37" s="97" t="e">
        <x:f>H37*INDEX(Régions!$AJ$2:$AJ$6,MATCH($B37,Régions!$A$2:$A$6,0))</x:f>
        <x:v>#NAME?</x:v>
      </x:c>
      <x:c r="AN37" s="97" t="e">
        <x:f>I37*INDEX(Régions!$AK$2:$AK$6,MATCH($B37,Régions!$A$2:$A$6,0))</x:f>
        <x:v>#NAME?</x:v>
      </x:c>
      <x:c r="AO37" s="99" t="str">
        <x:f>INDEX({"CAQ","PLQ","QS","PQ","PCQ","Autre"},MATCH(MAX(Q37:V37),Q37:V37,0))</x:f>
        <x:v>CAQ</x:v>
      </x:c>
      <x:c r="AP37" s="99" t="str">
        <x:f>INDEX({"CAQ","PLQ","QS","PQ","PCQ","Autre"},MATCH(MAX(W37:AB37),W37:AB37,0))</x:f>
        <x:v>CAQ</x:v>
      </x:c>
      <x:c r="AQ37" s="99" t="str">
        <x:f>INDEX({"CAQ","PLQ","QS","PQ","PCQ","Autre"},MATCH(MAX(AC37:AH37),AC37:AH37,0))</x:f>
        <x:v>CAQ</x:v>
      </x:c>
      <x:c r="AR37" s="99" t="str">
        <x:f>INDEX({"CAQ","PLQ","QS","PQ","PCQ","Autre"},MATCH(MAX(AI37:AN37),AI37:AN37,0))</x:f>
        <x:v>CAQ</x:v>
      </x:c>
      <x:c r="AS37" s="100" t="n">
        <x:f>(MAX(K37:P37)-LARGE(K37:P37,2))*100</x:f>
        <x:v>20.34629810409495</x:v>
      </x:c>
      <x:c r="AT37" s="101" t="str">
        <x:f>IF(AS37&lt;5,"Oui","Non")</x:f>
        <x:v>Non</x:v>
      </x:c>
      <x:c r="AU37" s="102" t="n">
        <x:v>5.49</x:v>
      </x:c>
      <x:c r="AV37" s="102" t="n">
        <x:v>-1.15</x:v>
      </x:c>
      <x:c r="AW37" s="102" t="n">
        <x:v>-2.039</x:v>
      </x:c>
      <x:c r="AX37" s="102" t="n">
        <x:v>-5.542</x:v>
      </x:c>
      <x:c r="AY37" s="96" t="n">
        <x:v>6896</x:v>
      </x:c>
      <x:c r="AZ37" s="96" t="n">
        <x:v>3668</x:v>
      </x:c>
      <x:c r="BA37" s="96" t="n">
        <x:v>2534</x:v>
      </x:c>
      <x:c r="BB37" s="96" t="n">
        <x:v>7023</x:v>
      </x:c>
      <x:c r="BC37" s="96" t="n">
        <x:v>344</x:v>
      </x:c>
      <x:c r="BD37" s="97" t="e">
        <x:f>AY37*INDEX(Régions!$AQ$2:$AQ$6,MATCH($B37,Régions!$A$2:$A$6,0))</x:f>
        <x:v>#NAME?</x:v>
      </x:c>
      <x:c r="BE37" s="97" t="e">
        <x:f>AZ37*INDEX(Régions!$AR$2:$AR$6,MATCH($B37,Régions!$A$2:$A$6,0))</x:f>
        <x:v>#NAME?</x:v>
      </x:c>
      <x:c r="BF37" s="97" t="e">
        <x:f>BA37*INDEX(Régions!$AS$2:$AS$6,MATCH($B37,Régions!$A$2:$A$6,0))</x:f>
        <x:v>#NAME?</x:v>
      </x:c>
      <x:c r="BG37" s="97" t="e">
        <x:f>BB37*INDEX(Régions!$AT$2:$AT$6,MATCH($B37,Régions!$A$2:$A$6,0))</x:f>
        <x:v>#NAME?</x:v>
      </x:c>
      <x:c r="BH37" s="97" t="e">
        <x:f>U37</x:f>
        <x:v>#NAME?</x:v>
      </x:c>
      <x:c r="BI37" s="97" t="e">
        <x:f>BC37*INDEX(Régions!$AU$2:$AU$6,MATCH($B37,Régions!$A$2:$A$6,0))</x:f>
        <x:v>#NAME?</x:v>
      </x:c>
      <x:c r="BJ37" s="97" t="str">
        <x:f>INDEX({"CAQ","PLQ","QS","PQ","PCQ","Autre"},MATCH(MAX(BD37:BI37),BD37:BI37,0))</x:f>
        <x:v>CAQ</x:v>
      </x:c>
    </x:row>
    <x:row r="38" s="60" customFormat="1" ht="15" customHeight="1">
      <x:c r="A38" s="94" t="inlineStr">
        <x:is>
          <x:t xml:space="preserve">Fabre</x:t>
        </x:is>
      </x:c>
      <x:c r="B38" s="94" t="inlineStr">
        <x:is>
          <x:t xml:space="preserve">Banlieue de Montréal</x:t>
        </x:is>
      </x:c>
      <x:c r="C38" s="95" t="inlineStr">
        <x:is>
          <x:t xml:space="preserve">CAQ</x:t>
        </x:is>
      </x:c>
      <x:c r="D38" s="96" t="n">
        <x:v>10912</x:v>
      </x:c>
      <x:c r="E38" s="96" t="n">
        <x:v>10606</x:v>
      </x:c>
      <x:c r="F38" s="96" t="n">
        <x:v>3820</x:v>
      </x:c>
      <x:c r="G38" s="96" t="n">
        <x:v>3346</x:v>
      </x:c>
      <x:c r="H38" s="96" t="n">
        <x:v>5205</x:v>
      </x:c>
      <x:c r="I38" s="96" t="n">
        <x:v>418</x:v>
      </x:c>
      <x:c r="J38" s="97" t="n">
        <x:f>SUM(D38:I38)</x:f>
        <x:v>34307</x:v>
      </x:c>
      <x:c r="K38" s="98" t="n">
        <x:f>IFERROR(D38/J38,0)</x:f>
        <x:v>0.31806919870580347</x:v>
      </x:c>
      <x:c r="L38" s="98" t="n">
        <x:f>IFERROR(E38/J38,0)</x:f>
        <x:v>0.3091497362054391</x:v>
      </x:c>
      <x:c r="M38" s="98" t="n">
        <x:f>IFERROR(F38/J38,0)</x:f>
        <x:v>0.11134753840324133</x:v>
      </x:c>
      <x:c r="N38" s="98" t="n">
        <x:f>IFERROR(G38/J38,0)</x:f>
        <x:v>0.09753111609875535</x:v>
      </x:c>
      <x:c r="O38" s="98" t="n">
        <x:f>IFERROR(H38/J38,0)</x:f>
        <x:v>0.15171830821698196</x:v>
      </x:c>
      <x:c r="P38" s="98" t="n">
        <x:f>IFERROR(I38/J38,0)</x:f>
        <x:v>0.012184102369778762</x:v>
      </x:c>
      <x:c r="Q38" s="97" t="e">
        <x:f>D38*INDEX(Régions!$T$2:$T$6,MATCH($B38,Régions!$A$2:$A$6,0))</x:f>
        <x:v>#NAME?</x:v>
      </x:c>
      <x:c r="R38" s="97" t="e">
        <x:f>E38*INDEX(Régions!$U$2:$U$6,MATCH($B38,Régions!$A$2:$A$6,0))</x:f>
        <x:v>#NAME?</x:v>
      </x:c>
      <x:c r="S38" s="97" t="e">
        <x:f>F38*INDEX(Régions!$V$2:$V$6,MATCH($B38,Régions!$A$2:$A$6,0))</x:f>
        <x:v>#NAME?</x:v>
      </x:c>
      <x:c r="T38" s="97" t="e">
        <x:f>G38*INDEX(Régions!$W$2:$W$6,MATCH($B38,Régions!$A$2:$A$6,0))</x:f>
        <x:v>#NAME?</x:v>
      </x:c>
      <x:c r="U38" s="97" t="e">
        <x:f>H38*INDEX(Régions!$X$2:$X$6,MATCH($B38,Régions!$A$2:$A$6,0))</x:f>
        <x:v>#NAME?</x:v>
      </x:c>
      <x:c r="V38" s="97" t="e">
        <x:f>I38*INDEX(Régions!$Y$2:$Y$6,MATCH($B38,Régions!$A$2:$A$6,0))</x:f>
        <x:v>#NAME?</x:v>
      </x:c>
      <x:c r="W38" s="97" t="e">
        <x:f>Q38+(AU38/100)*J38*Régions!$O$2</x:f>
        <x:v>#NAME?</x:v>
      </x:c>
      <x:c r="X38" s="97" t="e">
        <x:f>R38+(AV38/100)*J38*Régions!$O$2</x:f>
        <x:v>#NAME?</x:v>
      </x:c>
      <x:c r="Y38" s="97" t="e">
        <x:f>S38+(AW38/100)*J38*Régions!$O$2</x:f>
        <x:v>#NAME?</x:v>
      </x:c>
      <x:c r="Z38" s="97" t="e">
        <x:f>T38+(AX38/100)*J38*Régions!$O$2</x:f>
        <x:v>#NAME?</x:v>
      </x:c>
      <x:c r="AA38" s="97" t="e">
        <x:f>U38</x:f>
        <x:v>#NAME?</x:v>
      </x:c>
      <x:c r="AB38" s="97" t="e">
        <x:f>V38</x:f>
        <x:v>#NAME?</x:v>
      </x:c>
      <x:c r="AC38" s="97" t="e">
        <x:f>D38*INDEX(Régions!$Z$2:$Z$6,MATCH($B38,Régions!$A$2:$A$6,0))</x:f>
        <x:v>#NAME?</x:v>
      </x:c>
      <x:c r="AD38" s="97" t="e">
        <x:f>E38*INDEX(Régions!$AA$2:$AA$6,MATCH($B38,Régions!$A$2:$A$6,0))</x:f>
        <x:v>#NAME?</x:v>
      </x:c>
      <x:c r="AE38" s="97" t="e">
        <x:f>F38*INDEX(Régions!$AB$2:$AB$6,MATCH($B38,Régions!$A$2:$A$6,0))</x:f>
        <x:v>#NAME?</x:v>
      </x:c>
      <x:c r="AF38" s="97" t="e">
        <x:f>G38*INDEX(Régions!$AC$2:$AC$6,MATCH($B38,Régions!$A$2:$A$6,0))</x:f>
        <x:v>#NAME?</x:v>
      </x:c>
      <x:c r="AG38" s="97" t="e">
        <x:f>H38*INDEX(Régions!$AD$2:$AD$6,MATCH($B38,Régions!$A$2:$A$6,0))</x:f>
        <x:v>#NAME?</x:v>
      </x:c>
      <x:c r="AH38" s="97" t="e">
        <x:f>I38*INDEX(Régions!$AE$2:$AE$6,MATCH($B38,Régions!$A$2:$A$6,0))</x:f>
        <x:v>#NAME?</x:v>
      </x:c>
      <x:c r="AI38" s="97" t="e">
        <x:f>D38*INDEX(Régions!$AF$2:$AF$6,MATCH($B38,Régions!$A$2:$A$6,0))</x:f>
        <x:v>#NAME?</x:v>
      </x:c>
      <x:c r="AJ38" s="97" t="e">
        <x:f>E38*INDEX(Régions!$AG$2:$AG$6,MATCH($B38,Régions!$A$2:$A$6,0))</x:f>
        <x:v>#NAME?</x:v>
      </x:c>
      <x:c r="AK38" s="97" t="e">
        <x:f>F38*INDEX(Régions!$AH$2:$AH$6,MATCH($B38,Régions!$A$2:$A$6,0))</x:f>
        <x:v>#NAME?</x:v>
      </x:c>
      <x:c r="AL38" s="97" t="e">
        <x:f>G38*INDEX(Régions!$AI$2:$AI$6,MATCH($B38,Régions!$A$2:$A$6,0))</x:f>
        <x:v>#NAME?</x:v>
      </x:c>
      <x:c r="AM38" s="97" t="e">
        <x:f>H38*INDEX(Régions!$AJ$2:$AJ$6,MATCH($B38,Régions!$A$2:$A$6,0))</x:f>
        <x:v>#NAME?</x:v>
      </x:c>
      <x:c r="AN38" s="97" t="e">
        <x:f>I38*INDEX(Régions!$AK$2:$AK$6,MATCH($B38,Régions!$A$2:$A$6,0))</x:f>
        <x:v>#NAME?</x:v>
      </x:c>
      <x:c r="AO38" s="99" t="str">
        <x:f>INDEX({"CAQ","PLQ","QS","PQ","PCQ","Autre"},MATCH(MAX(Q38:V38),Q38:V38,0))</x:f>
        <x:v>CAQ</x:v>
      </x:c>
      <x:c r="AP38" s="99" t="str">
        <x:f>INDEX({"CAQ","PLQ","QS","PQ","PCQ","Autre"},MATCH(MAX(W38:AB38),W38:AB38,0))</x:f>
        <x:v>CAQ</x:v>
      </x:c>
      <x:c r="AQ38" s="99" t="str">
        <x:f>INDEX({"CAQ","PLQ","QS","PQ","PCQ","Autre"},MATCH(MAX(AC38:AH38),AC38:AH38,0))</x:f>
        <x:v>CAQ</x:v>
      </x:c>
      <x:c r="AR38" s="99" t="str">
        <x:f>INDEX({"CAQ","PLQ","QS","PQ","PCQ","Autre"},MATCH(MAX(AI38:AN38),AI38:AN38,0))</x:f>
        <x:v>CAQ</x:v>
      </x:c>
      <x:c r="AS38" s="100" t="n">
        <x:f>(MAX(K38:P38)-LARGE(K38:P38,2))*100</x:f>
        <x:v>0.891946250036435</x:v>
      </x:c>
      <x:c r="AT38" s="101" t="str">
        <x:f>IF(AS38&lt;5,"Oui","Non")</x:f>
        <x:v>Oui</x:v>
      </x:c>
      <x:c r="AU38" s="102" t="n">
        <x:v>-3.877</x:v>
      </x:c>
      <x:c r="AV38" s="102" t="n">
        <x:v>0.297</x:v>
      </x:c>
      <x:c r="AW38" s="102" t="n">
        <x:v>1.059</x:v>
      </x:c>
      <x:c r="AX38" s="102" t="n">
        <x:v>-0.75</x:v>
      </x:c>
      <x:c r="AY38" s="96" t="n">
        <x:v>10540</x:v>
      </x:c>
      <x:c r="AZ38" s="96" t="n">
        <x:v>12147</x:v>
      </x:c>
      <x:c r="BA38" s="96" t="n">
        <x:v>3487</x:v>
      </x:c>
      <x:c r="BB38" s="96" t="n">
        <x:v>4372</x:v>
      </x:c>
      <x:c r="BC38" s="96" t="n">
        <x:v>1828</x:v>
      </x:c>
      <x:c r="BD38" s="97" t="e">
        <x:f>AY38*INDEX(Régions!$AQ$2:$AQ$6,MATCH($B38,Régions!$A$2:$A$6,0))</x:f>
        <x:v>#NAME?</x:v>
      </x:c>
      <x:c r="BE38" s="97" t="e">
        <x:f>AZ38*INDEX(Régions!$AR$2:$AR$6,MATCH($B38,Régions!$A$2:$A$6,0))</x:f>
        <x:v>#NAME?</x:v>
      </x:c>
      <x:c r="BF38" s="97" t="e">
        <x:f>BA38*INDEX(Régions!$AS$2:$AS$6,MATCH($B38,Régions!$A$2:$A$6,0))</x:f>
        <x:v>#NAME?</x:v>
      </x:c>
      <x:c r="BG38" s="97" t="e">
        <x:f>BB38*INDEX(Régions!$AT$2:$AT$6,MATCH($B38,Régions!$A$2:$A$6,0))</x:f>
        <x:v>#NAME?</x:v>
      </x:c>
      <x:c r="BH38" s="97" t="e">
        <x:f>U38</x:f>
        <x:v>#NAME?</x:v>
      </x:c>
      <x:c r="BI38" s="97" t="e">
        <x:f>BC38*INDEX(Régions!$AU$2:$AU$6,MATCH($B38,Régions!$A$2:$A$6,0))</x:f>
        <x:v>#NAME?</x:v>
      </x:c>
      <x:c r="BJ38" s="97" t="str">
        <x:f>INDEX({"CAQ","PLQ","QS","PQ","PCQ","Autre"},MATCH(MAX(BD38:BI38),BD38:BI38,0))</x:f>
        <x:v>CAQ</x:v>
      </x:c>
    </x:row>
    <x:row r="39" s="60" customFormat="1" ht="15" customHeight="1">
      <x:c r="A39" s="94" t="inlineStr">
        <x:is>
          <x:t xml:space="preserve">Gaspé</x:t>
        </x:is>
      </x:c>
      <x:c r="B39" s="94" t="inlineStr">
        <x:is>
          <x:t xml:space="preserve">Reste du Québec</x:t>
        </x:is>
      </x:c>
      <x:c r="C39" s="95" t="inlineStr">
        <x:is>
          <x:t xml:space="preserve">CAQ</x:t>
        </x:is>
      </x:c>
      <x:c r="D39" s="96" t="n">
        <x:v>7542</x:v>
      </x:c>
      <x:c r="E39" s="96" t="n">
        <x:v>1255</x:v>
      </x:c>
      <x:c r="F39" s="96" t="n">
        <x:v>1634</x:v>
      </x:c>
      <x:c r="G39" s="96" t="n">
        <x:v>6832</x:v>
      </x:c>
      <x:c r="H39" s="96" t="n">
        <x:v>956</x:v>
      </x:c>
      <x:c r="I39" s="96" t="n">
        <x:v>0</x:v>
      </x:c>
      <x:c r="J39" s="97" t="n">
        <x:f>SUM(D39:I39)</x:f>
        <x:v>18219</x:v>
      </x:c>
      <x:c r="K39" s="98" t="n">
        <x:f>IFERROR(D39/J39,0)</x:f>
        <x:v>0.41396344475547503</x:v>
      </x:c>
      <x:c r="L39" s="98" t="n">
        <x:f>IFERROR(E39/J39,0)</x:f>
        <x:v>0.06888413195016192</x:v>
      </x:c>
      <x:c r="M39" s="98" t="n">
        <x:f>IFERROR(F39/J39,0)</x:f>
        <x:v>0.0896865909215654</x:v>
      </x:c>
      <x:c r="N39" s="98" t="n">
        <x:f>IFERROR(G39/J39,0)</x:f>
        <x:v>0.37499313903068227</x:v>
      </x:c>
      <x:c r="O39" s="98" t="n">
        <x:f>IFERROR(H39/J39,0)</x:f>
        <x:v>0.05247269334211537</x:v>
      </x:c>
      <x:c r="P39" s="98" t="n">
        <x:f>IFERROR(I39/J39,0)</x:f>
        <x:v>0</x:v>
      </x:c>
      <x:c r="Q39" s="97" t="e">
        <x:f>D39*INDEX(Régions!$T$2:$T$6,MATCH($B39,Régions!$A$2:$A$6,0))</x:f>
        <x:v>#NAME?</x:v>
      </x:c>
      <x:c r="R39" s="97" t="e">
        <x:f>E39*INDEX(Régions!$U$2:$U$6,MATCH($B39,Régions!$A$2:$A$6,0))</x:f>
        <x:v>#NAME?</x:v>
      </x:c>
      <x:c r="S39" s="97" t="e">
        <x:f>F39*INDEX(Régions!$V$2:$V$6,MATCH($B39,Régions!$A$2:$A$6,0))</x:f>
        <x:v>#NAME?</x:v>
      </x:c>
      <x:c r="T39" s="97" t="e">
        <x:f>G39*INDEX(Régions!$W$2:$W$6,MATCH($B39,Régions!$A$2:$A$6,0))</x:f>
        <x:v>#NAME?</x:v>
      </x:c>
      <x:c r="U39" s="97" t="e">
        <x:f>H39*INDEX(Régions!$X$2:$X$6,MATCH($B39,Régions!$A$2:$A$6,0))</x:f>
        <x:v>#NAME?</x:v>
      </x:c>
      <x:c r="V39" s="97" t="e">
        <x:f>I39*INDEX(Régions!$Y$2:$Y$6,MATCH($B39,Régions!$A$2:$A$6,0))</x:f>
        <x:v>#NAME?</x:v>
      </x:c>
      <x:c r="W39" s="97" t="e">
        <x:f>Q39+(AU39/100)*J39*Régions!$O$2</x:f>
        <x:v>#NAME?</x:v>
      </x:c>
      <x:c r="X39" s="97" t="e">
        <x:f>R39+(AV39/100)*J39*Régions!$O$2</x:f>
        <x:v>#NAME?</x:v>
      </x:c>
      <x:c r="Y39" s="97" t="e">
        <x:f>S39+(AW39/100)*J39*Régions!$O$2</x:f>
        <x:v>#NAME?</x:v>
      </x:c>
      <x:c r="Z39" s="97" t="e">
        <x:f>T39+(AX39/100)*J39*Régions!$O$2</x:f>
        <x:v>#NAME?</x:v>
      </x:c>
      <x:c r="AA39" s="97" t="e">
        <x:f>U39</x:f>
        <x:v>#NAME?</x:v>
      </x:c>
      <x:c r="AB39" s="97" t="e">
        <x:f>V39</x:f>
        <x:v>#NAME?</x:v>
      </x:c>
      <x:c r="AC39" s="97" t="e">
        <x:f>D39*INDEX(Régions!$Z$2:$Z$6,MATCH($B39,Régions!$A$2:$A$6,0))</x:f>
        <x:v>#NAME?</x:v>
      </x:c>
      <x:c r="AD39" s="97" t="e">
        <x:f>E39*INDEX(Régions!$AA$2:$AA$6,MATCH($B39,Régions!$A$2:$A$6,0))</x:f>
        <x:v>#NAME?</x:v>
      </x:c>
      <x:c r="AE39" s="97" t="e">
        <x:f>F39*INDEX(Régions!$AB$2:$AB$6,MATCH($B39,Régions!$A$2:$A$6,0))</x:f>
        <x:v>#NAME?</x:v>
      </x:c>
      <x:c r="AF39" s="97" t="e">
        <x:f>G39*INDEX(Régions!$AC$2:$AC$6,MATCH($B39,Régions!$A$2:$A$6,0))</x:f>
        <x:v>#NAME?</x:v>
      </x:c>
      <x:c r="AG39" s="97" t="e">
        <x:f>H39*INDEX(Régions!$AD$2:$AD$6,MATCH($B39,Régions!$A$2:$A$6,0))</x:f>
        <x:v>#NAME?</x:v>
      </x:c>
      <x:c r="AH39" s="97" t="e">
        <x:f>I39*INDEX(Régions!$AE$2:$AE$6,MATCH($B39,Régions!$A$2:$A$6,0))</x:f>
        <x:v>#NAME?</x:v>
      </x:c>
      <x:c r="AI39" s="97" t="e">
        <x:f>D39*INDEX(Régions!$AF$2:$AF$6,MATCH($B39,Régions!$A$2:$A$6,0))</x:f>
        <x:v>#NAME?</x:v>
      </x:c>
      <x:c r="AJ39" s="97" t="e">
        <x:f>E39*INDEX(Régions!$AG$2:$AG$6,MATCH($B39,Régions!$A$2:$A$6,0))</x:f>
        <x:v>#NAME?</x:v>
      </x:c>
      <x:c r="AK39" s="97" t="e">
        <x:f>F39*INDEX(Régions!$AH$2:$AH$6,MATCH($B39,Régions!$A$2:$A$6,0))</x:f>
        <x:v>#NAME?</x:v>
      </x:c>
      <x:c r="AL39" s="97" t="e">
        <x:f>G39*INDEX(Régions!$AI$2:$AI$6,MATCH($B39,Régions!$A$2:$A$6,0))</x:f>
        <x:v>#NAME?</x:v>
      </x:c>
      <x:c r="AM39" s="97" t="e">
        <x:f>H39*INDEX(Régions!$AJ$2:$AJ$6,MATCH($B39,Régions!$A$2:$A$6,0))</x:f>
        <x:v>#NAME?</x:v>
      </x:c>
      <x:c r="AN39" s="97" t="e">
        <x:f>I39*INDEX(Régions!$AK$2:$AK$6,MATCH($B39,Régions!$A$2:$A$6,0))</x:f>
        <x:v>#NAME?</x:v>
      </x:c>
      <x:c r="AO39" s="99" t="str">
        <x:f>INDEX({"CAQ","PLQ","QS","PQ","PCQ","Autre"},MATCH(MAX(Q39:V39),Q39:V39,0))</x:f>
        <x:v>CAQ</x:v>
      </x:c>
      <x:c r="AP39" s="99" t="str">
        <x:f>INDEX({"CAQ","PLQ","QS","PQ","PCQ","Autre"},MATCH(MAX(W39:AB39),W39:AB39,0))</x:f>
        <x:v>CAQ</x:v>
      </x:c>
      <x:c r="AQ39" s="99" t="str">
        <x:f>INDEX({"CAQ","PLQ","QS","PQ","PCQ","Autre"},MATCH(MAX(AC39:AH39),AC39:AH39,0))</x:f>
        <x:v>CAQ</x:v>
      </x:c>
      <x:c r="AR39" s="99" t="str">
        <x:f>INDEX({"CAQ","PLQ","QS","PQ","PCQ","Autre"},MATCH(MAX(AI39:AN39),AI39:AN39,0))</x:f>
        <x:v>CAQ</x:v>
      </x:c>
      <x:c r="AS39" s="100" t="n">
        <x:f>(MAX(K39:P39)-LARGE(K39:P39,2))*100</x:f>
        <x:v>3.8970305724792764</x:v>
      </x:c>
      <x:c r="AT39" s="101" t="str">
        <x:f>IF(AS39&lt;5,"Oui","Non")</x:f>
        <x:v>Oui</x:v>
      </x:c>
      <x:c r="AU39" s="102" t="n">
        <x:v>15.851</x:v>
      </x:c>
      <x:c r="AV39" s="102" t="n">
        <x:v>-13.542</x:v>
      </x:c>
      <x:c r="AW39" s="102" t="n">
        <x:v>-3.858</x:v>
      </x:c>
      <x:c r="AX39" s="102" t="n">
        <x:v>8.073</x:v>
      </x:c>
      <x:c r="AY39" s="96" t="n">
        <x:v>3521</x:v>
      </x:c>
      <x:c r="AZ39" s="96" t="n">
        <x:v>5962</x:v>
      </x:c>
      <x:c r="BA39" s="96" t="n">
        <x:v>2482</x:v>
      </x:c>
      <x:c r="BB39" s="96" t="n">
        <x:v>6004</x:v>
      </x:c>
      <x:c r="BC39" s="96" t="n">
        <x:v>0</x:v>
      </x:c>
      <x:c r="BD39" s="97" t="e">
        <x:f>AY39*INDEX(Régions!$AQ$2:$AQ$6,MATCH($B39,Régions!$A$2:$A$6,0))</x:f>
        <x:v>#NAME?</x:v>
      </x:c>
      <x:c r="BE39" s="97" t="e">
        <x:f>AZ39*INDEX(Régions!$AR$2:$AR$6,MATCH($B39,Régions!$A$2:$A$6,0))</x:f>
        <x:v>#NAME?</x:v>
      </x:c>
      <x:c r="BF39" s="97" t="e">
        <x:f>BA39*INDEX(Régions!$AS$2:$AS$6,MATCH($B39,Régions!$A$2:$A$6,0))</x:f>
        <x:v>#NAME?</x:v>
      </x:c>
      <x:c r="BG39" s="97" t="e">
        <x:f>BB39*INDEX(Régions!$AT$2:$AT$6,MATCH($B39,Régions!$A$2:$A$6,0))</x:f>
        <x:v>#NAME?</x:v>
      </x:c>
      <x:c r="BH39" s="97" t="e">
        <x:f>U39</x:f>
        <x:v>#NAME?</x:v>
      </x:c>
      <x:c r="BI39" s="97" t="e">
        <x:f>BC39*INDEX(Régions!$AU$2:$AU$6,MATCH($B39,Régions!$A$2:$A$6,0))</x:f>
        <x:v>#NAME?</x:v>
      </x:c>
      <x:c r="BJ39" s="97" t="str">
        <x:f>INDEX({"CAQ","PLQ","QS","PQ","PCQ","Autre"},MATCH(MAX(BD39:BI39),BD39:BI39,0))</x:f>
        <x:v>CAQ</x:v>
      </x:c>
    </x:row>
    <x:row r="40" s="60" customFormat="1" ht="15" customHeight="1">
      <x:c r="A40" s="94" t="inlineStr">
        <x:is>
          <x:t xml:space="preserve">Gatineau</x:t>
        </x:is>
      </x:c>
      <x:c r="B40" s="94" t="inlineStr">
        <x:is>
          <x:t xml:space="preserve">Reste du Québec</x:t>
        </x:is>
      </x:c>
      <x:c r="C40" s="95" t="inlineStr">
        <x:is>
          <x:t xml:space="preserve">CAQ</x:t>
        </x:is>
      </x:c>
      <x:c r="D40" s="96" t="n">
        <x:v>15946</x:v>
      </x:c>
      <x:c r="E40" s="96" t="n">
        <x:v>6674</x:v>
      </x:c>
      <x:c r="F40" s="96" t="n">
        <x:v>4128</x:v>
      </x:c>
      <x:c r="G40" s="96" t="n">
        <x:v>3312</x:v>
      </x:c>
      <x:c r="H40" s="96" t="n">
        <x:v>3978</x:v>
      </x:c>
      <x:c r="I40" s="96" t="n">
        <x:v>82</x:v>
      </x:c>
      <x:c r="J40" s="97" t="n">
        <x:f>SUM(D40:I40)</x:f>
        <x:v>34120</x:v>
      </x:c>
      <x:c r="K40" s="98" t="n">
        <x:f>IFERROR(D40/J40,0)</x:f>
        <x:v>0.46735052754982415</x:v>
      </x:c>
      <x:c r="L40" s="98" t="n">
        <x:f>IFERROR(E40/J40,0)</x:f>
        <x:v>0.19560375146541617</x:v>
      </x:c>
      <x:c r="M40" s="98" t="n">
        <x:f>IFERROR(F40/J40,0)</x:f>
        <x:v>0.12098475967174678</x:v>
      </x:c>
      <x:c r="N40" s="98" t="n">
        <x:f>IFERROR(G40/J40,0)</x:f>
        <x:v>0.09706916764361079</x:v>
      </x:c>
      <x:c r="O40" s="98" t="n">
        <x:f>IFERROR(H40/J40,0)</x:f>
        <x:v>0.11658851113716295</x:v>
      </x:c>
      <x:c r="P40" s="98" t="n">
        <x:f>IFERROR(I40/J40,0)</x:f>
        <x:v>0.002403282532239156</x:v>
      </x:c>
      <x:c r="Q40" s="97" t="e">
        <x:f>D40*INDEX(Régions!$T$2:$T$6,MATCH($B40,Régions!$A$2:$A$6,0))</x:f>
        <x:v>#NAME?</x:v>
      </x:c>
      <x:c r="R40" s="97" t="e">
        <x:f>E40*INDEX(Régions!$U$2:$U$6,MATCH($B40,Régions!$A$2:$A$6,0))</x:f>
        <x:v>#NAME?</x:v>
      </x:c>
      <x:c r="S40" s="97" t="e">
        <x:f>F40*INDEX(Régions!$V$2:$V$6,MATCH($B40,Régions!$A$2:$A$6,0))</x:f>
        <x:v>#NAME?</x:v>
      </x:c>
      <x:c r="T40" s="97" t="e">
        <x:f>G40*INDEX(Régions!$W$2:$W$6,MATCH($B40,Régions!$A$2:$A$6,0))</x:f>
        <x:v>#NAME?</x:v>
      </x:c>
      <x:c r="U40" s="97" t="e">
        <x:f>H40*INDEX(Régions!$X$2:$X$6,MATCH($B40,Régions!$A$2:$A$6,0))</x:f>
        <x:v>#NAME?</x:v>
      </x:c>
      <x:c r="V40" s="97" t="e">
        <x:f>I40*INDEX(Régions!$Y$2:$Y$6,MATCH($B40,Régions!$A$2:$A$6,0))</x:f>
        <x:v>#NAME?</x:v>
      </x:c>
      <x:c r="W40" s="97" t="e">
        <x:f>Q40+(AU40/100)*J40*Régions!$O$2</x:f>
        <x:v>#NAME?</x:v>
      </x:c>
      <x:c r="X40" s="97" t="e">
        <x:f>R40+(AV40/100)*J40*Régions!$O$2</x:f>
        <x:v>#NAME?</x:v>
      </x:c>
      <x:c r="Y40" s="97" t="e">
        <x:f>S40+(AW40/100)*J40*Régions!$O$2</x:f>
        <x:v>#NAME?</x:v>
      </x:c>
      <x:c r="Z40" s="97" t="e">
        <x:f>T40+(AX40/100)*J40*Régions!$O$2</x:f>
        <x:v>#NAME?</x:v>
      </x:c>
      <x:c r="AA40" s="97" t="e">
        <x:f>U40</x:f>
        <x:v>#NAME?</x:v>
      </x:c>
      <x:c r="AB40" s="97" t="e">
        <x:f>V40</x:f>
        <x:v>#NAME?</x:v>
      </x:c>
      <x:c r="AC40" s="97" t="e">
        <x:f>D40*INDEX(Régions!$Z$2:$Z$6,MATCH($B40,Régions!$A$2:$A$6,0))</x:f>
        <x:v>#NAME?</x:v>
      </x:c>
      <x:c r="AD40" s="97" t="e">
        <x:f>E40*INDEX(Régions!$AA$2:$AA$6,MATCH($B40,Régions!$A$2:$A$6,0))</x:f>
        <x:v>#NAME?</x:v>
      </x:c>
      <x:c r="AE40" s="97" t="e">
        <x:f>F40*INDEX(Régions!$AB$2:$AB$6,MATCH($B40,Régions!$A$2:$A$6,0))</x:f>
        <x:v>#NAME?</x:v>
      </x:c>
      <x:c r="AF40" s="97" t="e">
        <x:f>G40*INDEX(Régions!$AC$2:$AC$6,MATCH($B40,Régions!$A$2:$A$6,0))</x:f>
        <x:v>#NAME?</x:v>
      </x:c>
      <x:c r="AG40" s="97" t="e">
        <x:f>H40*INDEX(Régions!$AD$2:$AD$6,MATCH($B40,Régions!$A$2:$A$6,0))</x:f>
        <x:v>#NAME?</x:v>
      </x:c>
      <x:c r="AH40" s="97" t="e">
        <x:f>I40*INDEX(Régions!$AE$2:$AE$6,MATCH($B40,Régions!$A$2:$A$6,0))</x:f>
        <x:v>#NAME?</x:v>
      </x:c>
      <x:c r="AI40" s="97" t="e">
        <x:f>D40*INDEX(Régions!$AF$2:$AF$6,MATCH($B40,Régions!$A$2:$A$6,0))</x:f>
        <x:v>#NAME?</x:v>
      </x:c>
      <x:c r="AJ40" s="97" t="e">
        <x:f>E40*INDEX(Régions!$AG$2:$AG$6,MATCH($B40,Régions!$A$2:$A$6,0))</x:f>
        <x:v>#NAME?</x:v>
      </x:c>
      <x:c r="AK40" s="97" t="e">
        <x:f>F40*INDEX(Régions!$AH$2:$AH$6,MATCH($B40,Régions!$A$2:$A$6,0))</x:f>
        <x:v>#NAME?</x:v>
      </x:c>
      <x:c r="AL40" s="97" t="e">
        <x:f>G40*INDEX(Régions!$AI$2:$AI$6,MATCH($B40,Régions!$A$2:$A$6,0))</x:f>
        <x:v>#NAME?</x:v>
      </x:c>
      <x:c r="AM40" s="97" t="e">
        <x:f>H40*INDEX(Régions!$AJ$2:$AJ$6,MATCH($B40,Régions!$A$2:$A$6,0))</x:f>
        <x:v>#NAME?</x:v>
      </x:c>
      <x:c r="AN40" s="97" t="e">
        <x:f>I40*INDEX(Régions!$AK$2:$AK$6,MATCH($B40,Régions!$A$2:$A$6,0))</x:f>
        <x:v>#NAME?</x:v>
      </x:c>
      <x:c r="AO40" s="99" t="str">
        <x:f>INDEX({"CAQ","PLQ","QS","PQ","PCQ","Autre"},MATCH(MAX(Q40:V40),Q40:V40,0))</x:f>
        <x:v>CAQ</x:v>
      </x:c>
      <x:c r="AP40" s="99" t="str">
        <x:f>INDEX({"CAQ","PLQ","QS","PQ","PCQ","Autre"},MATCH(MAX(W40:AB40),W40:AB40,0))</x:f>
        <x:v>CAQ</x:v>
      </x:c>
      <x:c r="AQ40" s="99" t="str">
        <x:f>INDEX({"CAQ","PLQ","QS","PQ","PCQ","Autre"},MATCH(MAX(AC40:AH40),AC40:AH40,0))</x:f>
        <x:v>CAQ</x:v>
      </x:c>
      <x:c r="AR40" s="99" t="str">
        <x:f>INDEX({"CAQ","PLQ","QS","PQ","PCQ","Autre"},MATCH(MAX(AI40:AN40),AI40:AN40,0))</x:f>
        <x:v>CAQ</x:v>
      </x:c>
      <x:c r="AS40" s="100" t="n">
        <x:f>(MAX(K40:P40)-LARGE(K40:P40,2))*100</x:f>
        <x:v>27.1746776084408</x:v>
      </x:c>
      <x:c r="AT40" s="101" t="str">
        <x:f>IF(AS40&lt;5,"Oui","Non")</x:f>
        <x:v>Non</x:v>
      </x:c>
      <x:c r="AU40" s="102" t="n">
        <x:v>-0.953</x:v>
      </x:c>
      <x:c r="AV40" s="102" t="n">
        <x:v>1.819</x:v>
      </x:c>
      <x:c r="AW40" s="102" t="n">
        <x:v>0.16</x:v>
      </x:c>
      <x:c r="AX40" s="102" t="n">
        <x:v>4.682</x:v>
      </x:c>
      <x:c r="AY40" s="96" t="n">
        <x:v>13637</x:v>
      </x:c>
      <x:c r="AZ40" s="96" t="n">
        <x:v>9963</x:v>
      </x:c>
      <x:c r="BA40" s="96" t="n">
        <x:v>4223</x:v>
      </x:c>
      <x:c r="BB40" s="96" t="n">
        <x:v>2943</x:v>
      </x:c>
      <x:c r="BC40" s="96" t="n">
        <x:v>1907</x:v>
      </x:c>
      <x:c r="BD40" s="97" t="e">
        <x:f>AY40*INDEX(Régions!$AQ$2:$AQ$6,MATCH($B40,Régions!$A$2:$A$6,0))</x:f>
        <x:v>#NAME?</x:v>
      </x:c>
      <x:c r="BE40" s="97" t="e">
        <x:f>AZ40*INDEX(Régions!$AR$2:$AR$6,MATCH($B40,Régions!$A$2:$A$6,0))</x:f>
        <x:v>#NAME?</x:v>
      </x:c>
      <x:c r="BF40" s="97" t="e">
        <x:f>BA40*INDEX(Régions!$AS$2:$AS$6,MATCH($B40,Régions!$A$2:$A$6,0))</x:f>
        <x:v>#NAME?</x:v>
      </x:c>
      <x:c r="BG40" s="97" t="e">
        <x:f>BB40*INDEX(Régions!$AT$2:$AT$6,MATCH($B40,Régions!$A$2:$A$6,0))</x:f>
        <x:v>#NAME?</x:v>
      </x:c>
      <x:c r="BH40" s="97" t="e">
        <x:f>U40</x:f>
        <x:v>#NAME?</x:v>
      </x:c>
      <x:c r="BI40" s="97" t="e">
        <x:f>BC40*INDEX(Régions!$AU$2:$AU$6,MATCH($B40,Régions!$A$2:$A$6,0))</x:f>
        <x:v>#NAME?</x:v>
      </x:c>
      <x:c r="BJ40" s="97" t="str">
        <x:f>INDEX({"CAQ","PLQ","QS","PQ","PCQ","Autre"},MATCH(MAX(BD40:BI40),BD40:BI40,0))</x:f>
        <x:v>CAQ</x:v>
      </x:c>
    </x:row>
    <x:row r="41" s="60" customFormat="1" ht="15" customHeight="1">
      <x:c r="A41" s="94" t="inlineStr">
        <x:is>
          <x:t xml:space="preserve">Gouin</x:t>
        </x:is>
      </x:c>
      <x:c r="B41" s="94" t="inlineStr">
        <x:is>
          <x:t xml:space="preserve">Île de Montréal</x:t>
        </x:is>
      </x:c>
      <x:c r="C41" s="95" t="inlineStr">
        <x:is>
          <x:t xml:space="preserve">QS</x:t>
        </x:is>
      </x:c>
      <x:c r="D41" s="96" t="n">
        <x:v>3596</x:v>
      </x:c>
      <x:c r="E41" s="96" t="n">
        <x:v>2444</x:v>
      </x:c>
      <x:c r="F41" s="96" t="n">
        <x:v>17283</x:v>
      </x:c>
      <x:c r="G41" s="96" t="n">
        <x:v>3962</x:v>
      </x:c>
      <x:c r="H41" s="96" t="n">
        <x:v>903</x:v>
      </x:c>
      <x:c r="I41" s="96" t="n">
        <x:v>890</x:v>
      </x:c>
      <x:c r="J41" s="97" t="n">
        <x:f>SUM(D41:I41)</x:f>
        <x:v>29078</x:v>
      </x:c>
      <x:c r="K41" s="98" t="n">
        <x:f>IFERROR(D41/J41,0)</x:f>
        <x:v>0.12366737739872068</x:v>
      </x:c>
      <x:c r="L41" s="98" t="n">
        <x:f>IFERROR(E41/J41,0)</x:f>
        <x:v>0.08404979709746199</x:v>
      </x:c>
      <x:c r="M41" s="98" t="n">
        <x:f>IFERROR(F41/J41,0)</x:f>
        <x:v>0.5943668753009148</x:v>
      </x:c>
      <x:c r="N41" s="98" t="n">
        <x:f>IFERROR(G41/J41,0)</x:f>
        <x:v>0.1362542128069331</x:v>
      </x:c>
      <x:c r="O41" s="98" t="n">
        <x:f>IFERROR(H41/J41,0)</x:f>
        <x:v>0.031054405392392875</x:v>
      </x:c>
      <x:c r="P41" s="98" t="n">
        <x:f>IFERROR(I41/J41,0)</x:f>
        <x:v>0.030607332003576588</x:v>
      </x:c>
      <x:c r="Q41" s="97" t="e">
        <x:f>D41*INDEX(Régions!$T$2:$T$6,MATCH($B41,Régions!$A$2:$A$6,0))</x:f>
        <x:v>#NAME?</x:v>
      </x:c>
      <x:c r="R41" s="97" t="e">
        <x:f>E41*INDEX(Régions!$U$2:$U$6,MATCH($B41,Régions!$A$2:$A$6,0))</x:f>
        <x:v>#NAME?</x:v>
      </x:c>
      <x:c r="S41" s="97" t="e">
        <x:f>F41*INDEX(Régions!$V$2:$V$6,MATCH($B41,Régions!$A$2:$A$6,0))</x:f>
        <x:v>#NAME?</x:v>
      </x:c>
      <x:c r="T41" s="97" t="e">
        <x:f>G41*INDEX(Régions!$W$2:$W$6,MATCH($B41,Régions!$A$2:$A$6,0))</x:f>
        <x:v>#NAME?</x:v>
      </x:c>
      <x:c r="U41" s="97" t="e">
        <x:f>H41*INDEX(Régions!$X$2:$X$6,MATCH($B41,Régions!$A$2:$A$6,0))</x:f>
        <x:v>#NAME?</x:v>
      </x:c>
      <x:c r="V41" s="97" t="e">
        <x:f>I41*INDEX(Régions!$Y$2:$Y$6,MATCH($B41,Régions!$A$2:$A$6,0))</x:f>
        <x:v>#NAME?</x:v>
      </x:c>
      <x:c r="W41" s="97" t="e">
        <x:f>Q41+(AU41/100)*J41*Régions!$O$2</x:f>
        <x:v>#NAME?</x:v>
      </x:c>
      <x:c r="X41" s="97" t="e">
        <x:f>R41+(AV41/100)*J41*Régions!$O$2</x:f>
        <x:v>#NAME?</x:v>
      </x:c>
      <x:c r="Y41" s="97" t="e">
        <x:f>S41+(AW41/100)*J41*Régions!$O$2</x:f>
        <x:v>#NAME?</x:v>
      </x:c>
      <x:c r="Z41" s="97" t="e">
        <x:f>T41+(AX41/100)*J41*Régions!$O$2</x:f>
        <x:v>#NAME?</x:v>
      </x:c>
      <x:c r="AA41" s="97" t="e">
        <x:f>U41</x:f>
        <x:v>#NAME?</x:v>
      </x:c>
      <x:c r="AB41" s="97" t="e">
        <x:f>V41</x:f>
        <x:v>#NAME?</x:v>
      </x:c>
      <x:c r="AC41" s="97" t="e">
        <x:f>D41*INDEX(Régions!$Z$2:$Z$6,MATCH($B41,Régions!$A$2:$A$6,0))</x:f>
        <x:v>#NAME?</x:v>
      </x:c>
      <x:c r="AD41" s="97" t="e">
        <x:f>E41*INDEX(Régions!$AA$2:$AA$6,MATCH($B41,Régions!$A$2:$A$6,0))</x:f>
        <x:v>#NAME?</x:v>
      </x:c>
      <x:c r="AE41" s="97" t="e">
        <x:f>F41*INDEX(Régions!$AB$2:$AB$6,MATCH($B41,Régions!$A$2:$A$6,0))</x:f>
        <x:v>#NAME?</x:v>
      </x:c>
      <x:c r="AF41" s="97" t="e">
        <x:f>G41*INDEX(Régions!$AC$2:$AC$6,MATCH($B41,Régions!$A$2:$A$6,0))</x:f>
        <x:v>#NAME?</x:v>
      </x:c>
      <x:c r="AG41" s="97" t="e">
        <x:f>H41*INDEX(Régions!$AD$2:$AD$6,MATCH($B41,Régions!$A$2:$A$6,0))</x:f>
        <x:v>#NAME?</x:v>
      </x:c>
      <x:c r="AH41" s="97" t="e">
        <x:f>I41*INDEX(Régions!$AE$2:$AE$6,MATCH($B41,Régions!$A$2:$A$6,0))</x:f>
        <x:v>#NAME?</x:v>
      </x:c>
      <x:c r="AI41" s="97" t="e">
        <x:f>D41*INDEX(Régions!$AF$2:$AF$6,MATCH($B41,Régions!$A$2:$A$6,0))</x:f>
        <x:v>#NAME?</x:v>
      </x:c>
      <x:c r="AJ41" s="97" t="e">
        <x:f>E41*INDEX(Régions!$AG$2:$AG$6,MATCH($B41,Régions!$A$2:$A$6,0))</x:f>
        <x:v>#NAME?</x:v>
      </x:c>
      <x:c r="AK41" s="97" t="e">
        <x:f>F41*INDEX(Régions!$AH$2:$AH$6,MATCH($B41,Régions!$A$2:$A$6,0))</x:f>
        <x:v>#NAME?</x:v>
      </x:c>
      <x:c r="AL41" s="97" t="e">
        <x:f>G41*INDEX(Régions!$AI$2:$AI$6,MATCH($B41,Régions!$A$2:$A$6,0))</x:f>
        <x:v>#NAME?</x:v>
      </x:c>
      <x:c r="AM41" s="97" t="e">
        <x:f>H41*INDEX(Régions!$AJ$2:$AJ$6,MATCH($B41,Régions!$A$2:$A$6,0))</x:f>
        <x:v>#NAME?</x:v>
      </x:c>
      <x:c r="AN41" s="97" t="e">
        <x:f>I41*INDEX(Régions!$AK$2:$AK$6,MATCH($B41,Régions!$A$2:$A$6,0))</x:f>
        <x:v>#NAME?</x:v>
      </x:c>
      <x:c r="AO41" s="99" t="str">
        <x:f>INDEX({"CAQ","PLQ","QS","PQ","PCQ","Autre"},MATCH(MAX(Q41:V41),Q41:V41,0))</x:f>
        <x:v>CAQ</x:v>
      </x:c>
      <x:c r="AP41" s="99" t="str">
        <x:f>INDEX({"CAQ","PLQ","QS","PQ","PCQ","Autre"},MATCH(MAX(W41:AB41),W41:AB41,0))</x:f>
        <x:v>CAQ</x:v>
      </x:c>
      <x:c r="AQ41" s="99" t="str">
        <x:f>INDEX({"CAQ","PLQ","QS","PQ","PCQ","Autre"},MATCH(MAX(AC41:AH41),AC41:AH41,0))</x:f>
        <x:v>CAQ</x:v>
      </x:c>
      <x:c r="AR41" s="99" t="str">
        <x:f>INDEX({"CAQ","PLQ","QS","PQ","PCQ","Autre"},MATCH(MAX(AI41:AN41),AI41:AN41,0))</x:f>
        <x:v>CAQ</x:v>
      </x:c>
      <x:c r="AS41" s="100" t="n">
        <x:f>(MAX(K41:P41)-LARGE(K41:P41,2))*100</x:f>
        <x:v>45.81126624939817</x:v>
      </x:c>
      <x:c r="AT41" s="101" t="str">
        <x:f>IF(AS41&lt;5,"Oui","Non")</x:f>
        <x:v>Non</x:v>
      </x:c>
      <x:c r="AU41" s="102" t="n">
        <x:v>0.354</x:v>
      </x:c>
      <x:c r="AV41" s="102" t="n">
        <x:v>5.782</x:v>
      </x:c>
      <x:c r="AW41" s="102" t="n">
        <x:v>-0.444</x:v>
      </x:c>
      <x:c r="AX41" s="102" t="n">
        <x:v>-0.099</x:v>
      </x:c>
      <x:c r="AY41" s="96" t="n">
        <x:v>3011</x:v>
      </x:c>
      <x:c r="AZ41" s="96" t="n">
        <x:v>3483</x:v>
      </x:c>
      <x:c r="BA41" s="96" t="n">
        <x:v>17977</x:v>
      </x:c>
      <x:c r="BB41" s="96" t="n">
        <x:v>4523</x:v>
      </x:c>
      <x:c r="BC41" s="96" t="n">
        <x:v>1405</x:v>
      </x:c>
      <x:c r="BD41" s="97" t="e">
        <x:f>AY41*INDEX(Régions!$AQ$2:$AQ$6,MATCH($B41,Régions!$A$2:$A$6,0))</x:f>
        <x:v>#NAME?</x:v>
      </x:c>
      <x:c r="BE41" s="97" t="e">
        <x:f>AZ41*INDEX(Régions!$AR$2:$AR$6,MATCH($B41,Régions!$A$2:$A$6,0))</x:f>
        <x:v>#NAME?</x:v>
      </x:c>
      <x:c r="BF41" s="97" t="e">
        <x:f>BA41*INDEX(Régions!$AS$2:$AS$6,MATCH($B41,Régions!$A$2:$A$6,0))</x:f>
        <x:v>#NAME?</x:v>
      </x:c>
      <x:c r="BG41" s="97" t="e">
        <x:f>BB41*INDEX(Régions!$AT$2:$AT$6,MATCH($B41,Régions!$A$2:$A$6,0))</x:f>
        <x:v>#NAME?</x:v>
      </x:c>
      <x:c r="BH41" s="97" t="e">
        <x:f>U41</x:f>
        <x:v>#NAME?</x:v>
      </x:c>
      <x:c r="BI41" s="97" t="e">
        <x:f>BC41*INDEX(Régions!$AU$2:$AU$6,MATCH($B41,Régions!$A$2:$A$6,0))</x:f>
        <x:v>#NAME?</x:v>
      </x:c>
      <x:c r="BJ41" s="97" t="str">
        <x:f>INDEX({"CAQ","PLQ","QS","PQ","PCQ","Autre"},MATCH(MAX(BD41:BI41),BD41:BI41,0))</x:f>
        <x:v>CAQ</x:v>
      </x:c>
    </x:row>
    <x:row r="42" s="60" customFormat="1" ht="15" customHeight="1">
      <x:c r="A42" s="94" t="inlineStr">
        <x:is>
          <x:t xml:space="preserve">Granby</x:t>
        </x:is>
      </x:c>
      <x:c r="B42" s="94" t="inlineStr">
        <x:is>
          <x:t xml:space="preserve">Reste du Québec</x:t>
        </x:is>
      </x:c>
      <x:c r="C42" s="95" t="inlineStr">
        <x:is>
          <x:t xml:space="preserve">CAQ</x:t>
        </x:is>
      </x:c>
      <x:c r="D42" s="96" t="n">
        <x:v>22282</x:v>
      </x:c>
      <x:c r="E42" s="96" t="n">
        <x:v>1957</x:v>
      </x:c>
      <x:c r="F42" s="96" t="n">
        <x:v>5548</x:v>
      </x:c>
      <x:c r="G42" s="96" t="n">
        <x:v>4578</x:v>
      </x:c>
      <x:c r="H42" s="96" t="n">
        <x:v>3943</x:v>
      </x:c>
      <x:c r="I42" s="96" t="n">
        <x:v>335</x:v>
      </x:c>
      <x:c r="J42" s="97" t="n">
        <x:f>SUM(D42:I42)</x:f>
        <x:v>38643</x:v>
      </x:c>
      <x:c r="K42" s="98" t="n">
        <x:f>IFERROR(D42/J42,0)</x:f>
        <x:v>0.576611546722563</x:v>
      </x:c>
      <x:c r="L42" s="98" t="n">
        <x:f>IFERROR(E42/J42,0)</x:f>
        <x:v>0.05064306601454338</x:v>
      </x:c>
      <x:c r="M42" s="98" t="n">
        <x:f>IFERROR(F42/J42,0)</x:f>
        <x:v>0.14357063374996765</x:v>
      </x:c>
      <x:c r="N42" s="98" t="n">
        <x:f>IFERROR(G42/J42,0)</x:f>
        <x:v>0.11846906296095024</x:v>
      </x:c>
      <x:c r="O42" s="98" t="n">
        <x:f>IFERROR(H42/J42,0)</x:f>
        <x:v>0.1020365913619543</x:v>
      </x:c>
      <x:c r="P42" s="98" t="n">
        <x:f>IFERROR(I42/J42,0)</x:f>
        <x:v>0.008669099190021479</x:v>
      </x:c>
      <x:c r="Q42" s="97" t="e">
        <x:f>D42*INDEX(Régions!$T$2:$T$6,MATCH($B42,Régions!$A$2:$A$6,0))</x:f>
        <x:v>#NAME?</x:v>
      </x:c>
      <x:c r="R42" s="97" t="e">
        <x:f>E42*INDEX(Régions!$U$2:$U$6,MATCH($B42,Régions!$A$2:$A$6,0))</x:f>
        <x:v>#NAME?</x:v>
      </x:c>
      <x:c r="S42" s="97" t="e">
        <x:f>F42*INDEX(Régions!$V$2:$V$6,MATCH($B42,Régions!$A$2:$A$6,0))</x:f>
        <x:v>#NAME?</x:v>
      </x:c>
      <x:c r="T42" s="97" t="e">
        <x:f>G42*INDEX(Régions!$W$2:$W$6,MATCH($B42,Régions!$A$2:$A$6,0))</x:f>
        <x:v>#NAME?</x:v>
      </x:c>
      <x:c r="U42" s="97" t="e">
        <x:f>H42*INDEX(Régions!$X$2:$X$6,MATCH($B42,Régions!$A$2:$A$6,0))</x:f>
        <x:v>#NAME?</x:v>
      </x:c>
      <x:c r="V42" s="97" t="e">
        <x:f>I42*INDEX(Régions!$Y$2:$Y$6,MATCH($B42,Régions!$A$2:$A$6,0))</x:f>
        <x:v>#NAME?</x:v>
      </x:c>
      <x:c r="W42" s="97" t="e">
        <x:f>Q42+(AU42/100)*J42*Régions!$O$2</x:f>
        <x:v>#NAME?</x:v>
      </x:c>
      <x:c r="X42" s="97" t="e">
        <x:f>R42+(AV42/100)*J42*Régions!$O$2</x:f>
        <x:v>#NAME?</x:v>
      </x:c>
      <x:c r="Y42" s="97" t="e">
        <x:f>S42+(AW42/100)*J42*Régions!$O$2</x:f>
        <x:v>#NAME?</x:v>
      </x:c>
      <x:c r="Z42" s="97" t="e">
        <x:f>T42+(AX42/100)*J42*Régions!$O$2</x:f>
        <x:v>#NAME?</x:v>
      </x:c>
      <x:c r="AA42" s="97" t="e">
        <x:f>U42</x:f>
        <x:v>#NAME?</x:v>
      </x:c>
      <x:c r="AB42" s="97" t="e">
        <x:f>V42</x:f>
        <x:v>#NAME?</x:v>
      </x:c>
      <x:c r="AC42" s="97" t="e">
        <x:f>D42*INDEX(Régions!$Z$2:$Z$6,MATCH($B42,Régions!$A$2:$A$6,0))</x:f>
        <x:v>#NAME?</x:v>
      </x:c>
      <x:c r="AD42" s="97" t="e">
        <x:f>E42*INDEX(Régions!$AA$2:$AA$6,MATCH($B42,Régions!$A$2:$A$6,0))</x:f>
        <x:v>#NAME?</x:v>
      </x:c>
      <x:c r="AE42" s="97" t="e">
        <x:f>F42*INDEX(Régions!$AB$2:$AB$6,MATCH($B42,Régions!$A$2:$A$6,0))</x:f>
        <x:v>#NAME?</x:v>
      </x:c>
      <x:c r="AF42" s="97" t="e">
        <x:f>G42*INDEX(Régions!$AC$2:$AC$6,MATCH($B42,Régions!$A$2:$A$6,0))</x:f>
        <x:v>#NAME?</x:v>
      </x:c>
      <x:c r="AG42" s="97" t="e">
        <x:f>H42*INDEX(Régions!$AD$2:$AD$6,MATCH($B42,Régions!$A$2:$A$6,0))</x:f>
        <x:v>#NAME?</x:v>
      </x:c>
      <x:c r="AH42" s="97" t="e">
        <x:f>I42*INDEX(Régions!$AE$2:$AE$6,MATCH($B42,Régions!$A$2:$A$6,0))</x:f>
        <x:v>#NAME?</x:v>
      </x:c>
      <x:c r="AI42" s="97" t="e">
        <x:f>D42*INDEX(Régions!$AF$2:$AF$6,MATCH($B42,Régions!$A$2:$A$6,0))</x:f>
        <x:v>#NAME?</x:v>
      </x:c>
      <x:c r="AJ42" s="97" t="e">
        <x:f>E42*INDEX(Régions!$AG$2:$AG$6,MATCH($B42,Régions!$A$2:$A$6,0))</x:f>
        <x:v>#NAME?</x:v>
      </x:c>
      <x:c r="AK42" s="97" t="e">
        <x:f>F42*INDEX(Régions!$AH$2:$AH$6,MATCH($B42,Régions!$A$2:$A$6,0))</x:f>
        <x:v>#NAME?</x:v>
      </x:c>
      <x:c r="AL42" s="97" t="e">
        <x:f>G42*INDEX(Régions!$AI$2:$AI$6,MATCH($B42,Régions!$A$2:$A$6,0))</x:f>
        <x:v>#NAME?</x:v>
      </x:c>
      <x:c r="AM42" s="97" t="e">
        <x:f>H42*INDEX(Régions!$AJ$2:$AJ$6,MATCH($B42,Régions!$A$2:$A$6,0))</x:f>
        <x:v>#NAME?</x:v>
      </x:c>
      <x:c r="AN42" s="97" t="e">
        <x:f>I42*INDEX(Régions!$AK$2:$AK$6,MATCH($B42,Régions!$A$2:$A$6,0))</x:f>
        <x:v>#NAME?</x:v>
      </x:c>
      <x:c r="AO42" s="99" t="str">
        <x:f>INDEX({"CAQ","PLQ","QS","PQ","PCQ","Autre"},MATCH(MAX(Q42:V42),Q42:V42,0))</x:f>
        <x:v>CAQ</x:v>
      </x:c>
      <x:c r="AP42" s="99" t="str">
        <x:f>INDEX({"CAQ","PLQ","QS","PQ","PCQ","Autre"},MATCH(MAX(W42:AB42),W42:AB42,0))</x:f>
        <x:v>CAQ</x:v>
      </x:c>
      <x:c r="AQ42" s="99" t="str">
        <x:f>INDEX({"CAQ","PLQ","QS","PQ","PCQ","Autre"},MATCH(MAX(AC42:AH42),AC42:AH42,0))</x:f>
        <x:v>CAQ</x:v>
      </x:c>
      <x:c r="AR42" s="99" t="str">
        <x:f>INDEX({"CAQ","PLQ","QS","PQ","PCQ","Autre"},MATCH(MAX(AI42:AN42),AI42:AN42,0))</x:f>
        <x:v>CAQ</x:v>
      </x:c>
      <x:c r="AS42" s="100" t="n">
        <x:f>(MAX(K42:P42)-LARGE(K42:P42,2))*100</x:f>
        <x:v>43.30409129725953</x:v>
      </x:c>
      <x:c r="AT42" s="101" t="str">
        <x:f>IF(AS42&lt;5,"Oui","Non")</x:f>
        <x:v>Non</x:v>
      </x:c>
      <x:c r="AU42" s="102" t="n">
        <x:v>-9.929</x:v>
      </x:c>
      <x:c r="AV42" s="102" t="n">
        <x:v>6.537</x:v>
      </x:c>
      <x:c r="AW42" s="102" t="n">
        <x:v>1.185</x:v>
      </x:c>
      <x:c r="AX42" s="102" t="n">
        <x:v>6.138</x:v>
      </x:c>
      <x:c r="AY42" s="96" t="n">
        <x:v>23256</x:v>
      </x:c>
      <x:c r="AZ42" s="96" t="n">
        <x:v>4255</x:v>
      </x:c>
      <x:c r="BA42" s="96" t="n">
        <x:v>5342</x:v>
      </x:c>
      <x:c r="BB42" s="96" t="n">
        <x:v>3657</x:v>
      </x:c>
      <x:c r="BC42" s="96" t="n">
        <x:v>1219</x:v>
      </x:c>
      <x:c r="BD42" s="97" t="e">
        <x:f>AY42*INDEX(Régions!$AQ$2:$AQ$6,MATCH($B42,Régions!$A$2:$A$6,0))</x:f>
        <x:v>#NAME?</x:v>
      </x:c>
      <x:c r="BE42" s="97" t="e">
        <x:f>AZ42*INDEX(Régions!$AR$2:$AR$6,MATCH($B42,Régions!$A$2:$A$6,0))</x:f>
        <x:v>#NAME?</x:v>
      </x:c>
      <x:c r="BF42" s="97" t="e">
        <x:f>BA42*INDEX(Régions!$AS$2:$AS$6,MATCH($B42,Régions!$A$2:$A$6,0))</x:f>
        <x:v>#NAME?</x:v>
      </x:c>
      <x:c r="BG42" s="97" t="e">
        <x:f>BB42*INDEX(Régions!$AT$2:$AT$6,MATCH($B42,Régions!$A$2:$A$6,0))</x:f>
        <x:v>#NAME?</x:v>
      </x:c>
      <x:c r="BH42" s="97" t="e">
        <x:f>U42</x:f>
        <x:v>#NAME?</x:v>
      </x:c>
      <x:c r="BI42" s="97" t="e">
        <x:f>BC42*INDEX(Régions!$AU$2:$AU$6,MATCH($B42,Régions!$A$2:$A$6,0))</x:f>
        <x:v>#NAME?</x:v>
      </x:c>
      <x:c r="BJ42" s="97" t="str">
        <x:f>INDEX({"CAQ","PLQ","QS","PQ","PCQ","Autre"},MATCH(MAX(BD42:BI42),BD42:BI42,0))</x:f>
        <x:v>CAQ</x:v>
      </x:c>
    </x:row>
    <x:row r="43" s="60" customFormat="1" ht="15" customHeight="1">
      <x:c r="A43" s="94" t="inlineStr">
        <x:is>
          <x:t xml:space="preserve">Groulx</x:t>
        </x:is>
      </x:c>
      <x:c r="B43" s="94" t="inlineStr">
        <x:is>
          <x:t xml:space="preserve">Banlieue de Montréal</x:t>
        </x:is>
      </x:c>
      <x:c r="C43" s="95" t="inlineStr">
        <x:is>
          <x:t xml:space="preserve">CAQ</x:t>
        </x:is>
      </x:c>
      <x:c r="D43" s="96" t="n">
        <x:v>17431</x:v>
      </x:c>
      <x:c r="E43" s="96" t="n">
        <x:v>4024</x:v>
      </x:c>
      <x:c r="F43" s="96" t="n">
        <x:v>5919</x:v>
      </x:c>
      <x:c r="G43" s="96" t="n">
        <x:v>5588</x:v>
      </x:c>
      <x:c r="H43" s="96" t="n">
        <x:v>3177</x:v>
      </x:c>
      <x:c r="I43" s="96" t="n">
        <x:v>368</x:v>
      </x:c>
      <x:c r="J43" s="97" t="n">
        <x:f>SUM(D43:I43)</x:f>
        <x:v>36507</x:v>
      </x:c>
      <x:c r="K43" s="98" t="n">
        <x:f>IFERROR(D43/J43,0)</x:f>
        <x:v>0.477470074232339</x:v>
      </x:c>
      <x:c r="L43" s="98" t="n">
        <x:f>IFERROR(E43/J43,0)</x:f>
        <x:v>0.11022543621771168</x:v>
      </x:c>
      <x:c r="M43" s="98" t="n">
        <x:f>IFERROR(F43/J43,0)</x:f>
        <x:v>0.1621332895061221</x:v>
      </x:c>
      <x:c r="N43" s="98" t="n">
        <x:f>IFERROR(G43/J43,0)</x:f>
        <x:v>0.15306653518503302</x:v>
      </x:c>
      <x:c r="O43" s="98" t="n">
        <x:f>IFERROR(H43/J43,0)</x:f>
        <x:v>0.087024406278248</x:v>
      </x:c>
      <x:c r="P43" s="98" t="n">
        <x:f>IFERROR(I43/J43,0)</x:f>
        <x:v>0.010080258580546196</x:v>
      </x:c>
      <x:c r="Q43" s="97" t="e">
        <x:f>D43*INDEX(Régions!$T$2:$T$6,MATCH($B43,Régions!$A$2:$A$6,0))</x:f>
        <x:v>#NAME?</x:v>
      </x:c>
      <x:c r="R43" s="97" t="e">
        <x:f>E43*INDEX(Régions!$U$2:$U$6,MATCH($B43,Régions!$A$2:$A$6,0))</x:f>
        <x:v>#NAME?</x:v>
      </x:c>
      <x:c r="S43" s="97" t="e">
        <x:f>F43*INDEX(Régions!$V$2:$V$6,MATCH($B43,Régions!$A$2:$A$6,0))</x:f>
        <x:v>#NAME?</x:v>
      </x:c>
      <x:c r="T43" s="97" t="e">
        <x:f>G43*INDEX(Régions!$W$2:$W$6,MATCH($B43,Régions!$A$2:$A$6,0))</x:f>
        <x:v>#NAME?</x:v>
      </x:c>
      <x:c r="U43" s="97" t="e">
        <x:f>H43*INDEX(Régions!$X$2:$X$6,MATCH($B43,Régions!$A$2:$A$6,0))</x:f>
        <x:v>#NAME?</x:v>
      </x:c>
      <x:c r="V43" s="97" t="e">
        <x:f>I43*INDEX(Régions!$Y$2:$Y$6,MATCH($B43,Régions!$A$2:$A$6,0))</x:f>
        <x:v>#NAME?</x:v>
      </x:c>
      <x:c r="W43" s="97" t="e">
        <x:f>Q43+(AU43/100)*J43*Régions!$O$2</x:f>
        <x:v>#NAME?</x:v>
      </x:c>
      <x:c r="X43" s="97" t="e">
        <x:f>R43+(AV43/100)*J43*Régions!$O$2</x:f>
        <x:v>#NAME?</x:v>
      </x:c>
      <x:c r="Y43" s="97" t="e">
        <x:f>S43+(AW43/100)*J43*Régions!$O$2</x:f>
        <x:v>#NAME?</x:v>
      </x:c>
      <x:c r="Z43" s="97" t="e">
        <x:f>T43+(AX43/100)*J43*Régions!$O$2</x:f>
        <x:v>#NAME?</x:v>
      </x:c>
      <x:c r="AA43" s="97" t="e">
        <x:f>U43</x:f>
        <x:v>#NAME?</x:v>
      </x:c>
      <x:c r="AB43" s="97" t="e">
        <x:f>V43</x:f>
        <x:v>#NAME?</x:v>
      </x:c>
      <x:c r="AC43" s="97" t="e">
        <x:f>D43*INDEX(Régions!$Z$2:$Z$6,MATCH($B43,Régions!$A$2:$A$6,0))</x:f>
        <x:v>#NAME?</x:v>
      </x:c>
      <x:c r="AD43" s="97" t="e">
        <x:f>E43*INDEX(Régions!$AA$2:$AA$6,MATCH($B43,Régions!$A$2:$A$6,0))</x:f>
        <x:v>#NAME?</x:v>
      </x:c>
      <x:c r="AE43" s="97" t="e">
        <x:f>F43*INDEX(Régions!$AB$2:$AB$6,MATCH($B43,Régions!$A$2:$A$6,0))</x:f>
        <x:v>#NAME?</x:v>
      </x:c>
      <x:c r="AF43" s="97" t="e">
        <x:f>G43*INDEX(Régions!$AC$2:$AC$6,MATCH($B43,Régions!$A$2:$A$6,0))</x:f>
        <x:v>#NAME?</x:v>
      </x:c>
      <x:c r="AG43" s="97" t="e">
        <x:f>H43*INDEX(Régions!$AD$2:$AD$6,MATCH($B43,Régions!$A$2:$A$6,0))</x:f>
        <x:v>#NAME?</x:v>
      </x:c>
      <x:c r="AH43" s="97" t="e">
        <x:f>I43*INDEX(Régions!$AE$2:$AE$6,MATCH($B43,Régions!$A$2:$A$6,0))</x:f>
        <x:v>#NAME?</x:v>
      </x:c>
      <x:c r="AI43" s="97" t="e">
        <x:f>D43*INDEX(Régions!$AF$2:$AF$6,MATCH($B43,Régions!$A$2:$A$6,0))</x:f>
        <x:v>#NAME?</x:v>
      </x:c>
      <x:c r="AJ43" s="97" t="e">
        <x:f>E43*INDEX(Régions!$AG$2:$AG$6,MATCH($B43,Régions!$A$2:$A$6,0))</x:f>
        <x:v>#NAME?</x:v>
      </x:c>
      <x:c r="AK43" s="97" t="e">
        <x:f>F43*INDEX(Régions!$AH$2:$AH$6,MATCH($B43,Régions!$A$2:$A$6,0))</x:f>
        <x:v>#NAME?</x:v>
      </x:c>
      <x:c r="AL43" s="97" t="e">
        <x:f>G43*INDEX(Régions!$AI$2:$AI$6,MATCH($B43,Régions!$A$2:$A$6,0))</x:f>
        <x:v>#NAME?</x:v>
      </x:c>
      <x:c r="AM43" s="97" t="e">
        <x:f>H43*INDEX(Régions!$AJ$2:$AJ$6,MATCH($B43,Régions!$A$2:$A$6,0))</x:f>
        <x:v>#NAME?</x:v>
      </x:c>
      <x:c r="AN43" s="97" t="e">
        <x:f>I43*INDEX(Régions!$AK$2:$AK$6,MATCH($B43,Régions!$A$2:$A$6,0))</x:f>
        <x:v>#NAME?</x:v>
      </x:c>
      <x:c r="AO43" s="99" t="str">
        <x:f>INDEX({"CAQ","PLQ","QS","PQ","PCQ","Autre"},MATCH(MAX(Q43:V43),Q43:V43,0))</x:f>
        <x:v>CAQ</x:v>
      </x:c>
      <x:c r="AP43" s="99" t="str">
        <x:f>INDEX({"CAQ","PLQ","QS","PQ","PCQ","Autre"},MATCH(MAX(W43:AB43),W43:AB43,0))</x:f>
        <x:v>CAQ</x:v>
      </x:c>
      <x:c r="AQ43" s="99" t="str">
        <x:f>INDEX({"CAQ","PLQ","QS","PQ","PCQ","Autre"},MATCH(MAX(AC43:AH43),AC43:AH43,0))</x:f>
        <x:v>CAQ</x:v>
      </x:c>
      <x:c r="AR43" s="99" t="str">
        <x:f>INDEX({"CAQ","PLQ","QS","PQ","PCQ","Autre"},MATCH(MAX(AI43:AN43),AI43:AN43,0))</x:f>
        <x:v>CAQ</x:v>
      </x:c>
      <x:c r="AS43" s="100" t="n">
        <x:f>(MAX(K43:P43)-LARGE(K43:P43,2))*100</x:f>
        <x:v>31.53367847262169</x:v>
      </x:c>
      <x:c r="AT43" s="101" t="str">
        <x:f>IF(AS43&lt;5,"Oui","Non")</x:f>
        <x:v>Non</x:v>
      </x:c>
      <x:c r="AU43" s="102" t="n">
        <x:v>4.007</x:v>
      </x:c>
      <x:c r="AV43" s="102" t="n">
        <x:v>-2.336</x:v>
      </x:c>
      <x:c r="AW43" s="102" t="n">
        <x:v>-0.326</x:v>
      </x:c>
      <x:c r="AX43" s="102" t="n">
        <x:v>2.512</x:v>
      </x:c>
      <x:c r="AY43" s="96" t="n">
        <x:v>14770</x:v>
      </x:c>
      <x:c r="AZ43" s="96" t="n">
        <x:v>7368</x:v>
      </x:c>
      <x:c r="BA43" s="96" t="n">
        <x:v>6267</x:v>
      </x:c>
      <x:c r="BB43" s="96" t="n">
        <x:v>5745</x:v>
      </x:c>
      <x:c r="BC43" s="96" t="n">
        <x:v>2217</x:v>
      </x:c>
      <x:c r="BD43" s="97" t="e">
        <x:f>AY43*INDEX(Régions!$AQ$2:$AQ$6,MATCH($B43,Régions!$A$2:$A$6,0))</x:f>
        <x:v>#NAME?</x:v>
      </x:c>
      <x:c r="BE43" s="97" t="e">
        <x:f>AZ43*INDEX(Régions!$AR$2:$AR$6,MATCH($B43,Régions!$A$2:$A$6,0))</x:f>
        <x:v>#NAME?</x:v>
      </x:c>
      <x:c r="BF43" s="97" t="e">
        <x:f>BA43*INDEX(Régions!$AS$2:$AS$6,MATCH($B43,Régions!$A$2:$A$6,0))</x:f>
        <x:v>#NAME?</x:v>
      </x:c>
      <x:c r="BG43" s="97" t="e">
        <x:f>BB43*INDEX(Régions!$AT$2:$AT$6,MATCH($B43,Régions!$A$2:$A$6,0))</x:f>
        <x:v>#NAME?</x:v>
      </x:c>
      <x:c r="BH43" s="97" t="e">
        <x:f>U43</x:f>
        <x:v>#NAME?</x:v>
      </x:c>
      <x:c r="BI43" s="97" t="e">
        <x:f>BC43*INDEX(Régions!$AU$2:$AU$6,MATCH($B43,Régions!$A$2:$A$6,0))</x:f>
        <x:v>#NAME?</x:v>
      </x:c>
      <x:c r="BJ43" s="97" t="str">
        <x:f>INDEX({"CAQ","PLQ","QS","PQ","PCQ","Autre"},MATCH(MAX(BD43:BI43),BD43:BI43,0))</x:f>
        <x:v>CAQ</x:v>
      </x:c>
    </x:row>
    <x:row r="44" s="60" customFormat="1" ht="15" customHeight="1">
      <x:c r="A44" s="94" t="inlineStr">
        <x:is>
          <x:t xml:space="preserve">Hochelaga-Maisonneuve</x:t>
        </x:is>
      </x:c>
      <x:c r="B44" s="94" t="inlineStr">
        <x:is>
          <x:t xml:space="preserve">Île de Montréal</x:t>
        </x:is>
      </x:c>
      <x:c r="C44" s="95" t="inlineStr">
        <x:is>
          <x:t xml:space="preserve">QS</x:t>
        </x:is>
      </x:c>
      <x:c r="D44" s="96" t="n">
        <x:v>4727</x:v>
      </x:c>
      <x:c r="E44" s="96" t="n">
        <x:v>1957</x:v>
      </x:c>
      <x:c r="F44" s="96" t="n">
        <x:v>12782</x:v>
      </x:c>
      <x:c r="G44" s="96" t="n">
        <x:v>4014</x:v>
      </x:c>
      <x:c r="H44" s="96" t="n">
        <x:v>1161</x:v>
      </x:c>
      <x:c r="I44" s="96" t="n">
        <x:v>499</x:v>
      </x:c>
      <x:c r="J44" s="97" t="n">
        <x:f>SUM(D44:I44)</x:f>
        <x:v>25140</x:v>
      </x:c>
      <x:c r="K44" s="98" t="n">
        <x:f>IFERROR(D44/J44,0)</x:f>
        <x:v>0.18802704852824184</x:v>
      </x:c>
      <x:c r="L44" s="98" t="n">
        <x:f>IFERROR(E44/J44,0)</x:f>
        <x:v>0.07784407319013524</x:v>
      </x:c>
      <x:c r="M44" s="98" t="n">
        <x:f>IFERROR(F44/J44,0)</x:f>
        <x:v>0.5084327764518696</x:v>
      </x:c>
      <x:c r="N44" s="98" t="n">
        <x:f>IFERROR(G44/J44,0)</x:f>
        <x:v>0.15966587112171837</x:v>
      </x:c>
      <x:c r="O44" s="98" t="n">
        <x:f>IFERROR(H44/J44,0)</x:f>
        <x:v>0.04618138424821002</x:v>
      </x:c>
      <x:c r="P44" s="98" t="n">
        <x:f>IFERROR(I44/J44,0)</x:f>
        <x:v>0.01984884645982498</x:v>
      </x:c>
      <x:c r="Q44" s="97" t="e">
        <x:f>D44*INDEX(Régions!$T$2:$T$6,MATCH($B44,Régions!$A$2:$A$6,0))</x:f>
        <x:v>#NAME?</x:v>
      </x:c>
      <x:c r="R44" s="97" t="e">
        <x:f>E44*INDEX(Régions!$U$2:$U$6,MATCH($B44,Régions!$A$2:$A$6,0))</x:f>
        <x:v>#NAME?</x:v>
      </x:c>
      <x:c r="S44" s="97" t="e">
        <x:f>F44*INDEX(Régions!$V$2:$V$6,MATCH($B44,Régions!$A$2:$A$6,0))</x:f>
        <x:v>#NAME?</x:v>
      </x:c>
      <x:c r="T44" s="97" t="e">
        <x:f>G44*INDEX(Régions!$W$2:$W$6,MATCH($B44,Régions!$A$2:$A$6,0))</x:f>
        <x:v>#NAME?</x:v>
      </x:c>
      <x:c r="U44" s="97" t="e">
        <x:f>H44*INDEX(Régions!$X$2:$X$6,MATCH($B44,Régions!$A$2:$A$6,0))</x:f>
        <x:v>#NAME?</x:v>
      </x:c>
      <x:c r="V44" s="97" t="e">
        <x:f>I44*INDEX(Régions!$Y$2:$Y$6,MATCH($B44,Régions!$A$2:$A$6,0))</x:f>
        <x:v>#NAME?</x:v>
      </x:c>
      <x:c r="W44" s="97" t="e">
        <x:f>Q44+(AU44/100)*J44*Régions!$O$2</x:f>
        <x:v>#NAME?</x:v>
      </x:c>
      <x:c r="X44" s="97" t="e">
        <x:f>R44+(AV44/100)*J44*Régions!$O$2</x:f>
        <x:v>#NAME?</x:v>
      </x:c>
      <x:c r="Y44" s="97" t="e">
        <x:f>S44+(AW44/100)*J44*Régions!$O$2</x:f>
        <x:v>#NAME?</x:v>
      </x:c>
      <x:c r="Z44" s="97" t="e">
        <x:f>T44+(AX44/100)*J44*Régions!$O$2</x:f>
        <x:v>#NAME?</x:v>
      </x:c>
      <x:c r="AA44" s="97" t="e">
        <x:f>U44</x:f>
        <x:v>#NAME?</x:v>
      </x:c>
      <x:c r="AB44" s="97" t="e">
        <x:f>V44</x:f>
        <x:v>#NAME?</x:v>
      </x:c>
      <x:c r="AC44" s="97" t="e">
        <x:f>D44*INDEX(Régions!$Z$2:$Z$6,MATCH($B44,Régions!$A$2:$A$6,0))</x:f>
        <x:v>#NAME?</x:v>
      </x:c>
      <x:c r="AD44" s="97" t="e">
        <x:f>E44*INDEX(Régions!$AA$2:$AA$6,MATCH($B44,Régions!$A$2:$A$6,0))</x:f>
        <x:v>#NAME?</x:v>
      </x:c>
      <x:c r="AE44" s="97" t="e">
        <x:f>F44*INDEX(Régions!$AB$2:$AB$6,MATCH($B44,Régions!$A$2:$A$6,0))</x:f>
        <x:v>#NAME?</x:v>
      </x:c>
      <x:c r="AF44" s="97" t="e">
        <x:f>G44*INDEX(Régions!$AC$2:$AC$6,MATCH($B44,Régions!$A$2:$A$6,0))</x:f>
        <x:v>#NAME?</x:v>
      </x:c>
      <x:c r="AG44" s="97" t="e">
        <x:f>H44*INDEX(Régions!$AD$2:$AD$6,MATCH($B44,Régions!$A$2:$A$6,0))</x:f>
        <x:v>#NAME?</x:v>
      </x:c>
      <x:c r="AH44" s="97" t="e">
        <x:f>I44*INDEX(Régions!$AE$2:$AE$6,MATCH($B44,Régions!$A$2:$A$6,0))</x:f>
        <x:v>#NAME?</x:v>
      </x:c>
      <x:c r="AI44" s="97" t="e">
        <x:f>D44*INDEX(Régions!$AF$2:$AF$6,MATCH($B44,Régions!$A$2:$A$6,0))</x:f>
        <x:v>#NAME?</x:v>
      </x:c>
      <x:c r="AJ44" s="97" t="e">
        <x:f>E44*INDEX(Régions!$AG$2:$AG$6,MATCH($B44,Régions!$A$2:$A$6,0))</x:f>
        <x:v>#NAME?</x:v>
      </x:c>
      <x:c r="AK44" s="97" t="e">
        <x:f>F44*INDEX(Régions!$AH$2:$AH$6,MATCH($B44,Régions!$A$2:$A$6,0))</x:f>
        <x:v>#NAME?</x:v>
      </x:c>
      <x:c r="AL44" s="97" t="e">
        <x:f>G44*INDEX(Régions!$AI$2:$AI$6,MATCH($B44,Régions!$A$2:$A$6,0))</x:f>
        <x:v>#NAME?</x:v>
      </x:c>
      <x:c r="AM44" s="97" t="e">
        <x:f>H44*INDEX(Régions!$AJ$2:$AJ$6,MATCH($B44,Régions!$A$2:$A$6,0))</x:f>
        <x:v>#NAME?</x:v>
      </x:c>
      <x:c r="AN44" s="97" t="e">
        <x:f>I44*INDEX(Régions!$AK$2:$AK$6,MATCH($B44,Régions!$A$2:$A$6,0))</x:f>
        <x:v>#NAME?</x:v>
      </x:c>
      <x:c r="AO44" s="99" t="str">
        <x:f>INDEX({"CAQ","PLQ","QS","PQ","PCQ","Autre"},MATCH(MAX(Q44:V44),Q44:V44,0))</x:f>
        <x:v>CAQ</x:v>
      </x:c>
      <x:c r="AP44" s="99" t="str">
        <x:f>INDEX({"CAQ","PLQ","QS","PQ","PCQ","Autre"},MATCH(MAX(W44:AB44),W44:AB44,0))</x:f>
        <x:v>CAQ</x:v>
      </x:c>
      <x:c r="AQ44" s="99" t="str">
        <x:f>INDEX({"CAQ","PLQ","QS","PQ","PCQ","Autre"},MATCH(MAX(AC44:AH44),AC44:AH44,0))</x:f>
        <x:v>CAQ</x:v>
      </x:c>
      <x:c r="AR44" s="99" t="str">
        <x:f>INDEX({"CAQ","PLQ","QS","PQ","PCQ","Autre"},MATCH(MAX(AI44:AN44),AI44:AN44,0))</x:f>
        <x:v>CAQ</x:v>
      </x:c>
      <x:c r="AS44" s="100" t="n">
        <x:f>(MAX(K44:P44)-LARGE(K44:P44,2))*100</x:f>
        <x:v>32.040572792362774</x:v>
      </x:c>
      <x:c r="AT44" s="101" t="str">
        <x:f>IF(AS44&lt;5,"Oui","Non")</x:f>
        <x:v>Non</x:v>
      </x:c>
      <x:c r="AU44" s="102" t="n">
        <x:v>3.811</x:v>
      </x:c>
      <x:c r="AV44" s="102" t="n">
        <x:v>6.279</x:v>
      </x:c>
      <x:c r="AW44" s="102" t="n">
        <x:v>0.05</x:v>
      </x:c>
      <x:c r="AX44" s="102" t="n">
        <x:v>-6.464</x:v>
      </x:c>
      <x:c r="AY44" s="96" t="n">
        <x:v>3446</x:v>
      </x:c>
      <x:c r="AZ44" s="96" t="n">
        <x:v>2766</x:v>
      </x:c>
      <x:c r="BA44" s="96" t="n">
        <x:v>13387</x:v>
      </x:c>
      <x:c r="BB44" s="96" t="n">
        <x:v>6309</x:v>
      </x:c>
      <x:c r="BC44" s="96" t="n">
        <x:v>840</x:v>
      </x:c>
      <x:c r="BD44" s="97" t="e">
        <x:f>AY44*INDEX(Régions!$AQ$2:$AQ$6,MATCH($B44,Régions!$A$2:$A$6,0))</x:f>
        <x:v>#NAME?</x:v>
      </x:c>
      <x:c r="BE44" s="97" t="e">
        <x:f>AZ44*INDEX(Régions!$AR$2:$AR$6,MATCH($B44,Régions!$A$2:$A$6,0))</x:f>
        <x:v>#NAME?</x:v>
      </x:c>
      <x:c r="BF44" s="97" t="e">
        <x:f>BA44*INDEX(Régions!$AS$2:$AS$6,MATCH($B44,Régions!$A$2:$A$6,0))</x:f>
        <x:v>#NAME?</x:v>
      </x:c>
      <x:c r="BG44" s="97" t="e">
        <x:f>BB44*INDEX(Régions!$AT$2:$AT$6,MATCH($B44,Régions!$A$2:$A$6,0))</x:f>
        <x:v>#NAME?</x:v>
      </x:c>
      <x:c r="BH44" s="97" t="e">
        <x:f>U44</x:f>
        <x:v>#NAME?</x:v>
      </x:c>
      <x:c r="BI44" s="97" t="e">
        <x:f>BC44*INDEX(Régions!$AU$2:$AU$6,MATCH($B44,Régions!$A$2:$A$6,0))</x:f>
        <x:v>#NAME?</x:v>
      </x:c>
      <x:c r="BJ44" s="97" t="str">
        <x:f>INDEX({"CAQ","PLQ","QS","PQ","PCQ","Autre"},MATCH(MAX(BD44:BI44),BD44:BI44,0))</x:f>
        <x:v>CAQ</x:v>
      </x:c>
    </x:row>
    <x:row r="45" s="60" customFormat="1" ht="15" customHeight="1">
      <x:c r="A45" s="94" t="inlineStr">
        <x:is>
          <x:t xml:space="preserve">Hull</x:t>
        </x:is>
      </x:c>
      <x:c r="B45" s="94" t="inlineStr">
        <x:is>
          <x:t xml:space="preserve">Reste du Québec</x:t>
        </x:is>
      </x:c>
      <x:c r="C45" s="95" t="inlineStr">
        <x:is>
          <x:t xml:space="preserve">CAQ</x:t>
        </x:is>
      </x:c>
      <x:c r="D45" s="96" t="n">
        <x:v>12169</x:v>
      </x:c>
      <x:c r="E45" s="96" t="n">
        <x:v>8740</x:v>
      </x:c>
      <x:c r="F45" s="96" t="n">
        <x:v>6910</x:v>
      </x:c>
      <x:c r="G45" s="96" t="n">
        <x:v>3352</x:v>
      </x:c>
      <x:c r="H45" s="96" t="n">
        <x:v>2466</x:v>
      </x:c>
      <x:c r="I45" s="96" t="n">
        <x:v>661</x:v>
      </x:c>
      <x:c r="J45" s="97" t="n">
        <x:f>SUM(D45:I45)</x:f>
        <x:v>34298</x:v>
      </x:c>
      <x:c r="K45" s="98" t="n">
        <x:f>IFERROR(D45/J45,0)</x:f>
        <x:v>0.3548020292728439</x:v>
      </x:c>
      <x:c r="L45" s="98" t="n">
        <x:f>IFERROR(E45/J45,0)</x:f>
        <x:v>0.25482535424806113</x:v>
      </x:c>
      <x:c r="M45" s="98" t="n">
        <x:f>IFERROR(F45/J45,0)</x:f>
        <x:v>0.20146947343868446</x:v>
      </x:c>
      <x:c r="N45" s="98" t="n">
        <x:f>IFERROR(G45/J45,0)</x:f>
        <x:v>0.09773164616012596</x:v>
      </x:c>
      <x:c r="O45" s="98" t="n">
        <x:f>IFERROR(H45/J45,0)</x:f>
        <x:v>0.07189923610706164</x:v>
      </x:c>
      <x:c r="P45" s="98" t="n">
        <x:f>IFERROR(I45/J45,0)</x:f>
        <x:v>0.01927226077322293</x:v>
      </x:c>
      <x:c r="Q45" s="97" t="e">
        <x:f>D45*INDEX(Régions!$T$2:$T$6,MATCH($B45,Régions!$A$2:$A$6,0))</x:f>
        <x:v>#NAME?</x:v>
      </x:c>
      <x:c r="R45" s="97" t="e">
        <x:f>E45*INDEX(Régions!$U$2:$U$6,MATCH($B45,Régions!$A$2:$A$6,0))</x:f>
        <x:v>#NAME?</x:v>
      </x:c>
      <x:c r="S45" s="97" t="e">
        <x:f>F45*INDEX(Régions!$V$2:$V$6,MATCH($B45,Régions!$A$2:$A$6,0))</x:f>
        <x:v>#NAME?</x:v>
      </x:c>
      <x:c r="T45" s="97" t="e">
        <x:f>G45*INDEX(Régions!$W$2:$W$6,MATCH($B45,Régions!$A$2:$A$6,0))</x:f>
        <x:v>#NAME?</x:v>
      </x:c>
      <x:c r="U45" s="97" t="e">
        <x:f>H45*INDEX(Régions!$X$2:$X$6,MATCH($B45,Régions!$A$2:$A$6,0))</x:f>
        <x:v>#NAME?</x:v>
      </x:c>
      <x:c r="V45" s="97" t="e">
        <x:f>I45*INDEX(Régions!$Y$2:$Y$6,MATCH($B45,Régions!$A$2:$A$6,0))</x:f>
        <x:v>#NAME?</x:v>
      </x:c>
      <x:c r="W45" s="97" t="e">
        <x:f>Q45+(AU45/100)*J45*Régions!$O$2</x:f>
        <x:v>#NAME?</x:v>
      </x:c>
      <x:c r="X45" s="97" t="e">
        <x:f>R45+(AV45/100)*J45*Régions!$O$2</x:f>
        <x:v>#NAME?</x:v>
      </x:c>
      <x:c r="Y45" s="97" t="e">
        <x:f>S45+(AW45/100)*J45*Régions!$O$2</x:f>
        <x:v>#NAME?</x:v>
      </x:c>
      <x:c r="Z45" s="97" t="e">
        <x:f>T45+(AX45/100)*J45*Régions!$O$2</x:f>
        <x:v>#NAME?</x:v>
      </x:c>
      <x:c r="AA45" s="97" t="e">
        <x:f>U45</x:f>
        <x:v>#NAME?</x:v>
      </x:c>
      <x:c r="AB45" s="97" t="e">
        <x:f>V45</x:f>
        <x:v>#NAME?</x:v>
      </x:c>
      <x:c r="AC45" s="97" t="e">
        <x:f>D45*INDEX(Régions!$Z$2:$Z$6,MATCH($B45,Régions!$A$2:$A$6,0))</x:f>
        <x:v>#NAME?</x:v>
      </x:c>
      <x:c r="AD45" s="97" t="e">
        <x:f>E45*INDEX(Régions!$AA$2:$AA$6,MATCH($B45,Régions!$A$2:$A$6,0))</x:f>
        <x:v>#NAME?</x:v>
      </x:c>
      <x:c r="AE45" s="97" t="e">
        <x:f>F45*INDEX(Régions!$AB$2:$AB$6,MATCH($B45,Régions!$A$2:$A$6,0))</x:f>
        <x:v>#NAME?</x:v>
      </x:c>
      <x:c r="AF45" s="97" t="e">
        <x:f>G45*INDEX(Régions!$AC$2:$AC$6,MATCH($B45,Régions!$A$2:$A$6,0))</x:f>
        <x:v>#NAME?</x:v>
      </x:c>
      <x:c r="AG45" s="97" t="e">
        <x:f>H45*INDEX(Régions!$AD$2:$AD$6,MATCH($B45,Régions!$A$2:$A$6,0))</x:f>
        <x:v>#NAME?</x:v>
      </x:c>
      <x:c r="AH45" s="97" t="e">
        <x:f>I45*INDEX(Régions!$AE$2:$AE$6,MATCH($B45,Régions!$A$2:$A$6,0))</x:f>
        <x:v>#NAME?</x:v>
      </x:c>
      <x:c r="AI45" s="97" t="e">
        <x:f>D45*INDEX(Régions!$AF$2:$AF$6,MATCH($B45,Régions!$A$2:$A$6,0))</x:f>
        <x:v>#NAME?</x:v>
      </x:c>
      <x:c r="AJ45" s="97" t="e">
        <x:f>E45*INDEX(Régions!$AG$2:$AG$6,MATCH($B45,Régions!$A$2:$A$6,0))</x:f>
        <x:v>#NAME?</x:v>
      </x:c>
      <x:c r="AK45" s="97" t="e">
        <x:f>F45*INDEX(Régions!$AH$2:$AH$6,MATCH($B45,Régions!$A$2:$A$6,0))</x:f>
        <x:v>#NAME?</x:v>
      </x:c>
      <x:c r="AL45" s="97" t="e">
        <x:f>G45*INDEX(Régions!$AI$2:$AI$6,MATCH($B45,Régions!$A$2:$A$6,0))</x:f>
        <x:v>#NAME?</x:v>
      </x:c>
      <x:c r="AM45" s="97" t="e">
        <x:f>H45*INDEX(Régions!$AJ$2:$AJ$6,MATCH($B45,Régions!$A$2:$A$6,0))</x:f>
        <x:v>#NAME?</x:v>
      </x:c>
      <x:c r="AN45" s="97" t="e">
        <x:f>I45*INDEX(Régions!$AK$2:$AK$6,MATCH($B45,Régions!$A$2:$A$6,0))</x:f>
        <x:v>#NAME?</x:v>
      </x:c>
      <x:c r="AO45" s="99" t="str">
        <x:f>INDEX({"CAQ","PLQ","QS","PQ","PCQ","Autre"},MATCH(MAX(Q45:V45),Q45:V45,0))</x:f>
        <x:v>CAQ</x:v>
      </x:c>
      <x:c r="AP45" s="99" t="str">
        <x:f>INDEX({"CAQ","PLQ","QS","PQ","PCQ","Autre"},MATCH(MAX(W45:AB45),W45:AB45,0))</x:f>
        <x:v>CAQ</x:v>
      </x:c>
      <x:c r="AQ45" s="99" t="str">
        <x:f>INDEX({"CAQ","PLQ","QS","PQ","PCQ","Autre"},MATCH(MAX(AC45:AH45),AC45:AH45,0))</x:f>
        <x:v>CAQ</x:v>
      </x:c>
      <x:c r="AR45" s="99" t="str">
        <x:f>INDEX({"CAQ","PLQ","QS","PQ","PCQ","Autre"},MATCH(MAX(AI45:AN45),AI45:AN45,0))</x:f>
        <x:v>CAQ</x:v>
      </x:c>
      <x:c r="AS45" s="100" t="n">
        <x:f>(MAX(K45:P45)-LARGE(K45:P45,2))*100</x:f>
        <x:v>9.997667502478274</x:v>
      </x:c>
      <x:c r="AT45" s="101" t="str">
        <x:f>IF(AS45&lt;5,"Oui","Non")</x:f>
        <x:v>Non</x:v>
      </x:c>
      <x:c r="AU45" s="102" t="n">
        <x:v>2.051</x:v>
      </x:c>
      <x:c r="AV45" s="102" t="n">
        <x:v>4.695</x:v>
      </x:c>
      <x:c r="AW45" s="102" t="n">
        <x:v>3.014</x:v>
      </x:c>
      <x:c r="AX45" s="102" t="n">
        <x:v>0.469</x:v>
      </x:c>
      <x:c r="AY45" s="96" t="n">
        <x:v>9186</x:v>
      </x:c>
      <x:c r="AZ45" s="96" t="n">
        <x:v>11212</x:v>
      </x:c>
      <x:c r="BA45" s="96" t="n">
        <x:v>6058</x:v>
      </x:c>
      <x:c r="BB45" s="96" t="n">
        <x:v>4443</x:v>
      </x:c>
      <x:c r="BC45" s="96" t="n">
        <x:v>2532</x:v>
      </x:c>
      <x:c r="BD45" s="97" t="e">
        <x:f>AY45*INDEX(Régions!$AQ$2:$AQ$6,MATCH($B45,Régions!$A$2:$A$6,0))</x:f>
        <x:v>#NAME?</x:v>
      </x:c>
      <x:c r="BE45" s="97" t="e">
        <x:f>AZ45*INDEX(Régions!$AR$2:$AR$6,MATCH($B45,Régions!$A$2:$A$6,0))</x:f>
        <x:v>#NAME?</x:v>
      </x:c>
      <x:c r="BF45" s="97" t="e">
        <x:f>BA45*INDEX(Régions!$AS$2:$AS$6,MATCH($B45,Régions!$A$2:$A$6,0))</x:f>
        <x:v>#NAME?</x:v>
      </x:c>
      <x:c r="BG45" s="97" t="e">
        <x:f>BB45*INDEX(Régions!$AT$2:$AT$6,MATCH($B45,Régions!$A$2:$A$6,0))</x:f>
        <x:v>#NAME?</x:v>
      </x:c>
      <x:c r="BH45" s="97" t="e">
        <x:f>U45</x:f>
        <x:v>#NAME?</x:v>
      </x:c>
      <x:c r="BI45" s="97" t="e">
        <x:f>BC45*INDEX(Régions!$AU$2:$AU$6,MATCH($B45,Régions!$A$2:$A$6,0))</x:f>
        <x:v>#NAME?</x:v>
      </x:c>
      <x:c r="BJ45" s="97" t="str">
        <x:f>INDEX({"CAQ","PLQ","QS","PQ","PCQ","Autre"},MATCH(MAX(BD45:BI45),BD45:BI45,0))</x:f>
        <x:v>CAQ</x:v>
      </x:c>
    </x:row>
    <x:row r="46" s="60" customFormat="1" ht="15" customHeight="1">
      <x:c r="A46" s="94" t="inlineStr">
        <x:is>
          <x:t xml:space="preserve">Huntingdon</x:t>
        </x:is>
      </x:c>
      <x:c r="B46" s="94" t="inlineStr">
        <x:is>
          <x:t xml:space="preserve">Banlieue de Montréal</x:t>
        </x:is>
      </x:c>
      <x:c r="C46" s="95" t="inlineStr">
        <x:is>
          <x:t xml:space="preserve">CAQ</x:t>
        </x:is>
      </x:c>
      <x:c r="D46" s="96" t="n">
        <x:v>14250</x:v>
      </x:c>
      <x:c r="E46" s="96" t="n">
        <x:v>4283</x:v>
      </x:c>
      <x:c r="F46" s="96" t="n">
        <x:v>3436</x:v>
      </x:c>
      <x:c r="G46" s="96" t="n">
        <x:v>3744</x:v>
      </x:c>
      <x:c r="H46" s="96" t="n">
        <x:v>4359</x:v>
      </x:c>
      <x:c r="I46" s="96" t="n">
        <x:v>378</x:v>
      </x:c>
      <x:c r="J46" s="97" t="n">
        <x:f>SUM(D46:I46)</x:f>
        <x:v>30450</x:v>
      </x:c>
      <x:c r="K46" s="98" t="n">
        <x:f>IFERROR(D46/J46,0)</x:f>
        <x:v>0.46798029556650245</x:v>
      </x:c>
      <x:c r="L46" s="98" t="n">
        <x:f>IFERROR(E46/J46,0)</x:f>
        <x:v>0.1406568144499179</x:v>
      </x:c>
      <x:c r="M46" s="98" t="n">
        <x:f>IFERROR(F46/J46,0)</x:f>
        <x:v>0.11284072249589491</x:v>
      </x:c>
      <x:c r="N46" s="98" t="n">
        <x:f>IFERROR(G46/J46,0)</x:f>
        <x:v>0.12295566502463054</x:v>
      </x:c>
      <x:c r="O46" s="98" t="n">
        <x:f>IFERROR(H46/J46,0)</x:f>
        <x:v>0.14315270935960592</x:v>
      </x:c>
      <x:c r="P46" s="98" t="n">
        <x:f>IFERROR(I46/J46,0)</x:f>
        <x:v>0.012413793103448275</x:v>
      </x:c>
      <x:c r="Q46" s="97" t="e">
        <x:f>D46*INDEX(Régions!$T$2:$T$6,MATCH($B46,Régions!$A$2:$A$6,0))</x:f>
        <x:v>#NAME?</x:v>
      </x:c>
      <x:c r="R46" s="97" t="e">
        <x:f>E46*INDEX(Régions!$U$2:$U$6,MATCH($B46,Régions!$A$2:$A$6,0))</x:f>
        <x:v>#NAME?</x:v>
      </x:c>
      <x:c r="S46" s="97" t="e">
        <x:f>F46*INDEX(Régions!$V$2:$V$6,MATCH($B46,Régions!$A$2:$A$6,0))</x:f>
        <x:v>#NAME?</x:v>
      </x:c>
      <x:c r="T46" s="97" t="e">
        <x:f>G46*INDEX(Régions!$W$2:$W$6,MATCH($B46,Régions!$A$2:$A$6,0))</x:f>
        <x:v>#NAME?</x:v>
      </x:c>
      <x:c r="U46" s="97" t="e">
        <x:f>H46*INDEX(Régions!$X$2:$X$6,MATCH($B46,Régions!$A$2:$A$6,0))</x:f>
        <x:v>#NAME?</x:v>
      </x:c>
      <x:c r="V46" s="97" t="e">
        <x:f>I46*INDEX(Régions!$Y$2:$Y$6,MATCH($B46,Régions!$A$2:$A$6,0))</x:f>
        <x:v>#NAME?</x:v>
      </x:c>
      <x:c r="W46" s="97" t="e">
        <x:f>Q46+(AU46/100)*J46*Régions!$O$2</x:f>
        <x:v>#NAME?</x:v>
      </x:c>
      <x:c r="X46" s="97" t="e">
        <x:f>R46+(AV46/100)*J46*Régions!$O$2</x:f>
        <x:v>#NAME?</x:v>
      </x:c>
      <x:c r="Y46" s="97" t="e">
        <x:f>S46+(AW46/100)*J46*Régions!$O$2</x:f>
        <x:v>#NAME?</x:v>
      </x:c>
      <x:c r="Z46" s="97" t="e">
        <x:f>T46+(AX46/100)*J46*Régions!$O$2</x:f>
        <x:v>#NAME?</x:v>
      </x:c>
      <x:c r="AA46" s="97" t="e">
        <x:f>U46</x:f>
        <x:v>#NAME?</x:v>
      </x:c>
      <x:c r="AB46" s="97" t="e">
        <x:f>V46</x:f>
        <x:v>#NAME?</x:v>
      </x:c>
      <x:c r="AC46" s="97" t="e">
        <x:f>D46*INDEX(Régions!$Z$2:$Z$6,MATCH($B46,Régions!$A$2:$A$6,0))</x:f>
        <x:v>#NAME?</x:v>
      </x:c>
      <x:c r="AD46" s="97" t="e">
        <x:f>E46*INDEX(Régions!$AA$2:$AA$6,MATCH($B46,Régions!$A$2:$A$6,0))</x:f>
        <x:v>#NAME?</x:v>
      </x:c>
      <x:c r="AE46" s="97" t="e">
        <x:f>F46*INDEX(Régions!$AB$2:$AB$6,MATCH($B46,Régions!$A$2:$A$6,0))</x:f>
        <x:v>#NAME?</x:v>
      </x:c>
      <x:c r="AF46" s="97" t="e">
        <x:f>G46*INDEX(Régions!$AC$2:$AC$6,MATCH($B46,Régions!$A$2:$A$6,0))</x:f>
        <x:v>#NAME?</x:v>
      </x:c>
      <x:c r="AG46" s="97" t="e">
        <x:f>H46*INDEX(Régions!$AD$2:$AD$6,MATCH($B46,Régions!$A$2:$A$6,0))</x:f>
        <x:v>#NAME?</x:v>
      </x:c>
      <x:c r="AH46" s="97" t="e">
        <x:f>I46*INDEX(Régions!$AE$2:$AE$6,MATCH($B46,Régions!$A$2:$A$6,0))</x:f>
        <x:v>#NAME?</x:v>
      </x:c>
      <x:c r="AI46" s="97" t="e">
        <x:f>D46*INDEX(Régions!$AF$2:$AF$6,MATCH($B46,Régions!$A$2:$A$6,0))</x:f>
        <x:v>#NAME?</x:v>
      </x:c>
      <x:c r="AJ46" s="97" t="e">
        <x:f>E46*INDEX(Régions!$AG$2:$AG$6,MATCH($B46,Régions!$A$2:$A$6,0))</x:f>
        <x:v>#NAME?</x:v>
      </x:c>
      <x:c r="AK46" s="97" t="e">
        <x:f>F46*INDEX(Régions!$AH$2:$AH$6,MATCH($B46,Régions!$A$2:$A$6,0))</x:f>
        <x:v>#NAME?</x:v>
      </x:c>
      <x:c r="AL46" s="97" t="e">
        <x:f>G46*INDEX(Régions!$AI$2:$AI$6,MATCH($B46,Régions!$A$2:$A$6,0))</x:f>
        <x:v>#NAME?</x:v>
      </x:c>
      <x:c r="AM46" s="97" t="e">
        <x:f>H46*INDEX(Régions!$AJ$2:$AJ$6,MATCH($B46,Régions!$A$2:$A$6,0))</x:f>
        <x:v>#NAME?</x:v>
      </x:c>
      <x:c r="AN46" s="97" t="e">
        <x:f>I46*INDEX(Régions!$AK$2:$AK$6,MATCH($B46,Régions!$A$2:$A$6,0))</x:f>
        <x:v>#NAME?</x:v>
      </x:c>
      <x:c r="AO46" s="99" t="str">
        <x:f>INDEX({"CAQ","PLQ","QS","PQ","PCQ","Autre"},MATCH(MAX(Q46:V46),Q46:V46,0))</x:f>
        <x:v>CAQ</x:v>
      </x:c>
      <x:c r="AP46" s="99" t="str">
        <x:f>INDEX({"CAQ","PLQ","QS","PQ","PCQ","Autre"},MATCH(MAX(W46:AB46),W46:AB46,0))</x:f>
        <x:v>CAQ</x:v>
      </x:c>
      <x:c r="AQ46" s="99" t="str">
        <x:f>INDEX({"CAQ","PLQ","QS","PQ","PCQ","Autre"},MATCH(MAX(AC46:AH46),AC46:AH46,0))</x:f>
        <x:v>CAQ</x:v>
      </x:c>
      <x:c r="AR46" s="99" t="str">
        <x:f>INDEX({"CAQ","PLQ","QS","PQ","PCQ","Autre"},MATCH(MAX(AI46:AN46),AI46:AN46,0))</x:f>
        <x:v>CAQ</x:v>
      </x:c>
      <x:c r="AS46" s="100" t="n">
        <x:f>(MAX(K46:P46)-LARGE(K46:P46,2))*100</x:f>
        <x:v>32.48275862068966</x:v>
      </x:c>
      <x:c r="AT46" s="101" t="str">
        <x:f>IF(AS46&lt;5,"Oui","Non")</x:f>
        <x:v>Non</x:v>
      </x:c>
      <x:c r="AU46" s="102" t="n">
        <x:v>5.915</x:v>
      </x:c>
      <x:c r="AV46" s="102" t="n">
        <x:v>-13.357</x:v>
      </x:c>
      <x:c r="AW46" s="102" t="n">
        <x:v>-0.805</x:v>
      </x:c>
      <x:c r="AX46" s="102" t="n">
        <x:v>3.507</x:v>
      </x:c>
      <x:c r="AY46" s="96" t="n">
        <x:v>11346</x:v>
      </x:c>
      <x:c r="AZ46" s="96" t="n">
        <x:v>10315</x:v>
      </x:c>
      <x:c r="BA46" s="96" t="n">
        <x:v>3842</x:v>
      </x:c>
      <x:c r="BB46" s="96" t="n">
        <x:v>3543</x:v>
      </x:c>
      <x:c r="BC46" s="96" t="n">
        <x:v>1005</x:v>
      </x:c>
      <x:c r="BD46" s="97" t="e">
        <x:f>AY46*INDEX(Régions!$AQ$2:$AQ$6,MATCH($B46,Régions!$A$2:$A$6,0))</x:f>
        <x:v>#NAME?</x:v>
      </x:c>
      <x:c r="BE46" s="97" t="e">
        <x:f>AZ46*INDEX(Régions!$AR$2:$AR$6,MATCH($B46,Régions!$A$2:$A$6,0))</x:f>
        <x:v>#NAME?</x:v>
      </x:c>
      <x:c r="BF46" s="97" t="e">
        <x:f>BA46*INDEX(Régions!$AS$2:$AS$6,MATCH($B46,Régions!$A$2:$A$6,0))</x:f>
        <x:v>#NAME?</x:v>
      </x:c>
      <x:c r="BG46" s="97" t="e">
        <x:f>BB46*INDEX(Régions!$AT$2:$AT$6,MATCH($B46,Régions!$A$2:$A$6,0))</x:f>
        <x:v>#NAME?</x:v>
      </x:c>
      <x:c r="BH46" s="97" t="e">
        <x:f>U46</x:f>
        <x:v>#NAME?</x:v>
      </x:c>
      <x:c r="BI46" s="97" t="e">
        <x:f>BC46*INDEX(Régions!$AU$2:$AU$6,MATCH($B46,Régions!$A$2:$A$6,0))</x:f>
        <x:v>#NAME?</x:v>
      </x:c>
      <x:c r="BJ46" s="97" t="str">
        <x:f>INDEX({"CAQ","PLQ","QS","PQ","PCQ","Autre"},MATCH(MAX(BD46:BI46),BD46:BI46,0))</x:f>
        <x:v>CAQ</x:v>
      </x:c>
    </x:row>
    <x:row r="47" s="60" customFormat="1" ht="15" customHeight="1">
      <x:c r="A47" s="94" t="inlineStr">
        <x:is>
          <x:t xml:space="preserve">Iberville</x:t>
        </x:is>
      </x:c>
      <x:c r="B47" s="94" t="inlineStr">
        <x:is>
          <x:t xml:space="preserve">Banlieue de Montréal</x:t>
        </x:is>
      </x:c>
      <x:c r="C47" s="95" t="inlineStr">
        <x:is>
          <x:t xml:space="preserve">CAQ</x:t>
        </x:is>
      </x:c>
      <x:c r="D47" s="96" t="n">
        <x:v>18222</x:v>
      </x:c>
      <x:c r="E47" s="96" t="n">
        <x:v>1934</x:v>
      </x:c>
      <x:c r="F47" s="96" t="n">
        <x:v>4703</x:v>
      </x:c>
      <x:c r="G47" s="96" t="n">
        <x:v>5227</x:v>
      </x:c>
      <x:c r="H47" s="96" t="n">
        <x:v>3863</x:v>
      </x:c>
      <x:c r="I47" s="96" t="n">
        <x:v>338</x:v>
      </x:c>
      <x:c r="J47" s="97" t="n">
        <x:f>SUM(D47:I47)</x:f>
        <x:v>34287</x:v>
      </x:c>
      <x:c r="K47" s="98" t="n">
        <x:f>IFERROR(D47/J47,0)</x:f>
        <x:v>0.5314550704348587</x:v>
      </x:c>
      <x:c r="L47" s="98" t="n">
        <x:f>IFERROR(E47/J47,0)</x:f>
        <x:v>0.05640621810015458</x:v>
      </x:c>
      <x:c r="M47" s="98" t="n">
        <x:f>IFERROR(F47/J47,0)</x:f>
        <x:v>0.13716568961997258</x:v>
      </x:c>
      <x:c r="N47" s="98" t="n">
        <x:f>IFERROR(G47/J47,0)</x:f>
        <x:v>0.1524484498497973</x:v>
      </x:c>
      <x:c r="O47" s="98" t="n">
        <x:f>IFERROR(H47/J47,0)</x:f>
        <x:v>0.11266660833552075</x:v>
      </x:c>
      <x:c r="P47" s="98" t="n">
        <x:f>IFERROR(I47/J47,0)</x:f>
        <x:v>0.009857963659696095</x:v>
      </x:c>
      <x:c r="Q47" s="97" t="e">
        <x:f>D47*INDEX(Régions!$T$2:$T$6,MATCH($B47,Régions!$A$2:$A$6,0))</x:f>
        <x:v>#NAME?</x:v>
      </x:c>
      <x:c r="R47" s="97" t="e">
        <x:f>E47*INDEX(Régions!$U$2:$U$6,MATCH($B47,Régions!$A$2:$A$6,0))</x:f>
        <x:v>#NAME?</x:v>
      </x:c>
      <x:c r="S47" s="97" t="e">
        <x:f>F47*INDEX(Régions!$V$2:$V$6,MATCH($B47,Régions!$A$2:$A$6,0))</x:f>
        <x:v>#NAME?</x:v>
      </x:c>
      <x:c r="T47" s="97" t="e">
        <x:f>G47*INDEX(Régions!$W$2:$W$6,MATCH($B47,Régions!$A$2:$A$6,0))</x:f>
        <x:v>#NAME?</x:v>
      </x:c>
      <x:c r="U47" s="97" t="e">
        <x:f>H47*INDEX(Régions!$X$2:$X$6,MATCH($B47,Régions!$A$2:$A$6,0))</x:f>
        <x:v>#NAME?</x:v>
      </x:c>
      <x:c r="V47" s="97" t="e">
        <x:f>I47*INDEX(Régions!$Y$2:$Y$6,MATCH($B47,Régions!$A$2:$A$6,0))</x:f>
        <x:v>#NAME?</x:v>
      </x:c>
      <x:c r="W47" s="97" t="e">
        <x:f>Q47+(AU47/100)*J47*Régions!$O$2</x:f>
        <x:v>#NAME?</x:v>
      </x:c>
      <x:c r="X47" s="97" t="e">
        <x:f>R47+(AV47/100)*J47*Régions!$O$2</x:f>
        <x:v>#NAME?</x:v>
      </x:c>
      <x:c r="Y47" s="97" t="e">
        <x:f>S47+(AW47/100)*J47*Régions!$O$2</x:f>
        <x:v>#NAME?</x:v>
      </x:c>
      <x:c r="Z47" s="97" t="e">
        <x:f>T47+(AX47/100)*J47*Régions!$O$2</x:f>
        <x:v>#NAME?</x:v>
      </x:c>
      <x:c r="AA47" s="97" t="e">
        <x:f>U47</x:f>
        <x:v>#NAME?</x:v>
      </x:c>
      <x:c r="AB47" s="97" t="e">
        <x:f>V47</x:f>
        <x:v>#NAME?</x:v>
      </x:c>
      <x:c r="AC47" s="97" t="e">
        <x:f>D47*INDEX(Régions!$Z$2:$Z$6,MATCH($B47,Régions!$A$2:$A$6,0))</x:f>
        <x:v>#NAME?</x:v>
      </x:c>
      <x:c r="AD47" s="97" t="e">
        <x:f>E47*INDEX(Régions!$AA$2:$AA$6,MATCH($B47,Régions!$A$2:$A$6,0))</x:f>
        <x:v>#NAME?</x:v>
      </x:c>
      <x:c r="AE47" s="97" t="e">
        <x:f>F47*INDEX(Régions!$AB$2:$AB$6,MATCH($B47,Régions!$A$2:$A$6,0))</x:f>
        <x:v>#NAME?</x:v>
      </x:c>
      <x:c r="AF47" s="97" t="e">
        <x:f>G47*INDEX(Régions!$AC$2:$AC$6,MATCH($B47,Régions!$A$2:$A$6,0))</x:f>
        <x:v>#NAME?</x:v>
      </x:c>
      <x:c r="AG47" s="97" t="e">
        <x:f>H47*INDEX(Régions!$AD$2:$AD$6,MATCH($B47,Régions!$A$2:$A$6,0))</x:f>
        <x:v>#NAME?</x:v>
      </x:c>
      <x:c r="AH47" s="97" t="e">
        <x:f>I47*INDEX(Régions!$AE$2:$AE$6,MATCH($B47,Régions!$A$2:$A$6,0))</x:f>
        <x:v>#NAME?</x:v>
      </x:c>
      <x:c r="AI47" s="97" t="e">
        <x:f>D47*INDEX(Régions!$AF$2:$AF$6,MATCH($B47,Régions!$A$2:$A$6,0))</x:f>
        <x:v>#NAME?</x:v>
      </x:c>
      <x:c r="AJ47" s="97" t="e">
        <x:f>E47*INDEX(Régions!$AG$2:$AG$6,MATCH($B47,Régions!$A$2:$A$6,0))</x:f>
        <x:v>#NAME?</x:v>
      </x:c>
      <x:c r="AK47" s="97" t="e">
        <x:f>F47*INDEX(Régions!$AH$2:$AH$6,MATCH($B47,Régions!$A$2:$A$6,0))</x:f>
        <x:v>#NAME?</x:v>
      </x:c>
      <x:c r="AL47" s="97" t="e">
        <x:f>G47*INDEX(Régions!$AI$2:$AI$6,MATCH($B47,Régions!$A$2:$A$6,0))</x:f>
        <x:v>#NAME?</x:v>
      </x:c>
      <x:c r="AM47" s="97" t="e">
        <x:f>H47*INDEX(Régions!$AJ$2:$AJ$6,MATCH($B47,Régions!$A$2:$A$6,0))</x:f>
        <x:v>#NAME?</x:v>
      </x:c>
      <x:c r="AN47" s="97" t="e">
        <x:f>I47*INDEX(Régions!$AK$2:$AK$6,MATCH($B47,Régions!$A$2:$A$6,0))</x:f>
        <x:v>#NAME?</x:v>
      </x:c>
      <x:c r="AO47" s="99" t="str">
        <x:f>INDEX({"CAQ","PLQ","QS","PQ","PCQ","Autre"},MATCH(MAX(Q47:V47),Q47:V47,0))</x:f>
        <x:v>CAQ</x:v>
      </x:c>
      <x:c r="AP47" s="99" t="str">
        <x:f>INDEX({"CAQ","PLQ","QS","PQ","PCQ","Autre"},MATCH(MAX(W47:AB47),W47:AB47,0))</x:f>
        <x:v>CAQ</x:v>
      </x:c>
      <x:c r="AQ47" s="99" t="str">
        <x:f>INDEX({"CAQ","PLQ","QS","PQ","PCQ","Autre"},MATCH(MAX(AC47:AH47),AC47:AH47,0))</x:f>
        <x:v>CAQ</x:v>
      </x:c>
      <x:c r="AR47" s="99" t="str">
        <x:f>INDEX({"CAQ","PLQ","QS","PQ","PCQ","Autre"},MATCH(MAX(AI47:AN47),AI47:AN47,0))</x:f>
        <x:v>CAQ</x:v>
      </x:c>
      <x:c r="AS47" s="100" t="n">
        <x:f>(MAX(K47:P47)-LARGE(K47:P47,2))*100</x:f>
        <x:v>37.90066205850614</x:v>
      </x:c>
      <x:c r="AT47" s="101" t="str">
        <x:f>IF(AS47&lt;5,"Oui","Non")</x:f>
        <x:v>Non</x:v>
      </x:c>
      <x:c r="AU47" s="102" t="n">
        <x:v>2.4</x:v>
      </x:c>
      <x:c r="AV47" s="102" t="n">
        <x:v>0.24</x:v>
      </x:c>
      <x:c r="AW47" s="102" t="n">
        <x:v>-2.903</x:v>
      </x:c>
      <x:c r="AX47" s="102" t="n">
        <x:v>0.697</x:v>
      </x:c>
      <x:c r="AY47" s="96" t="n">
        <x:v>15912</x:v>
      </x:c>
      <x:c r="AZ47" s="96" t="n">
        <x:v>4111</x:v>
      </x:c>
      <x:c r="BA47" s="96" t="n">
        <x:v>5785</x:v>
      </x:c>
      <x:c r="BB47" s="96" t="n">
        <x:v>5864</x:v>
      </x:c>
      <x:c r="BC47" s="96" t="n">
        <x:v>1742</x:v>
      </x:c>
      <x:c r="BD47" s="97" t="e">
        <x:f>AY47*INDEX(Régions!$AQ$2:$AQ$6,MATCH($B47,Régions!$A$2:$A$6,0))</x:f>
        <x:v>#NAME?</x:v>
      </x:c>
      <x:c r="BE47" s="97" t="e">
        <x:f>AZ47*INDEX(Régions!$AR$2:$AR$6,MATCH($B47,Régions!$A$2:$A$6,0))</x:f>
        <x:v>#NAME?</x:v>
      </x:c>
      <x:c r="BF47" s="97" t="e">
        <x:f>BA47*INDEX(Régions!$AS$2:$AS$6,MATCH($B47,Régions!$A$2:$A$6,0))</x:f>
        <x:v>#NAME?</x:v>
      </x:c>
      <x:c r="BG47" s="97" t="e">
        <x:f>BB47*INDEX(Régions!$AT$2:$AT$6,MATCH($B47,Régions!$A$2:$A$6,0))</x:f>
        <x:v>#NAME?</x:v>
      </x:c>
      <x:c r="BH47" s="97" t="e">
        <x:f>U47</x:f>
        <x:v>#NAME?</x:v>
      </x:c>
      <x:c r="BI47" s="97" t="e">
        <x:f>BC47*INDEX(Régions!$AU$2:$AU$6,MATCH($B47,Régions!$A$2:$A$6,0))</x:f>
        <x:v>#NAME?</x:v>
      </x:c>
      <x:c r="BJ47" s="97" t="str">
        <x:f>INDEX({"CAQ","PLQ","QS","PQ","PCQ","Autre"},MATCH(MAX(BD47:BI47),BD47:BI47,0))</x:f>
        <x:v>CAQ</x:v>
      </x:c>
    </x:row>
    <x:row r="48" s="60" customFormat="1" ht="15" customHeight="1">
      <x:c r="A48" s="94" t="inlineStr">
        <x:is>
          <x:t xml:space="preserve">Jacques-Cartier</x:t>
        </x:is>
      </x:c>
      <x:c r="B48" s="94" t="inlineStr">
        <x:is>
          <x:t xml:space="preserve">Île de Montréal</x:t>
        </x:is>
      </x:c>
      <x:c r="C48" s="95" t="inlineStr">
        <x:is>
          <x:t xml:space="preserve">PLQ</x:t>
        </x:is>
      </x:c>
      <x:c r="D48" s="96" t="n">
        <x:v>2735</x:v>
      </x:c>
      <x:c r="E48" s="96" t="n">
        <x:v>18158</x:v>
      </x:c>
      <x:c r="F48" s="96" t="n">
        <x:v>1456</x:v>
      </x:c>
      <x:c r="G48" s="96" t="n">
        <x:v>877</x:v>
      </x:c>
      <x:c r="H48" s="96" t="n">
        <x:v>4722</x:v>
      </x:c>
      <x:c r="I48" s="96" t="n">
        <x:v>1074</x:v>
      </x:c>
      <x:c r="J48" s="97" t="n">
        <x:f>SUM(D48:I48)</x:f>
        <x:v>29022</x:v>
      </x:c>
      <x:c r="K48" s="98" t="n">
        <x:f>IFERROR(D48/J48,0)</x:f>
        <x:v>0.0942388532837158</x:v>
      </x:c>
      <x:c r="L48" s="98" t="n">
        <x:f>IFERROR(E48/J48,0)</x:f>
        <x:v>0.6256632899179932</x:v>
      </x:c>
      <x:c r="M48" s="98" t="n">
        <x:f>IFERROR(F48/J48,0)</x:f>
        <x:v>0.05016883743367101</x:v>
      </x:c>
      <x:c r="N48" s="98" t="n">
        <x:f>IFERROR(G48/J48,0)</x:f>
        <x:v>0.030218454965198815</x:v>
      </x:c>
      <x:c r="O48" s="98" t="n">
        <x:f>IFERROR(H48/J48,0)</x:f>
        <x:v>0.16270415546826544</x:v>
      </x:c>
      <x:c r="P48" s="98" t="n">
        <x:f>IFERROR(I48/J48,0)</x:f>
        <x:v>0.03700640893115568</x:v>
      </x:c>
      <x:c r="Q48" s="97" t="e">
        <x:f>D48*INDEX(Régions!$T$2:$T$6,MATCH($B48,Régions!$A$2:$A$6,0))</x:f>
        <x:v>#NAME?</x:v>
      </x:c>
      <x:c r="R48" s="97" t="e">
        <x:f>E48*INDEX(Régions!$U$2:$U$6,MATCH($B48,Régions!$A$2:$A$6,0))</x:f>
        <x:v>#NAME?</x:v>
      </x:c>
      <x:c r="S48" s="97" t="e">
        <x:f>F48*INDEX(Régions!$V$2:$V$6,MATCH($B48,Régions!$A$2:$A$6,0))</x:f>
        <x:v>#NAME?</x:v>
      </x:c>
      <x:c r="T48" s="97" t="e">
        <x:f>G48*INDEX(Régions!$W$2:$W$6,MATCH($B48,Régions!$A$2:$A$6,0))</x:f>
        <x:v>#NAME?</x:v>
      </x:c>
      <x:c r="U48" s="97" t="e">
        <x:f>H48*INDEX(Régions!$X$2:$X$6,MATCH($B48,Régions!$A$2:$A$6,0))</x:f>
        <x:v>#NAME?</x:v>
      </x:c>
      <x:c r="V48" s="97" t="e">
        <x:f>I48*INDEX(Régions!$Y$2:$Y$6,MATCH($B48,Régions!$A$2:$A$6,0))</x:f>
        <x:v>#NAME?</x:v>
      </x:c>
      <x:c r="W48" s="97" t="e">
        <x:f>Q48+(AU48/100)*J48*Régions!$O$2</x:f>
        <x:v>#NAME?</x:v>
      </x:c>
      <x:c r="X48" s="97" t="e">
        <x:f>R48+(AV48/100)*J48*Régions!$O$2</x:f>
        <x:v>#NAME?</x:v>
      </x:c>
      <x:c r="Y48" s="97" t="e">
        <x:f>S48+(AW48/100)*J48*Régions!$O$2</x:f>
        <x:v>#NAME?</x:v>
      </x:c>
      <x:c r="Z48" s="97" t="e">
        <x:f>T48+(AX48/100)*J48*Régions!$O$2</x:f>
        <x:v>#NAME?</x:v>
      </x:c>
      <x:c r="AA48" s="97" t="e">
        <x:f>U48</x:f>
        <x:v>#NAME?</x:v>
      </x:c>
      <x:c r="AB48" s="97" t="e">
        <x:f>V48</x:f>
        <x:v>#NAME?</x:v>
      </x:c>
      <x:c r="AC48" s="97" t="e">
        <x:f>D48*INDEX(Régions!$Z$2:$Z$6,MATCH($B48,Régions!$A$2:$A$6,0))</x:f>
        <x:v>#NAME?</x:v>
      </x:c>
      <x:c r="AD48" s="97" t="e">
        <x:f>E48*INDEX(Régions!$AA$2:$AA$6,MATCH($B48,Régions!$A$2:$A$6,0))</x:f>
        <x:v>#NAME?</x:v>
      </x:c>
      <x:c r="AE48" s="97" t="e">
        <x:f>F48*INDEX(Régions!$AB$2:$AB$6,MATCH($B48,Régions!$A$2:$A$6,0))</x:f>
        <x:v>#NAME?</x:v>
      </x:c>
      <x:c r="AF48" s="97" t="e">
        <x:f>G48*INDEX(Régions!$AC$2:$AC$6,MATCH($B48,Régions!$A$2:$A$6,0))</x:f>
        <x:v>#NAME?</x:v>
      </x:c>
      <x:c r="AG48" s="97" t="e">
        <x:f>H48*INDEX(Régions!$AD$2:$AD$6,MATCH($B48,Régions!$A$2:$A$6,0))</x:f>
        <x:v>#NAME?</x:v>
      </x:c>
      <x:c r="AH48" s="97" t="e">
        <x:f>I48*INDEX(Régions!$AE$2:$AE$6,MATCH($B48,Régions!$A$2:$A$6,0))</x:f>
        <x:v>#NAME?</x:v>
      </x:c>
      <x:c r="AI48" s="97" t="e">
        <x:f>D48*INDEX(Régions!$AF$2:$AF$6,MATCH($B48,Régions!$A$2:$A$6,0))</x:f>
        <x:v>#NAME?</x:v>
      </x:c>
      <x:c r="AJ48" s="97" t="e">
        <x:f>E48*INDEX(Régions!$AG$2:$AG$6,MATCH($B48,Régions!$A$2:$A$6,0))</x:f>
        <x:v>#NAME?</x:v>
      </x:c>
      <x:c r="AK48" s="97" t="e">
        <x:f>F48*INDEX(Régions!$AH$2:$AH$6,MATCH($B48,Régions!$A$2:$A$6,0))</x:f>
        <x:v>#NAME?</x:v>
      </x:c>
      <x:c r="AL48" s="97" t="e">
        <x:f>G48*INDEX(Régions!$AI$2:$AI$6,MATCH($B48,Régions!$A$2:$A$6,0))</x:f>
        <x:v>#NAME?</x:v>
      </x:c>
      <x:c r="AM48" s="97" t="e">
        <x:f>H48*INDEX(Régions!$AJ$2:$AJ$6,MATCH($B48,Régions!$A$2:$A$6,0))</x:f>
        <x:v>#NAME?</x:v>
      </x:c>
      <x:c r="AN48" s="97" t="e">
        <x:f>I48*INDEX(Régions!$AK$2:$AK$6,MATCH($B48,Régions!$A$2:$A$6,0))</x:f>
        <x:v>#NAME?</x:v>
      </x:c>
      <x:c r="AO48" s="99" t="str">
        <x:f>INDEX({"CAQ","PLQ","QS","PQ","PCQ","Autre"},MATCH(MAX(Q48:V48),Q48:V48,0))</x:f>
        <x:v>CAQ</x:v>
      </x:c>
      <x:c r="AP48" s="99" t="str">
        <x:f>INDEX({"CAQ","PLQ","QS","PQ","PCQ","Autre"},MATCH(MAX(W48:AB48),W48:AB48,0))</x:f>
        <x:v>CAQ</x:v>
      </x:c>
      <x:c r="AQ48" s="99" t="str">
        <x:f>INDEX({"CAQ","PLQ","QS","PQ","PCQ","Autre"},MATCH(MAX(AC48:AH48),AC48:AH48,0))</x:f>
        <x:v>CAQ</x:v>
      </x:c>
      <x:c r="AR48" s="99" t="str">
        <x:f>INDEX({"CAQ","PLQ","QS","PQ","PCQ","Autre"},MATCH(MAX(AI48:AN48),AI48:AN48,0))</x:f>
        <x:v>CAQ</x:v>
      </x:c>
      <x:c r="AS48" s="100" t="n">
        <x:f>(MAX(K48:P48)-LARGE(K48:P48,2))*100</x:f>
        <x:v>46.29591344497278</x:v>
      </x:c>
      <x:c r="AT48" s="101" t="str">
        <x:f>IF(AS48&lt;5,"Oui","Non")</x:f>
        <x:v>Non</x:v>
      </x:c>
      <x:c r="AU48" s="102" t="n">
        <x:v>-2.007</x:v>
      </x:c>
      <x:c r="AV48" s="102" t="n">
        <x:v>-0.404</x:v>
      </x:c>
      <x:c r="AW48" s="102" t="n">
        <x:v>-0.114</x:v>
      </x:c>
      <x:c r="AX48" s="102" t="n">
        <x:v>1.407</x:v>
      </x:c>
      <x:c r="AY48" s="96" t="n">
        <x:v>2744</x:v>
      </x:c>
      <x:c r="AZ48" s="96" t="n">
        <x:v>21133</x:v>
      </x:c>
      <x:c r="BA48" s="96" t="n">
        <x:v>1291</x:v>
      </x:c>
      <x:c r="BB48" s="96" t="n">
        <x:v>815</x:v>
      </x:c>
      <x:c r="BC48" s="96" t="n">
        <x:v>3448</x:v>
      </x:c>
      <x:c r="BD48" s="97" t="e">
        <x:f>AY48*INDEX(Régions!$AQ$2:$AQ$6,MATCH($B48,Régions!$A$2:$A$6,0))</x:f>
        <x:v>#NAME?</x:v>
      </x:c>
      <x:c r="BE48" s="97" t="e">
        <x:f>AZ48*INDEX(Régions!$AR$2:$AR$6,MATCH($B48,Régions!$A$2:$A$6,0))</x:f>
        <x:v>#NAME?</x:v>
      </x:c>
      <x:c r="BF48" s="97" t="e">
        <x:f>BA48*INDEX(Régions!$AS$2:$AS$6,MATCH($B48,Régions!$A$2:$A$6,0))</x:f>
        <x:v>#NAME?</x:v>
      </x:c>
      <x:c r="BG48" s="97" t="e">
        <x:f>BB48*INDEX(Régions!$AT$2:$AT$6,MATCH($B48,Régions!$A$2:$A$6,0))</x:f>
        <x:v>#NAME?</x:v>
      </x:c>
      <x:c r="BH48" s="97" t="e">
        <x:f>U48</x:f>
        <x:v>#NAME?</x:v>
      </x:c>
      <x:c r="BI48" s="97" t="e">
        <x:f>BC48*INDEX(Régions!$AU$2:$AU$6,MATCH($B48,Régions!$A$2:$A$6,0))</x:f>
        <x:v>#NAME?</x:v>
      </x:c>
      <x:c r="BJ48" s="97" t="str">
        <x:f>INDEX({"CAQ","PLQ","QS","PQ","PCQ","Autre"},MATCH(MAX(BD48:BI48),BD48:BI48,0))</x:f>
        <x:v>CAQ</x:v>
      </x:c>
    </x:row>
    <x:row r="49" s="60" customFormat="1" ht="15" customHeight="1">
      <x:c r="A49" s="94" t="inlineStr">
        <x:is>
          <x:t xml:space="preserve">Jean-Lesage</x:t>
        </x:is>
      </x:c>
      <x:c r="B49" s="94" t="inlineStr">
        <x:is>
          <x:t xml:space="preserve">Québec RMR</x:t>
        </x:is>
      </x:c>
      <x:c r="C49" s="95" t="inlineStr">
        <x:is>
          <x:t xml:space="preserve">QS</x:t>
        </x:is>
      </x:c>
      <x:c r="D49" s="96" t="n">
        <x:v>9426</x:v>
      </x:c>
      <x:c r="E49" s="96" t="n">
        <x:v>1326</x:v>
      </x:c>
      <x:c r="F49" s="96" t="n">
        <x:v>11390</x:v>
      </x:c>
      <x:c r="G49" s="96" t="n">
        <x:v>3337</x:v>
      </x:c>
      <x:c r="H49" s="96" t="n">
        <x:v>4258</x:v>
      </x:c>
      <x:c r="I49" s="96" t="n">
        <x:v>417</x:v>
      </x:c>
      <x:c r="J49" s="97" t="n">
        <x:f>SUM(D49:I49)</x:f>
        <x:v>30154</x:v>
      </x:c>
      <x:c r="K49" s="98" t="n">
        <x:f>IFERROR(D49/J49,0)</x:f>
        <x:v>0.3125953439013066</x:v>
      </x:c>
      <x:c r="L49" s="98" t="n">
        <x:f>IFERROR(E49/J49,0)</x:f>
        <x:v>0.04397426543742124</x:v>
      </x:c>
      <x:c r="M49" s="98" t="n">
        <x:f>IFERROR(F49/J49,0)</x:f>
        <x:v>0.37772766465477214</x:v>
      </x:c>
      <x:c r="N49" s="98" t="n">
        <x:f>IFERROR(G49/J49,0)</x:f>
        <x:v>0.11066525170789945</x:v>
      </x:c>
      <x:c r="O49" s="98" t="n">
        <x:f>IFERROR(H49/J49,0)</x:f>
        <x:v>0.1412084632221264</x:v>
      </x:c>
      <x:c r="P49" s="98" t="n">
        <x:f>IFERROR(I49/J49,0)</x:f>
        <x:v>0.0138290110764741</x:v>
      </x:c>
      <x:c r="Q49" s="97" t="e">
        <x:f>D49*INDEX(Régions!$T$2:$T$6,MATCH($B49,Régions!$A$2:$A$6,0))</x:f>
        <x:v>#NAME?</x:v>
      </x:c>
      <x:c r="R49" s="97" t="e">
        <x:f>E49*INDEX(Régions!$U$2:$U$6,MATCH($B49,Régions!$A$2:$A$6,0))</x:f>
        <x:v>#NAME?</x:v>
      </x:c>
      <x:c r="S49" s="97" t="e">
        <x:f>F49*INDEX(Régions!$V$2:$V$6,MATCH($B49,Régions!$A$2:$A$6,0))</x:f>
        <x:v>#NAME?</x:v>
      </x:c>
      <x:c r="T49" s="97" t="e">
        <x:f>G49*INDEX(Régions!$W$2:$W$6,MATCH($B49,Régions!$A$2:$A$6,0))</x:f>
        <x:v>#NAME?</x:v>
      </x:c>
      <x:c r="U49" s="97" t="e">
        <x:f>H49*INDEX(Régions!$X$2:$X$6,MATCH($B49,Régions!$A$2:$A$6,0))</x:f>
        <x:v>#NAME?</x:v>
      </x:c>
      <x:c r="V49" s="97" t="e">
        <x:f>I49*INDEX(Régions!$Y$2:$Y$6,MATCH($B49,Régions!$A$2:$A$6,0))</x:f>
        <x:v>#NAME?</x:v>
      </x:c>
      <x:c r="W49" s="97" t="e">
        <x:f>Q49+(AU49/100)*J49*Régions!$O$2</x:f>
        <x:v>#NAME?</x:v>
      </x:c>
      <x:c r="X49" s="97" t="e">
        <x:f>R49+(AV49/100)*J49*Régions!$O$2</x:f>
        <x:v>#NAME?</x:v>
      </x:c>
      <x:c r="Y49" s="97" t="e">
        <x:f>S49+(AW49/100)*J49*Régions!$O$2</x:f>
        <x:v>#NAME?</x:v>
      </x:c>
      <x:c r="Z49" s="97" t="e">
        <x:f>T49+(AX49/100)*J49*Régions!$O$2</x:f>
        <x:v>#NAME?</x:v>
      </x:c>
      <x:c r="AA49" s="97" t="e">
        <x:f>U49</x:f>
        <x:v>#NAME?</x:v>
      </x:c>
      <x:c r="AB49" s="97" t="e">
        <x:f>V49</x:f>
        <x:v>#NAME?</x:v>
      </x:c>
      <x:c r="AC49" s="97" t="e">
        <x:f>D49*INDEX(Régions!$Z$2:$Z$6,MATCH($B49,Régions!$A$2:$A$6,0))</x:f>
        <x:v>#NAME?</x:v>
      </x:c>
      <x:c r="AD49" s="97" t="e">
        <x:f>E49*INDEX(Régions!$AA$2:$AA$6,MATCH($B49,Régions!$A$2:$A$6,0))</x:f>
        <x:v>#NAME?</x:v>
      </x:c>
      <x:c r="AE49" s="97" t="e">
        <x:f>F49*INDEX(Régions!$AB$2:$AB$6,MATCH($B49,Régions!$A$2:$A$6,0))</x:f>
        <x:v>#NAME?</x:v>
      </x:c>
      <x:c r="AF49" s="97" t="e">
        <x:f>G49*INDEX(Régions!$AC$2:$AC$6,MATCH($B49,Régions!$A$2:$A$6,0))</x:f>
        <x:v>#NAME?</x:v>
      </x:c>
      <x:c r="AG49" s="97" t="e">
        <x:f>H49*INDEX(Régions!$AD$2:$AD$6,MATCH($B49,Régions!$A$2:$A$6,0))</x:f>
        <x:v>#NAME?</x:v>
      </x:c>
      <x:c r="AH49" s="97" t="e">
        <x:f>I49*INDEX(Régions!$AE$2:$AE$6,MATCH($B49,Régions!$A$2:$A$6,0))</x:f>
        <x:v>#NAME?</x:v>
      </x:c>
      <x:c r="AI49" s="97" t="e">
        <x:f>D49*INDEX(Régions!$AF$2:$AF$6,MATCH($B49,Régions!$A$2:$A$6,0))</x:f>
        <x:v>#NAME?</x:v>
      </x:c>
      <x:c r="AJ49" s="97" t="e">
        <x:f>E49*INDEX(Régions!$AG$2:$AG$6,MATCH($B49,Régions!$A$2:$A$6,0))</x:f>
        <x:v>#NAME?</x:v>
      </x:c>
      <x:c r="AK49" s="97" t="e">
        <x:f>F49*INDEX(Régions!$AH$2:$AH$6,MATCH($B49,Régions!$A$2:$A$6,0))</x:f>
        <x:v>#NAME?</x:v>
      </x:c>
      <x:c r="AL49" s="97" t="e">
        <x:f>G49*INDEX(Régions!$AI$2:$AI$6,MATCH($B49,Régions!$A$2:$A$6,0))</x:f>
        <x:v>#NAME?</x:v>
      </x:c>
      <x:c r="AM49" s="97" t="e">
        <x:f>H49*INDEX(Régions!$AJ$2:$AJ$6,MATCH($B49,Régions!$A$2:$A$6,0))</x:f>
        <x:v>#NAME?</x:v>
      </x:c>
      <x:c r="AN49" s="97" t="e">
        <x:f>I49*INDEX(Régions!$AK$2:$AK$6,MATCH($B49,Régions!$A$2:$A$6,0))</x:f>
        <x:v>#NAME?</x:v>
      </x:c>
      <x:c r="AO49" s="99" t="str">
        <x:f>INDEX({"CAQ","PLQ","QS","PQ","PCQ","Autre"},MATCH(MAX(Q49:V49),Q49:V49,0))</x:f>
        <x:v>CAQ</x:v>
      </x:c>
      <x:c r="AP49" s="99" t="str">
        <x:f>INDEX({"CAQ","PLQ","QS","PQ","PCQ","Autre"},MATCH(MAX(W49:AB49),W49:AB49,0))</x:f>
        <x:v>CAQ</x:v>
      </x:c>
      <x:c r="AQ49" s="99" t="str">
        <x:f>INDEX({"CAQ","PLQ","QS","PQ","PCQ","Autre"},MATCH(MAX(AC49:AH49),AC49:AH49,0))</x:f>
        <x:v>CAQ</x:v>
      </x:c>
      <x:c r="AR49" s="99" t="str">
        <x:f>INDEX({"CAQ","PLQ","QS","PQ","PCQ","Autre"},MATCH(MAX(AI49:AN49),AI49:AN49,0))</x:f>
        <x:v>CAQ</x:v>
      </x:c>
      <x:c r="AS49" s="100" t="n">
        <x:f>(MAX(K49:P49)-LARGE(K49:P49,2))*100</x:f>
        <x:v>6.513232075346553</x:v>
      </x:c>
      <x:c r="AT49" s="101" t="str">
        <x:f>IF(AS49&lt;5,"Oui","Non")</x:f>
        <x:v>Non</x:v>
      </x:c>
      <x:c r="AU49" s="102" t="n">
        <x:v>2.008</x:v>
      </x:c>
      <x:c r="AV49" s="102" t="n">
        <x:v>1.343</x:v>
      </x:c>
      <x:c r="AW49" s="102" t="n">
        <x:v>3.51</x:v>
      </x:c>
      <x:c r="AX49" s="102" t="n">
        <x:v>-0.2</x:v>
      </x:c>
      <x:c r="AY49" s="96" t="n">
        <x:v>9632</x:v>
      </x:c>
      <x:c r="AZ49" s="96" t="n">
        <x:v>5335</x:v>
      </x:c>
      <x:c r="BA49" s="96" t="n">
        <x:v>10331</x:v>
      </x:c>
      <x:c r="BB49" s="96" t="n">
        <x:v>2774</x:v>
      </x:c>
      <x:c r="BC49" s="96" t="n">
        <x:v>1699</x:v>
      </x:c>
      <x:c r="BD49" s="97" t="e">
        <x:f>AY49*INDEX(Régions!$AQ$2:$AQ$6,MATCH($B49,Régions!$A$2:$A$6,0))</x:f>
        <x:v>#NAME?</x:v>
      </x:c>
      <x:c r="BE49" s="97" t="e">
        <x:f>AZ49*INDEX(Régions!$AR$2:$AR$6,MATCH($B49,Régions!$A$2:$A$6,0))</x:f>
        <x:v>#NAME?</x:v>
      </x:c>
      <x:c r="BF49" s="97" t="e">
        <x:f>BA49*INDEX(Régions!$AS$2:$AS$6,MATCH($B49,Régions!$A$2:$A$6,0))</x:f>
        <x:v>#NAME?</x:v>
      </x:c>
      <x:c r="BG49" s="97" t="e">
        <x:f>BB49*INDEX(Régions!$AT$2:$AT$6,MATCH($B49,Régions!$A$2:$A$6,0))</x:f>
        <x:v>#NAME?</x:v>
      </x:c>
      <x:c r="BH49" s="97" t="e">
        <x:f>U49</x:f>
        <x:v>#NAME?</x:v>
      </x:c>
      <x:c r="BI49" s="97" t="e">
        <x:f>BC49*INDEX(Régions!$AU$2:$AU$6,MATCH($B49,Régions!$A$2:$A$6,0))</x:f>
        <x:v>#NAME?</x:v>
      </x:c>
      <x:c r="BJ49" s="97" t="str">
        <x:f>INDEX({"CAQ","PLQ","QS","PQ","PCQ","Autre"},MATCH(MAX(BD49:BI49),BD49:BI49,0))</x:f>
        <x:v>CAQ</x:v>
      </x:c>
    </x:row>
    <x:row r="50" s="60" customFormat="1" ht="15" customHeight="1">
      <x:c r="A50" s="94" t="inlineStr">
        <x:is>
          <x:t xml:space="preserve">Jean-Talon</x:t>
        </x:is>
      </x:c>
      <x:c r="B50" s="94" t="inlineStr">
        <x:is>
          <x:t xml:space="preserve">Québec RMR</x:t>
        </x:is>
      </x:c>
      <x:c r="C50" s="95" t="inlineStr">
        <x:is>
          <x:t xml:space="preserve">CAQ</x:t>
        </x:is>
      </x:c>
      <x:c r="D50" s="96" t="n">
        <x:v>11105</x:v>
      </x:c>
      <x:c r="E50" s="96" t="n">
        <x:v>4616</x:v>
      </x:c>
      <x:c r="F50" s="96" t="n">
        <x:v>8117</x:v>
      </x:c>
      <x:c r="G50" s="96" t="n">
        <x:v>6386</x:v>
      </x:c>
      <x:c r="H50" s="96" t="n">
        <x:v>3541</x:v>
      </x:c>
      <x:c r="I50" s="96" t="n">
        <x:v>399</x:v>
      </x:c>
      <x:c r="J50" s="97" t="n">
        <x:f>SUM(D50:I50)</x:f>
        <x:v>34164</x:v>
      </x:c>
      <x:c r="K50" s="98" t="n">
        <x:f>IFERROR(D50/J50,0)</x:f>
        <x:v>0.32504975998126684</x:v>
      </x:c>
      <x:c r="L50" s="98" t="n">
        <x:f>IFERROR(E50/J50,0)</x:f>
        <x:v>0.13511298442805292</x:v>
      </x:c>
      <x:c r="M50" s="98" t="n">
        <x:f>IFERROR(F50/J50,0)</x:f>
        <x:v>0.23758927526050813</x:v>
      </x:c>
      <x:c r="N50" s="98" t="n">
        <x:f>IFERROR(G50/J50,0)</x:f>
        <x:v>0.1869219060999883</x:v>
      </x:c>
      <x:c r="O50" s="98" t="n">
        <x:f>IFERROR(H50/J50,0)</x:f>
        <x:v>0.10364711392108653</x:v>
      </x:c>
      <x:c r="P50" s="98" t="n">
        <x:f>IFERROR(I50/J50,0)</x:f>
        <x:v>0.011678960309097295</x:v>
      </x:c>
      <x:c r="Q50" s="97" t="e">
        <x:f>D50*INDEX(Régions!$T$2:$T$6,MATCH($B50,Régions!$A$2:$A$6,0))</x:f>
        <x:v>#NAME?</x:v>
      </x:c>
      <x:c r="R50" s="97" t="e">
        <x:f>E50*INDEX(Régions!$U$2:$U$6,MATCH($B50,Régions!$A$2:$A$6,0))</x:f>
        <x:v>#NAME?</x:v>
      </x:c>
      <x:c r="S50" s="97" t="e">
        <x:f>F50*INDEX(Régions!$V$2:$V$6,MATCH($B50,Régions!$A$2:$A$6,0))</x:f>
        <x:v>#NAME?</x:v>
      </x:c>
      <x:c r="T50" s="97" t="e">
        <x:f>G50*INDEX(Régions!$W$2:$W$6,MATCH($B50,Régions!$A$2:$A$6,0))</x:f>
        <x:v>#NAME?</x:v>
      </x:c>
      <x:c r="U50" s="97" t="e">
        <x:f>H50*INDEX(Régions!$X$2:$X$6,MATCH($B50,Régions!$A$2:$A$6,0))</x:f>
        <x:v>#NAME?</x:v>
      </x:c>
      <x:c r="V50" s="97" t="e">
        <x:f>I50*INDEX(Régions!$Y$2:$Y$6,MATCH($B50,Régions!$A$2:$A$6,0))</x:f>
        <x:v>#NAME?</x:v>
      </x:c>
      <x:c r="W50" s="97" t="e">
        <x:f>Q50+(AU50/100)*J50*Régions!$O$2</x:f>
        <x:v>#NAME?</x:v>
      </x:c>
      <x:c r="X50" s="97" t="e">
        <x:f>R50+(AV50/100)*J50*Régions!$O$2</x:f>
        <x:v>#NAME?</x:v>
      </x:c>
      <x:c r="Y50" s="97" t="e">
        <x:f>S50+(AW50/100)*J50*Régions!$O$2</x:f>
        <x:v>#NAME?</x:v>
      </x:c>
      <x:c r="Z50" s="97" t="e">
        <x:f>T50+(AX50/100)*J50*Régions!$O$2</x:f>
        <x:v>#NAME?</x:v>
      </x:c>
      <x:c r="AA50" s="97" t="e">
        <x:f>U50</x:f>
        <x:v>#NAME?</x:v>
      </x:c>
      <x:c r="AB50" s="97" t="e">
        <x:f>V50</x:f>
        <x:v>#NAME?</x:v>
      </x:c>
      <x:c r="AC50" s="97" t="e">
        <x:f>D50*INDEX(Régions!$Z$2:$Z$6,MATCH($B50,Régions!$A$2:$A$6,0))</x:f>
        <x:v>#NAME?</x:v>
      </x:c>
      <x:c r="AD50" s="97" t="e">
        <x:f>E50*INDEX(Régions!$AA$2:$AA$6,MATCH($B50,Régions!$A$2:$A$6,0))</x:f>
        <x:v>#NAME?</x:v>
      </x:c>
      <x:c r="AE50" s="97" t="e">
        <x:f>F50*INDEX(Régions!$AB$2:$AB$6,MATCH($B50,Régions!$A$2:$A$6,0))</x:f>
        <x:v>#NAME?</x:v>
      </x:c>
      <x:c r="AF50" s="97" t="e">
        <x:f>G50*INDEX(Régions!$AC$2:$AC$6,MATCH($B50,Régions!$A$2:$A$6,0))</x:f>
        <x:v>#NAME?</x:v>
      </x:c>
      <x:c r="AG50" s="97" t="e">
        <x:f>H50*INDEX(Régions!$AD$2:$AD$6,MATCH($B50,Régions!$A$2:$A$6,0))</x:f>
        <x:v>#NAME?</x:v>
      </x:c>
      <x:c r="AH50" s="97" t="e">
        <x:f>I50*INDEX(Régions!$AE$2:$AE$6,MATCH($B50,Régions!$A$2:$A$6,0))</x:f>
        <x:v>#NAME?</x:v>
      </x:c>
      <x:c r="AI50" s="97" t="e">
        <x:f>D50*INDEX(Régions!$AF$2:$AF$6,MATCH($B50,Régions!$A$2:$A$6,0))</x:f>
        <x:v>#NAME?</x:v>
      </x:c>
      <x:c r="AJ50" s="97" t="e">
        <x:f>E50*INDEX(Régions!$AG$2:$AG$6,MATCH($B50,Régions!$A$2:$A$6,0))</x:f>
        <x:v>#NAME?</x:v>
      </x:c>
      <x:c r="AK50" s="97" t="e">
        <x:f>F50*INDEX(Régions!$AH$2:$AH$6,MATCH($B50,Régions!$A$2:$A$6,0))</x:f>
        <x:v>#NAME?</x:v>
      </x:c>
      <x:c r="AL50" s="97" t="e">
        <x:f>G50*INDEX(Régions!$AI$2:$AI$6,MATCH($B50,Régions!$A$2:$A$6,0))</x:f>
        <x:v>#NAME?</x:v>
      </x:c>
      <x:c r="AM50" s="97" t="e">
        <x:f>H50*INDEX(Régions!$AJ$2:$AJ$6,MATCH($B50,Régions!$A$2:$A$6,0))</x:f>
        <x:v>#NAME?</x:v>
      </x:c>
      <x:c r="AN50" s="97" t="e">
        <x:f>I50*INDEX(Régions!$AK$2:$AK$6,MATCH($B50,Régions!$A$2:$A$6,0))</x:f>
        <x:v>#NAME?</x:v>
      </x:c>
      <x:c r="AO50" s="99" t="str">
        <x:f>INDEX({"CAQ","PLQ","QS","PQ","PCQ","Autre"},MATCH(MAX(Q50:V50),Q50:V50,0))</x:f>
        <x:v>CAQ</x:v>
      </x:c>
      <x:c r="AP50" s="99" t="str">
        <x:f>INDEX({"CAQ","PLQ","QS","PQ","PCQ","Autre"},MATCH(MAX(W50:AB50),W50:AB50,0))</x:f>
        <x:v>CAQ</x:v>
      </x:c>
      <x:c r="AQ50" s="99" t="str">
        <x:f>INDEX({"CAQ","PLQ","QS","PQ","PCQ","Autre"},MATCH(MAX(AC50:AH50),AC50:AH50,0))</x:f>
        <x:v>CAQ</x:v>
      </x:c>
      <x:c r="AR50" s="99" t="str">
        <x:f>INDEX({"CAQ","PLQ","QS","PQ","PCQ","Autre"},MATCH(MAX(AI50:AN50),AI50:AN50,0))</x:f>
        <x:v>CAQ</x:v>
      </x:c>
      <x:c r="AS50" s="100" t="n">
        <x:f>(MAX(K50:P50)-LARGE(K50:P50,2))*100</x:f>
        <x:v>8.74604847207587</x:v>
      </x:c>
      <x:c r="AT50" s="101" t="str">
        <x:f>IF(AS50&lt;5,"Oui","Non")</x:f>
        <x:v>Non</x:v>
      </x:c>
      <x:c r="AU50" s="102" t="n">
        <x:v>7.039</x:v>
      </x:c>
      <x:c r="AV50" s="102" t="n">
        <x:v>-4.203</x:v>
      </x:c>
      <x:c r="AW50" s="102" t="n">
        <x:v>5.022</x:v>
      </x:c>
      <x:c r="AX50" s="102" t="n">
        <x:v>2.286</x:v>
      </x:c>
      <x:c r="AY50" s="96" t="n">
        <x:v>9706</x:v>
      </x:c>
      <x:c r="AZ50" s="96" t="n">
        <x:v>11069</x:v>
      </x:c>
      <x:c r="BA50" s="96" t="n">
        <x:v>6515</x:v>
      </x:c>
      <x:c r="BB50" s="96" t="n">
        <x:v>4912</x:v>
      </x:c>
      <x:c r="BC50" s="96" t="n">
        <x:v>1773</x:v>
      </x:c>
      <x:c r="BD50" s="97" t="e">
        <x:f>AY50*INDEX(Régions!$AQ$2:$AQ$6,MATCH($B50,Régions!$A$2:$A$6,0))</x:f>
        <x:v>#NAME?</x:v>
      </x:c>
      <x:c r="BE50" s="97" t="e">
        <x:f>AZ50*INDEX(Régions!$AR$2:$AR$6,MATCH($B50,Régions!$A$2:$A$6,0))</x:f>
        <x:v>#NAME?</x:v>
      </x:c>
      <x:c r="BF50" s="97" t="e">
        <x:f>BA50*INDEX(Régions!$AS$2:$AS$6,MATCH($B50,Régions!$A$2:$A$6,0))</x:f>
        <x:v>#NAME?</x:v>
      </x:c>
      <x:c r="BG50" s="97" t="e">
        <x:f>BB50*INDEX(Régions!$AT$2:$AT$6,MATCH($B50,Régions!$A$2:$A$6,0))</x:f>
        <x:v>#NAME?</x:v>
      </x:c>
      <x:c r="BH50" s="97" t="e">
        <x:f>U50</x:f>
        <x:v>#NAME?</x:v>
      </x:c>
      <x:c r="BI50" s="97" t="e">
        <x:f>BC50*INDEX(Régions!$AU$2:$AU$6,MATCH($B50,Régions!$A$2:$A$6,0))</x:f>
        <x:v>#NAME?</x:v>
      </x:c>
      <x:c r="BJ50" s="97" t="str">
        <x:f>INDEX({"CAQ","PLQ","QS","PQ","PCQ","Autre"},MATCH(MAX(BD50:BI50),BD50:BI50,0))</x:f>
        <x:v>CAQ</x:v>
      </x:c>
    </x:row>
    <x:row r="51" s="60" customFormat="1" ht="15" customHeight="1">
      <x:c r="A51" s="94" t="inlineStr">
        <x:is>
          <x:t xml:space="preserve">Jeanne-Mance–Viger</x:t>
        </x:is>
      </x:c>
      <x:c r="B51" s="94" t="inlineStr">
        <x:is>
          <x:t xml:space="preserve">Île de Montréal</x:t>
        </x:is>
      </x:c>
      <x:c r="C51" s="95" t="inlineStr">
        <x:is>
          <x:t xml:space="preserve">PLQ</x:t>
        </x:is>
      </x:c>
      <x:c r="D51" s="96" t="n">
        <x:v>4455</x:v>
      </x:c>
      <x:c r="E51" s="96" t="n">
        <x:v>14471</x:v>
      </x:c>
      <x:c r="F51" s="96" t="n">
        <x:v>2858</x:v>
      </x:c>
      <x:c r="G51" s="96" t="n">
        <x:v>1122</x:v>
      </x:c>
      <x:c r="H51" s="96" t="n">
        <x:v>3609</x:v>
      </x:c>
      <x:c r="I51" s="96" t="n">
        <x:v>319</x:v>
      </x:c>
      <x:c r="J51" s="97" t="n">
        <x:f>SUM(D51:I51)</x:f>
        <x:v>26834</x:v>
      </x:c>
      <x:c r="K51" s="98" t="n">
        <x:f>IFERROR(D51/J51,0)</x:f>
        <x:v>0.16602071998211224</x:v>
      </x:c>
      <x:c r="L51" s="98" t="n">
        <x:f>IFERROR(E51/J51,0)</x:f>
        <x:v>0.5392785272415592</x:v>
      </x:c>
      <x:c r="M51" s="98" t="n">
        <x:f>IFERROR(F51/J51,0)</x:f>
        <x:v>0.10650667064172319</x:v>
      </x:c>
      <x:c r="N51" s="98" t="n">
        <x:f>IFERROR(G51/J51,0)</x:f>
        <x:v>0.041812625773272716</x:v>
      </x:c>
      <x:c r="O51" s="98" t="n">
        <x:f>IFERROR(H51/J51,0)</x:f>
        <x:v>0.13449355295520607</x:v>
      </x:c>
      <x:c r="P51" s="98" t="n">
        <x:f>IFERROR(I51/J51,0)</x:f>
        <x:v>0.011887903406126556</x:v>
      </x:c>
      <x:c r="Q51" s="97" t="e">
        <x:f>D51*INDEX(Régions!$T$2:$T$6,MATCH($B51,Régions!$A$2:$A$6,0))</x:f>
        <x:v>#NAME?</x:v>
      </x:c>
      <x:c r="R51" s="97" t="e">
        <x:f>E51*INDEX(Régions!$U$2:$U$6,MATCH($B51,Régions!$A$2:$A$6,0))</x:f>
        <x:v>#NAME?</x:v>
      </x:c>
      <x:c r="S51" s="97" t="e">
        <x:f>F51*INDEX(Régions!$V$2:$V$6,MATCH($B51,Régions!$A$2:$A$6,0))</x:f>
        <x:v>#NAME?</x:v>
      </x:c>
      <x:c r="T51" s="97" t="e">
        <x:f>G51*INDEX(Régions!$W$2:$W$6,MATCH($B51,Régions!$A$2:$A$6,0))</x:f>
        <x:v>#NAME?</x:v>
      </x:c>
      <x:c r="U51" s="97" t="e">
        <x:f>H51*INDEX(Régions!$X$2:$X$6,MATCH($B51,Régions!$A$2:$A$6,0))</x:f>
        <x:v>#NAME?</x:v>
      </x:c>
      <x:c r="V51" s="97" t="e">
        <x:f>I51*INDEX(Régions!$Y$2:$Y$6,MATCH($B51,Régions!$A$2:$A$6,0))</x:f>
        <x:v>#NAME?</x:v>
      </x:c>
      <x:c r="W51" s="97" t="e">
        <x:f>Q51+(AU51/100)*J51*Régions!$O$2</x:f>
        <x:v>#NAME?</x:v>
      </x:c>
      <x:c r="X51" s="97" t="e">
        <x:f>R51+(AV51/100)*J51*Régions!$O$2</x:f>
        <x:v>#NAME?</x:v>
      </x:c>
      <x:c r="Y51" s="97" t="e">
        <x:f>S51+(AW51/100)*J51*Régions!$O$2</x:f>
        <x:v>#NAME?</x:v>
      </x:c>
      <x:c r="Z51" s="97" t="e">
        <x:f>T51+(AX51/100)*J51*Régions!$O$2</x:f>
        <x:v>#NAME?</x:v>
      </x:c>
      <x:c r="AA51" s="97" t="e">
        <x:f>U51</x:f>
        <x:v>#NAME?</x:v>
      </x:c>
      <x:c r="AB51" s="97" t="e">
        <x:f>V51</x:f>
        <x:v>#NAME?</x:v>
      </x:c>
      <x:c r="AC51" s="97" t="e">
        <x:f>D51*INDEX(Régions!$Z$2:$Z$6,MATCH($B51,Régions!$A$2:$A$6,0))</x:f>
        <x:v>#NAME?</x:v>
      </x:c>
      <x:c r="AD51" s="97" t="e">
        <x:f>E51*INDEX(Régions!$AA$2:$AA$6,MATCH($B51,Régions!$A$2:$A$6,0))</x:f>
        <x:v>#NAME?</x:v>
      </x:c>
      <x:c r="AE51" s="97" t="e">
        <x:f>F51*INDEX(Régions!$AB$2:$AB$6,MATCH($B51,Régions!$A$2:$A$6,0))</x:f>
        <x:v>#NAME?</x:v>
      </x:c>
      <x:c r="AF51" s="97" t="e">
        <x:f>G51*INDEX(Régions!$AC$2:$AC$6,MATCH($B51,Régions!$A$2:$A$6,0))</x:f>
        <x:v>#NAME?</x:v>
      </x:c>
      <x:c r="AG51" s="97" t="e">
        <x:f>H51*INDEX(Régions!$AD$2:$AD$6,MATCH($B51,Régions!$A$2:$A$6,0))</x:f>
        <x:v>#NAME?</x:v>
      </x:c>
      <x:c r="AH51" s="97" t="e">
        <x:f>I51*INDEX(Régions!$AE$2:$AE$6,MATCH($B51,Régions!$A$2:$A$6,0))</x:f>
        <x:v>#NAME?</x:v>
      </x:c>
      <x:c r="AI51" s="97" t="e">
        <x:f>D51*INDEX(Régions!$AF$2:$AF$6,MATCH($B51,Régions!$A$2:$A$6,0))</x:f>
        <x:v>#NAME?</x:v>
      </x:c>
      <x:c r="AJ51" s="97" t="e">
        <x:f>E51*INDEX(Régions!$AG$2:$AG$6,MATCH($B51,Régions!$A$2:$A$6,0))</x:f>
        <x:v>#NAME?</x:v>
      </x:c>
      <x:c r="AK51" s="97" t="e">
        <x:f>F51*INDEX(Régions!$AH$2:$AH$6,MATCH($B51,Régions!$A$2:$A$6,0))</x:f>
        <x:v>#NAME?</x:v>
      </x:c>
      <x:c r="AL51" s="97" t="e">
        <x:f>G51*INDEX(Régions!$AI$2:$AI$6,MATCH($B51,Régions!$A$2:$A$6,0))</x:f>
        <x:v>#NAME?</x:v>
      </x:c>
      <x:c r="AM51" s="97" t="e">
        <x:f>H51*INDEX(Régions!$AJ$2:$AJ$6,MATCH($B51,Régions!$A$2:$A$6,0))</x:f>
        <x:v>#NAME?</x:v>
      </x:c>
      <x:c r="AN51" s="97" t="e">
        <x:f>I51*INDEX(Régions!$AK$2:$AK$6,MATCH($B51,Régions!$A$2:$A$6,0))</x:f>
        <x:v>#NAME?</x:v>
      </x:c>
      <x:c r="AO51" s="99" t="str">
        <x:f>INDEX({"CAQ","PLQ","QS","PQ","PCQ","Autre"},MATCH(MAX(Q51:V51),Q51:V51,0))</x:f>
        <x:v>CAQ</x:v>
      </x:c>
      <x:c r="AP51" s="99" t="str">
        <x:f>INDEX({"CAQ","PLQ","QS","PQ","PCQ","Autre"},MATCH(MAX(W51:AB51),W51:AB51,0))</x:f>
        <x:v>CAQ</x:v>
      </x:c>
      <x:c r="AQ51" s="99" t="str">
        <x:f>INDEX({"CAQ","PLQ","QS","PQ","PCQ","Autre"},MATCH(MAX(AC51:AH51),AC51:AH51,0))</x:f>
        <x:v>CAQ</x:v>
      </x:c>
      <x:c r="AR51" s="99" t="str">
        <x:f>INDEX({"CAQ","PLQ","QS","PQ","PCQ","Autre"},MATCH(MAX(AI51:AN51),AI51:AN51,0))</x:f>
        <x:v>CAQ</x:v>
      </x:c>
      <x:c r="AS51" s="100" t="n">
        <x:f>(MAX(K51:P51)-LARGE(K51:P51,2))*100</x:f>
        <x:v>37.3257807259447</x:v>
      </x:c>
      <x:c r="AT51" s="101" t="str">
        <x:f>IF(AS51&lt;5,"Oui","Non")</x:f>
        <x:v>Non</x:v>
      </x:c>
      <x:c r="AU51" s="102" t="n">
        <x:v>-1.69</x:v>
      </x:c>
      <x:c r="AV51" s="102" t="n">
        <x:v>-3.56</x:v>
      </x:c>
      <x:c r="AW51" s="102" t="n">
        <x:v>1.761</x:v>
      </x:c>
      <x:c r="AX51" s="102" t="n">
        <x:v>-0.21</x:v>
      </x:c>
      <x:c r="AY51" s="96" t="n">
        <x:v>4445</x:v>
      </x:c>
      <x:c r="AZ51" s="96" t="n">
        <x:v>18215</x:v>
      </x:c>
      <x:c r="BA51" s="96" t="n">
        <x:v>2237</x:v>
      </x:c>
      <x:c r="BB51" s="96" t="n">
        <x:v>1523</x:v>
      </x:c>
      <x:c r="BC51" s="96" t="n">
        <x:v>1044</x:v>
      </x:c>
      <x:c r="BD51" s="97" t="e">
        <x:f>AY51*INDEX(Régions!$AQ$2:$AQ$6,MATCH($B51,Régions!$A$2:$A$6,0))</x:f>
        <x:v>#NAME?</x:v>
      </x:c>
      <x:c r="BE51" s="97" t="e">
        <x:f>AZ51*INDEX(Régions!$AR$2:$AR$6,MATCH($B51,Régions!$A$2:$A$6,0))</x:f>
        <x:v>#NAME?</x:v>
      </x:c>
      <x:c r="BF51" s="97" t="e">
        <x:f>BA51*INDEX(Régions!$AS$2:$AS$6,MATCH($B51,Régions!$A$2:$A$6,0))</x:f>
        <x:v>#NAME?</x:v>
      </x:c>
      <x:c r="BG51" s="97" t="e">
        <x:f>BB51*INDEX(Régions!$AT$2:$AT$6,MATCH($B51,Régions!$A$2:$A$6,0))</x:f>
        <x:v>#NAME?</x:v>
      </x:c>
      <x:c r="BH51" s="97" t="e">
        <x:f>U51</x:f>
        <x:v>#NAME?</x:v>
      </x:c>
      <x:c r="BI51" s="97" t="e">
        <x:f>BC51*INDEX(Régions!$AU$2:$AU$6,MATCH($B51,Régions!$A$2:$A$6,0))</x:f>
        <x:v>#NAME?</x:v>
      </x:c>
      <x:c r="BJ51" s="97" t="str">
        <x:f>INDEX({"CAQ","PLQ","QS","PQ","PCQ","Autre"},MATCH(MAX(BD51:BI51),BD51:BI51,0))</x:f>
        <x:v>CAQ</x:v>
      </x:c>
    </x:row>
    <x:row r="52" s="60" customFormat="1" ht="15" customHeight="1">
      <x:c r="A52" s="94" t="inlineStr">
        <x:is>
          <x:t xml:space="preserve">Joliette</x:t>
        </x:is>
      </x:c>
      <x:c r="B52" s="94" t="inlineStr">
        <x:is>
          <x:t xml:space="preserve">Reste du Québec</x:t>
        </x:is>
      </x:c>
      <x:c r="C52" s="95" t="inlineStr">
        <x:is>
          <x:t xml:space="preserve">CAQ</x:t>
        </x:is>
      </x:c>
      <x:c r="D52" s="96" t="n">
        <x:v>17924</x:v>
      </x:c>
      <x:c r="E52" s="96" t="n">
        <x:v>1178</x:v>
      </x:c>
      <x:c r="F52" s="96" t="n">
        <x:v>4476</x:v>
      </x:c>
      <x:c r="G52" s="96" t="n">
        <x:v>12280</x:v>
      </x:c>
      <x:c r="H52" s="96" t="n">
        <x:v>3470</x:v>
      </x:c>
      <x:c r="I52" s="96" t="n">
        <x:v>0</x:v>
      </x:c>
      <x:c r="J52" s="97" t="n">
        <x:f>SUM(D52:I52)</x:f>
        <x:v>39328</x:v>
      </x:c>
      <x:c r="K52" s="98" t="n">
        <x:f>IFERROR(D52/J52,0)</x:f>
        <x:v>0.4557567127746135</x:v>
      </x:c>
      <x:c r="L52" s="98" t="n">
        <x:f>IFERROR(E52/J52,0)</x:f>
        <x:v>0.02995321399511798</x:v>
      </x:c>
      <x:c r="M52" s="98" t="n">
        <x:f>IFERROR(F52/J52,0)</x:f>
        <x:v>0.1138120423108218</x:v>
      </x:c>
      <x:c r="N52" s="98" t="n">
        <x:f>IFERROR(G52/J52,0)</x:f>
        <x:v>0.3122457282343369</x:v>
      </x:c>
      <x:c r="O52" s="98" t="n">
        <x:f>IFERROR(H52/J52,0)</x:f>
        <x:v>0.08823230268510984</x:v>
      </x:c>
      <x:c r="P52" s="98" t="n">
        <x:f>IFERROR(I52/J52,0)</x:f>
        <x:v>0</x:v>
      </x:c>
      <x:c r="Q52" s="97" t="e">
        <x:f>D52*INDEX(Régions!$T$2:$T$6,MATCH($B52,Régions!$A$2:$A$6,0))</x:f>
        <x:v>#NAME?</x:v>
      </x:c>
      <x:c r="R52" s="97" t="e">
        <x:f>E52*INDEX(Régions!$U$2:$U$6,MATCH($B52,Régions!$A$2:$A$6,0))</x:f>
        <x:v>#NAME?</x:v>
      </x:c>
      <x:c r="S52" s="97" t="e">
        <x:f>F52*INDEX(Régions!$V$2:$V$6,MATCH($B52,Régions!$A$2:$A$6,0))</x:f>
        <x:v>#NAME?</x:v>
      </x:c>
      <x:c r="T52" s="97" t="e">
        <x:f>G52*INDEX(Régions!$W$2:$W$6,MATCH($B52,Régions!$A$2:$A$6,0))</x:f>
        <x:v>#NAME?</x:v>
      </x:c>
      <x:c r="U52" s="97" t="e">
        <x:f>H52*INDEX(Régions!$X$2:$X$6,MATCH($B52,Régions!$A$2:$A$6,0))</x:f>
        <x:v>#NAME?</x:v>
      </x:c>
      <x:c r="V52" s="97" t="e">
        <x:f>I52*INDEX(Régions!$Y$2:$Y$6,MATCH($B52,Régions!$A$2:$A$6,0))</x:f>
        <x:v>#NAME?</x:v>
      </x:c>
      <x:c r="W52" s="97" t="e">
        <x:f>Q52+(AU52/100)*J52*Régions!$O$2</x:f>
        <x:v>#NAME?</x:v>
      </x:c>
      <x:c r="X52" s="97" t="e">
        <x:f>R52+(AV52/100)*J52*Régions!$O$2</x:f>
        <x:v>#NAME?</x:v>
      </x:c>
      <x:c r="Y52" s="97" t="e">
        <x:f>S52+(AW52/100)*J52*Régions!$O$2</x:f>
        <x:v>#NAME?</x:v>
      </x:c>
      <x:c r="Z52" s="97" t="e">
        <x:f>T52+(AX52/100)*J52*Régions!$O$2</x:f>
        <x:v>#NAME?</x:v>
      </x:c>
      <x:c r="AA52" s="97" t="e">
        <x:f>U52</x:f>
        <x:v>#NAME?</x:v>
      </x:c>
      <x:c r="AB52" s="97" t="e">
        <x:f>V52</x:f>
        <x:v>#NAME?</x:v>
      </x:c>
      <x:c r="AC52" s="97" t="e">
        <x:f>D52*INDEX(Régions!$Z$2:$Z$6,MATCH($B52,Régions!$A$2:$A$6,0))</x:f>
        <x:v>#NAME?</x:v>
      </x:c>
      <x:c r="AD52" s="97" t="e">
        <x:f>E52*INDEX(Régions!$AA$2:$AA$6,MATCH($B52,Régions!$A$2:$A$6,0))</x:f>
        <x:v>#NAME?</x:v>
      </x:c>
      <x:c r="AE52" s="97" t="e">
        <x:f>F52*INDEX(Régions!$AB$2:$AB$6,MATCH($B52,Régions!$A$2:$A$6,0))</x:f>
        <x:v>#NAME?</x:v>
      </x:c>
      <x:c r="AF52" s="97" t="e">
        <x:f>G52*INDEX(Régions!$AC$2:$AC$6,MATCH($B52,Régions!$A$2:$A$6,0))</x:f>
        <x:v>#NAME?</x:v>
      </x:c>
      <x:c r="AG52" s="97" t="e">
        <x:f>H52*INDEX(Régions!$AD$2:$AD$6,MATCH($B52,Régions!$A$2:$A$6,0))</x:f>
        <x:v>#NAME?</x:v>
      </x:c>
      <x:c r="AH52" s="97" t="e">
        <x:f>I52*INDEX(Régions!$AE$2:$AE$6,MATCH($B52,Régions!$A$2:$A$6,0))</x:f>
        <x:v>#NAME?</x:v>
      </x:c>
      <x:c r="AI52" s="97" t="e">
        <x:f>D52*INDEX(Régions!$AF$2:$AF$6,MATCH($B52,Régions!$A$2:$A$6,0))</x:f>
        <x:v>#NAME?</x:v>
      </x:c>
      <x:c r="AJ52" s="97" t="e">
        <x:f>E52*INDEX(Régions!$AG$2:$AG$6,MATCH($B52,Régions!$A$2:$A$6,0))</x:f>
        <x:v>#NAME?</x:v>
      </x:c>
      <x:c r="AK52" s="97" t="e">
        <x:f>F52*INDEX(Régions!$AH$2:$AH$6,MATCH($B52,Régions!$A$2:$A$6,0))</x:f>
        <x:v>#NAME?</x:v>
      </x:c>
      <x:c r="AL52" s="97" t="e">
        <x:f>G52*INDEX(Régions!$AI$2:$AI$6,MATCH($B52,Régions!$A$2:$A$6,0))</x:f>
        <x:v>#NAME?</x:v>
      </x:c>
      <x:c r="AM52" s="97" t="e">
        <x:f>H52*INDEX(Régions!$AJ$2:$AJ$6,MATCH($B52,Régions!$A$2:$A$6,0))</x:f>
        <x:v>#NAME?</x:v>
      </x:c>
      <x:c r="AN52" s="97" t="e">
        <x:f>I52*INDEX(Régions!$AK$2:$AK$6,MATCH($B52,Régions!$A$2:$A$6,0))</x:f>
        <x:v>#NAME?</x:v>
      </x:c>
      <x:c r="AO52" s="99" t="str">
        <x:f>INDEX({"CAQ","PLQ","QS","PQ","PCQ","Autre"},MATCH(MAX(Q52:V52),Q52:V52,0))</x:f>
        <x:v>CAQ</x:v>
      </x:c>
      <x:c r="AP52" s="99" t="str">
        <x:f>INDEX({"CAQ","PLQ","QS","PQ","PCQ","Autre"},MATCH(MAX(W52:AB52),W52:AB52,0))</x:f>
        <x:v>CAQ</x:v>
      </x:c>
      <x:c r="AQ52" s="99" t="str">
        <x:f>INDEX({"CAQ","PLQ","QS","PQ","PCQ","Autre"},MATCH(MAX(AC52:AH52),AC52:AH52,0))</x:f>
        <x:v>CAQ</x:v>
      </x:c>
      <x:c r="AR52" s="99" t="str">
        <x:f>INDEX({"CAQ","PLQ","QS","PQ","PCQ","Autre"},MATCH(MAX(AI52:AN52),AI52:AN52,0))</x:f>
        <x:v>CAQ</x:v>
      </x:c>
      <x:c r="AS52" s="100" t="n">
        <x:f>(MAX(K52:P52)-LARGE(K52:P52,2))*100</x:f>
        <x:v>14.35109845402766</x:v>
      </x:c>
      <x:c r="AT52" s="101" t="str">
        <x:f>IF(AS52&lt;5,"Oui","Non")</x:f>
        <x:v>Non</x:v>
      </x:c>
      <x:c r="AU52" s="102" t="n">
        <x:v>4.975</x:v>
      </x:c>
      <x:c r="AV52" s="102" t="n">
        <x:v>8.896000000000001</x:v>
      </x:c>
      <x:c r="AW52" s="102" t="n">
        <x:v>2.222</x:v>
      </x:c>
      <x:c r="AX52" s="102" t="n">
        <x:v>-11.024</x:v>
      </x:c>
      <x:c r="AY52" s="96" t="n">
        <x:v>13253</x:v>
      </x:c>
      <x:c r="AZ52" s="96" t="n">
        <x:v>2620</x:v>
      </x:c>
      <x:c r="BA52" s="96" t="n">
        <x:v>3881</x:v>
      </x:c>
      <x:c r="BB52" s="96" t="n">
        <x:v>17683</x:v>
      </x:c>
      <x:c r="BC52" s="96" t="n">
        <x:v>811</x:v>
      </x:c>
      <x:c r="BD52" s="97" t="e">
        <x:f>AY52*INDEX(Régions!$AQ$2:$AQ$6,MATCH($B52,Régions!$A$2:$A$6,0))</x:f>
        <x:v>#NAME?</x:v>
      </x:c>
      <x:c r="BE52" s="97" t="e">
        <x:f>AZ52*INDEX(Régions!$AR$2:$AR$6,MATCH($B52,Régions!$A$2:$A$6,0))</x:f>
        <x:v>#NAME?</x:v>
      </x:c>
      <x:c r="BF52" s="97" t="e">
        <x:f>BA52*INDEX(Régions!$AS$2:$AS$6,MATCH($B52,Régions!$A$2:$A$6,0))</x:f>
        <x:v>#NAME?</x:v>
      </x:c>
      <x:c r="BG52" s="97" t="e">
        <x:f>BB52*INDEX(Régions!$AT$2:$AT$6,MATCH($B52,Régions!$A$2:$A$6,0))</x:f>
        <x:v>#NAME?</x:v>
      </x:c>
      <x:c r="BH52" s="97" t="e">
        <x:f>U52</x:f>
        <x:v>#NAME?</x:v>
      </x:c>
      <x:c r="BI52" s="97" t="e">
        <x:f>BC52*INDEX(Régions!$AU$2:$AU$6,MATCH($B52,Régions!$A$2:$A$6,0))</x:f>
        <x:v>#NAME?</x:v>
      </x:c>
      <x:c r="BJ52" s="97" t="str">
        <x:f>INDEX({"CAQ","PLQ","QS","PQ","PCQ","Autre"},MATCH(MAX(BD52:BI52),BD52:BI52,0))</x:f>
        <x:v>CAQ</x:v>
      </x:c>
    </x:row>
    <x:row r="53" s="60" customFormat="1" ht="15" customHeight="1">
      <x:c r="A53" s="94" t="inlineStr">
        <x:is>
          <x:t xml:space="preserve">Jonquière</x:t>
        </x:is>
      </x:c>
      <x:c r="B53" s="94" t="inlineStr">
        <x:is>
          <x:t xml:space="preserve">Reste du Québec</x:t>
        </x:is>
      </x:c>
      <x:c r="C53" s="95" t="inlineStr">
        <x:is>
          <x:t xml:space="preserve">CAQ</x:t>
        </x:is>
      </x:c>
      <x:c r="D53" s="96" t="n">
        <x:v>18196</x:v>
      </x:c>
      <x:c r="E53" s="96" t="n">
        <x:v>648</x:v>
      </x:c>
      <x:c r="F53" s="96" t="n">
        <x:v>2778</x:v>
      </x:c>
      <x:c r="G53" s="96" t="n">
        <x:v>5912</x:v>
      </x:c>
      <x:c r="H53" s="96" t="n">
        <x:v>2926</x:v>
      </x:c>
      <x:c r="I53" s="96" t="n">
        <x:v>177</x:v>
      </x:c>
      <x:c r="J53" s="97" t="n">
        <x:f>SUM(D53:I53)</x:f>
        <x:v>30637</x:v>
      </x:c>
      <x:c r="K53" s="98" t="n">
        <x:f>IFERROR(D53/J53,0)</x:f>
        <x:v>0.5939223814342135</x:v>
      </x:c>
      <x:c r="L53" s="98" t="n">
        <x:f>IFERROR(E53/J53,0)</x:f>
        <x:v>0.021150895975454515</x:v>
      </x:c>
      <x:c r="M53" s="98" t="n">
        <x:f>IFERROR(F53/J53,0)</x:f>
        <x:v>0.09067467441329112</x:v>
      </x:c>
      <x:c r="N53" s="98" t="n">
        <x:f>IFERROR(G53/J53,0)</x:f>
        <x:v>0.19296928550445538</x:v>
      </x:c>
      <x:c r="O53" s="98" t="n">
        <x:f>IFERROR(H53/J53,0)</x:f>
        <x:v>0.09550543460521592</x:v>
      </x:c>
      <x:c r="P53" s="98" t="n">
        <x:f>IFERROR(I53/J53,0)</x:f>
        <x:v>0.0057773280673695205</x:v>
      </x:c>
      <x:c r="Q53" s="97" t="e">
        <x:f>D53*INDEX(Régions!$T$2:$T$6,MATCH($B53,Régions!$A$2:$A$6,0))</x:f>
        <x:v>#NAME?</x:v>
      </x:c>
      <x:c r="R53" s="97" t="e">
        <x:f>E53*INDEX(Régions!$U$2:$U$6,MATCH($B53,Régions!$A$2:$A$6,0))</x:f>
        <x:v>#NAME?</x:v>
      </x:c>
      <x:c r="S53" s="97" t="e">
        <x:f>F53*INDEX(Régions!$V$2:$V$6,MATCH($B53,Régions!$A$2:$A$6,0))</x:f>
        <x:v>#NAME?</x:v>
      </x:c>
      <x:c r="T53" s="97" t="e">
        <x:f>G53*INDEX(Régions!$W$2:$W$6,MATCH($B53,Régions!$A$2:$A$6,0))</x:f>
        <x:v>#NAME?</x:v>
      </x:c>
      <x:c r="U53" s="97" t="e">
        <x:f>H53*INDEX(Régions!$X$2:$X$6,MATCH($B53,Régions!$A$2:$A$6,0))</x:f>
        <x:v>#NAME?</x:v>
      </x:c>
      <x:c r="V53" s="97" t="e">
        <x:f>I53*INDEX(Régions!$Y$2:$Y$6,MATCH($B53,Régions!$A$2:$A$6,0))</x:f>
        <x:v>#NAME?</x:v>
      </x:c>
      <x:c r="W53" s="97" t="e">
        <x:f>Q53+(AU53/100)*J53*Régions!$O$2</x:f>
        <x:v>#NAME?</x:v>
      </x:c>
      <x:c r="X53" s="97" t="e">
        <x:f>R53+(AV53/100)*J53*Régions!$O$2</x:f>
        <x:v>#NAME?</x:v>
      </x:c>
      <x:c r="Y53" s="97" t="e">
        <x:f>S53+(AW53/100)*J53*Régions!$O$2</x:f>
        <x:v>#NAME?</x:v>
      </x:c>
      <x:c r="Z53" s="97" t="e">
        <x:f>T53+(AX53/100)*J53*Régions!$O$2</x:f>
        <x:v>#NAME?</x:v>
      </x:c>
      <x:c r="AA53" s="97" t="e">
        <x:f>U53</x:f>
        <x:v>#NAME?</x:v>
      </x:c>
      <x:c r="AB53" s="97" t="e">
        <x:f>V53</x:f>
        <x:v>#NAME?</x:v>
      </x:c>
      <x:c r="AC53" s="97" t="e">
        <x:f>D53*INDEX(Régions!$Z$2:$Z$6,MATCH($B53,Régions!$A$2:$A$6,0))</x:f>
        <x:v>#NAME?</x:v>
      </x:c>
      <x:c r="AD53" s="97" t="e">
        <x:f>E53*INDEX(Régions!$AA$2:$AA$6,MATCH($B53,Régions!$A$2:$A$6,0))</x:f>
        <x:v>#NAME?</x:v>
      </x:c>
      <x:c r="AE53" s="97" t="e">
        <x:f>F53*INDEX(Régions!$AB$2:$AB$6,MATCH($B53,Régions!$A$2:$A$6,0))</x:f>
        <x:v>#NAME?</x:v>
      </x:c>
      <x:c r="AF53" s="97" t="e">
        <x:f>G53*INDEX(Régions!$AC$2:$AC$6,MATCH($B53,Régions!$A$2:$A$6,0))</x:f>
        <x:v>#NAME?</x:v>
      </x:c>
      <x:c r="AG53" s="97" t="e">
        <x:f>H53*INDEX(Régions!$AD$2:$AD$6,MATCH($B53,Régions!$A$2:$A$6,0))</x:f>
        <x:v>#NAME?</x:v>
      </x:c>
      <x:c r="AH53" s="97" t="e">
        <x:f>I53*INDEX(Régions!$AE$2:$AE$6,MATCH($B53,Régions!$A$2:$A$6,0))</x:f>
        <x:v>#NAME?</x:v>
      </x:c>
      <x:c r="AI53" s="97" t="e">
        <x:f>D53*INDEX(Régions!$AF$2:$AF$6,MATCH($B53,Régions!$A$2:$A$6,0))</x:f>
        <x:v>#NAME?</x:v>
      </x:c>
      <x:c r="AJ53" s="97" t="e">
        <x:f>E53*INDEX(Régions!$AG$2:$AG$6,MATCH($B53,Régions!$A$2:$A$6,0))</x:f>
        <x:v>#NAME?</x:v>
      </x:c>
      <x:c r="AK53" s="97" t="e">
        <x:f>F53*INDEX(Régions!$AH$2:$AH$6,MATCH($B53,Régions!$A$2:$A$6,0))</x:f>
        <x:v>#NAME?</x:v>
      </x:c>
      <x:c r="AL53" s="97" t="e">
        <x:f>G53*INDEX(Régions!$AI$2:$AI$6,MATCH($B53,Régions!$A$2:$A$6,0))</x:f>
        <x:v>#NAME?</x:v>
      </x:c>
      <x:c r="AM53" s="97" t="e">
        <x:f>H53*INDEX(Régions!$AJ$2:$AJ$6,MATCH($B53,Régions!$A$2:$A$6,0))</x:f>
        <x:v>#NAME?</x:v>
      </x:c>
      <x:c r="AN53" s="97" t="e">
        <x:f>I53*INDEX(Régions!$AK$2:$AK$6,MATCH($B53,Régions!$A$2:$A$6,0))</x:f>
        <x:v>#NAME?</x:v>
      </x:c>
      <x:c r="AO53" s="99" t="str">
        <x:f>INDEX({"CAQ","PLQ","QS","PQ","PCQ","Autre"},MATCH(MAX(Q53:V53),Q53:V53,0))</x:f>
        <x:v>CAQ</x:v>
      </x:c>
      <x:c r="AP53" s="99" t="str">
        <x:f>INDEX({"CAQ","PLQ","QS","PQ","PCQ","Autre"},MATCH(MAX(W53:AB53),W53:AB53,0))</x:f>
        <x:v>CAQ</x:v>
      </x:c>
      <x:c r="AQ53" s="99" t="str">
        <x:f>INDEX({"CAQ","PLQ","QS","PQ","PCQ","Autre"},MATCH(MAX(AC53:AH53),AC53:AH53,0))</x:f>
        <x:v>CAQ</x:v>
      </x:c>
      <x:c r="AR53" s="99" t="str">
        <x:f>INDEX({"CAQ","PLQ","QS","PQ","PCQ","Autre"},MATCH(MAX(AI53:AN53),AI53:AN53,0))</x:f>
        <x:v>CAQ</x:v>
      </x:c>
      <x:c r="AS53" s="100" t="n">
        <x:f>(MAX(K53:P53)-LARGE(K53:P53,2))*100</x:f>
        <x:v>40.095309592975816</x:v>
      </x:c>
      <x:c r="AT53" s="101" t="str">
        <x:f>IF(AS53&lt;5,"Oui","Non")</x:f>
        <x:v>Non</x:v>
      </x:c>
      <x:c r="AU53" s="102" t="n">
        <x:v>20.972</x:v>
      </x:c>
      <x:c r="AV53" s="102" t="n">
        <x:v>5.027</x:v>
      </x:c>
      <x:c r="AW53" s="102" t="n">
        <x:v>2.773</x:v>
      </x:c>
      <x:c r="AX53" s="102" t="n">
        <x:v>-25.072</x:v>
      </x:c>
      <x:c r="AY53" s="96" t="n">
        <x:v>9997</x:v>
      </x:c>
      <x:c r="AZ53" s="96" t="n">
        <x:v>3029</x:v>
      </x:c>
      <x:c r="BA53" s="96" t="n">
        <x:v>2242</x:v>
      </x:c>
      <x:c r="BB53" s="96" t="n">
        <x:v>14887</x:v>
      </x:c>
      <x:c r="BC53" s="96" t="n">
        <x:v>633</x:v>
      </x:c>
      <x:c r="BD53" s="97" t="e">
        <x:f>AY53*INDEX(Régions!$AQ$2:$AQ$6,MATCH($B53,Régions!$A$2:$A$6,0))</x:f>
        <x:v>#NAME?</x:v>
      </x:c>
      <x:c r="BE53" s="97" t="e">
        <x:f>AZ53*INDEX(Régions!$AR$2:$AR$6,MATCH($B53,Régions!$A$2:$A$6,0))</x:f>
        <x:v>#NAME?</x:v>
      </x:c>
      <x:c r="BF53" s="97" t="e">
        <x:f>BA53*INDEX(Régions!$AS$2:$AS$6,MATCH($B53,Régions!$A$2:$A$6,0))</x:f>
        <x:v>#NAME?</x:v>
      </x:c>
      <x:c r="BG53" s="97" t="e">
        <x:f>BB53*INDEX(Régions!$AT$2:$AT$6,MATCH($B53,Régions!$A$2:$A$6,0))</x:f>
        <x:v>#NAME?</x:v>
      </x:c>
      <x:c r="BH53" s="97" t="e">
        <x:f>U53</x:f>
        <x:v>#NAME?</x:v>
      </x:c>
      <x:c r="BI53" s="97" t="e">
        <x:f>BC53*INDEX(Régions!$AU$2:$AU$6,MATCH($B53,Régions!$A$2:$A$6,0))</x:f>
        <x:v>#NAME?</x:v>
      </x:c>
      <x:c r="BJ53" s="97" t="str">
        <x:f>INDEX({"CAQ","PLQ","QS","PQ","PCQ","Autre"},MATCH(MAX(BD53:BI53),BD53:BI53,0))</x:f>
        <x:v>CAQ</x:v>
      </x:c>
    </x:row>
    <x:row r="54" s="60" customFormat="1" ht="15" customHeight="1">
      <x:c r="A54" s="94" t="inlineStr">
        <x:is>
          <x:t xml:space="preserve">L'Assomption</x:t>
        </x:is>
      </x:c>
      <x:c r="B54" s="94" t="inlineStr">
        <x:is>
          <x:t xml:space="preserve">Banlieue de Montréal</x:t>
        </x:is>
      </x:c>
      <x:c r="C54" s="95" t="inlineStr">
        <x:is>
          <x:t xml:space="preserve">CAQ</x:t>
        </x:is>
      </x:c>
      <x:c r="D54" s="96" t="n">
        <x:v>21596</x:v>
      </x:c>
      <x:c r="E54" s="96" t="n">
        <x:v>2009</x:v>
      </x:c>
      <x:c r="F54" s="96" t="n">
        <x:v>5401</x:v>
      </x:c>
      <x:c r="G54" s="96" t="n">
        <x:v>5863</x:v>
      </x:c>
      <x:c r="H54" s="96" t="n">
        <x:v>3139</x:v>
      </x:c>
      <x:c r="I54" s="96" t="n">
        <x:v>62</x:v>
      </x:c>
      <x:c r="J54" s="97" t="n">
        <x:f>SUM(D54:I54)</x:f>
        <x:v>38070</x:v>
      </x:c>
      <x:c r="K54" s="98" t="n">
        <x:f>IFERROR(D54/J54,0)</x:f>
        <x:v>0.567270816916207</x:v>
      </x:c>
      <x:c r="L54" s="98" t="n">
        <x:f>IFERROR(E54/J54,0)</x:f>
        <x:v>0.0527712109272393</x:v>
      </x:c>
      <x:c r="M54" s="98" t="n">
        <x:f>IFERROR(F54/J54,0)</x:f>
        <x:v>0.1418702390333596</x:v>
      </x:c>
      <x:c r="N54" s="98" t="n">
        <x:f>IFERROR(G54/J54,0)</x:f>
        <x:v>0.15400577882847385</x:v>
      </x:c>
      <x:c r="O54" s="98" t="n">
        <x:f>IFERROR(H54/J54,0)</x:f>
        <x:v>0.08245337536117678</x:v>
      </x:c>
      <x:c r="P54" s="98" t="n">
        <x:f>IFERROR(I54/J54,0)</x:f>
        <x:v>0.0016285789335434724</x:v>
      </x:c>
      <x:c r="Q54" s="97" t="e">
        <x:f>D54*INDEX(Régions!$T$2:$T$6,MATCH($B54,Régions!$A$2:$A$6,0))</x:f>
        <x:v>#NAME?</x:v>
      </x:c>
      <x:c r="R54" s="97" t="e">
        <x:f>E54*INDEX(Régions!$U$2:$U$6,MATCH($B54,Régions!$A$2:$A$6,0))</x:f>
        <x:v>#NAME?</x:v>
      </x:c>
      <x:c r="S54" s="97" t="e">
        <x:f>F54*INDEX(Régions!$V$2:$V$6,MATCH($B54,Régions!$A$2:$A$6,0))</x:f>
        <x:v>#NAME?</x:v>
      </x:c>
      <x:c r="T54" s="97" t="e">
        <x:f>G54*INDEX(Régions!$W$2:$W$6,MATCH($B54,Régions!$A$2:$A$6,0))</x:f>
        <x:v>#NAME?</x:v>
      </x:c>
      <x:c r="U54" s="97" t="e">
        <x:f>H54*INDEX(Régions!$X$2:$X$6,MATCH($B54,Régions!$A$2:$A$6,0))</x:f>
        <x:v>#NAME?</x:v>
      </x:c>
      <x:c r="V54" s="97" t="e">
        <x:f>I54*INDEX(Régions!$Y$2:$Y$6,MATCH($B54,Régions!$A$2:$A$6,0))</x:f>
        <x:v>#NAME?</x:v>
      </x:c>
      <x:c r="W54" s="97" t="e">
        <x:f>Q54+(AU54/100)*J54*Régions!$O$2</x:f>
        <x:v>#NAME?</x:v>
      </x:c>
      <x:c r="X54" s="97" t="e">
        <x:f>R54+(AV54/100)*J54*Régions!$O$2</x:f>
        <x:v>#NAME?</x:v>
      </x:c>
      <x:c r="Y54" s="97" t="e">
        <x:f>S54+(AW54/100)*J54*Régions!$O$2</x:f>
        <x:v>#NAME?</x:v>
      </x:c>
      <x:c r="Z54" s="97" t="e">
        <x:f>T54+(AX54/100)*J54*Régions!$O$2</x:f>
        <x:v>#NAME?</x:v>
      </x:c>
      <x:c r="AA54" s="97" t="e">
        <x:f>U54</x:f>
        <x:v>#NAME?</x:v>
      </x:c>
      <x:c r="AB54" s="97" t="e">
        <x:f>V54</x:f>
        <x:v>#NAME?</x:v>
      </x:c>
      <x:c r="AC54" s="97" t="e">
        <x:f>D54*INDEX(Régions!$Z$2:$Z$6,MATCH($B54,Régions!$A$2:$A$6,0))</x:f>
        <x:v>#NAME?</x:v>
      </x:c>
      <x:c r="AD54" s="97" t="e">
        <x:f>E54*INDEX(Régions!$AA$2:$AA$6,MATCH($B54,Régions!$A$2:$A$6,0))</x:f>
        <x:v>#NAME?</x:v>
      </x:c>
      <x:c r="AE54" s="97" t="e">
        <x:f>F54*INDEX(Régions!$AB$2:$AB$6,MATCH($B54,Régions!$A$2:$A$6,0))</x:f>
        <x:v>#NAME?</x:v>
      </x:c>
      <x:c r="AF54" s="97" t="e">
        <x:f>G54*INDEX(Régions!$AC$2:$AC$6,MATCH($B54,Régions!$A$2:$A$6,0))</x:f>
        <x:v>#NAME?</x:v>
      </x:c>
      <x:c r="AG54" s="97" t="e">
        <x:f>H54*INDEX(Régions!$AD$2:$AD$6,MATCH($B54,Régions!$A$2:$A$6,0))</x:f>
        <x:v>#NAME?</x:v>
      </x:c>
      <x:c r="AH54" s="97" t="e">
        <x:f>I54*INDEX(Régions!$AE$2:$AE$6,MATCH($B54,Régions!$A$2:$A$6,0))</x:f>
        <x:v>#NAME?</x:v>
      </x:c>
      <x:c r="AI54" s="97" t="e">
        <x:f>D54*INDEX(Régions!$AF$2:$AF$6,MATCH($B54,Régions!$A$2:$A$6,0))</x:f>
        <x:v>#NAME?</x:v>
      </x:c>
      <x:c r="AJ54" s="97" t="e">
        <x:f>E54*INDEX(Régions!$AG$2:$AG$6,MATCH($B54,Régions!$A$2:$A$6,0))</x:f>
        <x:v>#NAME?</x:v>
      </x:c>
      <x:c r="AK54" s="97" t="e">
        <x:f>F54*INDEX(Régions!$AH$2:$AH$6,MATCH($B54,Régions!$A$2:$A$6,0))</x:f>
        <x:v>#NAME?</x:v>
      </x:c>
      <x:c r="AL54" s="97" t="e">
        <x:f>G54*INDEX(Régions!$AI$2:$AI$6,MATCH($B54,Régions!$A$2:$A$6,0))</x:f>
        <x:v>#NAME?</x:v>
      </x:c>
      <x:c r="AM54" s="97" t="e">
        <x:f>H54*INDEX(Régions!$AJ$2:$AJ$6,MATCH($B54,Régions!$A$2:$A$6,0))</x:f>
        <x:v>#NAME?</x:v>
      </x:c>
      <x:c r="AN54" s="97" t="e">
        <x:f>I54*INDEX(Régions!$AK$2:$AK$6,MATCH($B54,Régions!$A$2:$A$6,0))</x:f>
        <x:v>#NAME?</x:v>
      </x:c>
      <x:c r="AO54" s="99" t="str">
        <x:f>INDEX({"CAQ","PLQ","QS","PQ","PCQ","Autre"},MATCH(MAX(Q54:V54),Q54:V54,0))</x:f>
        <x:v>CAQ</x:v>
      </x:c>
      <x:c r="AP54" s="99" t="str">
        <x:f>INDEX({"CAQ","PLQ","QS","PQ","PCQ","Autre"},MATCH(MAX(W54:AB54),W54:AB54,0))</x:f>
        <x:v>CAQ</x:v>
      </x:c>
      <x:c r="AQ54" s="99" t="str">
        <x:f>INDEX({"CAQ","PLQ","QS","PQ","PCQ","Autre"},MATCH(MAX(AC54:AH54),AC54:AH54,0))</x:f>
        <x:v>CAQ</x:v>
      </x:c>
      <x:c r="AR54" s="99" t="str">
        <x:f>INDEX({"CAQ","PLQ","QS","PQ","PCQ","Autre"},MATCH(MAX(AI54:AN54),AI54:AN54,0))</x:f>
        <x:v>CAQ</x:v>
      </x:c>
      <x:c r="AS54" s="100" t="n">
        <x:f>(MAX(K54:P54)-LARGE(K54:P54,2))*100</x:f>
        <x:v>41.32650380877331</x:v>
      </x:c>
      <x:c r="AT54" s="101" t="str">
        <x:f>IF(AS54&lt;5,"Oui","Non")</x:f>
        <x:v>Non</x:v>
      </x:c>
      <x:c r="AU54" s="102" t="n">
        <x:v>-0.697</x:v>
      </x:c>
      <x:c r="AV54" s="102" t="n">
        <x:v>3.94</x:v>
      </x:c>
      <x:c r="AW54" s="102" t="n">
        <x:v>-1.667</x:v>
      </x:c>
      <x:c r="AX54" s="102" t="n">
        <x:v>0.87</x:v>
      </x:c>
      <x:c r="AY54" s="96" t="n">
        <x:v>20591</x:v>
      </x:c>
      <x:c r="AZ54" s="96" t="n">
        <x:v>3124</x:v>
      </x:c>
      <x:c r="BA54" s="96" t="n">
        <x:v>6275</x:v>
      </x:c>
      <x:c r="BB54" s="96" t="n">
        <x:v>6648</x:v>
      </x:c>
      <x:c r="BC54" s="96" t="n">
        <x:v>1283</x:v>
      </x:c>
      <x:c r="BD54" s="97" t="e">
        <x:f>AY54*INDEX(Régions!$AQ$2:$AQ$6,MATCH($B54,Régions!$A$2:$A$6,0))</x:f>
        <x:v>#NAME?</x:v>
      </x:c>
      <x:c r="BE54" s="97" t="e">
        <x:f>AZ54*INDEX(Régions!$AR$2:$AR$6,MATCH($B54,Régions!$A$2:$A$6,0))</x:f>
        <x:v>#NAME?</x:v>
      </x:c>
      <x:c r="BF54" s="97" t="e">
        <x:f>BA54*INDEX(Régions!$AS$2:$AS$6,MATCH($B54,Régions!$A$2:$A$6,0))</x:f>
        <x:v>#NAME?</x:v>
      </x:c>
      <x:c r="BG54" s="97" t="e">
        <x:f>BB54*INDEX(Régions!$AT$2:$AT$6,MATCH($B54,Régions!$A$2:$A$6,0))</x:f>
        <x:v>#NAME?</x:v>
      </x:c>
      <x:c r="BH54" s="97" t="e">
        <x:f>U54</x:f>
        <x:v>#NAME?</x:v>
      </x:c>
      <x:c r="BI54" s="97" t="e">
        <x:f>BC54*INDEX(Régions!$AU$2:$AU$6,MATCH($B54,Régions!$A$2:$A$6,0))</x:f>
        <x:v>#NAME?</x:v>
      </x:c>
      <x:c r="BJ54" s="97" t="str">
        <x:f>INDEX({"CAQ","PLQ","QS","PQ","PCQ","Autre"},MATCH(MAX(BD54:BI54),BD54:BI54,0))</x:f>
        <x:v>CAQ</x:v>
      </x:c>
    </x:row>
    <x:row r="55" s="60" customFormat="1" ht="15" customHeight="1">
      <x:c r="A55" s="94" t="inlineStr">
        <x:is>
          <x:t xml:space="preserve">La Peltrie</x:t>
        </x:is>
      </x:c>
      <x:c r="B55" s="94" t="inlineStr">
        <x:is>
          <x:t xml:space="preserve">Québec RMR</x:t>
        </x:is>
      </x:c>
      <x:c r="C55" s="95" t="inlineStr">
        <x:is>
          <x:t xml:space="preserve">CAQ</x:t>
        </x:is>
      </x:c>
      <x:c r="D55" s="96" t="n">
        <x:v>18407</x:v>
      </x:c>
      <x:c r="E55" s="96" t="n">
        <x:v>2358</x:v>
      </x:c>
      <x:c r="F55" s="96" t="n">
        <x:v>3778</x:v>
      </x:c>
      <x:c r="G55" s="96" t="n">
        <x:v>4202</x:v>
      </x:c>
      <x:c r="H55" s="96" t="n">
        <x:v>12007</x:v>
      </x:c>
      <x:c r="I55" s="96" t="n">
        <x:v>528</x:v>
      </x:c>
      <x:c r="J55" s="97" t="n">
        <x:f>SUM(D55:I55)</x:f>
        <x:v>41280</x:v>
      </x:c>
      <x:c r="K55" s="98" t="n">
        <x:f>IFERROR(D55/J55,0)</x:f>
        <x:v>0.445906007751938</x:v>
      </x:c>
      <x:c r="L55" s="98" t="n">
        <x:f>IFERROR(E55/J55,0)</x:f>
        <x:v>0.05712209302325581</x:v>
      </x:c>
      <x:c r="M55" s="98" t="n">
        <x:f>IFERROR(F55/J55,0)</x:f>
        <x:v>0.09152131782945737</x:v>
      </x:c>
      <x:c r="N55" s="98" t="n">
        <x:f>IFERROR(G55/J55,0)</x:f>
        <x:v>0.10179263565891473</x:v>
      </x:c>
      <x:c r="O55" s="98" t="n">
        <x:f>IFERROR(H55/J55,0)</x:f>
        <x:v>0.2908672480620155</x:v>
      </x:c>
      <x:c r="P55" s="98" t="n">
        <x:f>IFERROR(I55/J55,0)</x:f>
        <x:v>0.012790697674418604</x:v>
      </x:c>
      <x:c r="Q55" s="97" t="e">
        <x:f>D55*INDEX(Régions!$T$2:$T$6,MATCH($B55,Régions!$A$2:$A$6,0))</x:f>
        <x:v>#NAME?</x:v>
      </x:c>
      <x:c r="R55" s="97" t="e">
        <x:f>E55*INDEX(Régions!$U$2:$U$6,MATCH($B55,Régions!$A$2:$A$6,0))</x:f>
        <x:v>#NAME?</x:v>
      </x:c>
      <x:c r="S55" s="97" t="e">
        <x:f>F55*INDEX(Régions!$V$2:$V$6,MATCH($B55,Régions!$A$2:$A$6,0))</x:f>
        <x:v>#NAME?</x:v>
      </x:c>
      <x:c r="T55" s="97" t="e">
        <x:f>G55*INDEX(Régions!$W$2:$W$6,MATCH($B55,Régions!$A$2:$A$6,0))</x:f>
        <x:v>#NAME?</x:v>
      </x:c>
      <x:c r="U55" s="97" t="e">
        <x:f>H55*INDEX(Régions!$X$2:$X$6,MATCH($B55,Régions!$A$2:$A$6,0))</x:f>
        <x:v>#NAME?</x:v>
      </x:c>
      <x:c r="V55" s="97" t="e">
        <x:f>I55*INDEX(Régions!$Y$2:$Y$6,MATCH($B55,Régions!$A$2:$A$6,0))</x:f>
        <x:v>#NAME?</x:v>
      </x:c>
      <x:c r="W55" s="97" t="e">
        <x:f>Q55+(AU55/100)*J55*Régions!$O$2</x:f>
        <x:v>#NAME?</x:v>
      </x:c>
      <x:c r="X55" s="97" t="e">
        <x:f>R55+(AV55/100)*J55*Régions!$O$2</x:f>
        <x:v>#NAME?</x:v>
      </x:c>
      <x:c r="Y55" s="97" t="e">
        <x:f>S55+(AW55/100)*J55*Régions!$O$2</x:f>
        <x:v>#NAME?</x:v>
      </x:c>
      <x:c r="Z55" s="97" t="e">
        <x:f>T55+(AX55/100)*J55*Régions!$O$2</x:f>
        <x:v>#NAME?</x:v>
      </x:c>
      <x:c r="AA55" s="97" t="e">
        <x:f>U55</x:f>
        <x:v>#NAME?</x:v>
      </x:c>
      <x:c r="AB55" s="97" t="e">
        <x:f>V55</x:f>
        <x:v>#NAME?</x:v>
      </x:c>
      <x:c r="AC55" s="97" t="e">
        <x:f>D55*INDEX(Régions!$Z$2:$Z$6,MATCH($B55,Régions!$A$2:$A$6,0))</x:f>
        <x:v>#NAME?</x:v>
      </x:c>
      <x:c r="AD55" s="97" t="e">
        <x:f>E55*INDEX(Régions!$AA$2:$AA$6,MATCH($B55,Régions!$A$2:$A$6,0))</x:f>
        <x:v>#NAME?</x:v>
      </x:c>
      <x:c r="AE55" s="97" t="e">
        <x:f>F55*INDEX(Régions!$AB$2:$AB$6,MATCH($B55,Régions!$A$2:$A$6,0))</x:f>
        <x:v>#NAME?</x:v>
      </x:c>
      <x:c r="AF55" s="97" t="e">
        <x:f>G55*INDEX(Régions!$AC$2:$AC$6,MATCH($B55,Régions!$A$2:$A$6,0))</x:f>
        <x:v>#NAME?</x:v>
      </x:c>
      <x:c r="AG55" s="97" t="e">
        <x:f>H55*INDEX(Régions!$AD$2:$AD$6,MATCH($B55,Régions!$A$2:$A$6,0))</x:f>
        <x:v>#NAME?</x:v>
      </x:c>
      <x:c r="AH55" s="97" t="e">
        <x:f>I55*INDEX(Régions!$AE$2:$AE$6,MATCH($B55,Régions!$A$2:$A$6,0))</x:f>
        <x:v>#NAME?</x:v>
      </x:c>
      <x:c r="AI55" s="97" t="e">
        <x:f>D55*INDEX(Régions!$AF$2:$AF$6,MATCH($B55,Régions!$A$2:$A$6,0))</x:f>
        <x:v>#NAME?</x:v>
      </x:c>
      <x:c r="AJ55" s="97" t="e">
        <x:f>E55*INDEX(Régions!$AG$2:$AG$6,MATCH($B55,Régions!$A$2:$A$6,0))</x:f>
        <x:v>#NAME?</x:v>
      </x:c>
      <x:c r="AK55" s="97" t="e">
        <x:f>F55*INDEX(Régions!$AH$2:$AH$6,MATCH($B55,Régions!$A$2:$A$6,0))</x:f>
        <x:v>#NAME?</x:v>
      </x:c>
      <x:c r="AL55" s="97" t="e">
        <x:f>G55*INDEX(Régions!$AI$2:$AI$6,MATCH($B55,Régions!$A$2:$A$6,0))</x:f>
        <x:v>#NAME?</x:v>
      </x:c>
      <x:c r="AM55" s="97" t="e">
        <x:f>H55*INDEX(Régions!$AJ$2:$AJ$6,MATCH($B55,Régions!$A$2:$A$6,0))</x:f>
        <x:v>#NAME?</x:v>
      </x:c>
      <x:c r="AN55" s="97" t="e">
        <x:f>I55*INDEX(Régions!$AK$2:$AK$6,MATCH($B55,Régions!$A$2:$A$6,0))</x:f>
        <x:v>#NAME?</x:v>
      </x:c>
      <x:c r="AO55" s="99" t="str">
        <x:f>INDEX({"CAQ","PLQ","QS","PQ","PCQ","Autre"},MATCH(MAX(Q55:V55),Q55:V55,0))</x:f>
        <x:v>CAQ</x:v>
      </x:c>
      <x:c r="AP55" s="99" t="str">
        <x:f>INDEX({"CAQ","PLQ","QS","PQ","PCQ","Autre"},MATCH(MAX(W55:AB55),W55:AB55,0))</x:f>
        <x:v>CAQ</x:v>
      </x:c>
      <x:c r="AQ55" s="99" t="str">
        <x:f>INDEX({"CAQ","PLQ","QS","PQ","PCQ","Autre"},MATCH(MAX(AC55:AH55),AC55:AH55,0))</x:f>
        <x:v>CAQ</x:v>
      </x:c>
      <x:c r="AR55" s="99" t="str">
        <x:f>INDEX({"CAQ","PLQ","QS","PQ","PCQ","Autre"},MATCH(MAX(AI55:AN55),AI55:AN55,0))</x:f>
        <x:v>CAQ</x:v>
      </x:c>
      <x:c r="AS55" s="100" t="n">
        <x:f>(MAX(K55:P55)-LARGE(K55:P55,2))*100</x:f>
        <x:v>15.503875968992247</x:v>
      </x:c>
      <x:c r="AT55" s="101" t="str">
        <x:f>IF(AS55&lt;5,"Oui","Non")</x:f>
        <x:v>Non</x:v>
      </x:c>
      <x:c r="AU55" s="102" t="n">
        <x:v>-9.032</x:v>
      </x:c>
      <x:c r="AV55" s="102" t="n">
        <x:v>3.259</x:v>
      </x:c>
      <x:c r="AW55" s="102" t="n">
        <x:v>-0.468</x:v>
      </x:c>
      <x:c r="AX55" s="102" t="n">
        <x:v>0.511</x:v>
      </x:c>
      <x:c r="AY55" s="96" t="n">
        <x:v>21365</x:v>
      </x:c>
      <x:c r="AZ55" s="96" t="n">
        <x:v>6523</x:v>
      </x:c>
      <x:c r="BA55" s="96" t="n">
        <x:v>3788</x:v>
      </x:c>
      <x:c r="BB55" s="96" t="n">
        <x:v>2907</x:v>
      </x:c>
      <x:c r="BC55" s="96" t="n">
        <x:v>3081</x:v>
      </x:c>
      <x:c r="BD55" s="97" t="e">
        <x:f>AY55*INDEX(Régions!$AQ$2:$AQ$6,MATCH($B55,Régions!$A$2:$A$6,0))</x:f>
        <x:v>#NAME?</x:v>
      </x:c>
      <x:c r="BE55" s="97" t="e">
        <x:f>AZ55*INDEX(Régions!$AR$2:$AR$6,MATCH($B55,Régions!$A$2:$A$6,0))</x:f>
        <x:v>#NAME?</x:v>
      </x:c>
      <x:c r="BF55" s="97" t="e">
        <x:f>BA55*INDEX(Régions!$AS$2:$AS$6,MATCH($B55,Régions!$A$2:$A$6,0))</x:f>
        <x:v>#NAME?</x:v>
      </x:c>
      <x:c r="BG55" s="97" t="e">
        <x:f>BB55*INDEX(Régions!$AT$2:$AT$6,MATCH($B55,Régions!$A$2:$A$6,0))</x:f>
        <x:v>#NAME?</x:v>
      </x:c>
      <x:c r="BH55" s="97" t="e">
        <x:f>U55</x:f>
        <x:v>#NAME?</x:v>
      </x:c>
      <x:c r="BI55" s="97" t="e">
        <x:f>BC55*INDEX(Régions!$AU$2:$AU$6,MATCH($B55,Régions!$A$2:$A$6,0))</x:f>
        <x:v>#NAME?</x:v>
      </x:c>
      <x:c r="BJ55" s="97" t="str">
        <x:f>INDEX({"CAQ","PLQ","QS","PQ","PCQ","Autre"},MATCH(MAX(BD55:BI55),BD55:BI55,0))</x:f>
        <x:v>CAQ</x:v>
      </x:c>
    </x:row>
    <x:row r="56" s="60" customFormat="1" ht="15" customHeight="1">
      <x:c r="A56" s="94" t="inlineStr">
        <x:is>
          <x:t xml:space="preserve">La Pinière</x:t>
        </x:is>
      </x:c>
      <x:c r="B56" s="94" t="inlineStr">
        <x:is>
          <x:t xml:space="preserve">Banlieue de Montréal</x:t>
        </x:is>
      </x:c>
      <x:c r="C56" s="95" t="inlineStr">
        <x:is>
          <x:t xml:space="preserve">PLQ</x:t>
        </x:is>
      </x:c>
      <x:c r="D56" s="96" t="n">
        <x:v>10272</x:v>
      </x:c>
      <x:c r="E56" s="96" t="n">
        <x:v>12688</x:v>
      </x:c>
      <x:c r="F56" s="96" t="n">
        <x:v>3301</x:v>
      </x:c>
      <x:c r="G56" s="96" t="n">
        <x:v>2577</x:v>
      </x:c>
      <x:c r="H56" s="96" t="n">
        <x:v>3716</x:v>
      </x:c>
      <x:c r="I56" s="96" t="n">
        <x:v>396</x:v>
      </x:c>
      <x:c r="J56" s="97" t="n">
        <x:f>SUM(D56:I56)</x:f>
        <x:v>32950</x:v>
      </x:c>
      <x:c r="K56" s="98" t="n">
        <x:f>IFERROR(D56/J56,0)</x:f>
        <x:v>0.3117450682852807</x:v>
      </x:c>
      <x:c r="L56" s="98" t="n">
        <x:f>IFERROR(E56/J56,0)</x:f>
        <x:v>0.3850682852807284</x:v>
      </x:c>
      <x:c r="M56" s="98" t="n">
        <x:f>IFERROR(F56/J56,0)</x:f>
        <x:v>0.10018209408194234</x:v>
      </x:c>
      <x:c r="N56" s="98" t="n">
        <x:f>IFERROR(G56/J56,0)</x:f>
        <x:v>0.07820940819423369</x:v>
      </x:c>
      <x:c r="O56" s="98" t="n">
        <x:f>IFERROR(H56/J56,0)</x:f>
        <x:v>0.11277693474962064</x:v>
      </x:c>
      <x:c r="P56" s="98" t="n">
        <x:f>IFERROR(I56/J56,0)</x:f>
        <x:v>0.012018209408194234</x:v>
      </x:c>
      <x:c r="Q56" s="97" t="e">
        <x:f>D56*INDEX(Régions!$T$2:$T$6,MATCH($B56,Régions!$A$2:$A$6,0))</x:f>
        <x:v>#NAME?</x:v>
      </x:c>
      <x:c r="R56" s="97" t="e">
        <x:f>E56*INDEX(Régions!$U$2:$U$6,MATCH($B56,Régions!$A$2:$A$6,0))</x:f>
        <x:v>#NAME?</x:v>
      </x:c>
      <x:c r="S56" s="97" t="e">
        <x:f>F56*INDEX(Régions!$V$2:$V$6,MATCH($B56,Régions!$A$2:$A$6,0))</x:f>
        <x:v>#NAME?</x:v>
      </x:c>
      <x:c r="T56" s="97" t="e">
        <x:f>G56*INDEX(Régions!$W$2:$W$6,MATCH($B56,Régions!$A$2:$A$6,0))</x:f>
        <x:v>#NAME?</x:v>
      </x:c>
      <x:c r="U56" s="97" t="e">
        <x:f>H56*INDEX(Régions!$X$2:$X$6,MATCH($B56,Régions!$A$2:$A$6,0))</x:f>
        <x:v>#NAME?</x:v>
      </x:c>
      <x:c r="V56" s="97" t="e">
        <x:f>I56*INDEX(Régions!$Y$2:$Y$6,MATCH($B56,Régions!$A$2:$A$6,0))</x:f>
        <x:v>#NAME?</x:v>
      </x:c>
      <x:c r="W56" s="97" t="e">
        <x:f>Q56+(AU56/100)*J56*Régions!$O$2</x:f>
        <x:v>#NAME?</x:v>
      </x:c>
      <x:c r="X56" s="97" t="e">
        <x:f>R56+(AV56/100)*J56*Régions!$O$2</x:f>
        <x:v>#NAME?</x:v>
      </x:c>
      <x:c r="Y56" s="97" t="e">
        <x:f>S56+(AW56/100)*J56*Régions!$O$2</x:f>
        <x:v>#NAME?</x:v>
      </x:c>
      <x:c r="Z56" s="97" t="e">
        <x:f>T56+(AX56/100)*J56*Régions!$O$2</x:f>
        <x:v>#NAME?</x:v>
      </x:c>
      <x:c r="AA56" s="97" t="e">
        <x:f>U56</x:f>
        <x:v>#NAME?</x:v>
      </x:c>
      <x:c r="AB56" s="97" t="e">
        <x:f>V56</x:f>
        <x:v>#NAME?</x:v>
      </x:c>
      <x:c r="AC56" s="97" t="e">
        <x:f>D56*INDEX(Régions!$Z$2:$Z$6,MATCH($B56,Régions!$A$2:$A$6,0))</x:f>
        <x:v>#NAME?</x:v>
      </x:c>
      <x:c r="AD56" s="97" t="e">
        <x:f>E56*INDEX(Régions!$AA$2:$AA$6,MATCH($B56,Régions!$A$2:$A$6,0))</x:f>
        <x:v>#NAME?</x:v>
      </x:c>
      <x:c r="AE56" s="97" t="e">
        <x:f>F56*INDEX(Régions!$AB$2:$AB$6,MATCH($B56,Régions!$A$2:$A$6,0))</x:f>
        <x:v>#NAME?</x:v>
      </x:c>
      <x:c r="AF56" s="97" t="e">
        <x:f>G56*INDEX(Régions!$AC$2:$AC$6,MATCH($B56,Régions!$A$2:$A$6,0))</x:f>
        <x:v>#NAME?</x:v>
      </x:c>
      <x:c r="AG56" s="97" t="e">
        <x:f>H56*INDEX(Régions!$AD$2:$AD$6,MATCH($B56,Régions!$A$2:$A$6,0))</x:f>
        <x:v>#NAME?</x:v>
      </x:c>
      <x:c r="AH56" s="97" t="e">
        <x:f>I56*INDEX(Régions!$AE$2:$AE$6,MATCH($B56,Régions!$A$2:$A$6,0))</x:f>
        <x:v>#NAME?</x:v>
      </x:c>
      <x:c r="AI56" s="97" t="e">
        <x:f>D56*INDEX(Régions!$AF$2:$AF$6,MATCH($B56,Régions!$A$2:$A$6,0))</x:f>
        <x:v>#NAME?</x:v>
      </x:c>
      <x:c r="AJ56" s="97" t="e">
        <x:f>E56*INDEX(Régions!$AG$2:$AG$6,MATCH($B56,Régions!$A$2:$A$6,0))</x:f>
        <x:v>#NAME?</x:v>
      </x:c>
      <x:c r="AK56" s="97" t="e">
        <x:f>F56*INDEX(Régions!$AH$2:$AH$6,MATCH($B56,Régions!$A$2:$A$6,0))</x:f>
        <x:v>#NAME?</x:v>
      </x:c>
      <x:c r="AL56" s="97" t="e">
        <x:f>G56*INDEX(Régions!$AI$2:$AI$6,MATCH($B56,Régions!$A$2:$A$6,0))</x:f>
        <x:v>#NAME?</x:v>
      </x:c>
      <x:c r="AM56" s="97" t="e">
        <x:f>H56*INDEX(Régions!$AJ$2:$AJ$6,MATCH($B56,Régions!$A$2:$A$6,0))</x:f>
        <x:v>#NAME?</x:v>
      </x:c>
      <x:c r="AN56" s="97" t="e">
        <x:f>I56*INDEX(Régions!$AK$2:$AK$6,MATCH($B56,Régions!$A$2:$A$6,0))</x:f>
        <x:v>#NAME?</x:v>
      </x:c>
      <x:c r="AO56" s="99" t="str">
        <x:f>INDEX({"CAQ","PLQ","QS","PQ","PCQ","Autre"},MATCH(MAX(Q56:V56),Q56:V56,0))</x:f>
        <x:v>CAQ</x:v>
      </x:c>
      <x:c r="AP56" s="99" t="str">
        <x:f>INDEX({"CAQ","PLQ","QS","PQ","PCQ","Autre"},MATCH(MAX(W56:AB56),W56:AB56,0))</x:f>
        <x:v>CAQ</x:v>
      </x:c>
      <x:c r="AQ56" s="99" t="str">
        <x:f>INDEX({"CAQ","PLQ","QS","PQ","PCQ","Autre"},MATCH(MAX(AC56:AH56),AC56:AH56,0))</x:f>
        <x:v>CAQ</x:v>
      </x:c>
      <x:c r="AR56" s="99" t="str">
        <x:f>INDEX({"CAQ","PLQ","QS","PQ","PCQ","Autre"},MATCH(MAX(AI56:AN56),AI56:AN56,0))</x:f>
        <x:v>CAQ</x:v>
      </x:c>
      <x:c r="AS56" s="100" t="n">
        <x:f>(MAX(K56:P56)-LARGE(K56:P56,2))*100</x:f>
        <x:v>7.332321699544769</x:v>
      </x:c>
      <x:c r="AT56" s="101" t="str">
        <x:f>IF(AS56&lt;5,"Oui","Non")</x:f>
        <x:v>Non</x:v>
      </x:c>
      <x:c r="AU56" s="102" t="n">
        <x:v>-0.785</x:v>
      </x:c>
      <x:c r="AV56" s="102" t="n">
        <x:v>-1.658</x:v>
      </x:c>
      <x:c r="AW56" s="102" t="n">
        <x:v>0.677</x:v>
      </x:c>
      <x:c r="AX56" s="102" t="n">
        <x:v>1.939</x:v>
      </x:c>
      <x:c r="AY56" s="96" t="n">
        <x:v>9480</x:v>
      </x:c>
      <x:c r="AZ56" s="96" t="n">
        <x:v>15476</x:v>
      </x:c>
      <x:c r="BA56" s="96" t="n">
        <x:v>3300</x:v>
      </x:c>
      <x:c r="BB56" s="96" t="n">
        <x:v>2921</x:v>
      </x:c>
      <x:c r="BC56" s="96" t="n">
        <x:v>1703</x:v>
      </x:c>
      <x:c r="BD56" s="97" t="e">
        <x:f>AY56*INDEX(Régions!$AQ$2:$AQ$6,MATCH($B56,Régions!$A$2:$A$6,0))</x:f>
        <x:v>#NAME?</x:v>
      </x:c>
      <x:c r="BE56" s="97" t="e">
        <x:f>AZ56*INDEX(Régions!$AR$2:$AR$6,MATCH($B56,Régions!$A$2:$A$6,0))</x:f>
        <x:v>#NAME?</x:v>
      </x:c>
      <x:c r="BF56" s="97" t="e">
        <x:f>BA56*INDEX(Régions!$AS$2:$AS$6,MATCH($B56,Régions!$A$2:$A$6,0))</x:f>
        <x:v>#NAME?</x:v>
      </x:c>
      <x:c r="BG56" s="97" t="e">
        <x:f>BB56*INDEX(Régions!$AT$2:$AT$6,MATCH($B56,Régions!$A$2:$A$6,0))</x:f>
        <x:v>#NAME?</x:v>
      </x:c>
      <x:c r="BH56" s="97" t="e">
        <x:f>U56</x:f>
        <x:v>#NAME?</x:v>
      </x:c>
      <x:c r="BI56" s="97" t="e">
        <x:f>BC56*INDEX(Régions!$AU$2:$AU$6,MATCH($B56,Régions!$A$2:$A$6,0))</x:f>
        <x:v>#NAME?</x:v>
      </x:c>
      <x:c r="BJ56" s="97" t="str">
        <x:f>INDEX({"CAQ","PLQ","QS","PQ","PCQ","Autre"},MATCH(MAX(BD56:BI56),BD56:BI56,0))</x:f>
        <x:v>CAQ</x:v>
      </x:c>
    </x:row>
    <x:row r="57" s="60" customFormat="1" ht="15" customHeight="1">
      <x:c r="A57" s="94" t="inlineStr">
        <x:is>
          <x:t xml:space="preserve">La Prairie</x:t>
        </x:is>
      </x:c>
      <x:c r="B57" s="94" t="inlineStr">
        <x:is>
          <x:t xml:space="preserve">Banlieue de Montréal</x:t>
        </x:is>
      </x:c>
      <x:c r="C57" s="95" t="inlineStr">
        <x:is>
          <x:t xml:space="preserve">CAQ</x:t>
        </x:is>
      </x:c>
      <x:c r="D57" s="96" t="n">
        <x:v>18220</x:v>
      </x:c>
      <x:c r="E57" s="96" t="n">
        <x:v>4788</x:v>
      </x:c>
      <x:c r="F57" s="96" t="n">
        <x:v>4529</x:v>
      </x:c>
      <x:c r="G57" s="96" t="n">
        <x:v>3949</x:v>
      </x:c>
      <x:c r="H57" s="96" t="n">
        <x:v>2750</x:v>
      </x:c>
      <x:c r="I57" s="96" t="n">
        <x:v>331</x:v>
      </x:c>
      <x:c r="J57" s="97" t="n">
        <x:f>SUM(D57:I57)</x:f>
        <x:v>34567</x:v>
      </x:c>
      <x:c r="K57" s="98" t="n">
        <x:f>IFERROR(D57/J57,0)</x:f>
        <x:v>0.5270923134781729</x:v>
      </x:c>
      <x:c r="L57" s="98" t="n">
        <x:f>IFERROR(E57/J57,0)</x:f>
        <x:v>0.13851361124772182</x:v>
      </x:c>
      <x:c r="M57" s="98" t="n">
        <x:f>IFERROR(F57/J57,0)</x:f>
        <x:v>0.13102091590245032</x:v>
      </x:c>
      <x:c r="N57" s="98" t="n">
        <x:f>IFERROR(G57/J57,0)</x:f>
        <x:v>0.11424190702114734</x:v>
      </x:c>
      <x:c r="O57" s="98" t="n">
        <x:f>IFERROR(H57/J57,0)</x:f>
        <x:v>0.07955564555790205</x:v>
      </x:c>
      <x:c r="P57" s="98" t="n">
        <x:f>IFERROR(I57/J57,0)</x:f>
        <x:v>0.009575606792605664</x:v>
      </x:c>
      <x:c r="Q57" s="97" t="e">
        <x:f>D57*INDEX(Régions!$T$2:$T$6,MATCH($B57,Régions!$A$2:$A$6,0))</x:f>
        <x:v>#NAME?</x:v>
      </x:c>
      <x:c r="R57" s="97" t="e">
        <x:f>E57*INDEX(Régions!$U$2:$U$6,MATCH($B57,Régions!$A$2:$A$6,0))</x:f>
        <x:v>#NAME?</x:v>
      </x:c>
      <x:c r="S57" s="97" t="e">
        <x:f>F57*INDEX(Régions!$V$2:$V$6,MATCH($B57,Régions!$A$2:$A$6,0))</x:f>
        <x:v>#NAME?</x:v>
      </x:c>
      <x:c r="T57" s="97" t="e">
        <x:f>G57*INDEX(Régions!$W$2:$W$6,MATCH($B57,Régions!$A$2:$A$6,0))</x:f>
        <x:v>#NAME?</x:v>
      </x:c>
      <x:c r="U57" s="97" t="e">
        <x:f>H57*INDEX(Régions!$X$2:$X$6,MATCH($B57,Régions!$A$2:$A$6,0))</x:f>
        <x:v>#NAME?</x:v>
      </x:c>
      <x:c r="V57" s="97" t="e">
        <x:f>I57*INDEX(Régions!$Y$2:$Y$6,MATCH($B57,Régions!$A$2:$A$6,0))</x:f>
        <x:v>#NAME?</x:v>
      </x:c>
      <x:c r="W57" s="97" t="e">
        <x:f>Q57+(AU57/100)*J57*Régions!$O$2</x:f>
        <x:v>#NAME?</x:v>
      </x:c>
      <x:c r="X57" s="97" t="e">
        <x:f>R57+(AV57/100)*J57*Régions!$O$2</x:f>
        <x:v>#NAME?</x:v>
      </x:c>
      <x:c r="Y57" s="97" t="e">
        <x:f>S57+(AW57/100)*J57*Régions!$O$2</x:f>
        <x:v>#NAME?</x:v>
      </x:c>
      <x:c r="Z57" s="97" t="e">
        <x:f>T57+(AX57/100)*J57*Régions!$O$2</x:f>
        <x:v>#NAME?</x:v>
      </x:c>
      <x:c r="AA57" s="97" t="e">
        <x:f>U57</x:f>
        <x:v>#NAME?</x:v>
      </x:c>
      <x:c r="AB57" s="97" t="e">
        <x:f>V57</x:f>
        <x:v>#NAME?</x:v>
      </x:c>
      <x:c r="AC57" s="97" t="e">
        <x:f>D57*INDEX(Régions!$Z$2:$Z$6,MATCH($B57,Régions!$A$2:$A$6,0))</x:f>
        <x:v>#NAME?</x:v>
      </x:c>
      <x:c r="AD57" s="97" t="e">
        <x:f>E57*INDEX(Régions!$AA$2:$AA$6,MATCH($B57,Régions!$A$2:$A$6,0))</x:f>
        <x:v>#NAME?</x:v>
      </x:c>
      <x:c r="AE57" s="97" t="e">
        <x:f>F57*INDEX(Régions!$AB$2:$AB$6,MATCH($B57,Régions!$A$2:$A$6,0))</x:f>
        <x:v>#NAME?</x:v>
      </x:c>
      <x:c r="AF57" s="97" t="e">
        <x:f>G57*INDEX(Régions!$AC$2:$AC$6,MATCH($B57,Régions!$A$2:$A$6,0))</x:f>
        <x:v>#NAME?</x:v>
      </x:c>
      <x:c r="AG57" s="97" t="e">
        <x:f>H57*INDEX(Régions!$AD$2:$AD$6,MATCH($B57,Régions!$A$2:$A$6,0))</x:f>
        <x:v>#NAME?</x:v>
      </x:c>
      <x:c r="AH57" s="97" t="e">
        <x:f>I57*INDEX(Régions!$AE$2:$AE$6,MATCH($B57,Régions!$A$2:$A$6,0))</x:f>
        <x:v>#NAME?</x:v>
      </x:c>
      <x:c r="AI57" s="97" t="e">
        <x:f>D57*INDEX(Régions!$AF$2:$AF$6,MATCH($B57,Régions!$A$2:$A$6,0))</x:f>
        <x:v>#NAME?</x:v>
      </x:c>
      <x:c r="AJ57" s="97" t="e">
        <x:f>E57*INDEX(Régions!$AG$2:$AG$6,MATCH($B57,Régions!$A$2:$A$6,0))</x:f>
        <x:v>#NAME?</x:v>
      </x:c>
      <x:c r="AK57" s="97" t="e">
        <x:f>F57*INDEX(Régions!$AH$2:$AH$6,MATCH($B57,Régions!$A$2:$A$6,0))</x:f>
        <x:v>#NAME?</x:v>
      </x:c>
      <x:c r="AL57" s="97" t="e">
        <x:f>G57*INDEX(Régions!$AI$2:$AI$6,MATCH($B57,Régions!$A$2:$A$6,0))</x:f>
        <x:v>#NAME?</x:v>
      </x:c>
      <x:c r="AM57" s="97" t="e">
        <x:f>H57*INDEX(Régions!$AJ$2:$AJ$6,MATCH($B57,Régions!$A$2:$A$6,0))</x:f>
        <x:v>#NAME?</x:v>
      </x:c>
      <x:c r="AN57" s="97" t="e">
        <x:f>I57*INDEX(Régions!$AK$2:$AK$6,MATCH($B57,Régions!$A$2:$A$6,0))</x:f>
        <x:v>#NAME?</x:v>
      </x:c>
      <x:c r="AO57" s="99" t="str">
        <x:f>INDEX({"CAQ","PLQ","QS","PQ","PCQ","Autre"},MATCH(MAX(Q57:V57),Q57:V57,0))</x:f>
        <x:v>CAQ</x:v>
      </x:c>
      <x:c r="AP57" s="99" t="str">
        <x:f>INDEX({"CAQ","PLQ","QS","PQ","PCQ","Autre"},MATCH(MAX(W57:AB57),W57:AB57,0))</x:f>
        <x:v>CAQ</x:v>
      </x:c>
      <x:c r="AQ57" s="99" t="str">
        <x:f>INDEX({"CAQ","PLQ","QS","PQ","PCQ","Autre"},MATCH(MAX(AC57:AH57),AC57:AH57,0))</x:f>
        <x:v>CAQ</x:v>
      </x:c>
      <x:c r="AR57" s="99" t="str">
        <x:f>INDEX({"CAQ","PLQ","QS","PQ","PCQ","Autre"},MATCH(MAX(AI57:AN57),AI57:AN57,0))</x:f>
        <x:v>CAQ</x:v>
      </x:c>
      <x:c r="AS57" s="100" t="n">
        <x:f>(MAX(K57:P57)-LARGE(K57:P57,2))*100</x:f>
        <x:v>38.857870223045104</x:v>
      </x:c>
      <x:c r="AT57" s="101" t="str">
        <x:f>IF(AS57&lt;5,"Oui","Non")</x:f>
        <x:v>Non</x:v>
      </x:c>
      <x:c r="AU57" s="102" t="n">
        <x:v>6.437</x:v>
      </x:c>
      <x:c r="AV57" s="102" t="n">
        <x:v>-3.23</x:v>
      </x:c>
      <x:c r="AW57" s="102" t="n">
        <x:v>0.826</x:v>
      </x:c>
      <x:c r="AX57" s="102" t="n">
        <x:v>-1.308</x:v>
      </x:c>
      <x:c r="AY57" s="96" t="n">
        <x:v>14505</x:v>
      </x:c>
      <x:c r="AZ57" s="96" t="n">
        <x:v>8063</x:v>
      </x:c>
      <x:c r="BA57" s="96" t="n">
        <x:v>4361</x:v>
      </x:c>
      <x:c r="BB57" s="96" t="n">
        <x:v>5290</x:v>
      </x:c>
      <x:c r="BC57" s="96" t="n">
        <x:v>1401</x:v>
      </x:c>
      <x:c r="BD57" s="97" t="e">
        <x:f>AY57*INDEX(Régions!$AQ$2:$AQ$6,MATCH($B57,Régions!$A$2:$A$6,0))</x:f>
        <x:v>#NAME?</x:v>
      </x:c>
      <x:c r="BE57" s="97" t="e">
        <x:f>AZ57*INDEX(Régions!$AR$2:$AR$6,MATCH($B57,Régions!$A$2:$A$6,0))</x:f>
        <x:v>#NAME?</x:v>
      </x:c>
      <x:c r="BF57" s="97" t="e">
        <x:f>BA57*INDEX(Régions!$AS$2:$AS$6,MATCH($B57,Régions!$A$2:$A$6,0))</x:f>
        <x:v>#NAME?</x:v>
      </x:c>
      <x:c r="BG57" s="97" t="e">
        <x:f>BB57*INDEX(Régions!$AT$2:$AT$6,MATCH($B57,Régions!$A$2:$A$6,0))</x:f>
        <x:v>#NAME?</x:v>
      </x:c>
      <x:c r="BH57" s="97" t="e">
        <x:f>U57</x:f>
        <x:v>#NAME?</x:v>
      </x:c>
      <x:c r="BI57" s="97" t="e">
        <x:f>BC57*INDEX(Régions!$AU$2:$AU$6,MATCH($B57,Régions!$A$2:$A$6,0))</x:f>
        <x:v>#NAME?</x:v>
      </x:c>
      <x:c r="BJ57" s="97" t="str">
        <x:f>INDEX({"CAQ","PLQ","QS","PQ","PCQ","Autre"},MATCH(MAX(BD57:BI57),BD57:BI57,0))</x:f>
        <x:v>CAQ</x:v>
      </x:c>
    </x:row>
    <x:row r="58" s="60" customFormat="1" ht="15" customHeight="1">
      <x:c r="A58" s="94" t="inlineStr">
        <x:is>
          <x:t xml:space="preserve">LaFontaine</x:t>
        </x:is>
      </x:c>
      <x:c r="B58" s="94" t="inlineStr">
        <x:is>
          <x:t xml:space="preserve">Île de Montréal</x:t>
        </x:is>
      </x:c>
      <x:c r="C58" s="95" t="inlineStr">
        <x:is>
          <x:t xml:space="preserve">PLQ</x:t>
        </x:is>
      </x:c>
      <x:c r="D58" s="96" t="n">
        <x:v>5189</x:v>
      </x:c>
      <x:c r="E58" s="96" t="n">
        <x:v>13398</x:v>
      </x:c>
      <x:c r="F58" s="96" t="n">
        <x:v>2301</x:v>
      </x:c>
      <x:c r="G58" s="96" t="n">
        <x:v>1322</x:v>
      </x:c>
      <x:c r="H58" s="96" t="n">
        <x:v>3406</x:v>
      </x:c>
      <x:c r="I58" s="96" t="n">
        <x:v>313</x:v>
      </x:c>
      <x:c r="J58" s="97" t="n">
        <x:f>SUM(D58:I58)</x:f>
        <x:v>25929</x:v>
      </x:c>
      <x:c r="K58" s="98" t="n">
        <x:f>IFERROR(D58/J58,0)</x:f>
        <x:v>0.20012341393806163</x:v>
      </x:c>
      <x:c r="L58" s="98" t="n">
        <x:f>IFERROR(E58/J58,0)</x:f>
        <x:v>0.5167187319217864</x:v>
      </x:c>
      <x:c r="M58" s="98" t="n">
        <x:f>IFERROR(F58/J58,0)</x:f>
        <x:v>0.0887423348374407</x:v>
      </x:c>
      <x:c r="N58" s="98" t="n">
        <x:f>IFERROR(G58/J58,0)</x:f>
        <x:v>0.05098538316171083</x:v>
      </x:c>
      <x:c r="O58" s="98" t="n">
        <x:f>IFERROR(H58/J58,0)</x:f>
        <x:v>0.13135871032434726</x:v>
      </x:c>
      <x:c r="P58" s="98" t="n">
        <x:f>IFERROR(I58/J58,0)</x:f>
        <x:v>0.012071425816653169</x:v>
      </x:c>
      <x:c r="Q58" s="97" t="e">
        <x:f>D58*INDEX(Régions!$T$2:$T$6,MATCH($B58,Régions!$A$2:$A$6,0))</x:f>
        <x:v>#NAME?</x:v>
      </x:c>
      <x:c r="R58" s="97" t="e">
        <x:f>E58*INDEX(Régions!$U$2:$U$6,MATCH($B58,Régions!$A$2:$A$6,0))</x:f>
        <x:v>#NAME?</x:v>
      </x:c>
      <x:c r="S58" s="97" t="e">
        <x:f>F58*INDEX(Régions!$V$2:$V$6,MATCH($B58,Régions!$A$2:$A$6,0))</x:f>
        <x:v>#NAME?</x:v>
      </x:c>
      <x:c r="T58" s="97" t="e">
        <x:f>G58*INDEX(Régions!$W$2:$W$6,MATCH($B58,Régions!$A$2:$A$6,0))</x:f>
        <x:v>#NAME?</x:v>
      </x:c>
      <x:c r="U58" s="97" t="e">
        <x:f>H58*INDEX(Régions!$X$2:$X$6,MATCH($B58,Régions!$A$2:$A$6,0))</x:f>
        <x:v>#NAME?</x:v>
      </x:c>
      <x:c r="V58" s="97" t="e">
        <x:f>I58*INDEX(Régions!$Y$2:$Y$6,MATCH($B58,Régions!$A$2:$A$6,0))</x:f>
        <x:v>#NAME?</x:v>
      </x:c>
      <x:c r="W58" s="97" t="e">
        <x:f>Q58+(AU58/100)*J58*Régions!$O$2</x:f>
        <x:v>#NAME?</x:v>
      </x:c>
      <x:c r="X58" s="97" t="e">
        <x:f>R58+(AV58/100)*J58*Régions!$O$2</x:f>
        <x:v>#NAME?</x:v>
      </x:c>
      <x:c r="Y58" s="97" t="e">
        <x:f>S58+(AW58/100)*J58*Régions!$O$2</x:f>
        <x:v>#NAME?</x:v>
      </x:c>
      <x:c r="Z58" s="97" t="e">
        <x:f>T58+(AX58/100)*J58*Régions!$O$2</x:f>
        <x:v>#NAME?</x:v>
      </x:c>
      <x:c r="AA58" s="97" t="e">
        <x:f>U58</x:f>
        <x:v>#NAME?</x:v>
      </x:c>
      <x:c r="AB58" s="97" t="e">
        <x:f>V58</x:f>
        <x:v>#NAME?</x:v>
      </x:c>
      <x:c r="AC58" s="97" t="e">
        <x:f>D58*INDEX(Régions!$Z$2:$Z$6,MATCH($B58,Régions!$A$2:$A$6,0))</x:f>
        <x:v>#NAME?</x:v>
      </x:c>
      <x:c r="AD58" s="97" t="e">
        <x:f>E58*INDEX(Régions!$AA$2:$AA$6,MATCH($B58,Régions!$A$2:$A$6,0))</x:f>
        <x:v>#NAME?</x:v>
      </x:c>
      <x:c r="AE58" s="97" t="e">
        <x:f>F58*INDEX(Régions!$AB$2:$AB$6,MATCH($B58,Régions!$A$2:$A$6,0))</x:f>
        <x:v>#NAME?</x:v>
      </x:c>
      <x:c r="AF58" s="97" t="e">
        <x:f>G58*INDEX(Régions!$AC$2:$AC$6,MATCH($B58,Régions!$A$2:$A$6,0))</x:f>
        <x:v>#NAME?</x:v>
      </x:c>
      <x:c r="AG58" s="97" t="e">
        <x:f>H58*INDEX(Régions!$AD$2:$AD$6,MATCH($B58,Régions!$A$2:$A$6,0))</x:f>
        <x:v>#NAME?</x:v>
      </x:c>
      <x:c r="AH58" s="97" t="e">
        <x:f>I58*INDEX(Régions!$AE$2:$AE$6,MATCH($B58,Régions!$A$2:$A$6,0))</x:f>
        <x:v>#NAME?</x:v>
      </x:c>
      <x:c r="AI58" s="97" t="e">
        <x:f>D58*INDEX(Régions!$AF$2:$AF$6,MATCH($B58,Régions!$A$2:$A$6,0))</x:f>
        <x:v>#NAME?</x:v>
      </x:c>
      <x:c r="AJ58" s="97" t="e">
        <x:f>E58*INDEX(Régions!$AG$2:$AG$6,MATCH($B58,Régions!$A$2:$A$6,0))</x:f>
        <x:v>#NAME?</x:v>
      </x:c>
      <x:c r="AK58" s="97" t="e">
        <x:f>F58*INDEX(Régions!$AH$2:$AH$6,MATCH($B58,Régions!$A$2:$A$6,0))</x:f>
        <x:v>#NAME?</x:v>
      </x:c>
      <x:c r="AL58" s="97" t="e">
        <x:f>G58*INDEX(Régions!$AI$2:$AI$6,MATCH($B58,Régions!$A$2:$A$6,0))</x:f>
        <x:v>#NAME?</x:v>
      </x:c>
      <x:c r="AM58" s="97" t="e">
        <x:f>H58*INDEX(Régions!$AJ$2:$AJ$6,MATCH($B58,Régions!$A$2:$A$6,0))</x:f>
        <x:v>#NAME?</x:v>
      </x:c>
      <x:c r="AN58" s="97" t="e">
        <x:f>I58*INDEX(Régions!$AK$2:$AK$6,MATCH($B58,Régions!$A$2:$A$6,0))</x:f>
        <x:v>#NAME?</x:v>
      </x:c>
      <x:c r="AO58" s="99" t="str">
        <x:f>INDEX({"CAQ","PLQ","QS","PQ","PCQ","Autre"},MATCH(MAX(Q58:V58),Q58:V58,0))</x:f>
        <x:v>CAQ</x:v>
      </x:c>
      <x:c r="AP58" s="99" t="str">
        <x:f>INDEX({"CAQ","PLQ","QS","PQ","PCQ","Autre"},MATCH(MAX(W58:AB58),W58:AB58,0))</x:f>
        <x:v>CAQ</x:v>
      </x:c>
      <x:c r="AQ58" s="99" t="str">
        <x:f>INDEX({"CAQ","PLQ","QS","PQ","PCQ","Autre"},MATCH(MAX(AC58:AH58),AC58:AH58,0))</x:f>
        <x:v>CAQ</x:v>
      </x:c>
      <x:c r="AR58" s="99" t="str">
        <x:f>INDEX({"CAQ","PLQ","QS","PQ","PCQ","Autre"},MATCH(MAX(AI58:AN58),AI58:AN58,0))</x:f>
        <x:v>CAQ</x:v>
      </x:c>
      <x:c r="AS58" s="100" t="n">
        <x:f>(MAX(K58:P58)-LARGE(K58:P58,2))*100</x:f>
        <x:v>31.659531798372477</x:v>
      </x:c>
      <x:c r="AT58" s="101" t="str">
        <x:f>IF(AS58&lt;5,"Oui","Non")</x:f>
        <x:v>Non</x:v>
      </x:c>
      <x:c r="AU58" s="102" t="n">
        <x:v>-4.008</x:v>
      </x:c>
      <x:c r="AV58" s="102" t="n">
        <x:v>1.703</x:v>
      </x:c>
      <x:c r="AW58" s="102" t="n">
        <x:v>-0.72</x:v>
      </x:c>
      <x:c r="AX58" s="102" t="n">
        <x:v>-2.094</x:v>
      </x:c>
      <x:c r="AY58" s="96" t="n">
        <x:v>5400</x:v>
      </x:c>
      <x:c r="AZ58" s="96" t="n">
        <x:v>14491</x:v>
      </x:c>
      <x:c r="BA58" s="96" t="n">
        <x:v>2181</x:v>
      </x:c>
      <x:c r="BB58" s="96" t="n">
        <x:v>2057</x:v>
      </x:c>
      <x:c r="BC58" s="96" t="n">
        <x:v>514</x:v>
      </x:c>
      <x:c r="BD58" s="97" t="e">
        <x:f>AY58*INDEX(Régions!$AQ$2:$AQ$6,MATCH($B58,Régions!$A$2:$A$6,0))</x:f>
        <x:v>#NAME?</x:v>
      </x:c>
      <x:c r="BE58" s="97" t="e">
        <x:f>AZ58*INDEX(Régions!$AR$2:$AR$6,MATCH($B58,Régions!$A$2:$A$6,0))</x:f>
        <x:v>#NAME?</x:v>
      </x:c>
      <x:c r="BF58" s="97" t="e">
        <x:f>BA58*INDEX(Régions!$AS$2:$AS$6,MATCH($B58,Régions!$A$2:$A$6,0))</x:f>
        <x:v>#NAME?</x:v>
      </x:c>
      <x:c r="BG58" s="97" t="e">
        <x:f>BB58*INDEX(Régions!$AT$2:$AT$6,MATCH($B58,Régions!$A$2:$A$6,0))</x:f>
        <x:v>#NAME?</x:v>
      </x:c>
      <x:c r="BH58" s="97" t="e">
        <x:f>U58</x:f>
        <x:v>#NAME?</x:v>
      </x:c>
      <x:c r="BI58" s="97" t="e">
        <x:f>BC58*INDEX(Régions!$AU$2:$AU$6,MATCH($B58,Régions!$A$2:$A$6,0))</x:f>
        <x:v>#NAME?</x:v>
      </x:c>
      <x:c r="BJ58" s="97" t="str">
        <x:f>INDEX({"CAQ","PLQ","QS","PQ","PCQ","Autre"},MATCH(MAX(BD58:BI58),BD58:BI58,0))</x:f>
        <x:v>CAQ</x:v>
      </x:c>
    </x:row>
    <x:row r="59" s="60" customFormat="1" ht="15" customHeight="1">
      <x:c r="A59" s="94" t="inlineStr">
        <x:is>
          <x:t xml:space="preserve">Labelle</x:t>
        </x:is>
      </x:c>
      <x:c r="B59" s="94" t="inlineStr">
        <x:is>
          <x:t xml:space="preserve">Reste du Québec</x:t>
        </x:is>
      </x:c>
      <x:c r="C59" s="95" t="inlineStr">
        <x:is>
          <x:t xml:space="preserve">CAQ</x:t>
        </x:is>
      </x:c>
      <x:c r="D59" s="96" t="n">
        <x:v>17663</x:v>
      </x:c>
      <x:c r="E59" s="96" t="n">
        <x:v>1679</x:v>
      </x:c>
      <x:c r="F59" s="96" t="n">
        <x:v>4079</x:v>
      </x:c>
      <x:c r="G59" s="96" t="n">
        <x:v>6366</x:v>
      </x:c>
      <x:c r="H59" s="96" t="n">
        <x:v>3173</x:v>
      </x:c>
      <x:c r="I59" s="96" t="n">
        <x:v>313</x:v>
      </x:c>
      <x:c r="J59" s="97" t="n">
        <x:f>SUM(D59:I59)</x:f>
        <x:v>33273</x:v>
      </x:c>
      <x:c r="K59" s="98" t="n">
        <x:f>IFERROR(D59/J59,0)</x:f>
        <x:v>0.530850840020437</x:v>
      </x:c>
      <x:c r="L59" s="98" t="n">
        <x:f>IFERROR(E59/J59,0)</x:f>
        <x:v>0.050461335016379644</x:v>
      </x:c>
      <x:c r="M59" s="98" t="n">
        <x:f>IFERROR(F59/J59,0)</x:f>
        <x:v>0.12259189132329516</x:v>
      </x:c>
      <x:c r="N59" s="98" t="n">
        <x:f>IFERROR(G59/J59,0)</x:f>
        <x:v>0.19132630060409342</x:v>
      </x:c>
      <x:c r="O59" s="98" t="n">
        <x:f>IFERROR(H59/J59,0)</x:f>
        <x:v>0.09536260631743455</x:v>
      </x:c>
      <x:c r="P59" s="98" t="n">
        <x:f>IFERROR(I59/J59,0)</x:f>
        <x:v>0.009407026718360231</x:v>
      </x:c>
      <x:c r="Q59" s="97" t="e">
        <x:f>D59*INDEX(Régions!$T$2:$T$6,MATCH($B59,Régions!$A$2:$A$6,0))</x:f>
        <x:v>#NAME?</x:v>
      </x:c>
      <x:c r="R59" s="97" t="e">
        <x:f>E59*INDEX(Régions!$U$2:$U$6,MATCH($B59,Régions!$A$2:$A$6,0))</x:f>
        <x:v>#NAME?</x:v>
      </x:c>
      <x:c r="S59" s="97" t="e">
        <x:f>F59*INDEX(Régions!$V$2:$V$6,MATCH($B59,Régions!$A$2:$A$6,0))</x:f>
        <x:v>#NAME?</x:v>
      </x:c>
      <x:c r="T59" s="97" t="e">
        <x:f>G59*INDEX(Régions!$W$2:$W$6,MATCH($B59,Régions!$A$2:$A$6,0))</x:f>
        <x:v>#NAME?</x:v>
      </x:c>
      <x:c r="U59" s="97" t="e">
        <x:f>H59*INDEX(Régions!$X$2:$X$6,MATCH($B59,Régions!$A$2:$A$6,0))</x:f>
        <x:v>#NAME?</x:v>
      </x:c>
      <x:c r="V59" s="97" t="e">
        <x:f>I59*INDEX(Régions!$Y$2:$Y$6,MATCH($B59,Régions!$A$2:$A$6,0))</x:f>
        <x:v>#NAME?</x:v>
      </x:c>
      <x:c r="W59" s="97" t="e">
        <x:f>Q59+(AU59/100)*J59*Régions!$O$2</x:f>
        <x:v>#NAME?</x:v>
      </x:c>
      <x:c r="X59" s="97" t="e">
        <x:f>R59+(AV59/100)*J59*Régions!$O$2</x:f>
        <x:v>#NAME?</x:v>
      </x:c>
      <x:c r="Y59" s="97" t="e">
        <x:f>S59+(AW59/100)*J59*Régions!$O$2</x:f>
        <x:v>#NAME?</x:v>
      </x:c>
      <x:c r="Z59" s="97" t="e">
        <x:f>T59+(AX59/100)*J59*Régions!$O$2</x:f>
        <x:v>#NAME?</x:v>
      </x:c>
      <x:c r="AA59" s="97" t="e">
        <x:f>U59</x:f>
        <x:v>#NAME?</x:v>
      </x:c>
      <x:c r="AB59" s="97" t="e">
        <x:f>V59</x:f>
        <x:v>#NAME?</x:v>
      </x:c>
      <x:c r="AC59" s="97" t="e">
        <x:f>D59*INDEX(Régions!$Z$2:$Z$6,MATCH($B59,Régions!$A$2:$A$6,0))</x:f>
        <x:v>#NAME?</x:v>
      </x:c>
      <x:c r="AD59" s="97" t="e">
        <x:f>E59*INDEX(Régions!$AA$2:$AA$6,MATCH($B59,Régions!$A$2:$A$6,0))</x:f>
        <x:v>#NAME?</x:v>
      </x:c>
      <x:c r="AE59" s="97" t="e">
        <x:f>F59*INDEX(Régions!$AB$2:$AB$6,MATCH($B59,Régions!$A$2:$A$6,0))</x:f>
        <x:v>#NAME?</x:v>
      </x:c>
      <x:c r="AF59" s="97" t="e">
        <x:f>G59*INDEX(Régions!$AC$2:$AC$6,MATCH($B59,Régions!$A$2:$A$6,0))</x:f>
        <x:v>#NAME?</x:v>
      </x:c>
      <x:c r="AG59" s="97" t="e">
        <x:f>H59*INDEX(Régions!$AD$2:$AD$6,MATCH($B59,Régions!$A$2:$A$6,0))</x:f>
        <x:v>#NAME?</x:v>
      </x:c>
      <x:c r="AH59" s="97" t="e">
        <x:f>I59*INDEX(Régions!$AE$2:$AE$6,MATCH($B59,Régions!$A$2:$A$6,0))</x:f>
        <x:v>#NAME?</x:v>
      </x:c>
      <x:c r="AI59" s="97" t="e">
        <x:f>D59*INDEX(Régions!$AF$2:$AF$6,MATCH($B59,Régions!$A$2:$A$6,0))</x:f>
        <x:v>#NAME?</x:v>
      </x:c>
      <x:c r="AJ59" s="97" t="e">
        <x:f>E59*INDEX(Régions!$AG$2:$AG$6,MATCH($B59,Régions!$A$2:$A$6,0))</x:f>
        <x:v>#NAME?</x:v>
      </x:c>
      <x:c r="AK59" s="97" t="e">
        <x:f>F59*INDEX(Régions!$AH$2:$AH$6,MATCH($B59,Régions!$A$2:$A$6,0))</x:f>
        <x:v>#NAME?</x:v>
      </x:c>
      <x:c r="AL59" s="97" t="e">
        <x:f>G59*INDEX(Régions!$AI$2:$AI$6,MATCH($B59,Régions!$A$2:$A$6,0))</x:f>
        <x:v>#NAME?</x:v>
      </x:c>
      <x:c r="AM59" s="97" t="e">
        <x:f>H59*INDEX(Régions!$AJ$2:$AJ$6,MATCH($B59,Régions!$A$2:$A$6,0))</x:f>
        <x:v>#NAME?</x:v>
      </x:c>
      <x:c r="AN59" s="97" t="e">
        <x:f>I59*INDEX(Régions!$AK$2:$AK$6,MATCH($B59,Régions!$A$2:$A$6,0))</x:f>
        <x:v>#NAME?</x:v>
      </x:c>
      <x:c r="AO59" s="99" t="str">
        <x:f>INDEX({"CAQ","PLQ","QS","PQ","PCQ","Autre"},MATCH(MAX(Q59:V59),Q59:V59,0))</x:f>
        <x:v>CAQ</x:v>
      </x:c>
      <x:c r="AP59" s="99" t="str">
        <x:f>INDEX({"CAQ","PLQ","QS","PQ","PCQ","Autre"},MATCH(MAX(W59:AB59),W59:AB59,0))</x:f>
        <x:v>CAQ</x:v>
      </x:c>
      <x:c r="AQ59" s="99" t="str">
        <x:f>INDEX({"CAQ","PLQ","QS","PQ","PCQ","Autre"},MATCH(MAX(AC59:AH59),AC59:AH59,0))</x:f>
        <x:v>CAQ</x:v>
      </x:c>
      <x:c r="AR59" s="99" t="str">
        <x:f>INDEX({"CAQ","PLQ","QS","PQ","PCQ","Autre"},MATCH(MAX(AI59:AN59),AI59:AN59,0))</x:f>
        <x:v>CAQ</x:v>
      </x:c>
      <x:c r="AS59" s="100" t="n">
        <x:f>(MAX(K59:P59)-LARGE(K59:P59,2))*100</x:f>
        <x:v>33.95245394163437</x:v>
      </x:c>
      <x:c r="AT59" s="101" t="str">
        <x:f>IF(AS59&lt;5,"Oui","Non")</x:f>
        <x:v>Non</x:v>
      </x:c>
      <x:c r="AU59" s="102" t="n">
        <x:v>10.636</x:v>
      </x:c>
      <x:c r="AV59" s="102" t="n">
        <x:v>6.881</x:v>
      </x:c>
      <x:c r="AW59" s="102" t="n">
        <x:v>-2.096</x:v>
      </x:c>
      <x:c r="AX59" s="102" t="n">
        <x:v>-11.523</x:v>
      </x:c>
      <x:c r="AY59" s="96" t="n">
        <x:v>11785</x:v>
      </x:c>
      <x:c r="AZ59" s="96" t="n">
        <x:v>3524</x:v>
      </x:c>
      <x:c r="BA59" s="96" t="n">
        <x:v>4954</x:v>
      </x:c>
      <x:c r="BB59" s="96" t="n">
        <x:v>11185</x:v>
      </x:c>
      <x:c r="BC59" s="96" t="n">
        <x:v>841</x:v>
      </x:c>
      <x:c r="BD59" s="97" t="e">
        <x:f>AY59*INDEX(Régions!$AQ$2:$AQ$6,MATCH($B59,Régions!$A$2:$A$6,0))</x:f>
        <x:v>#NAME?</x:v>
      </x:c>
      <x:c r="BE59" s="97" t="e">
        <x:f>AZ59*INDEX(Régions!$AR$2:$AR$6,MATCH($B59,Régions!$A$2:$A$6,0))</x:f>
        <x:v>#NAME?</x:v>
      </x:c>
      <x:c r="BF59" s="97" t="e">
        <x:f>BA59*INDEX(Régions!$AS$2:$AS$6,MATCH($B59,Régions!$A$2:$A$6,0))</x:f>
        <x:v>#NAME?</x:v>
      </x:c>
      <x:c r="BG59" s="97" t="e">
        <x:f>BB59*INDEX(Régions!$AT$2:$AT$6,MATCH($B59,Régions!$A$2:$A$6,0))</x:f>
        <x:v>#NAME?</x:v>
      </x:c>
      <x:c r="BH59" s="97" t="e">
        <x:f>U59</x:f>
        <x:v>#NAME?</x:v>
      </x:c>
      <x:c r="BI59" s="97" t="e">
        <x:f>BC59*INDEX(Régions!$AU$2:$AU$6,MATCH($B59,Régions!$A$2:$A$6,0))</x:f>
        <x:v>#NAME?</x:v>
      </x:c>
      <x:c r="BJ59" s="97" t="str">
        <x:f>INDEX({"CAQ","PLQ","QS","PQ","PCQ","Autre"},MATCH(MAX(BD59:BI59),BD59:BI59,0))</x:f>
        <x:v>CAQ</x:v>
      </x:c>
    </x:row>
    <x:row r="60" s="60" customFormat="1" ht="15" customHeight="1">
      <x:c r="A60" s="94" t="inlineStr">
        <x:is>
          <x:t xml:space="preserve">Lac-Saint-Jean</x:t>
        </x:is>
      </x:c>
      <x:c r="B60" s="94" t="inlineStr">
        <x:is>
          <x:t xml:space="preserve">Reste du Québec</x:t>
        </x:is>
      </x:c>
      <x:c r="C60" s="95" t="inlineStr">
        <x:is>
          <x:t xml:space="preserve">CAQ</x:t>
        </x:is>
      </x:c>
      <x:c r="D60" s="96" t="n">
        <x:v>14798</x:v>
      </x:c>
      <x:c r="E60" s="96" t="n">
        <x:v>867</x:v>
      </x:c>
      <x:c r="F60" s="96" t="n">
        <x:v>2178</x:v>
      </x:c>
      <x:c r="G60" s="96" t="n">
        <x:v>7367</x:v>
      </x:c>
      <x:c r="H60" s="96" t="n">
        <x:v>3270</x:v>
      </x:c>
      <x:c r="I60" s="96" t="n">
        <x:v>272</x:v>
      </x:c>
      <x:c r="J60" s="97" t="n">
        <x:f>SUM(D60:I60)</x:f>
        <x:v>28752</x:v>
      </x:c>
      <x:c r="K60" s="98" t="n">
        <x:f>IFERROR(D60/J60,0)</x:f>
        <x:v>0.5146772398441848</x:v>
      </x:c>
      <x:c r="L60" s="98" t="n">
        <x:f>IFERROR(E60/J60,0)</x:f>
        <x:v>0.03015442404006678</x:v>
      </x:c>
      <x:c r="M60" s="98" t="n">
        <x:f>IFERROR(F60/J60,0)</x:f>
        <x:v>0.07575125208681135</x:v>
      </x:c>
      <x:c r="N60" s="98" t="n">
        <x:f>IFERROR(G60/J60,0)</x:f>
        <x:v>0.256225653867557</x:v>
      </x:c>
      <x:c r="O60" s="98" t="n">
        <x:f>IFERROR(H60/J60,0)</x:f>
        <x:v>0.11373121869782972</x:v>
      </x:c>
      <x:c r="P60" s="98" t="n">
        <x:f>IFERROR(I60/J60,0)</x:f>
        <x:v>0.009460211463550361</x:v>
      </x:c>
      <x:c r="Q60" s="97" t="e">
        <x:f>D60*INDEX(Régions!$T$2:$T$6,MATCH($B60,Régions!$A$2:$A$6,0))</x:f>
        <x:v>#NAME?</x:v>
      </x:c>
      <x:c r="R60" s="97" t="e">
        <x:f>E60*INDEX(Régions!$U$2:$U$6,MATCH($B60,Régions!$A$2:$A$6,0))</x:f>
        <x:v>#NAME?</x:v>
      </x:c>
      <x:c r="S60" s="97" t="e">
        <x:f>F60*INDEX(Régions!$V$2:$V$6,MATCH($B60,Régions!$A$2:$A$6,0))</x:f>
        <x:v>#NAME?</x:v>
      </x:c>
      <x:c r="T60" s="97" t="e">
        <x:f>G60*INDEX(Régions!$W$2:$W$6,MATCH($B60,Régions!$A$2:$A$6,0))</x:f>
        <x:v>#NAME?</x:v>
      </x:c>
      <x:c r="U60" s="97" t="e">
        <x:f>H60*INDEX(Régions!$X$2:$X$6,MATCH($B60,Régions!$A$2:$A$6,0))</x:f>
        <x:v>#NAME?</x:v>
      </x:c>
      <x:c r="V60" s="97" t="e">
        <x:f>I60*INDEX(Régions!$Y$2:$Y$6,MATCH($B60,Régions!$A$2:$A$6,0))</x:f>
        <x:v>#NAME?</x:v>
      </x:c>
      <x:c r="W60" s="97" t="e">
        <x:f>Q60+(AU60/100)*J60*Régions!$O$2</x:f>
        <x:v>#NAME?</x:v>
      </x:c>
      <x:c r="X60" s="97" t="e">
        <x:f>R60+(AV60/100)*J60*Régions!$O$2</x:f>
        <x:v>#NAME?</x:v>
      </x:c>
      <x:c r="Y60" s="97" t="e">
        <x:f>S60+(AW60/100)*J60*Régions!$O$2</x:f>
        <x:v>#NAME?</x:v>
      </x:c>
      <x:c r="Z60" s="97" t="e">
        <x:f>T60+(AX60/100)*J60*Régions!$O$2</x:f>
        <x:v>#NAME?</x:v>
      </x:c>
      <x:c r="AA60" s="97" t="e">
        <x:f>U60</x:f>
        <x:v>#NAME?</x:v>
      </x:c>
      <x:c r="AB60" s="97" t="e">
        <x:f>V60</x:f>
        <x:v>#NAME?</x:v>
      </x:c>
      <x:c r="AC60" s="97" t="e">
        <x:f>D60*INDEX(Régions!$Z$2:$Z$6,MATCH($B60,Régions!$A$2:$A$6,0))</x:f>
        <x:v>#NAME?</x:v>
      </x:c>
      <x:c r="AD60" s="97" t="e">
        <x:f>E60*INDEX(Régions!$AA$2:$AA$6,MATCH($B60,Régions!$A$2:$A$6,0))</x:f>
        <x:v>#NAME?</x:v>
      </x:c>
      <x:c r="AE60" s="97" t="e">
        <x:f>F60*INDEX(Régions!$AB$2:$AB$6,MATCH($B60,Régions!$A$2:$A$6,0))</x:f>
        <x:v>#NAME?</x:v>
      </x:c>
      <x:c r="AF60" s="97" t="e">
        <x:f>G60*INDEX(Régions!$AC$2:$AC$6,MATCH($B60,Régions!$A$2:$A$6,0))</x:f>
        <x:v>#NAME?</x:v>
      </x:c>
      <x:c r="AG60" s="97" t="e">
        <x:f>H60*INDEX(Régions!$AD$2:$AD$6,MATCH($B60,Régions!$A$2:$A$6,0))</x:f>
        <x:v>#NAME?</x:v>
      </x:c>
      <x:c r="AH60" s="97" t="e">
        <x:f>I60*INDEX(Régions!$AE$2:$AE$6,MATCH($B60,Régions!$A$2:$A$6,0))</x:f>
        <x:v>#NAME?</x:v>
      </x:c>
      <x:c r="AI60" s="97" t="e">
        <x:f>D60*INDEX(Régions!$AF$2:$AF$6,MATCH($B60,Régions!$A$2:$A$6,0))</x:f>
        <x:v>#NAME?</x:v>
      </x:c>
      <x:c r="AJ60" s="97" t="e">
        <x:f>E60*INDEX(Régions!$AG$2:$AG$6,MATCH($B60,Régions!$A$2:$A$6,0))</x:f>
        <x:v>#NAME?</x:v>
      </x:c>
      <x:c r="AK60" s="97" t="e">
        <x:f>F60*INDEX(Régions!$AH$2:$AH$6,MATCH($B60,Régions!$A$2:$A$6,0))</x:f>
        <x:v>#NAME?</x:v>
      </x:c>
      <x:c r="AL60" s="97" t="e">
        <x:f>G60*INDEX(Régions!$AI$2:$AI$6,MATCH($B60,Régions!$A$2:$A$6,0))</x:f>
        <x:v>#NAME?</x:v>
      </x:c>
      <x:c r="AM60" s="97" t="e">
        <x:f>H60*INDEX(Régions!$AJ$2:$AJ$6,MATCH($B60,Régions!$A$2:$A$6,0))</x:f>
        <x:v>#NAME?</x:v>
      </x:c>
      <x:c r="AN60" s="97" t="e">
        <x:f>I60*INDEX(Régions!$AK$2:$AK$6,MATCH($B60,Régions!$A$2:$A$6,0))</x:f>
        <x:v>#NAME?</x:v>
      </x:c>
      <x:c r="AO60" s="99" t="str">
        <x:f>INDEX({"CAQ","PLQ","QS","PQ","PCQ","Autre"},MATCH(MAX(Q60:V60),Q60:V60,0))</x:f>
        <x:v>CAQ</x:v>
      </x:c>
      <x:c r="AP60" s="99" t="str">
        <x:f>INDEX({"CAQ","PLQ","QS","PQ","PCQ","Autre"},MATCH(MAX(W60:AB60),W60:AB60,0))</x:f>
        <x:v>CAQ</x:v>
      </x:c>
      <x:c r="AQ60" s="99" t="str">
        <x:f>INDEX({"CAQ","PLQ","QS","PQ","PCQ","Autre"},MATCH(MAX(AC60:AH60),AC60:AH60,0))</x:f>
        <x:v>CAQ</x:v>
      </x:c>
      <x:c r="AR60" s="99" t="str">
        <x:f>INDEX({"CAQ","PLQ","QS","PQ","PCQ","Autre"},MATCH(MAX(AI60:AN60),AI60:AN60,0))</x:f>
        <x:v>CAQ</x:v>
      </x:c>
      <x:c r="AS60" s="100" t="n">
        <x:f>(MAX(K60:P60)-LARGE(K60:P60,2))*100</x:f>
        <x:v>25.845158597662778</x:v>
      </x:c>
      <x:c r="AT60" s="101" t="str">
        <x:f>IF(AS60&lt;5,"Oui","Non")</x:f>
        <x:v>Non</x:v>
      </x:c>
      <x:c r="AU60" s="102" t="n">
        <x:v>6.054</x:v>
      </x:c>
      <x:c r="AV60" s="102" t="n">
        <x:v>3.24</x:v>
      </x:c>
      <x:c r="AW60" s="102" t="n">
        <x:v>-6.292</x:v>
      </x:c>
      <x:c r="AX60" s="102" t="n">
        <x:v>-1.924</x:v>
      </x:c>
      <x:c r="AY60" s="96" t="n">
        <x:v>11436</x:v>
      </x:c>
      <x:c r="AZ60" s="96" t="n">
        <x:v>3630</x:v>
      </x:c>
      <x:c r="BA60" s="96" t="n">
        <x:v>4305</x:v>
      </x:c>
      <x:c r="BB60" s="96" t="n">
        <x:v>9137</x:v>
      </x:c>
      <x:c r="BC60" s="96" t="n">
        <x:v>471</x:v>
      </x:c>
      <x:c r="BD60" s="97" t="e">
        <x:f>AY60*INDEX(Régions!$AQ$2:$AQ$6,MATCH($B60,Régions!$A$2:$A$6,0))</x:f>
        <x:v>#NAME?</x:v>
      </x:c>
      <x:c r="BE60" s="97" t="e">
        <x:f>AZ60*INDEX(Régions!$AR$2:$AR$6,MATCH($B60,Régions!$A$2:$A$6,0))</x:f>
        <x:v>#NAME?</x:v>
      </x:c>
      <x:c r="BF60" s="97" t="e">
        <x:f>BA60*INDEX(Régions!$AS$2:$AS$6,MATCH($B60,Régions!$A$2:$A$6,0))</x:f>
        <x:v>#NAME?</x:v>
      </x:c>
      <x:c r="BG60" s="97" t="e">
        <x:f>BB60*INDEX(Régions!$AT$2:$AT$6,MATCH($B60,Régions!$A$2:$A$6,0))</x:f>
        <x:v>#NAME?</x:v>
      </x:c>
      <x:c r="BH60" s="97" t="e">
        <x:f>U60</x:f>
        <x:v>#NAME?</x:v>
      </x:c>
      <x:c r="BI60" s="97" t="e">
        <x:f>BC60*INDEX(Régions!$AU$2:$AU$6,MATCH($B60,Régions!$A$2:$A$6,0))</x:f>
        <x:v>#NAME?</x:v>
      </x:c>
      <x:c r="BJ60" s="97" t="str">
        <x:f>INDEX({"CAQ","PLQ","QS","PQ","PCQ","Autre"},MATCH(MAX(BD60:BI60),BD60:BI60,0))</x:f>
        <x:v>CAQ</x:v>
      </x:c>
    </x:row>
    <x:row r="61" s="60" customFormat="1" ht="15" customHeight="1">
      <x:c r="A61" s="94" t="inlineStr">
        <x:is>
          <x:t xml:space="preserve">Laurier-Dorion</x:t>
        </x:is>
      </x:c>
      <x:c r="B61" s="94" t="inlineStr">
        <x:is>
          <x:t xml:space="preserve">Île de Montréal</x:t>
        </x:is>
      </x:c>
      <x:c r="C61" s="95" t="inlineStr">
        <x:is>
          <x:t xml:space="preserve">QS</x:t>
        </x:is>
      </x:c>
      <x:c r="D61" s="96" t="n">
        <x:v>3202</x:v>
      </x:c>
      <x:c r="E61" s="96" t="n">
        <x:v>5343</x:v>
      </x:c>
      <x:c r="F61" s="96" t="n">
        <x:v>13320</x:v>
      </x:c>
      <x:c r="G61" s="96" t="n">
        <x:v>2799</x:v>
      </x:c>
      <x:c r="H61" s="96" t="n">
        <x:v>1512</x:v>
      </x:c>
      <x:c r="I61" s="96" t="n">
        <x:v>1121</x:v>
      </x:c>
      <x:c r="J61" s="97" t="n">
        <x:f>SUM(D61:I61)</x:f>
        <x:v>27297</x:v>
      </x:c>
      <x:c r="K61" s="98" t="n">
        <x:f>IFERROR(D61/J61,0)</x:f>
        <x:v>0.11730226764845954</x:v>
      </x:c>
      <x:c r="L61" s="98" t="n">
        <x:f>IFERROR(E61/J61,0)</x:f>
        <x:v>0.19573579514232334</x:v>
      </x:c>
      <x:c r="M61" s="98" t="n">
        <x:f>IFERROR(F61/J61,0)</x:f>
        <x:v>0.4879657105176393</x:v>
      </x:c>
      <x:c r="N61" s="98" t="n">
        <x:f>IFERROR(G61/J61,0)</x:f>
        <x:v>0.10253874052093637</x:v>
      </x:c>
      <x:c r="O61" s="98" t="n">
        <x:f>IFERROR(H61/J61,0)</x:f>
        <x:v>0.05539070227497527</x:v>
      </x:c>
      <x:c r="P61" s="98" t="n">
        <x:f>IFERROR(I61/J61,0)</x:f>
        <x:v>0.04106678389566619</x:v>
      </x:c>
      <x:c r="Q61" s="97" t="e">
        <x:f>D61*INDEX(Régions!$T$2:$T$6,MATCH($B61,Régions!$A$2:$A$6,0))</x:f>
        <x:v>#NAME?</x:v>
      </x:c>
      <x:c r="R61" s="97" t="e">
        <x:f>E61*INDEX(Régions!$U$2:$U$6,MATCH($B61,Régions!$A$2:$A$6,0))</x:f>
        <x:v>#NAME?</x:v>
      </x:c>
      <x:c r="S61" s="97" t="e">
        <x:f>F61*INDEX(Régions!$V$2:$V$6,MATCH($B61,Régions!$A$2:$A$6,0))</x:f>
        <x:v>#NAME?</x:v>
      </x:c>
      <x:c r="T61" s="97" t="e">
        <x:f>G61*INDEX(Régions!$W$2:$W$6,MATCH($B61,Régions!$A$2:$A$6,0))</x:f>
        <x:v>#NAME?</x:v>
      </x:c>
      <x:c r="U61" s="97" t="e">
        <x:f>H61*INDEX(Régions!$X$2:$X$6,MATCH($B61,Régions!$A$2:$A$6,0))</x:f>
        <x:v>#NAME?</x:v>
      </x:c>
      <x:c r="V61" s="97" t="e">
        <x:f>I61*INDEX(Régions!$Y$2:$Y$6,MATCH($B61,Régions!$A$2:$A$6,0))</x:f>
        <x:v>#NAME?</x:v>
      </x:c>
      <x:c r="W61" s="97" t="e">
        <x:f>Q61+(AU61/100)*J61*Régions!$O$2</x:f>
        <x:v>#NAME?</x:v>
      </x:c>
      <x:c r="X61" s="97" t="e">
        <x:f>R61+(AV61/100)*J61*Régions!$O$2</x:f>
        <x:v>#NAME?</x:v>
      </x:c>
      <x:c r="Y61" s="97" t="e">
        <x:f>S61+(AW61/100)*J61*Régions!$O$2</x:f>
        <x:v>#NAME?</x:v>
      </x:c>
      <x:c r="Z61" s="97" t="e">
        <x:f>T61+(AX61/100)*J61*Régions!$O$2</x:f>
        <x:v>#NAME?</x:v>
      </x:c>
      <x:c r="AA61" s="97" t="e">
        <x:f>U61</x:f>
        <x:v>#NAME?</x:v>
      </x:c>
      <x:c r="AB61" s="97" t="e">
        <x:f>V61</x:f>
        <x:v>#NAME?</x:v>
      </x:c>
      <x:c r="AC61" s="97" t="e">
        <x:f>D61*INDEX(Régions!$Z$2:$Z$6,MATCH($B61,Régions!$A$2:$A$6,0))</x:f>
        <x:v>#NAME?</x:v>
      </x:c>
      <x:c r="AD61" s="97" t="e">
        <x:f>E61*INDEX(Régions!$AA$2:$AA$6,MATCH($B61,Régions!$A$2:$A$6,0))</x:f>
        <x:v>#NAME?</x:v>
      </x:c>
      <x:c r="AE61" s="97" t="e">
        <x:f>F61*INDEX(Régions!$AB$2:$AB$6,MATCH($B61,Régions!$A$2:$A$6,0))</x:f>
        <x:v>#NAME?</x:v>
      </x:c>
      <x:c r="AF61" s="97" t="e">
        <x:f>G61*INDEX(Régions!$AC$2:$AC$6,MATCH($B61,Régions!$A$2:$A$6,0))</x:f>
        <x:v>#NAME?</x:v>
      </x:c>
      <x:c r="AG61" s="97" t="e">
        <x:f>H61*INDEX(Régions!$AD$2:$AD$6,MATCH($B61,Régions!$A$2:$A$6,0))</x:f>
        <x:v>#NAME?</x:v>
      </x:c>
      <x:c r="AH61" s="97" t="e">
        <x:f>I61*INDEX(Régions!$AE$2:$AE$6,MATCH($B61,Régions!$A$2:$A$6,0))</x:f>
        <x:v>#NAME?</x:v>
      </x:c>
      <x:c r="AI61" s="97" t="e">
        <x:f>D61*INDEX(Régions!$AF$2:$AF$6,MATCH($B61,Régions!$A$2:$A$6,0))</x:f>
        <x:v>#NAME?</x:v>
      </x:c>
      <x:c r="AJ61" s="97" t="e">
        <x:f>E61*INDEX(Régions!$AG$2:$AG$6,MATCH($B61,Régions!$A$2:$A$6,0))</x:f>
        <x:v>#NAME?</x:v>
      </x:c>
      <x:c r="AK61" s="97" t="e">
        <x:f>F61*INDEX(Régions!$AH$2:$AH$6,MATCH($B61,Régions!$A$2:$A$6,0))</x:f>
        <x:v>#NAME?</x:v>
      </x:c>
      <x:c r="AL61" s="97" t="e">
        <x:f>G61*INDEX(Régions!$AI$2:$AI$6,MATCH($B61,Régions!$A$2:$A$6,0))</x:f>
        <x:v>#NAME?</x:v>
      </x:c>
      <x:c r="AM61" s="97" t="e">
        <x:f>H61*INDEX(Régions!$AJ$2:$AJ$6,MATCH($B61,Régions!$A$2:$A$6,0))</x:f>
        <x:v>#NAME?</x:v>
      </x:c>
      <x:c r="AN61" s="97" t="e">
        <x:f>I61*INDEX(Régions!$AK$2:$AK$6,MATCH($B61,Régions!$A$2:$A$6,0))</x:f>
        <x:v>#NAME?</x:v>
      </x:c>
      <x:c r="AO61" s="99" t="str">
        <x:f>INDEX({"CAQ","PLQ","QS","PQ","PCQ","Autre"},MATCH(MAX(Q61:V61),Q61:V61,0))</x:f>
        <x:v>CAQ</x:v>
      </x:c>
      <x:c r="AP61" s="99" t="str">
        <x:f>INDEX({"CAQ","PLQ","QS","PQ","PCQ","Autre"},MATCH(MAX(W61:AB61),W61:AB61,0))</x:f>
        <x:v>CAQ</x:v>
      </x:c>
      <x:c r="AQ61" s="99" t="str">
        <x:f>INDEX({"CAQ","PLQ","QS","PQ","PCQ","Autre"},MATCH(MAX(AC61:AH61),AC61:AH61,0))</x:f>
        <x:v>CAQ</x:v>
      </x:c>
      <x:c r="AR61" s="99" t="str">
        <x:f>INDEX({"CAQ","PLQ","QS","PQ","PCQ","Autre"},MATCH(MAX(AI61:AN61),AI61:AN61,0))</x:f>
        <x:v>CAQ</x:v>
      </x:c>
      <x:c r="AS61" s="100" t="n">
        <x:f>(MAX(K61:P61)-LARGE(K61:P61,2))*100</x:f>
        <x:v>29.222991537531595</x:v>
      </x:c>
      <x:c r="AT61" s="101" t="str">
        <x:f>IF(AS61&lt;5,"Oui","Non")</x:f>
        <x:v>Non</x:v>
      </x:c>
      <x:c r="AU61" s="102" t="n">
        <x:v>0.77</x:v>
      </x:c>
      <x:c r="AV61" s="102" t="n">
        <x:v>-1.252</x:v>
      </x:c>
      <x:c r="AW61" s="102" t="n">
        <x:v>0.776</x:v>
      </x:c>
      <x:c r="AX61" s="102" t="n">
        <x:v>3.62</x:v>
      </x:c>
      <x:c r="AY61" s="96" t="n">
        <x:v>2663</x:v>
      </x:c>
      <x:c r="AZ61" s="96" t="n">
        <x:v>8923</x:v>
      </x:c>
      <x:c r="BA61" s="96" t="n">
        <x:v>14222</x:v>
      </x:c>
      <x:c r="BB61" s="96" t="n">
        <x:v>2343</x:v>
      </x:c>
      <x:c r="BC61" s="96" t="n">
        <x:v>1931</x:v>
      </x:c>
      <x:c r="BD61" s="97" t="e">
        <x:f>AY61*INDEX(Régions!$AQ$2:$AQ$6,MATCH($B61,Régions!$A$2:$A$6,0))</x:f>
        <x:v>#NAME?</x:v>
      </x:c>
      <x:c r="BE61" s="97" t="e">
        <x:f>AZ61*INDEX(Régions!$AR$2:$AR$6,MATCH($B61,Régions!$A$2:$A$6,0))</x:f>
        <x:v>#NAME?</x:v>
      </x:c>
      <x:c r="BF61" s="97" t="e">
        <x:f>BA61*INDEX(Régions!$AS$2:$AS$6,MATCH($B61,Régions!$A$2:$A$6,0))</x:f>
        <x:v>#NAME?</x:v>
      </x:c>
      <x:c r="BG61" s="97" t="e">
        <x:f>BB61*INDEX(Régions!$AT$2:$AT$6,MATCH($B61,Régions!$A$2:$A$6,0))</x:f>
        <x:v>#NAME?</x:v>
      </x:c>
      <x:c r="BH61" s="97" t="e">
        <x:f>U61</x:f>
        <x:v>#NAME?</x:v>
      </x:c>
      <x:c r="BI61" s="97" t="e">
        <x:f>BC61*INDEX(Régions!$AU$2:$AU$6,MATCH($B61,Régions!$A$2:$A$6,0))</x:f>
        <x:v>#NAME?</x:v>
      </x:c>
      <x:c r="BJ61" s="97" t="str">
        <x:f>INDEX({"CAQ","PLQ","QS","PQ","PCQ","Autre"},MATCH(MAX(BD61:BI61),BD61:BI61,0))</x:f>
        <x:v>CAQ</x:v>
      </x:c>
    </x:row>
    <x:row r="62" s="60" customFormat="1" ht="15" customHeight="1">
      <x:c r="A62" s="94" t="inlineStr">
        <x:is>
          <x:t xml:space="preserve">Laval-des-Rapides</x:t>
        </x:is>
      </x:c>
      <x:c r="B62" s="94" t="inlineStr">
        <x:is>
          <x:t xml:space="preserve">Banlieue de Montréal</x:t>
        </x:is>
      </x:c>
      <x:c r="C62" s="95" t="inlineStr">
        <x:is>
          <x:t xml:space="preserve">CAQ</x:t>
        </x:is>
      </x:c>
      <x:c r="D62" s="96" t="n">
        <x:v>10630</x:v>
      </x:c>
      <x:c r="E62" s="96" t="n">
        <x:v>9994</x:v>
      </x:c>
      <x:c r="F62" s="96" t="n">
        <x:v>5353</x:v>
      </x:c>
      <x:c r="G62" s="96" t="n">
        <x:v>4183</x:v>
      </x:c>
      <x:c r="H62" s="96" t="n">
        <x:v>3287</x:v>
      </x:c>
      <x:c r="I62" s="96" t="n">
        <x:v>428</x:v>
      </x:c>
      <x:c r="J62" s="97" t="n">
        <x:f>SUM(D62:I62)</x:f>
        <x:v>33875</x:v>
      </x:c>
      <x:c r="K62" s="98" t="n">
        <x:f>IFERROR(D62/J62,0)</x:f>
        <x:v>0.31380073800738006</x:v>
      </x:c>
      <x:c r="L62" s="98" t="n">
        <x:f>IFERROR(E62/J62,0)</x:f>
        <x:v>0.2950258302583026</x:v>
      </x:c>
      <x:c r="M62" s="98" t="n">
        <x:f>IFERROR(F62/J62,0)</x:f>
        <x:v>0.1580221402214022</x:v>
      </x:c>
      <x:c r="N62" s="98" t="n">
        <x:f>IFERROR(G62/J62,0)</x:f>
        <x:v>0.12348339483394834</x:v>
      </x:c>
      <x:c r="O62" s="98" t="n">
        <x:f>IFERROR(H62/J62,0)</x:f>
        <x:v>0.09703321033210333</x:v>
      </x:c>
      <x:c r="P62" s="98" t="n">
        <x:f>IFERROR(I62/J62,0)</x:f>
        <x:v>0.01263468634686347</x:v>
      </x:c>
      <x:c r="Q62" s="97" t="e">
        <x:f>D62*INDEX(Régions!$T$2:$T$6,MATCH($B62,Régions!$A$2:$A$6,0))</x:f>
        <x:v>#NAME?</x:v>
      </x:c>
      <x:c r="R62" s="97" t="e">
        <x:f>E62*INDEX(Régions!$U$2:$U$6,MATCH($B62,Régions!$A$2:$A$6,0))</x:f>
        <x:v>#NAME?</x:v>
      </x:c>
      <x:c r="S62" s="97" t="e">
        <x:f>F62*INDEX(Régions!$V$2:$V$6,MATCH($B62,Régions!$A$2:$A$6,0))</x:f>
        <x:v>#NAME?</x:v>
      </x:c>
      <x:c r="T62" s="97" t="e">
        <x:f>G62*INDEX(Régions!$W$2:$W$6,MATCH($B62,Régions!$A$2:$A$6,0))</x:f>
        <x:v>#NAME?</x:v>
      </x:c>
      <x:c r="U62" s="97" t="e">
        <x:f>H62*INDEX(Régions!$X$2:$X$6,MATCH($B62,Régions!$A$2:$A$6,0))</x:f>
        <x:v>#NAME?</x:v>
      </x:c>
      <x:c r="V62" s="97" t="e">
        <x:f>I62*INDEX(Régions!$Y$2:$Y$6,MATCH($B62,Régions!$A$2:$A$6,0))</x:f>
        <x:v>#NAME?</x:v>
      </x:c>
      <x:c r="W62" s="97" t="e">
        <x:f>Q62+(AU62/100)*J62*Régions!$O$2</x:f>
        <x:v>#NAME?</x:v>
      </x:c>
      <x:c r="X62" s="97" t="e">
        <x:f>R62+(AV62/100)*J62*Régions!$O$2</x:f>
        <x:v>#NAME?</x:v>
      </x:c>
      <x:c r="Y62" s="97" t="e">
        <x:f>S62+(AW62/100)*J62*Régions!$O$2</x:f>
        <x:v>#NAME?</x:v>
      </x:c>
      <x:c r="Z62" s="97" t="e">
        <x:f>T62+(AX62/100)*J62*Régions!$O$2</x:f>
        <x:v>#NAME?</x:v>
      </x:c>
      <x:c r="AA62" s="97" t="e">
        <x:f>U62</x:f>
        <x:v>#NAME?</x:v>
      </x:c>
      <x:c r="AB62" s="97" t="e">
        <x:f>V62</x:f>
        <x:v>#NAME?</x:v>
      </x:c>
      <x:c r="AC62" s="97" t="e">
        <x:f>D62*INDEX(Régions!$Z$2:$Z$6,MATCH($B62,Régions!$A$2:$A$6,0))</x:f>
        <x:v>#NAME?</x:v>
      </x:c>
      <x:c r="AD62" s="97" t="e">
        <x:f>E62*INDEX(Régions!$AA$2:$AA$6,MATCH($B62,Régions!$A$2:$A$6,0))</x:f>
        <x:v>#NAME?</x:v>
      </x:c>
      <x:c r="AE62" s="97" t="e">
        <x:f>F62*INDEX(Régions!$AB$2:$AB$6,MATCH($B62,Régions!$A$2:$A$6,0))</x:f>
        <x:v>#NAME?</x:v>
      </x:c>
      <x:c r="AF62" s="97" t="e">
        <x:f>G62*INDEX(Régions!$AC$2:$AC$6,MATCH($B62,Régions!$A$2:$A$6,0))</x:f>
        <x:v>#NAME?</x:v>
      </x:c>
      <x:c r="AG62" s="97" t="e">
        <x:f>H62*INDEX(Régions!$AD$2:$AD$6,MATCH($B62,Régions!$A$2:$A$6,0))</x:f>
        <x:v>#NAME?</x:v>
      </x:c>
      <x:c r="AH62" s="97" t="e">
        <x:f>I62*INDEX(Régions!$AE$2:$AE$6,MATCH($B62,Régions!$A$2:$A$6,0))</x:f>
        <x:v>#NAME?</x:v>
      </x:c>
      <x:c r="AI62" s="97" t="e">
        <x:f>D62*INDEX(Régions!$AF$2:$AF$6,MATCH($B62,Régions!$A$2:$A$6,0))</x:f>
        <x:v>#NAME?</x:v>
      </x:c>
      <x:c r="AJ62" s="97" t="e">
        <x:f>E62*INDEX(Régions!$AG$2:$AG$6,MATCH($B62,Régions!$A$2:$A$6,0))</x:f>
        <x:v>#NAME?</x:v>
      </x:c>
      <x:c r="AK62" s="97" t="e">
        <x:f>F62*INDEX(Régions!$AH$2:$AH$6,MATCH($B62,Régions!$A$2:$A$6,0))</x:f>
        <x:v>#NAME?</x:v>
      </x:c>
      <x:c r="AL62" s="97" t="e">
        <x:f>G62*INDEX(Régions!$AI$2:$AI$6,MATCH($B62,Régions!$A$2:$A$6,0))</x:f>
        <x:v>#NAME?</x:v>
      </x:c>
      <x:c r="AM62" s="97" t="e">
        <x:f>H62*INDEX(Régions!$AJ$2:$AJ$6,MATCH($B62,Régions!$A$2:$A$6,0))</x:f>
        <x:v>#NAME?</x:v>
      </x:c>
      <x:c r="AN62" s="97" t="e">
        <x:f>I62*INDEX(Régions!$AK$2:$AK$6,MATCH($B62,Régions!$A$2:$A$6,0))</x:f>
        <x:v>#NAME?</x:v>
      </x:c>
      <x:c r="AO62" s="99" t="str">
        <x:f>INDEX({"CAQ","PLQ","QS","PQ","PCQ","Autre"},MATCH(MAX(Q62:V62),Q62:V62,0))</x:f>
        <x:v>CAQ</x:v>
      </x:c>
      <x:c r="AP62" s="99" t="str">
        <x:f>INDEX({"CAQ","PLQ","QS","PQ","PCQ","Autre"},MATCH(MAX(W62:AB62),W62:AB62,0))</x:f>
        <x:v>CAQ</x:v>
      </x:c>
      <x:c r="AQ62" s="99" t="str">
        <x:f>INDEX({"CAQ","PLQ","QS","PQ","PCQ","Autre"},MATCH(MAX(AC62:AH62),AC62:AH62,0))</x:f>
        <x:v>CAQ</x:v>
      </x:c>
      <x:c r="AR62" s="99" t="str">
        <x:f>INDEX({"CAQ","PLQ","QS","PQ","PCQ","Autre"},MATCH(MAX(AI62:AN62),AI62:AN62,0))</x:f>
        <x:v>CAQ</x:v>
      </x:c>
      <x:c r="AS62" s="100" t="n">
        <x:f>(MAX(K62:P62)-LARGE(K62:P62,2))*100</x:f>
        <x:v>1.8774907749077474</x:v>
      </x:c>
      <x:c r="AT62" s="101" t="str">
        <x:f>IF(AS62&lt;5,"Oui","Non")</x:f>
        <x:v>Oui</x:v>
      </x:c>
      <x:c r="AU62" s="102" t="n">
        <x:v>-2.083</x:v>
      </x:c>
      <x:c r="AV62" s="102" t="n">
        <x:v>2.923</x:v>
      </x:c>
      <x:c r="AW62" s="102" t="n">
        <x:v>0.448</x:v>
      </x:c>
      <x:c r="AX62" s="102" t="n">
        <x:v>0.669</x:v>
      </x:c>
      <x:c r="AY62" s="96" t="n">
        <x:v>10345</x:v>
      </x:c>
      <x:c r="AZ62" s="96" t="n">
        <x:v>11419</x:v>
      </x:c>
      <x:c r="BA62" s="96" t="n">
        <x:v>5474</x:v>
      </x:c>
      <x:c r="BB62" s="96" t="n">
        <x:v>5007</x:v>
      </x:c>
      <x:c r="BC62" s="96" t="n">
        <x:v>1859</x:v>
      </x:c>
      <x:c r="BD62" s="97" t="e">
        <x:f>AY62*INDEX(Régions!$AQ$2:$AQ$6,MATCH($B62,Régions!$A$2:$A$6,0))</x:f>
        <x:v>#NAME?</x:v>
      </x:c>
      <x:c r="BE62" s="97" t="e">
        <x:f>AZ62*INDEX(Régions!$AR$2:$AR$6,MATCH($B62,Régions!$A$2:$A$6,0))</x:f>
        <x:v>#NAME?</x:v>
      </x:c>
      <x:c r="BF62" s="97" t="e">
        <x:f>BA62*INDEX(Régions!$AS$2:$AS$6,MATCH($B62,Régions!$A$2:$A$6,0))</x:f>
        <x:v>#NAME?</x:v>
      </x:c>
      <x:c r="BG62" s="97" t="e">
        <x:f>BB62*INDEX(Régions!$AT$2:$AT$6,MATCH($B62,Régions!$A$2:$A$6,0))</x:f>
        <x:v>#NAME?</x:v>
      </x:c>
      <x:c r="BH62" s="97" t="e">
        <x:f>U62</x:f>
        <x:v>#NAME?</x:v>
      </x:c>
      <x:c r="BI62" s="97" t="e">
        <x:f>BC62*INDEX(Régions!$AU$2:$AU$6,MATCH($B62,Régions!$A$2:$A$6,0))</x:f>
        <x:v>#NAME?</x:v>
      </x:c>
      <x:c r="BJ62" s="97" t="str">
        <x:f>INDEX({"CAQ","PLQ","QS","PQ","PCQ","Autre"},MATCH(MAX(BD62:BI62),BD62:BI62,0))</x:f>
        <x:v>CAQ</x:v>
      </x:c>
    </x:row>
    <x:row r="63" s="60" customFormat="1" ht="15" customHeight="1">
      <x:c r="A63" s="94" t="inlineStr">
        <x:is>
          <x:t xml:space="preserve">Laviolette–Saint-Maurice</x:t>
        </x:is>
      </x:c>
      <x:c r="B63" s="94" t="inlineStr">
        <x:is>
          <x:t xml:space="preserve">Reste du Québec</x:t>
        </x:is>
      </x:c>
      <x:c r="C63" s="95" t="inlineStr">
        <x:is>
          <x:t xml:space="preserve">CAQ</x:t>
        </x:is>
      </x:c>
      <x:c r="D63" s="96" t="n">
        <x:v>19418</x:v>
      </x:c>
      <x:c r="E63" s="96" t="n">
        <x:v>1875</x:v>
      </x:c>
      <x:c r="F63" s="96" t="n">
        <x:v>3568</x:v>
      </x:c>
      <x:c r="G63" s="96" t="n">
        <x:v>6010</x:v>
      </x:c>
      <x:c r="H63" s="96" t="n">
        <x:v>6287</x:v>
      </x:c>
      <x:c r="I63" s="96" t="n">
        <x:v>385</x:v>
      </x:c>
      <x:c r="J63" s="97" t="n">
        <x:f>SUM(D63:I63)</x:f>
        <x:v>37543</x:v>
      </x:c>
      <x:c r="K63" s="98" t="n">
        <x:f>IFERROR(D63/J63,0)</x:f>
        <x:v>0.5172202541086222</x:v>
      </x:c>
      <x:c r="L63" s="98" t="n">
        <x:f>IFERROR(E63/J63,0)</x:f>
        <x:v>0.04994273233359082</x:v>
      </x:c>
      <x:c r="M63" s="98" t="n">
        <x:f>IFERROR(F63/J63,0)</x:f>
        <x:v>0.09503769011533442</x:v>
      </x:c>
      <x:c r="N63" s="98" t="n">
        <x:f>IFERROR(G63/J63,0)</x:f>
        <x:v>0.16008310470660309</x:v>
      </x:c>
      <x:c r="O63" s="98" t="n">
        <x:f>IFERROR(H63/J63,0)</x:f>
        <x:v>0.1674613110300189</x:v>
      </x:c>
      <x:c r="P63" s="98" t="n">
        <x:f>IFERROR(I63/J63,0)</x:f>
        <x:v>0.010254907705830648</x:v>
      </x:c>
      <x:c r="Q63" s="97" t="e">
        <x:f>D63*INDEX(Régions!$T$2:$T$6,MATCH($B63,Régions!$A$2:$A$6,0))</x:f>
        <x:v>#NAME?</x:v>
      </x:c>
      <x:c r="R63" s="97" t="e">
        <x:f>E63*INDEX(Régions!$U$2:$U$6,MATCH($B63,Régions!$A$2:$A$6,0))</x:f>
        <x:v>#NAME?</x:v>
      </x:c>
      <x:c r="S63" s="97" t="e">
        <x:f>F63*INDEX(Régions!$V$2:$V$6,MATCH($B63,Régions!$A$2:$A$6,0))</x:f>
        <x:v>#NAME?</x:v>
      </x:c>
      <x:c r="T63" s="97" t="e">
        <x:f>G63*INDEX(Régions!$W$2:$W$6,MATCH($B63,Régions!$A$2:$A$6,0))</x:f>
        <x:v>#NAME?</x:v>
      </x:c>
      <x:c r="U63" s="97" t="e">
        <x:f>H63*INDEX(Régions!$X$2:$X$6,MATCH($B63,Régions!$A$2:$A$6,0))</x:f>
        <x:v>#NAME?</x:v>
      </x:c>
      <x:c r="V63" s="97" t="e">
        <x:f>I63*INDEX(Régions!$Y$2:$Y$6,MATCH($B63,Régions!$A$2:$A$6,0))</x:f>
        <x:v>#NAME?</x:v>
      </x:c>
      <x:c r="W63" s="97" t="e">
        <x:f>Q63+(AU63/100)*J63*Régions!$O$2</x:f>
        <x:v>#NAME?</x:v>
      </x:c>
      <x:c r="X63" s="97" t="e">
        <x:f>R63+(AV63/100)*J63*Régions!$O$2</x:f>
        <x:v>#NAME?</x:v>
      </x:c>
      <x:c r="Y63" s="97" t="e">
        <x:f>S63+(AW63/100)*J63*Régions!$O$2</x:f>
        <x:v>#NAME?</x:v>
      </x:c>
      <x:c r="Z63" s="97" t="e">
        <x:f>T63+(AX63/100)*J63*Régions!$O$2</x:f>
        <x:v>#NAME?</x:v>
      </x:c>
      <x:c r="AA63" s="97" t="e">
        <x:f>U63</x:f>
        <x:v>#NAME?</x:v>
      </x:c>
      <x:c r="AB63" s="97" t="e">
        <x:f>V63</x:f>
        <x:v>#NAME?</x:v>
      </x:c>
      <x:c r="AC63" s="97" t="e">
        <x:f>D63*INDEX(Régions!$Z$2:$Z$6,MATCH($B63,Régions!$A$2:$A$6,0))</x:f>
        <x:v>#NAME?</x:v>
      </x:c>
      <x:c r="AD63" s="97" t="e">
        <x:f>E63*INDEX(Régions!$AA$2:$AA$6,MATCH($B63,Régions!$A$2:$A$6,0))</x:f>
        <x:v>#NAME?</x:v>
      </x:c>
      <x:c r="AE63" s="97" t="e">
        <x:f>F63*INDEX(Régions!$AB$2:$AB$6,MATCH($B63,Régions!$A$2:$A$6,0))</x:f>
        <x:v>#NAME?</x:v>
      </x:c>
      <x:c r="AF63" s="97" t="e">
        <x:f>G63*INDEX(Régions!$AC$2:$AC$6,MATCH($B63,Régions!$A$2:$A$6,0))</x:f>
        <x:v>#NAME?</x:v>
      </x:c>
      <x:c r="AG63" s="97" t="e">
        <x:f>H63*INDEX(Régions!$AD$2:$AD$6,MATCH($B63,Régions!$A$2:$A$6,0))</x:f>
        <x:v>#NAME?</x:v>
      </x:c>
      <x:c r="AH63" s="97" t="e">
        <x:f>I63*INDEX(Régions!$AE$2:$AE$6,MATCH($B63,Régions!$A$2:$A$6,0))</x:f>
        <x:v>#NAME?</x:v>
      </x:c>
      <x:c r="AI63" s="97" t="e">
        <x:f>D63*INDEX(Régions!$AF$2:$AF$6,MATCH($B63,Régions!$A$2:$A$6,0))</x:f>
        <x:v>#NAME?</x:v>
      </x:c>
      <x:c r="AJ63" s="97" t="e">
        <x:f>E63*INDEX(Régions!$AG$2:$AG$6,MATCH($B63,Régions!$A$2:$A$6,0))</x:f>
        <x:v>#NAME?</x:v>
      </x:c>
      <x:c r="AK63" s="97" t="e">
        <x:f>F63*INDEX(Régions!$AH$2:$AH$6,MATCH($B63,Régions!$A$2:$A$6,0))</x:f>
        <x:v>#NAME?</x:v>
      </x:c>
      <x:c r="AL63" s="97" t="e">
        <x:f>G63*INDEX(Régions!$AI$2:$AI$6,MATCH($B63,Régions!$A$2:$A$6,0))</x:f>
        <x:v>#NAME?</x:v>
      </x:c>
      <x:c r="AM63" s="97" t="e">
        <x:f>H63*INDEX(Régions!$AJ$2:$AJ$6,MATCH($B63,Régions!$A$2:$A$6,0))</x:f>
        <x:v>#NAME?</x:v>
      </x:c>
      <x:c r="AN63" s="97" t="e">
        <x:f>I63*INDEX(Régions!$AK$2:$AK$6,MATCH($B63,Régions!$A$2:$A$6,0))</x:f>
        <x:v>#NAME?</x:v>
      </x:c>
      <x:c r="AO63" s="99" t="str">
        <x:f>INDEX({"CAQ","PLQ","QS","PQ","PCQ","Autre"},MATCH(MAX(Q63:V63),Q63:V63,0))</x:f>
        <x:v>CAQ</x:v>
      </x:c>
      <x:c r="AP63" s="99" t="str">
        <x:f>INDEX({"CAQ","PLQ","QS","PQ","PCQ","Autre"},MATCH(MAX(W63:AB63),W63:AB63,0))</x:f>
        <x:v>CAQ</x:v>
      </x:c>
      <x:c r="AQ63" s="99" t="str">
        <x:f>INDEX({"CAQ","PLQ","QS","PQ","PCQ","Autre"},MATCH(MAX(AC63:AH63),AC63:AH63,0))</x:f>
        <x:v>CAQ</x:v>
      </x:c>
      <x:c r="AR63" s="99" t="str">
        <x:f>INDEX({"CAQ","PLQ","QS","PQ","PCQ","Autre"},MATCH(MAX(AI63:AN63),AI63:AN63,0))</x:f>
        <x:v>CAQ</x:v>
      </x:c>
      <x:c r="AS63" s="100" t="n">
        <x:f>(MAX(K63:P63)-LARGE(K63:P63,2))*100</x:f>
        <x:v>34.97589430786032</x:v>
      </x:c>
      <x:c r="AT63" s="101" t="str">
        <x:f>IF(AS63&lt;5,"Oui","Non")</x:f>
        <x:v>Non</x:v>
      </x:c>
      <x:c r="AU63" s="102" t="n">
        <x:v>0.363</x:v>
      </x:c>
      <x:c r="AV63" s="102" t="n">
        <x:v>-3.033</x:v>
      </x:c>
      <x:c r="AW63" s="102" t="n">
        <x:v>-4.628</x:v>
      </x:c>
      <x:c r="AX63" s="102" t="n">
        <x:v>4.323</x:v>
      </x:c>
      <x:c r="AY63" s="96" t="n">
        <x:v>16260</x:v>
      </x:c>
      <x:c r="AZ63" s="96" t="n">
        <x:v>7440</x:v>
      </x:c>
      <x:c r="BA63" s="96" t="n">
        <x:v>5414</x:v>
      </x:c>
      <x:c r="BB63" s="96" t="n">
        <x:v>5611</x:v>
      </x:c>
      <x:c r="BC63" s="96" t="n">
        <x:v>1083</x:v>
      </x:c>
      <x:c r="BD63" s="97" t="e">
        <x:f>AY63*INDEX(Régions!$AQ$2:$AQ$6,MATCH($B63,Régions!$A$2:$A$6,0))</x:f>
        <x:v>#NAME?</x:v>
      </x:c>
      <x:c r="BE63" s="97" t="e">
        <x:f>AZ63*INDEX(Régions!$AR$2:$AR$6,MATCH($B63,Régions!$A$2:$A$6,0))</x:f>
        <x:v>#NAME?</x:v>
      </x:c>
      <x:c r="BF63" s="97" t="e">
        <x:f>BA63*INDEX(Régions!$AS$2:$AS$6,MATCH($B63,Régions!$A$2:$A$6,0))</x:f>
        <x:v>#NAME?</x:v>
      </x:c>
      <x:c r="BG63" s="97" t="e">
        <x:f>BB63*INDEX(Régions!$AT$2:$AT$6,MATCH($B63,Régions!$A$2:$A$6,0))</x:f>
        <x:v>#NAME?</x:v>
      </x:c>
      <x:c r="BH63" s="97" t="e">
        <x:f>U63</x:f>
        <x:v>#NAME?</x:v>
      </x:c>
      <x:c r="BI63" s="97" t="e">
        <x:f>BC63*INDEX(Régions!$AU$2:$AU$6,MATCH($B63,Régions!$A$2:$A$6,0))</x:f>
        <x:v>#NAME?</x:v>
      </x:c>
      <x:c r="BJ63" s="97" t="str">
        <x:f>INDEX({"CAQ","PLQ","QS","PQ","PCQ","Autre"},MATCH(MAX(BD63:BI63),BD63:BI63,0))</x:f>
        <x:v>CAQ</x:v>
      </x:c>
    </x:row>
    <x:row r="64" s="60" customFormat="1" ht="15" customHeight="1">
      <x:c r="A64" s="94" t="inlineStr">
        <x:is>
          <x:t xml:space="preserve">Les Plaines</x:t>
        </x:is>
      </x:c>
      <x:c r="B64" s="94" t="inlineStr">
        <x:is>
          <x:t xml:space="preserve">Banlieue de Montréal</x:t>
        </x:is>
      </x:c>
      <x:c r="C64" s="95" t="inlineStr">
        <x:is>
          <x:t xml:space="preserve">CAQ</x:t>
        </x:is>
      </x:c>
      <x:c r="D64" s="96" t="n">
        <x:v>16289</x:v>
      </x:c>
      <x:c r="E64" s="96" t="n">
        <x:v>2382</x:v>
      </x:c>
      <x:c r="F64" s="96" t="n">
        <x:v>4274</x:v>
      </x:c>
      <x:c r="G64" s="96" t="n">
        <x:v>5348</x:v>
      </x:c>
      <x:c r="H64" s="96" t="n">
        <x:v>3713</x:v>
      </x:c>
      <x:c r="I64" s="96" t="n">
        <x:v>326</x:v>
      </x:c>
      <x:c r="J64" s="97" t="n">
        <x:f>SUM(D64:I64)</x:f>
        <x:v>32332</x:v>
      </x:c>
      <x:c r="K64" s="98" t="n">
        <x:f>IFERROR(D64/J64,0)</x:f>
        <x:v>0.5038042805888903</x:v>
      </x:c>
      <x:c r="L64" s="98" t="n">
        <x:f>IFERROR(E64/J64,0)</x:f>
        <x:v>0.07367314116046023</x:v>
      </x:c>
      <x:c r="M64" s="98" t="n">
        <x:f>IFERROR(F64/J64,0)</x:f>
        <x:v>0.13219101818631696</x:v>
      </x:c>
      <x:c r="N64" s="98" t="n">
        <x:f>IFERROR(G64/J64,0)</x:f>
        <x:v>0.16540888284052951</x:v>
      </x:c>
      <x:c r="O64" s="98" t="n">
        <x:f>IFERROR(H64/J64,0)</x:f>
        <x:v>0.11483978720771991</x:v>
      </x:c>
      <x:c r="P64" s="98" t="n">
        <x:f>IFERROR(I64/J64,0)</x:f>
        <x:v>0.010082890016083137</x:v>
      </x:c>
      <x:c r="Q64" s="97" t="e">
        <x:f>D64*INDEX(Régions!$T$2:$T$6,MATCH($B64,Régions!$A$2:$A$6,0))</x:f>
        <x:v>#NAME?</x:v>
      </x:c>
      <x:c r="R64" s="97" t="e">
        <x:f>E64*INDEX(Régions!$U$2:$U$6,MATCH($B64,Régions!$A$2:$A$6,0))</x:f>
        <x:v>#NAME?</x:v>
      </x:c>
      <x:c r="S64" s="97" t="e">
        <x:f>F64*INDEX(Régions!$V$2:$V$6,MATCH($B64,Régions!$A$2:$A$6,0))</x:f>
        <x:v>#NAME?</x:v>
      </x:c>
      <x:c r="T64" s="97" t="e">
        <x:f>G64*INDEX(Régions!$W$2:$W$6,MATCH($B64,Régions!$A$2:$A$6,0))</x:f>
        <x:v>#NAME?</x:v>
      </x:c>
      <x:c r="U64" s="97" t="e">
        <x:f>H64*INDEX(Régions!$X$2:$X$6,MATCH($B64,Régions!$A$2:$A$6,0))</x:f>
        <x:v>#NAME?</x:v>
      </x:c>
      <x:c r="V64" s="97" t="e">
        <x:f>I64*INDEX(Régions!$Y$2:$Y$6,MATCH($B64,Régions!$A$2:$A$6,0))</x:f>
        <x:v>#NAME?</x:v>
      </x:c>
      <x:c r="W64" s="97" t="e">
        <x:f>Q64+(AU64/100)*J64*Régions!$O$2</x:f>
        <x:v>#NAME?</x:v>
      </x:c>
      <x:c r="X64" s="97" t="e">
        <x:f>R64+(AV64/100)*J64*Régions!$O$2</x:f>
        <x:v>#NAME?</x:v>
      </x:c>
      <x:c r="Y64" s="97" t="e">
        <x:f>S64+(AW64/100)*J64*Régions!$O$2</x:f>
        <x:v>#NAME?</x:v>
      </x:c>
      <x:c r="Z64" s="97" t="e">
        <x:f>T64+(AX64/100)*J64*Régions!$O$2</x:f>
        <x:v>#NAME?</x:v>
      </x:c>
      <x:c r="AA64" s="97" t="e">
        <x:f>U64</x:f>
        <x:v>#NAME?</x:v>
      </x:c>
      <x:c r="AB64" s="97" t="e">
        <x:f>V64</x:f>
        <x:v>#NAME?</x:v>
      </x:c>
      <x:c r="AC64" s="97" t="e">
        <x:f>D64*INDEX(Régions!$Z$2:$Z$6,MATCH($B64,Régions!$A$2:$A$6,0))</x:f>
        <x:v>#NAME?</x:v>
      </x:c>
      <x:c r="AD64" s="97" t="e">
        <x:f>E64*INDEX(Régions!$AA$2:$AA$6,MATCH($B64,Régions!$A$2:$A$6,0))</x:f>
        <x:v>#NAME?</x:v>
      </x:c>
      <x:c r="AE64" s="97" t="e">
        <x:f>F64*INDEX(Régions!$AB$2:$AB$6,MATCH($B64,Régions!$A$2:$A$6,0))</x:f>
        <x:v>#NAME?</x:v>
      </x:c>
      <x:c r="AF64" s="97" t="e">
        <x:f>G64*INDEX(Régions!$AC$2:$AC$6,MATCH($B64,Régions!$A$2:$A$6,0))</x:f>
        <x:v>#NAME?</x:v>
      </x:c>
      <x:c r="AG64" s="97" t="e">
        <x:f>H64*INDEX(Régions!$AD$2:$AD$6,MATCH($B64,Régions!$A$2:$A$6,0))</x:f>
        <x:v>#NAME?</x:v>
      </x:c>
      <x:c r="AH64" s="97" t="e">
        <x:f>I64*INDEX(Régions!$AE$2:$AE$6,MATCH($B64,Régions!$A$2:$A$6,0))</x:f>
        <x:v>#NAME?</x:v>
      </x:c>
      <x:c r="AI64" s="97" t="e">
        <x:f>D64*INDEX(Régions!$AF$2:$AF$6,MATCH($B64,Régions!$A$2:$A$6,0))</x:f>
        <x:v>#NAME?</x:v>
      </x:c>
      <x:c r="AJ64" s="97" t="e">
        <x:f>E64*INDEX(Régions!$AG$2:$AG$6,MATCH($B64,Régions!$A$2:$A$6,0))</x:f>
        <x:v>#NAME?</x:v>
      </x:c>
      <x:c r="AK64" s="97" t="e">
        <x:f>F64*INDEX(Régions!$AH$2:$AH$6,MATCH($B64,Régions!$A$2:$A$6,0))</x:f>
        <x:v>#NAME?</x:v>
      </x:c>
      <x:c r="AL64" s="97" t="e">
        <x:f>G64*INDEX(Régions!$AI$2:$AI$6,MATCH($B64,Régions!$A$2:$A$6,0))</x:f>
        <x:v>#NAME?</x:v>
      </x:c>
      <x:c r="AM64" s="97" t="e">
        <x:f>H64*INDEX(Régions!$AJ$2:$AJ$6,MATCH($B64,Régions!$A$2:$A$6,0))</x:f>
        <x:v>#NAME?</x:v>
      </x:c>
      <x:c r="AN64" s="97" t="e">
        <x:f>I64*INDEX(Régions!$AK$2:$AK$6,MATCH($B64,Régions!$A$2:$A$6,0))</x:f>
        <x:v>#NAME?</x:v>
      </x:c>
      <x:c r="AO64" s="99" t="str">
        <x:f>INDEX({"CAQ","PLQ","QS","PQ","PCQ","Autre"},MATCH(MAX(Q64:V64),Q64:V64,0))</x:f>
        <x:v>CAQ</x:v>
      </x:c>
      <x:c r="AP64" s="99" t="str">
        <x:f>INDEX({"CAQ","PLQ","QS","PQ","PCQ","Autre"},MATCH(MAX(W64:AB64),W64:AB64,0))</x:f>
        <x:v>CAQ</x:v>
      </x:c>
      <x:c r="AQ64" s="99" t="str">
        <x:f>INDEX({"CAQ","PLQ","QS","PQ","PCQ","Autre"},MATCH(MAX(AC64:AH64),AC64:AH64,0))</x:f>
        <x:v>CAQ</x:v>
      </x:c>
      <x:c r="AR64" s="99" t="str">
        <x:f>INDEX({"CAQ","PLQ","QS","PQ","PCQ","Autre"},MATCH(MAX(AI64:AN64),AI64:AN64,0))</x:f>
        <x:v>CAQ</x:v>
      </x:c>
      <x:c r="AS64" s="100" t="n">
        <x:f>(MAX(K64:P64)-LARGE(K64:P64,2))*100</x:f>
        <x:v>33.839539774836076</x:v>
      </x:c>
      <x:c r="AT64" s="101" t="str">
        <x:f>IF(AS64&lt;5,"Oui","Non")</x:f>
        <x:v>Non</x:v>
      </x:c>
      <x:c r="AU64" s="102" t="n">
        <x:v>-2.749</x:v>
      </x:c>
      <x:c r="AV64" s="102" t="n">
        <x:v>5.659</x:v>
      </x:c>
      <x:c r="AW64" s="102" t="n">
        <x:v>0.205</x:v>
      </x:c>
      <x:c r="AX64" s="102" t="n">
        <x:v>-5.017</x:v>
      </x:c>
      <x:c r="AY64" s="96" t="n">
        <x:v>15814</x:v>
      </x:c>
      <x:c r="AZ64" s="96" t="n">
        <x:v>2723</x:v>
      </x:c>
      <x:c r="BA64" s="96" t="n">
        <x:v>4336</x:v>
      </x:c>
      <x:c r="BB64" s="96" t="n">
        <x:v>7767</x:v>
      </x:c>
      <x:c r="BC64" s="96" t="n">
        <x:v>986</x:v>
      </x:c>
      <x:c r="BD64" s="97" t="e">
        <x:f>AY64*INDEX(Régions!$AQ$2:$AQ$6,MATCH($B64,Régions!$A$2:$A$6,0))</x:f>
        <x:v>#NAME?</x:v>
      </x:c>
      <x:c r="BE64" s="97" t="e">
        <x:f>AZ64*INDEX(Régions!$AR$2:$AR$6,MATCH($B64,Régions!$A$2:$A$6,0))</x:f>
        <x:v>#NAME?</x:v>
      </x:c>
      <x:c r="BF64" s="97" t="e">
        <x:f>BA64*INDEX(Régions!$AS$2:$AS$6,MATCH($B64,Régions!$A$2:$A$6,0))</x:f>
        <x:v>#NAME?</x:v>
      </x:c>
      <x:c r="BG64" s="97" t="e">
        <x:f>BB64*INDEX(Régions!$AT$2:$AT$6,MATCH($B64,Régions!$A$2:$A$6,0))</x:f>
        <x:v>#NAME?</x:v>
      </x:c>
      <x:c r="BH64" s="97" t="e">
        <x:f>U64</x:f>
        <x:v>#NAME?</x:v>
      </x:c>
      <x:c r="BI64" s="97" t="e">
        <x:f>BC64*INDEX(Régions!$AU$2:$AU$6,MATCH($B64,Régions!$A$2:$A$6,0))</x:f>
        <x:v>#NAME?</x:v>
      </x:c>
      <x:c r="BJ64" s="97" t="str">
        <x:f>INDEX({"CAQ","PLQ","QS","PQ","PCQ","Autre"},MATCH(MAX(BD64:BI64),BD64:BI64,0))</x:f>
        <x:v>CAQ</x:v>
      </x:c>
    </x:row>
    <x:row r="65" s="60" customFormat="1" ht="15" customHeight="1">
      <x:c r="A65" s="94" t="inlineStr">
        <x:is>
          <x:t xml:space="preserve">Lotbinière-Frontenac</x:t>
        </x:is>
      </x:c>
      <x:c r="B65" s="94" t="inlineStr">
        <x:is>
          <x:t xml:space="preserve">Reste du Québec</x:t>
        </x:is>
      </x:c>
      <x:c r="C65" s="95" t="inlineStr">
        <x:is>
          <x:t xml:space="preserve">CAQ</x:t>
        </x:is>
      </x:c>
      <x:c r="D65" s="96" t="n">
        <x:v>18331</x:v>
      </x:c>
      <x:c r="E65" s="96" t="n">
        <x:v>2483</x:v>
      </x:c>
      <x:c r="F65" s="96" t="n">
        <x:v>3925</x:v>
      </x:c>
      <x:c r="G65" s="96" t="n">
        <x:v>3688</x:v>
      </x:c>
      <x:c r="H65" s="96" t="n">
        <x:v>13503</x:v>
      </x:c>
      <x:c r="I65" s="96" t="n">
        <x:v>0</x:v>
      </x:c>
      <x:c r="J65" s="97" t="n">
        <x:f>SUM(D65:I65)</x:f>
        <x:v>41930</x:v>
      </x:c>
      <x:c r="K65" s="98" t="n">
        <x:f>IFERROR(D65/J65,0)</x:f>
        <x:v>0.43718101597901265</x:v>
      </x:c>
      <x:c r="L65" s="98" t="n">
        <x:f>IFERROR(E65/J65,0)</x:f>
        <x:v>0.05921774385881231</x:v>
      </x:c>
      <x:c r="M65" s="98" t="n">
        <x:f>IFERROR(F65/J65,0)</x:f>
        <x:v>0.0936083949439542</x:v>
      </x:c>
      <x:c r="N65" s="98" t="n">
        <x:f>IFERROR(G65/J65,0)</x:f>
        <x:v>0.08795611733842118</x:v>
      </x:c>
      <x:c r="O65" s="98" t="n">
        <x:f>IFERROR(H65/J65,0)</x:f>
        <x:v>0.32203672787979964</x:v>
      </x:c>
      <x:c r="P65" s="98" t="n">
        <x:f>IFERROR(I65/J65,0)</x:f>
        <x:v>0</x:v>
      </x:c>
      <x:c r="Q65" s="97" t="e">
        <x:f>D65*INDEX(Régions!$T$2:$T$6,MATCH($B65,Régions!$A$2:$A$6,0))</x:f>
        <x:v>#NAME?</x:v>
      </x:c>
      <x:c r="R65" s="97" t="e">
        <x:f>E65*INDEX(Régions!$U$2:$U$6,MATCH($B65,Régions!$A$2:$A$6,0))</x:f>
        <x:v>#NAME?</x:v>
      </x:c>
      <x:c r="S65" s="97" t="e">
        <x:f>F65*INDEX(Régions!$V$2:$V$6,MATCH($B65,Régions!$A$2:$A$6,0))</x:f>
        <x:v>#NAME?</x:v>
      </x:c>
      <x:c r="T65" s="97" t="e">
        <x:f>G65*INDEX(Régions!$W$2:$W$6,MATCH($B65,Régions!$A$2:$A$6,0))</x:f>
        <x:v>#NAME?</x:v>
      </x:c>
      <x:c r="U65" s="97" t="e">
        <x:f>H65*INDEX(Régions!$X$2:$X$6,MATCH($B65,Régions!$A$2:$A$6,0))</x:f>
        <x:v>#NAME?</x:v>
      </x:c>
      <x:c r="V65" s="97" t="e">
        <x:f>I65*INDEX(Régions!$Y$2:$Y$6,MATCH($B65,Régions!$A$2:$A$6,0))</x:f>
        <x:v>#NAME?</x:v>
      </x:c>
      <x:c r="W65" s="97" t="e">
        <x:f>Q65+(AU65/100)*J65*Régions!$O$2</x:f>
        <x:v>#NAME?</x:v>
      </x:c>
      <x:c r="X65" s="97" t="e">
        <x:f>R65+(AV65/100)*J65*Régions!$O$2</x:f>
        <x:v>#NAME?</x:v>
      </x:c>
      <x:c r="Y65" s="97" t="e">
        <x:f>S65+(AW65/100)*J65*Régions!$O$2</x:f>
        <x:v>#NAME?</x:v>
      </x:c>
      <x:c r="Z65" s="97" t="e">
        <x:f>T65+(AX65/100)*J65*Régions!$O$2</x:f>
        <x:v>#NAME?</x:v>
      </x:c>
      <x:c r="AA65" s="97" t="e">
        <x:f>U65</x:f>
        <x:v>#NAME?</x:v>
      </x:c>
      <x:c r="AB65" s="97" t="e">
        <x:f>V65</x:f>
        <x:v>#NAME?</x:v>
      </x:c>
      <x:c r="AC65" s="97" t="e">
        <x:f>D65*INDEX(Régions!$Z$2:$Z$6,MATCH($B65,Régions!$A$2:$A$6,0))</x:f>
        <x:v>#NAME?</x:v>
      </x:c>
      <x:c r="AD65" s="97" t="e">
        <x:f>E65*INDEX(Régions!$AA$2:$AA$6,MATCH($B65,Régions!$A$2:$A$6,0))</x:f>
        <x:v>#NAME?</x:v>
      </x:c>
      <x:c r="AE65" s="97" t="e">
        <x:f>F65*INDEX(Régions!$AB$2:$AB$6,MATCH($B65,Régions!$A$2:$A$6,0))</x:f>
        <x:v>#NAME?</x:v>
      </x:c>
      <x:c r="AF65" s="97" t="e">
        <x:f>G65*INDEX(Régions!$AC$2:$AC$6,MATCH($B65,Régions!$A$2:$A$6,0))</x:f>
        <x:v>#NAME?</x:v>
      </x:c>
      <x:c r="AG65" s="97" t="e">
        <x:f>H65*INDEX(Régions!$AD$2:$AD$6,MATCH($B65,Régions!$A$2:$A$6,0))</x:f>
        <x:v>#NAME?</x:v>
      </x:c>
      <x:c r="AH65" s="97" t="e">
        <x:f>I65*INDEX(Régions!$AE$2:$AE$6,MATCH($B65,Régions!$A$2:$A$6,0))</x:f>
        <x:v>#NAME?</x:v>
      </x:c>
      <x:c r="AI65" s="97" t="e">
        <x:f>D65*INDEX(Régions!$AF$2:$AF$6,MATCH($B65,Régions!$A$2:$A$6,0))</x:f>
        <x:v>#NAME?</x:v>
      </x:c>
      <x:c r="AJ65" s="97" t="e">
        <x:f>E65*INDEX(Régions!$AG$2:$AG$6,MATCH($B65,Régions!$A$2:$A$6,0))</x:f>
        <x:v>#NAME?</x:v>
      </x:c>
      <x:c r="AK65" s="97" t="e">
        <x:f>F65*INDEX(Régions!$AH$2:$AH$6,MATCH($B65,Régions!$A$2:$A$6,0))</x:f>
        <x:v>#NAME?</x:v>
      </x:c>
      <x:c r="AL65" s="97" t="e">
        <x:f>G65*INDEX(Régions!$AI$2:$AI$6,MATCH($B65,Régions!$A$2:$A$6,0))</x:f>
        <x:v>#NAME?</x:v>
      </x:c>
      <x:c r="AM65" s="97" t="e">
        <x:f>H65*INDEX(Régions!$AJ$2:$AJ$6,MATCH($B65,Régions!$A$2:$A$6,0))</x:f>
        <x:v>#NAME?</x:v>
      </x:c>
      <x:c r="AN65" s="97" t="e">
        <x:f>I65*INDEX(Régions!$AK$2:$AK$6,MATCH($B65,Régions!$A$2:$A$6,0))</x:f>
        <x:v>#NAME?</x:v>
      </x:c>
      <x:c r="AO65" s="99" t="str">
        <x:f>INDEX({"CAQ","PLQ","QS","PQ","PCQ","Autre"},MATCH(MAX(Q65:V65),Q65:V65,0))</x:f>
        <x:v>CAQ</x:v>
      </x:c>
      <x:c r="AP65" s="99" t="str">
        <x:f>INDEX({"CAQ","PLQ","QS","PQ","PCQ","Autre"},MATCH(MAX(W65:AB65),W65:AB65,0))</x:f>
        <x:v>CAQ</x:v>
      </x:c>
      <x:c r="AQ65" s="99" t="str">
        <x:f>INDEX({"CAQ","PLQ","QS","PQ","PCQ","Autre"},MATCH(MAX(AC65:AH65),AC65:AH65,0))</x:f>
        <x:v>CAQ</x:v>
      </x:c>
      <x:c r="AR65" s="99" t="str">
        <x:f>INDEX({"CAQ","PLQ","QS","PQ","PCQ","Autre"},MATCH(MAX(AI65:AN65),AI65:AN65,0))</x:f>
        <x:v>CAQ</x:v>
      </x:c>
      <x:c r="AS65" s="100" t="n">
        <x:f>(MAX(K65:P65)-LARGE(K65:P65,2))*100</x:f>
        <x:v>11.5144288099213</x:v>
      </x:c>
      <x:c r="AT65" s="101" t="str">
        <x:f>IF(AS65&lt;5,"Oui","Non")</x:f>
        <x:v>Non</x:v>
      </x:c>
      <x:c r="AU65" s="102" t="n">
        <x:v>-16.017</x:v>
      </x:c>
      <x:c r="AV65" s="102" t="n">
        <x:v>-1.779</x:v>
      </x:c>
      <x:c r="AW65" s="102" t="n">
        <x:v>0.857</x:v>
      </x:c>
      <x:c r="AX65" s="102" t="n">
        <x:v>3.294</x:v>
      </x:c>
      <x:c r="AY65" s="96" t="n">
        <x:v>20360</x:v>
      </x:c>
      <x:c r="AZ65" s="96" t="n">
        <x:v>7742</x:v>
      </x:c>
      <x:c r="BA65" s="96" t="n">
        <x:v>3593</x:v>
      </x:c>
      <x:c r="BB65" s="96" t="n">
        <x:v>3591</x:v>
      </x:c>
      <x:c r="BC65" s="96" t="n">
        <x:v>2569</x:v>
      </x:c>
      <x:c r="BD65" s="97" t="e">
        <x:f>AY65*INDEX(Régions!$AQ$2:$AQ$6,MATCH($B65,Régions!$A$2:$A$6,0))</x:f>
        <x:v>#NAME?</x:v>
      </x:c>
      <x:c r="BE65" s="97" t="e">
        <x:f>AZ65*INDEX(Régions!$AR$2:$AR$6,MATCH($B65,Régions!$A$2:$A$6,0))</x:f>
        <x:v>#NAME?</x:v>
      </x:c>
      <x:c r="BF65" s="97" t="e">
        <x:f>BA65*INDEX(Régions!$AS$2:$AS$6,MATCH($B65,Régions!$A$2:$A$6,0))</x:f>
        <x:v>#NAME?</x:v>
      </x:c>
      <x:c r="BG65" s="97" t="e">
        <x:f>BB65*INDEX(Régions!$AT$2:$AT$6,MATCH($B65,Régions!$A$2:$A$6,0))</x:f>
        <x:v>#NAME?</x:v>
      </x:c>
      <x:c r="BH65" s="97" t="e">
        <x:f>U65</x:f>
        <x:v>#NAME?</x:v>
      </x:c>
      <x:c r="BI65" s="97" t="e">
        <x:f>BC65*INDEX(Régions!$AU$2:$AU$6,MATCH($B65,Régions!$A$2:$A$6,0))</x:f>
        <x:v>#NAME?</x:v>
      </x:c>
      <x:c r="BJ65" s="97" t="str">
        <x:f>INDEX({"CAQ","PLQ","QS","PQ","PCQ","Autre"},MATCH(MAX(BD65:BI65),BD65:BI65,0))</x:f>
        <x:v>CAQ</x:v>
      </x:c>
    </x:row>
    <x:row r="66" s="60" customFormat="1" ht="15" customHeight="1">
      <x:c r="A66" s="94" t="inlineStr">
        <x:is>
          <x:t xml:space="preserve">Louis-Hébert</x:t>
        </x:is>
      </x:c>
      <x:c r="B66" s="94" t="inlineStr">
        <x:is>
          <x:t xml:space="preserve">Québec RMR</x:t>
        </x:is>
      </x:c>
      <x:c r="C66" s="95" t="inlineStr">
        <x:is>
          <x:t xml:space="preserve">CAQ</x:t>
        </x:is>
      </x:c>
      <x:c r="D66" s="96" t="n">
        <x:v>17803</x:v>
      </x:c>
      <x:c r="E66" s="96" t="n">
        <x:v>3283</x:v>
      </x:c>
      <x:c r="F66" s="96" t="n">
        <x:v>4537</x:v>
      </x:c>
      <x:c r="G66" s="96" t="n">
        <x:v>6228</x:v>
      </x:c>
      <x:c r="H66" s="96" t="n">
        <x:v>5509</x:v>
      </x:c>
      <x:c r="I66" s="96" t="n">
        <x:v>350</x:v>
      </x:c>
      <x:c r="J66" s="97" t="n">
        <x:f>SUM(D66:I66)</x:f>
        <x:v>37710</x:v>
      </x:c>
      <x:c r="K66" s="98" t="n">
        <x:f>IFERROR(D66/J66,0)</x:f>
        <x:v>0.4721028904799788</x:v>
      </x:c>
      <x:c r="L66" s="98" t="n">
        <x:f>IFERROR(E66/J66,0)</x:f>
        <x:v>0.08705913550782286</x:v>
      </x:c>
      <x:c r="M66" s="98" t="n">
        <x:f>IFERROR(F66/J66,0)</x:f>
        <x:v>0.12031291434632724</x:v>
      </x:c>
      <x:c r="N66" s="98" t="n">
        <x:f>IFERROR(G66/J66,0)</x:f>
        <x:v>0.16515513126491646</x:v>
      </x:c>
      <x:c r="O66" s="98" t="n">
        <x:f>IFERROR(H66/J66,0)</x:f>
        <x:v>0.14608857067090958</x:v>
      </x:c>
      <x:c r="P66" s="98" t="n">
        <x:f>IFERROR(I66/J66,0)</x:f>
        <x:v>0.00928135773004508</x:v>
      </x:c>
      <x:c r="Q66" s="97" t="e">
        <x:f>D66*INDEX(Régions!$T$2:$T$6,MATCH($B66,Régions!$A$2:$A$6,0))</x:f>
        <x:v>#NAME?</x:v>
      </x:c>
      <x:c r="R66" s="97" t="e">
        <x:f>E66*INDEX(Régions!$U$2:$U$6,MATCH($B66,Régions!$A$2:$A$6,0))</x:f>
        <x:v>#NAME?</x:v>
      </x:c>
      <x:c r="S66" s="97" t="e">
        <x:f>F66*INDEX(Régions!$V$2:$V$6,MATCH($B66,Régions!$A$2:$A$6,0))</x:f>
        <x:v>#NAME?</x:v>
      </x:c>
      <x:c r="T66" s="97" t="e">
        <x:f>G66*INDEX(Régions!$W$2:$W$6,MATCH($B66,Régions!$A$2:$A$6,0))</x:f>
        <x:v>#NAME?</x:v>
      </x:c>
      <x:c r="U66" s="97" t="e">
        <x:f>H66*INDEX(Régions!$X$2:$X$6,MATCH($B66,Régions!$A$2:$A$6,0))</x:f>
        <x:v>#NAME?</x:v>
      </x:c>
      <x:c r="V66" s="97" t="e">
        <x:f>I66*INDEX(Régions!$Y$2:$Y$6,MATCH($B66,Régions!$A$2:$A$6,0))</x:f>
        <x:v>#NAME?</x:v>
      </x:c>
      <x:c r="W66" s="97" t="e">
        <x:f>Q66+(AU66/100)*J66*Régions!$O$2</x:f>
        <x:v>#NAME?</x:v>
      </x:c>
      <x:c r="X66" s="97" t="e">
        <x:f>R66+(AV66/100)*J66*Régions!$O$2</x:f>
        <x:v>#NAME?</x:v>
      </x:c>
      <x:c r="Y66" s="97" t="e">
        <x:f>S66+(AW66/100)*J66*Régions!$O$2</x:f>
        <x:v>#NAME?</x:v>
      </x:c>
      <x:c r="Z66" s="97" t="e">
        <x:f>T66+(AX66/100)*J66*Régions!$O$2</x:f>
        <x:v>#NAME?</x:v>
      </x:c>
      <x:c r="AA66" s="97" t="e">
        <x:f>U66</x:f>
        <x:v>#NAME?</x:v>
      </x:c>
      <x:c r="AB66" s="97" t="e">
        <x:f>V66</x:f>
        <x:v>#NAME?</x:v>
      </x:c>
      <x:c r="AC66" s="97" t="e">
        <x:f>D66*INDEX(Régions!$Z$2:$Z$6,MATCH($B66,Régions!$A$2:$A$6,0))</x:f>
        <x:v>#NAME?</x:v>
      </x:c>
      <x:c r="AD66" s="97" t="e">
        <x:f>E66*INDEX(Régions!$AA$2:$AA$6,MATCH($B66,Régions!$A$2:$A$6,0))</x:f>
        <x:v>#NAME?</x:v>
      </x:c>
      <x:c r="AE66" s="97" t="e">
        <x:f>F66*INDEX(Régions!$AB$2:$AB$6,MATCH($B66,Régions!$A$2:$A$6,0))</x:f>
        <x:v>#NAME?</x:v>
      </x:c>
      <x:c r="AF66" s="97" t="e">
        <x:f>G66*INDEX(Régions!$AC$2:$AC$6,MATCH($B66,Régions!$A$2:$A$6,0))</x:f>
        <x:v>#NAME?</x:v>
      </x:c>
      <x:c r="AG66" s="97" t="e">
        <x:f>H66*INDEX(Régions!$AD$2:$AD$6,MATCH($B66,Régions!$A$2:$A$6,0))</x:f>
        <x:v>#NAME?</x:v>
      </x:c>
      <x:c r="AH66" s="97" t="e">
        <x:f>I66*INDEX(Régions!$AE$2:$AE$6,MATCH($B66,Régions!$A$2:$A$6,0))</x:f>
        <x:v>#NAME?</x:v>
      </x:c>
      <x:c r="AI66" s="97" t="e">
        <x:f>D66*INDEX(Régions!$AF$2:$AF$6,MATCH($B66,Régions!$A$2:$A$6,0))</x:f>
        <x:v>#NAME?</x:v>
      </x:c>
      <x:c r="AJ66" s="97" t="e">
        <x:f>E66*INDEX(Régions!$AG$2:$AG$6,MATCH($B66,Régions!$A$2:$A$6,0))</x:f>
        <x:v>#NAME?</x:v>
      </x:c>
      <x:c r="AK66" s="97" t="e">
        <x:f>F66*INDEX(Régions!$AH$2:$AH$6,MATCH($B66,Régions!$A$2:$A$6,0))</x:f>
        <x:v>#NAME?</x:v>
      </x:c>
      <x:c r="AL66" s="97" t="e">
        <x:f>G66*INDEX(Régions!$AI$2:$AI$6,MATCH($B66,Régions!$A$2:$A$6,0))</x:f>
        <x:v>#NAME?</x:v>
      </x:c>
      <x:c r="AM66" s="97" t="e">
        <x:f>H66*INDEX(Régions!$AJ$2:$AJ$6,MATCH($B66,Régions!$A$2:$A$6,0))</x:f>
        <x:v>#NAME?</x:v>
      </x:c>
      <x:c r="AN66" s="97" t="e">
        <x:f>I66*INDEX(Régions!$AK$2:$AK$6,MATCH($B66,Régions!$A$2:$A$6,0))</x:f>
        <x:v>#NAME?</x:v>
      </x:c>
      <x:c r="AO66" s="99" t="str">
        <x:f>INDEX({"CAQ","PLQ","QS","PQ","PCQ","Autre"},MATCH(MAX(Q66:V66),Q66:V66,0))</x:f>
        <x:v>CAQ</x:v>
      </x:c>
      <x:c r="AP66" s="99" t="str">
        <x:f>INDEX({"CAQ","PLQ","QS","PQ","PCQ","Autre"},MATCH(MAX(W66:AB66),W66:AB66,0))</x:f>
        <x:v>CAQ</x:v>
      </x:c>
      <x:c r="AQ66" s="99" t="str">
        <x:f>INDEX({"CAQ","PLQ","QS","PQ","PCQ","Autre"},MATCH(MAX(AC66:AH66),AC66:AH66,0))</x:f>
        <x:v>CAQ</x:v>
      </x:c>
      <x:c r="AR66" s="99" t="str">
        <x:f>INDEX({"CAQ","PLQ","QS","PQ","PCQ","Autre"},MATCH(MAX(AI66:AN66),AI66:AN66,0))</x:f>
        <x:v>CAQ</x:v>
      </x:c>
      <x:c r="AS66" s="100" t="n">
        <x:f>(MAX(K66:P66)-LARGE(K66:P66,2))*100</x:f>
        <x:v>30.694775921506235</x:v>
      </x:c>
      <x:c r="AT66" s="101" t="str">
        <x:f>IF(AS66&lt;5,"Oui","Non")</x:f>
        <x:v>Non</x:v>
      </x:c>
      <x:c r="AU66" s="102" t="n">
        <x:v>5.724</x:v>
      </x:c>
      <x:c r="AV66" s="102" t="n">
        <x:v>-3.048</x:v>
      </x:c>
      <x:c r="AW66" s="102" t="n">
        <x:v>1.411</x:v>
      </x:c>
      <x:c r="AX66" s="102" t="n">
        <x:v>2.138</x:v>
      </x:c>
      <x:c r="AY66" s="96" t="n">
        <x:v>16248</x:v>
      </x:c>
      <x:c r="AZ66" s="96" t="n">
        <x:v>9700</x:v>
      </x:c>
      <x:c r="BA66" s="96" t="n">
        <x:v>4030</x:v>
      </x:c>
      <x:c r="BB66" s="96" t="n">
        <x:v>4529</x:v>
      </x:c>
      <x:c r="BC66" s="96" t="n">
        <x:v>1933</x:v>
      </x:c>
      <x:c r="BD66" s="97" t="e">
        <x:f>AY66*INDEX(Régions!$AQ$2:$AQ$6,MATCH($B66,Régions!$A$2:$A$6,0))</x:f>
        <x:v>#NAME?</x:v>
      </x:c>
      <x:c r="BE66" s="97" t="e">
        <x:f>AZ66*INDEX(Régions!$AR$2:$AR$6,MATCH($B66,Régions!$A$2:$A$6,0))</x:f>
        <x:v>#NAME?</x:v>
      </x:c>
      <x:c r="BF66" s="97" t="e">
        <x:f>BA66*INDEX(Régions!$AS$2:$AS$6,MATCH($B66,Régions!$A$2:$A$6,0))</x:f>
        <x:v>#NAME?</x:v>
      </x:c>
      <x:c r="BG66" s="97" t="e">
        <x:f>BB66*INDEX(Régions!$AT$2:$AT$6,MATCH($B66,Régions!$A$2:$A$6,0))</x:f>
        <x:v>#NAME?</x:v>
      </x:c>
      <x:c r="BH66" s="97" t="e">
        <x:f>U66</x:f>
        <x:v>#NAME?</x:v>
      </x:c>
      <x:c r="BI66" s="97" t="e">
        <x:f>BC66*INDEX(Régions!$AU$2:$AU$6,MATCH($B66,Régions!$A$2:$A$6,0))</x:f>
        <x:v>#NAME?</x:v>
      </x:c>
      <x:c r="BJ66" s="97" t="str">
        <x:f>INDEX({"CAQ","PLQ","QS","PQ","PCQ","Autre"},MATCH(MAX(BD66:BI66),BD66:BI66,0))</x:f>
        <x:v>CAQ</x:v>
      </x:c>
    </x:row>
    <x:row r="67" s="60" customFormat="1" ht="15" customHeight="1">
      <x:c r="A67" s="94" t="inlineStr">
        <x:is>
          <x:t xml:space="preserve">Lévis</x:t>
        </x:is>
      </x:c>
      <x:c r="B67" s="94" t="inlineStr">
        <x:is>
          <x:t xml:space="preserve">Québec RMR</x:t>
        </x:is>
      </x:c>
      <x:c r="C67" s="95" t="inlineStr">
        <x:is>
          <x:t xml:space="preserve">CAQ</x:t>
        </x:is>
      </x:c>
      <x:c r="D67" s="96" t="n">
        <x:v>18051</x:v>
      </x:c>
      <x:c r="E67" s="96" t="n">
        <x:v>1899</x:v>
      </x:c>
      <x:c r="F67" s="96" t="n">
        <x:v>4244</x:v>
      </x:c>
      <x:c r="G67" s="96" t="n">
        <x:v>4775</x:v>
      </x:c>
      <x:c r="H67" s="96" t="n">
        <x:v>7677</x:v>
      </x:c>
      <x:c r="I67" s="96" t="n">
        <x:v>351</x:v>
      </x:c>
      <x:c r="J67" s="97" t="n">
        <x:f>SUM(D67:I67)</x:f>
        <x:v>36997</x:v>
      </x:c>
      <x:c r="K67" s="98" t="n">
        <x:f>IFERROR(D67/J67,0)</x:f>
        <x:v>0.4879044246830824</x:v>
      </x:c>
      <x:c r="L67" s="98" t="n">
        <x:f>IFERROR(E67/J67,0)</x:f>
        <x:v>0.05132848609346704</x:v>
      </x:c>
      <x:c r="M67" s="98" t="n">
        <x:f>IFERROR(F67/J67,0)</x:f>
        <x:v>0.11471200367597373</x:v>
      </x:c>
      <x:c r="N67" s="98" t="n">
        <x:f>IFERROR(G67/J67,0)</x:f>
        <x:v>0.1290645187447631</x:v>
      </x:c>
      <x:c r="O67" s="98" t="n">
        <x:f>IFERROR(H67/J67,0)</x:f>
        <x:v>0.2075033110792767</x:v>
      </x:c>
      <x:c r="P67" s="98" t="n">
        <x:f>IFERROR(I67/J67,0)</x:f>
        <x:v>0.009487255723437036</x:v>
      </x:c>
      <x:c r="Q67" s="97" t="e">
        <x:f>D67*INDEX(Régions!$T$2:$T$6,MATCH($B67,Régions!$A$2:$A$6,0))</x:f>
        <x:v>#NAME?</x:v>
      </x:c>
      <x:c r="R67" s="97" t="e">
        <x:f>E67*INDEX(Régions!$U$2:$U$6,MATCH($B67,Régions!$A$2:$A$6,0))</x:f>
        <x:v>#NAME?</x:v>
      </x:c>
      <x:c r="S67" s="97" t="e">
        <x:f>F67*INDEX(Régions!$V$2:$V$6,MATCH($B67,Régions!$A$2:$A$6,0))</x:f>
        <x:v>#NAME?</x:v>
      </x:c>
      <x:c r="T67" s="97" t="e">
        <x:f>G67*INDEX(Régions!$W$2:$W$6,MATCH($B67,Régions!$A$2:$A$6,0))</x:f>
        <x:v>#NAME?</x:v>
      </x:c>
      <x:c r="U67" s="97" t="e">
        <x:f>H67*INDEX(Régions!$X$2:$X$6,MATCH($B67,Régions!$A$2:$A$6,0))</x:f>
        <x:v>#NAME?</x:v>
      </x:c>
      <x:c r="V67" s="97" t="e">
        <x:f>I67*INDEX(Régions!$Y$2:$Y$6,MATCH($B67,Régions!$A$2:$A$6,0))</x:f>
        <x:v>#NAME?</x:v>
      </x:c>
      <x:c r="W67" s="97" t="e">
        <x:f>Q67+(AU67/100)*J67*Régions!$O$2</x:f>
        <x:v>#NAME?</x:v>
      </x:c>
      <x:c r="X67" s="97" t="e">
        <x:f>R67+(AV67/100)*J67*Régions!$O$2</x:f>
        <x:v>#NAME?</x:v>
      </x:c>
      <x:c r="Y67" s="97" t="e">
        <x:f>S67+(AW67/100)*J67*Régions!$O$2</x:f>
        <x:v>#NAME?</x:v>
      </x:c>
      <x:c r="Z67" s="97" t="e">
        <x:f>T67+(AX67/100)*J67*Régions!$O$2</x:f>
        <x:v>#NAME?</x:v>
      </x:c>
      <x:c r="AA67" s="97" t="e">
        <x:f>U67</x:f>
        <x:v>#NAME?</x:v>
      </x:c>
      <x:c r="AB67" s="97" t="e">
        <x:f>V67</x:f>
        <x:v>#NAME?</x:v>
      </x:c>
      <x:c r="AC67" s="97" t="e">
        <x:f>D67*INDEX(Régions!$Z$2:$Z$6,MATCH($B67,Régions!$A$2:$A$6,0))</x:f>
        <x:v>#NAME?</x:v>
      </x:c>
      <x:c r="AD67" s="97" t="e">
        <x:f>E67*INDEX(Régions!$AA$2:$AA$6,MATCH($B67,Régions!$A$2:$A$6,0))</x:f>
        <x:v>#NAME?</x:v>
      </x:c>
      <x:c r="AE67" s="97" t="e">
        <x:f>F67*INDEX(Régions!$AB$2:$AB$6,MATCH($B67,Régions!$A$2:$A$6,0))</x:f>
        <x:v>#NAME?</x:v>
      </x:c>
      <x:c r="AF67" s="97" t="e">
        <x:f>G67*INDEX(Régions!$AC$2:$AC$6,MATCH($B67,Régions!$A$2:$A$6,0))</x:f>
        <x:v>#NAME?</x:v>
      </x:c>
      <x:c r="AG67" s="97" t="e">
        <x:f>H67*INDEX(Régions!$AD$2:$AD$6,MATCH($B67,Régions!$A$2:$A$6,0))</x:f>
        <x:v>#NAME?</x:v>
      </x:c>
      <x:c r="AH67" s="97" t="e">
        <x:f>I67*INDEX(Régions!$AE$2:$AE$6,MATCH($B67,Régions!$A$2:$A$6,0))</x:f>
        <x:v>#NAME?</x:v>
      </x:c>
      <x:c r="AI67" s="97" t="e">
        <x:f>D67*INDEX(Régions!$AF$2:$AF$6,MATCH($B67,Régions!$A$2:$A$6,0))</x:f>
        <x:v>#NAME?</x:v>
      </x:c>
      <x:c r="AJ67" s="97" t="e">
        <x:f>E67*INDEX(Régions!$AG$2:$AG$6,MATCH($B67,Régions!$A$2:$A$6,0))</x:f>
        <x:v>#NAME?</x:v>
      </x:c>
      <x:c r="AK67" s="97" t="e">
        <x:f>F67*INDEX(Régions!$AH$2:$AH$6,MATCH($B67,Régions!$A$2:$A$6,0))</x:f>
        <x:v>#NAME?</x:v>
      </x:c>
      <x:c r="AL67" s="97" t="e">
        <x:f>G67*INDEX(Régions!$AI$2:$AI$6,MATCH($B67,Régions!$A$2:$A$6,0))</x:f>
        <x:v>#NAME?</x:v>
      </x:c>
      <x:c r="AM67" s="97" t="e">
        <x:f>H67*INDEX(Régions!$AJ$2:$AJ$6,MATCH($B67,Régions!$A$2:$A$6,0))</x:f>
        <x:v>#NAME?</x:v>
      </x:c>
      <x:c r="AN67" s="97" t="e">
        <x:f>I67*INDEX(Régions!$AK$2:$AK$6,MATCH($B67,Régions!$A$2:$A$6,0))</x:f>
        <x:v>#NAME?</x:v>
      </x:c>
      <x:c r="AO67" s="99" t="str">
        <x:f>INDEX({"CAQ","PLQ","QS","PQ","PCQ","Autre"},MATCH(MAX(Q67:V67),Q67:V67,0))</x:f>
        <x:v>CAQ</x:v>
      </x:c>
      <x:c r="AP67" s="99" t="str">
        <x:f>INDEX({"CAQ","PLQ","QS","PQ","PCQ","Autre"},MATCH(MAX(W67:AB67),W67:AB67,0))</x:f>
        <x:v>CAQ</x:v>
      </x:c>
      <x:c r="AQ67" s="99" t="str">
        <x:f>INDEX({"CAQ","PLQ","QS","PQ","PCQ","Autre"},MATCH(MAX(AC67:AH67),AC67:AH67,0))</x:f>
        <x:v>CAQ</x:v>
      </x:c>
      <x:c r="AR67" s="99" t="str">
        <x:f>INDEX({"CAQ","PLQ","QS","PQ","PCQ","Autre"},MATCH(MAX(AI67:AN67),AI67:AN67,0))</x:f>
        <x:v>CAQ</x:v>
      </x:c>
      <x:c r="AS67" s="100" t="n">
        <x:f>(MAX(K67:P67)-LARGE(K67:P67,2))*100</x:f>
        <x:v>28.04011136038057</x:v>
      </x:c>
      <x:c r="AT67" s="101" t="str">
        <x:f>IF(AS67&lt;5,"Oui","Non")</x:f>
        <x:v>Non</x:v>
      </x:c>
      <x:c r="AU67" s="102" t="n">
        <x:v>-5.4</x:v>
      </x:c>
      <x:c r="AV67" s="102" t="n">
        <x:v>5.537</x:v>
      </x:c>
      <x:c r="AW67" s="102" t="n">
        <x:v>0.17</x:v>
      </x:c>
      <x:c r="AX67" s="102" t="n">
        <x:v>0.704</x:v>
      </x:c>
      <x:c r="AY67" s="96" t="n">
        <x:v>19417</x:v>
      </x:c>
      <x:c r="AZ67" s="96" t="n">
        <x:v>4901</x:v>
      </x:c>
      <x:c r="BA67" s="96" t="n">
        <x:v>3979</x:v>
      </x:c>
      <x:c r="BB67" s="96" t="n">
        <x:v>3475</x:v>
      </x:c>
      <x:c r="BC67" s="96" t="n">
        <x:v>2119</x:v>
      </x:c>
      <x:c r="BD67" s="97" t="e">
        <x:f>AY67*INDEX(Régions!$AQ$2:$AQ$6,MATCH($B67,Régions!$A$2:$A$6,0))</x:f>
        <x:v>#NAME?</x:v>
      </x:c>
      <x:c r="BE67" s="97" t="e">
        <x:f>AZ67*INDEX(Régions!$AR$2:$AR$6,MATCH($B67,Régions!$A$2:$A$6,0))</x:f>
        <x:v>#NAME?</x:v>
      </x:c>
      <x:c r="BF67" s="97" t="e">
        <x:f>BA67*INDEX(Régions!$AS$2:$AS$6,MATCH($B67,Régions!$A$2:$A$6,0))</x:f>
        <x:v>#NAME?</x:v>
      </x:c>
      <x:c r="BG67" s="97" t="e">
        <x:f>BB67*INDEX(Régions!$AT$2:$AT$6,MATCH($B67,Régions!$A$2:$A$6,0))</x:f>
        <x:v>#NAME?</x:v>
      </x:c>
      <x:c r="BH67" s="97" t="e">
        <x:f>U67</x:f>
        <x:v>#NAME?</x:v>
      </x:c>
      <x:c r="BI67" s="97" t="e">
        <x:f>BC67*INDEX(Régions!$AU$2:$AU$6,MATCH($B67,Régions!$A$2:$A$6,0))</x:f>
        <x:v>#NAME?</x:v>
      </x:c>
      <x:c r="BJ67" s="97" t="str">
        <x:f>INDEX({"CAQ","PLQ","QS","PQ","PCQ","Autre"},MATCH(MAX(BD67:BI67),BD67:BI67,0))</x:f>
        <x:v>CAQ</x:v>
      </x:c>
    </x:row>
    <x:row r="68" s="60" customFormat="1" ht="15" customHeight="1">
      <x:c r="A68" s="94" t="inlineStr">
        <x:is>
          <x:t xml:space="preserve">Marguerite-Bourgeoys</x:t>
        </x:is>
      </x:c>
      <x:c r="B68" s="94" t="inlineStr">
        <x:is>
          <x:t xml:space="preserve">Île de Montréal</x:t>
        </x:is>
      </x:c>
      <x:c r="C68" s="95" t="inlineStr">
        <x:is>
          <x:t xml:space="preserve">PLQ</x:t>
        </x:is>
      </x:c>
      <x:c r="D68" s="96" t="n">
        <x:v>6533</x:v>
      </x:c>
      <x:c r="E68" s="96" t="n">
        <x:v>12635</x:v>
      </x:c>
      <x:c r="F68" s="96" t="n">
        <x:v>2898</x:v>
      </x:c>
      <x:c r="G68" s="96" t="n">
        <x:v>1966</x:v>
      </x:c>
      <x:c r="H68" s="96" t="n">
        <x:v>3103</x:v>
      </x:c>
      <x:c r="I68" s="96" t="n">
        <x:v>1081</x:v>
      </x:c>
      <x:c r="J68" s="97" t="n">
        <x:f>SUM(D68:I68)</x:f>
        <x:v>28216</x:v>
      </x:c>
      <x:c r="K68" s="98" t="n">
        <x:f>IFERROR(D68/J68,0)</x:f>
        <x:v>0.23153529912106607</x:v>
      </x:c>
      <x:c r="L68" s="98" t="n">
        <x:f>IFERROR(E68/J68,0)</x:f>
        <x:v>0.44779557697760136</x:v>
      </x:c>
      <x:c r="M68" s="98" t="n">
        <x:f>IFERROR(F68/J68,0)</x:f>
        <x:v>0.10270768358378225</x:v>
      </x:c>
      <x:c r="N68" s="98" t="n">
        <x:f>IFERROR(G68/J68,0)</x:f>
        <x:v>0.06967677913240715</x:v>
      </x:c>
      <x:c r="O68" s="98" t="n">
        <x:f>IFERROR(H68/J68,0)</x:f>
        <x:v>0.10997306492770059</x:v>
      </x:c>
      <x:c r="P68" s="98" t="n">
        <x:f>IFERROR(I68/J68,0)</x:f>
        <x:v>0.038311596257442584</x:v>
      </x:c>
      <x:c r="Q68" s="97" t="e">
        <x:f>D68*INDEX(Régions!$T$2:$T$6,MATCH($B68,Régions!$A$2:$A$6,0))</x:f>
        <x:v>#NAME?</x:v>
      </x:c>
      <x:c r="R68" s="97" t="e">
        <x:f>E68*INDEX(Régions!$U$2:$U$6,MATCH($B68,Régions!$A$2:$A$6,0))</x:f>
        <x:v>#NAME?</x:v>
      </x:c>
      <x:c r="S68" s="97" t="e">
        <x:f>F68*INDEX(Régions!$V$2:$V$6,MATCH($B68,Régions!$A$2:$A$6,0))</x:f>
        <x:v>#NAME?</x:v>
      </x:c>
      <x:c r="T68" s="97" t="e">
        <x:f>G68*INDEX(Régions!$W$2:$W$6,MATCH($B68,Régions!$A$2:$A$6,0))</x:f>
        <x:v>#NAME?</x:v>
      </x:c>
      <x:c r="U68" s="97" t="e">
        <x:f>H68*INDEX(Régions!$X$2:$X$6,MATCH($B68,Régions!$A$2:$A$6,0))</x:f>
        <x:v>#NAME?</x:v>
      </x:c>
      <x:c r="V68" s="97" t="e">
        <x:f>I68*INDEX(Régions!$Y$2:$Y$6,MATCH($B68,Régions!$A$2:$A$6,0))</x:f>
        <x:v>#NAME?</x:v>
      </x:c>
      <x:c r="W68" s="97" t="e">
        <x:f>Q68+(AU68/100)*J68*Régions!$O$2</x:f>
        <x:v>#NAME?</x:v>
      </x:c>
      <x:c r="X68" s="97" t="e">
        <x:f>R68+(AV68/100)*J68*Régions!$O$2</x:f>
        <x:v>#NAME?</x:v>
      </x:c>
      <x:c r="Y68" s="97" t="e">
        <x:f>S68+(AW68/100)*J68*Régions!$O$2</x:f>
        <x:v>#NAME?</x:v>
      </x:c>
      <x:c r="Z68" s="97" t="e">
        <x:f>T68+(AX68/100)*J68*Régions!$O$2</x:f>
        <x:v>#NAME?</x:v>
      </x:c>
      <x:c r="AA68" s="97" t="e">
        <x:f>U68</x:f>
        <x:v>#NAME?</x:v>
      </x:c>
      <x:c r="AB68" s="97" t="e">
        <x:f>V68</x:f>
        <x:v>#NAME?</x:v>
      </x:c>
      <x:c r="AC68" s="97" t="e">
        <x:f>D68*INDEX(Régions!$Z$2:$Z$6,MATCH($B68,Régions!$A$2:$A$6,0))</x:f>
        <x:v>#NAME?</x:v>
      </x:c>
      <x:c r="AD68" s="97" t="e">
        <x:f>E68*INDEX(Régions!$AA$2:$AA$6,MATCH($B68,Régions!$A$2:$A$6,0))</x:f>
        <x:v>#NAME?</x:v>
      </x:c>
      <x:c r="AE68" s="97" t="e">
        <x:f>F68*INDEX(Régions!$AB$2:$AB$6,MATCH($B68,Régions!$A$2:$A$6,0))</x:f>
        <x:v>#NAME?</x:v>
      </x:c>
      <x:c r="AF68" s="97" t="e">
        <x:f>G68*INDEX(Régions!$AC$2:$AC$6,MATCH($B68,Régions!$A$2:$A$6,0))</x:f>
        <x:v>#NAME?</x:v>
      </x:c>
      <x:c r="AG68" s="97" t="e">
        <x:f>H68*INDEX(Régions!$AD$2:$AD$6,MATCH($B68,Régions!$A$2:$A$6,0))</x:f>
        <x:v>#NAME?</x:v>
      </x:c>
      <x:c r="AH68" s="97" t="e">
        <x:f>I68*INDEX(Régions!$AE$2:$AE$6,MATCH($B68,Régions!$A$2:$A$6,0))</x:f>
        <x:v>#NAME?</x:v>
      </x:c>
      <x:c r="AI68" s="97" t="e">
        <x:f>D68*INDEX(Régions!$AF$2:$AF$6,MATCH($B68,Régions!$A$2:$A$6,0))</x:f>
        <x:v>#NAME?</x:v>
      </x:c>
      <x:c r="AJ68" s="97" t="e">
        <x:f>E68*INDEX(Régions!$AG$2:$AG$6,MATCH($B68,Régions!$A$2:$A$6,0))</x:f>
        <x:v>#NAME?</x:v>
      </x:c>
      <x:c r="AK68" s="97" t="e">
        <x:f>F68*INDEX(Régions!$AH$2:$AH$6,MATCH($B68,Régions!$A$2:$A$6,0))</x:f>
        <x:v>#NAME?</x:v>
      </x:c>
      <x:c r="AL68" s="97" t="e">
        <x:f>G68*INDEX(Régions!$AI$2:$AI$6,MATCH($B68,Régions!$A$2:$A$6,0))</x:f>
        <x:v>#NAME?</x:v>
      </x:c>
      <x:c r="AM68" s="97" t="e">
        <x:f>H68*INDEX(Régions!$AJ$2:$AJ$6,MATCH($B68,Régions!$A$2:$A$6,0))</x:f>
        <x:v>#NAME?</x:v>
      </x:c>
      <x:c r="AN68" s="97" t="e">
        <x:f>I68*INDEX(Régions!$AK$2:$AK$6,MATCH($B68,Régions!$A$2:$A$6,0))</x:f>
        <x:v>#NAME?</x:v>
      </x:c>
      <x:c r="AO68" s="99" t="str">
        <x:f>INDEX({"CAQ","PLQ","QS","PQ","PCQ","Autre"},MATCH(MAX(Q68:V68),Q68:V68,0))</x:f>
        <x:v>CAQ</x:v>
      </x:c>
      <x:c r="AP68" s="99" t="str">
        <x:f>INDEX({"CAQ","PLQ","QS","PQ","PCQ","Autre"},MATCH(MAX(W68:AB68),W68:AB68,0))</x:f>
        <x:v>CAQ</x:v>
      </x:c>
      <x:c r="AQ68" s="99" t="str">
        <x:f>INDEX({"CAQ","PLQ","QS","PQ","PCQ","Autre"},MATCH(MAX(AC68:AH68),AC68:AH68,0))</x:f>
        <x:v>CAQ</x:v>
      </x:c>
      <x:c r="AR68" s="99" t="str">
        <x:f>INDEX({"CAQ","PLQ","QS","PQ","PCQ","Autre"},MATCH(MAX(AI68:AN68),AI68:AN68,0))</x:f>
        <x:v>CAQ</x:v>
      </x:c>
      <x:c r="AS68" s="100" t="n">
        <x:f>(MAX(K68:P68)-LARGE(K68:P68,2))*100</x:f>
        <x:v>21.62602778565353</x:v>
      </x:c>
      <x:c r="AT68" s="101" t="str">
        <x:f>IF(AS68&lt;5,"Oui","Non")</x:f>
        <x:v>Non</x:v>
      </x:c>
      <x:c r="AU68" s="102" t="n">
        <x:v>-2.435</x:v>
      </x:c>
      <x:c r="AV68" s="102" t="n">
        <x:v>0.228</x:v>
      </x:c>
      <x:c r="AW68" s="102" t="n">
        <x:v>-1.23</x:v>
      </x:c>
      <x:c r="AX68" s="102" t="n">
        <x:v>-0.323</x:v>
      </x:c>
      <x:c r="AY68" s="96" t="n">
        <x:v>6756</x:v>
      </x:c>
      <x:c r="AZ68" s="96" t="n">
        <x:v>15361</x:v>
      </x:c>
      <x:c r="BA68" s="96" t="n">
        <x:v>3095</x:v>
      </x:c>
      <x:c r="BB68" s="96" t="n">
        <x:v>2430</x:v>
      </x:c>
      <x:c r="BC68" s="96" t="n">
        <x:v>1131</x:v>
      </x:c>
      <x:c r="BD68" s="97" t="e">
        <x:f>AY68*INDEX(Régions!$AQ$2:$AQ$6,MATCH($B68,Régions!$A$2:$A$6,0))</x:f>
        <x:v>#NAME?</x:v>
      </x:c>
      <x:c r="BE68" s="97" t="e">
        <x:f>AZ68*INDEX(Régions!$AR$2:$AR$6,MATCH($B68,Régions!$A$2:$A$6,0))</x:f>
        <x:v>#NAME?</x:v>
      </x:c>
      <x:c r="BF68" s="97" t="e">
        <x:f>BA68*INDEX(Régions!$AS$2:$AS$6,MATCH($B68,Régions!$A$2:$A$6,0))</x:f>
        <x:v>#NAME?</x:v>
      </x:c>
      <x:c r="BG68" s="97" t="e">
        <x:f>BB68*INDEX(Régions!$AT$2:$AT$6,MATCH($B68,Régions!$A$2:$A$6,0))</x:f>
        <x:v>#NAME?</x:v>
      </x:c>
      <x:c r="BH68" s="97" t="e">
        <x:f>U68</x:f>
        <x:v>#NAME?</x:v>
      </x:c>
      <x:c r="BI68" s="97" t="e">
        <x:f>BC68*INDEX(Régions!$AU$2:$AU$6,MATCH($B68,Régions!$A$2:$A$6,0))</x:f>
        <x:v>#NAME?</x:v>
      </x:c>
      <x:c r="BJ68" s="97" t="str">
        <x:f>INDEX({"CAQ","PLQ","QS","PQ","PCQ","Autre"},MATCH(MAX(BD68:BI68),BD68:BI68,0))</x:f>
        <x:v>CAQ</x:v>
      </x:c>
    </x:row>
    <x:row r="69" s="60" customFormat="1" ht="15" customHeight="1">
      <x:c r="A69" s="94" t="inlineStr">
        <x:is>
          <x:t xml:space="preserve">Marie-Lacoste-Gérin-Lajoie</x:t>
        </x:is>
      </x:c>
      <x:c r="B69" s="94" t="inlineStr">
        <x:is>
          <x:t xml:space="preserve">Banlieue de Montréal</x:t>
        </x:is>
      </x:c>
      <x:c r="C69" s="95" t="inlineStr">
        <x:is>
          <x:t xml:space="preserve">CAQ</x:t>
        </x:is>
      </x:c>
      <x:c r="D69" s="96" t="n">
        <x:v>15608</x:v>
      </x:c>
      <x:c r="E69" s="96" t="n">
        <x:v>1077</x:v>
      </x:c>
      <x:c r="F69" s="96" t="n">
        <x:v>4013</x:v>
      </x:c>
      <x:c r="G69" s="96" t="n">
        <x:v>4364</x:v>
      </x:c>
      <x:c r="H69" s="96" t="n">
        <x:v>4666</x:v>
      </x:c>
      <x:c r="I69" s="96" t="n">
        <x:v>190</x:v>
      </x:c>
      <x:c r="J69" s="97" t="n">
        <x:f>SUM(D69:I69)</x:f>
        <x:v>29918</x:v>
      </x:c>
      <x:c r="K69" s="98" t="n">
        <x:f>IFERROR(D69/J69,0)</x:f>
        <x:v>0.5216926265124674</x:v>
      </x:c>
      <x:c r="L69" s="98" t="n">
        <x:f>IFERROR(E69/J69,0)</x:f>
        <x:v>0.03599839561468013</x:v>
      </x:c>
      <x:c r="M69" s="98" t="n">
        <x:f>IFERROR(F69/J69,0)</x:f>
        <x:v>0.13413329768032622</x:v>
      </x:c>
      <x:c r="N69" s="98" t="n">
        <x:f>IFERROR(G69/J69,0)</x:f>
        <x:v>0.14586536533190722</x:v>
      </x:c>
      <x:c r="O69" s="98" t="n">
        <x:f>IFERROR(H69/J69,0)</x:f>
        <x:v>0.15595962296944982</x:v>
      </x:c>
      <x:c r="P69" s="98" t="n">
        <x:f>IFERROR(I69/J69,0)</x:f>
        <x:v>0.006350691891169196</x:v>
      </x:c>
      <x:c r="Q69" s="97" t="e">
        <x:f>D69*INDEX(Régions!$T$2:$T$6,MATCH($B69,Régions!$A$2:$A$6,0))</x:f>
        <x:v>#NAME?</x:v>
      </x:c>
      <x:c r="R69" s="97" t="e">
        <x:f>E69*INDEX(Régions!$U$2:$U$6,MATCH($B69,Régions!$A$2:$A$6,0))</x:f>
        <x:v>#NAME?</x:v>
      </x:c>
      <x:c r="S69" s="97" t="e">
        <x:f>F69*INDEX(Régions!$V$2:$V$6,MATCH($B69,Régions!$A$2:$A$6,0))</x:f>
        <x:v>#NAME?</x:v>
      </x:c>
      <x:c r="T69" s="97" t="e">
        <x:f>G69*INDEX(Régions!$W$2:$W$6,MATCH($B69,Régions!$A$2:$A$6,0))</x:f>
        <x:v>#NAME?</x:v>
      </x:c>
      <x:c r="U69" s="97" t="e">
        <x:f>H69*INDEX(Régions!$X$2:$X$6,MATCH($B69,Régions!$A$2:$A$6,0))</x:f>
        <x:v>#NAME?</x:v>
      </x:c>
      <x:c r="V69" s="97" t="e">
        <x:f>I69*INDEX(Régions!$Y$2:$Y$6,MATCH($B69,Régions!$A$2:$A$6,0))</x:f>
        <x:v>#NAME?</x:v>
      </x:c>
      <x:c r="W69" s="97" t="e">
        <x:f>Q69+(AU69/100)*J69*Régions!$O$2</x:f>
        <x:v>#NAME?</x:v>
      </x:c>
      <x:c r="X69" s="97" t="e">
        <x:f>R69+(AV69/100)*J69*Régions!$O$2</x:f>
        <x:v>#NAME?</x:v>
      </x:c>
      <x:c r="Y69" s="97" t="e">
        <x:f>S69+(AW69/100)*J69*Régions!$O$2</x:f>
        <x:v>#NAME?</x:v>
      </x:c>
      <x:c r="Z69" s="97" t="e">
        <x:f>T69+(AX69/100)*J69*Régions!$O$2</x:f>
        <x:v>#NAME?</x:v>
      </x:c>
      <x:c r="AA69" s="97" t="e">
        <x:f>U69</x:f>
        <x:v>#NAME?</x:v>
      </x:c>
      <x:c r="AB69" s="97" t="e">
        <x:f>V69</x:f>
        <x:v>#NAME?</x:v>
      </x:c>
      <x:c r="AC69" s="97" t="e">
        <x:f>D69*INDEX(Régions!$Z$2:$Z$6,MATCH($B69,Régions!$A$2:$A$6,0))</x:f>
        <x:v>#NAME?</x:v>
      </x:c>
      <x:c r="AD69" s="97" t="e">
        <x:f>E69*INDEX(Régions!$AA$2:$AA$6,MATCH($B69,Régions!$A$2:$A$6,0))</x:f>
        <x:v>#NAME?</x:v>
      </x:c>
      <x:c r="AE69" s="97" t="e">
        <x:f>F69*INDEX(Régions!$AB$2:$AB$6,MATCH($B69,Régions!$A$2:$A$6,0))</x:f>
        <x:v>#NAME?</x:v>
      </x:c>
      <x:c r="AF69" s="97" t="e">
        <x:f>G69*INDEX(Régions!$AC$2:$AC$6,MATCH($B69,Régions!$A$2:$A$6,0))</x:f>
        <x:v>#NAME?</x:v>
      </x:c>
      <x:c r="AG69" s="97" t="e">
        <x:f>H69*INDEX(Régions!$AD$2:$AD$6,MATCH($B69,Régions!$A$2:$A$6,0))</x:f>
        <x:v>#NAME?</x:v>
      </x:c>
      <x:c r="AH69" s="97" t="e">
        <x:f>I69*INDEX(Régions!$AE$2:$AE$6,MATCH($B69,Régions!$A$2:$A$6,0))</x:f>
        <x:v>#NAME?</x:v>
      </x:c>
      <x:c r="AI69" s="97" t="e">
        <x:f>D69*INDEX(Régions!$AF$2:$AF$6,MATCH($B69,Régions!$A$2:$A$6,0))</x:f>
        <x:v>#NAME?</x:v>
      </x:c>
      <x:c r="AJ69" s="97" t="e">
        <x:f>E69*INDEX(Régions!$AG$2:$AG$6,MATCH($B69,Régions!$A$2:$A$6,0))</x:f>
        <x:v>#NAME?</x:v>
      </x:c>
      <x:c r="AK69" s="97" t="e">
        <x:f>F69*INDEX(Régions!$AH$2:$AH$6,MATCH($B69,Régions!$A$2:$A$6,0))</x:f>
        <x:v>#NAME?</x:v>
      </x:c>
      <x:c r="AL69" s="97" t="e">
        <x:f>G69*INDEX(Régions!$AI$2:$AI$6,MATCH($B69,Régions!$A$2:$A$6,0))</x:f>
        <x:v>#NAME?</x:v>
      </x:c>
      <x:c r="AM69" s="97" t="e">
        <x:f>H69*INDEX(Régions!$AJ$2:$AJ$6,MATCH($B69,Régions!$A$2:$A$6,0))</x:f>
        <x:v>#NAME?</x:v>
      </x:c>
      <x:c r="AN69" s="97" t="e">
        <x:f>I69*INDEX(Régions!$AK$2:$AK$6,MATCH($B69,Régions!$A$2:$A$6,0))</x:f>
        <x:v>#NAME?</x:v>
      </x:c>
      <x:c r="AO69" s="99" t="str">
        <x:f>INDEX({"CAQ","PLQ","QS","PQ","PCQ","Autre"},MATCH(MAX(Q69:V69),Q69:V69,0))</x:f>
        <x:v>CAQ</x:v>
      </x:c>
      <x:c r="AP69" s="99" t="str">
        <x:f>INDEX({"CAQ","PLQ","QS","PQ","PCQ","Autre"},MATCH(MAX(W69:AB69),W69:AB69,0))</x:f>
        <x:v>CAQ</x:v>
      </x:c>
      <x:c r="AQ69" s="99" t="str">
        <x:f>INDEX({"CAQ","PLQ","QS","PQ","PCQ","Autre"},MATCH(MAX(AC69:AH69),AC69:AH69,0))</x:f>
        <x:v>CAQ</x:v>
      </x:c>
      <x:c r="AR69" s="99" t="str">
        <x:f>INDEX({"CAQ","PLQ","QS","PQ","PCQ","Autre"},MATCH(MAX(AI69:AN69),AI69:AN69,0))</x:f>
        <x:v>CAQ</x:v>
      </x:c>
      <x:c r="AS69" s="100" t="n">
        <x:f>(MAX(K69:P69)-LARGE(K69:P69,2))*100</x:f>
        <x:v>36.57330035430176</x:v>
      </x:c>
      <x:c r="AT69" s="101" t="str">
        <x:f>IF(AS69&lt;5,"Oui","Non")</x:f>
        <x:v>Non</x:v>
      </x:c>
      <x:c r="AU69" s="102" t="n">
        <x:v>-4.171</x:v>
      </x:c>
      <x:c r="AV69" s="102" t="n">
        <x:v>-0.707</x:v>
      </x:c>
      <x:c r="AW69" s="102" t="n">
        <x:v>-3.349</x:v>
      </x:c>
      <x:c r="AX69" s="102" t="n">
        <x:v>4.31</x:v>
      </x:c>
      <x:c r="AY69" s="96" t="n">
        <x:v>15043</x:v>
      </x:c>
      <x:c r="AZ69" s="96" t="n">
        <x:v>3169</x:v>
      </x:c>
      <x:c r="BA69" s="96" t="n">
        <x:v>4935</x:v>
      </x:c>
      <x:c r="BB69" s="96" t="n">
        <x:v>3754</x:v>
      </x:c>
      <x:c r="BC69" s="96" t="n">
        <x:v>1369</x:v>
      </x:c>
      <x:c r="BD69" s="97" t="e">
        <x:f>AY69*INDEX(Régions!$AQ$2:$AQ$6,MATCH($B69,Régions!$A$2:$A$6,0))</x:f>
        <x:v>#NAME?</x:v>
      </x:c>
      <x:c r="BE69" s="97" t="e">
        <x:f>AZ69*INDEX(Régions!$AR$2:$AR$6,MATCH($B69,Régions!$A$2:$A$6,0))</x:f>
        <x:v>#NAME?</x:v>
      </x:c>
      <x:c r="BF69" s="97" t="e">
        <x:f>BA69*INDEX(Régions!$AS$2:$AS$6,MATCH($B69,Régions!$A$2:$A$6,0))</x:f>
        <x:v>#NAME?</x:v>
      </x:c>
      <x:c r="BG69" s="97" t="e">
        <x:f>BB69*INDEX(Régions!$AT$2:$AT$6,MATCH($B69,Régions!$A$2:$A$6,0))</x:f>
        <x:v>#NAME?</x:v>
      </x:c>
      <x:c r="BH69" s="97" t="e">
        <x:f>U69</x:f>
        <x:v>#NAME?</x:v>
      </x:c>
      <x:c r="BI69" s="97" t="e">
        <x:f>BC69*INDEX(Régions!$AU$2:$AU$6,MATCH($B69,Régions!$A$2:$A$6,0))</x:f>
        <x:v>#NAME?</x:v>
      </x:c>
      <x:c r="BJ69" s="97" t="str">
        <x:f>INDEX({"CAQ","PLQ","QS","PQ","PCQ","Autre"},MATCH(MAX(BD69:BI69),BD69:BI69,0))</x:f>
        <x:v>CAQ</x:v>
      </x:c>
    </x:row>
    <x:row r="70" s="60" customFormat="1" ht="15" customHeight="1">
      <x:c r="A70" s="94" t="inlineStr">
        <x:is>
          <x:t xml:space="preserve">Marie-Victorin</x:t>
        </x:is>
      </x:c>
      <x:c r="B70" s="94" t="inlineStr">
        <x:is>
          <x:t xml:space="preserve">Banlieue de Montréal</x:t>
        </x:is>
      </x:c>
      <x:c r="C70" s="95" t="inlineStr">
        <x:is>
          <x:t xml:space="preserve">CAQ</x:t>
        </x:is>
      </x:c>
      <x:c r="D70" s="96" t="n">
        <x:v>9212</x:v>
      </x:c>
      <x:c r="E70" s="96" t="n">
        <x:v>2793</x:v>
      </x:c>
      <x:c r="F70" s="96" t="n">
        <x:v>6307</x:v>
      </x:c>
      <x:c r="G70" s="96" t="n">
        <x:v>6913</x:v>
      </x:c>
      <x:c r="H70" s="96" t="n">
        <x:v>1952</x:v>
      </x:c>
      <x:c r="I70" s="96" t="n">
        <x:v>643</x:v>
      </x:c>
      <x:c r="J70" s="97" t="n">
        <x:f>SUM(D70:I70)</x:f>
        <x:v>27820</x:v>
      </x:c>
      <x:c r="K70" s="98" t="n">
        <x:f>IFERROR(D70/J70,0)</x:f>
        <x:v>0.33112868439971244</x:v>
      </x:c>
      <x:c r="L70" s="98" t="n">
        <x:f>IFERROR(E70/J70,0)</x:f>
        <x:v>0.10039539899352984</x:v>
      </x:c>
      <x:c r="M70" s="98" t="n">
        <x:f>IFERROR(F70/J70,0)</x:f>
        <x:v>0.22670740474478793</x:v>
      </x:c>
      <x:c r="N70" s="98" t="n">
        <x:f>IFERROR(G70/J70,0)</x:f>
        <x:v>0.24849029475197698</x:v>
      </x:c>
      <x:c r="O70" s="98" t="n">
        <x:f>IFERROR(H70/J70,0)</x:f>
        <x:v>0.07016534867002157</x:v>
      </x:c>
      <x:c r="P70" s="98" t="n">
        <x:f>IFERROR(I70/J70,0)</x:f>
        <x:v>0.023112868439971245</x:v>
      </x:c>
      <x:c r="Q70" s="97" t="e">
        <x:f>D70*INDEX(Régions!$T$2:$T$6,MATCH($B70,Régions!$A$2:$A$6,0))</x:f>
        <x:v>#NAME?</x:v>
      </x:c>
      <x:c r="R70" s="97" t="e">
        <x:f>E70*INDEX(Régions!$U$2:$U$6,MATCH($B70,Régions!$A$2:$A$6,0))</x:f>
        <x:v>#NAME?</x:v>
      </x:c>
      <x:c r="S70" s="97" t="e">
        <x:f>F70*INDEX(Régions!$V$2:$V$6,MATCH($B70,Régions!$A$2:$A$6,0))</x:f>
        <x:v>#NAME?</x:v>
      </x:c>
      <x:c r="T70" s="97" t="e">
        <x:f>G70*INDEX(Régions!$W$2:$W$6,MATCH($B70,Régions!$A$2:$A$6,0))</x:f>
        <x:v>#NAME?</x:v>
      </x:c>
      <x:c r="U70" s="97" t="e">
        <x:f>H70*INDEX(Régions!$X$2:$X$6,MATCH($B70,Régions!$A$2:$A$6,0))</x:f>
        <x:v>#NAME?</x:v>
      </x:c>
      <x:c r="V70" s="97" t="e">
        <x:f>I70*INDEX(Régions!$Y$2:$Y$6,MATCH($B70,Régions!$A$2:$A$6,0))</x:f>
        <x:v>#NAME?</x:v>
      </x:c>
      <x:c r="W70" s="97" t="e">
        <x:f>Q70+(AU70/100)*J70*Régions!$O$2</x:f>
        <x:v>#NAME?</x:v>
      </x:c>
      <x:c r="X70" s="97" t="e">
        <x:f>R70+(AV70/100)*J70*Régions!$O$2</x:f>
        <x:v>#NAME?</x:v>
      </x:c>
      <x:c r="Y70" s="97" t="e">
        <x:f>S70+(AW70/100)*J70*Régions!$O$2</x:f>
        <x:v>#NAME?</x:v>
      </x:c>
      <x:c r="Z70" s="97" t="e">
        <x:f>T70+(AX70/100)*J70*Régions!$O$2</x:f>
        <x:v>#NAME?</x:v>
      </x:c>
      <x:c r="AA70" s="97" t="e">
        <x:f>U70</x:f>
        <x:v>#NAME?</x:v>
      </x:c>
      <x:c r="AB70" s="97" t="e">
        <x:f>V70</x:f>
        <x:v>#NAME?</x:v>
      </x:c>
      <x:c r="AC70" s="97" t="e">
        <x:f>D70*INDEX(Régions!$Z$2:$Z$6,MATCH($B70,Régions!$A$2:$A$6,0))</x:f>
        <x:v>#NAME?</x:v>
      </x:c>
      <x:c r="AD70" s="97" t="e">
        <x:f>E70*INDEX(Régions!$AA$2:$AA$6,MATCH($B70,Régions!$A$2:$A$6,0))</x:f>
        <x:v>#NAME?</x:v>
      </x:c>
      <x:c r="AE70" s="97" t="e">
        <x:f>F70*INDEX(Régions!$AB$2:$AB$6,MATCH($B70,Régions!$A$2:$A$6,0))</x:f>
        <x:v>#NAME?</x:v>
      </x:c>
      <x:c r="AF70" s="97" t="e">
        <x:f>G70*INDEX(Régions!$AC$2:$AC$6,MATCH($B70,Régions!$A$2:$A$6,0))</x:f>
        <x:v>#NAME?</x:v>
      </x:c>
      <x:c r="AG70" s="97" t="e">
        <x:f>H70*INDEX(Régions!$AD$2:$AD$6,MATCH($B70,Régions!$A$2:$A$6,0))</x:f>
        <x:v>#NAME?</x:v>
      </x:c>
      <x:c r="AH70" s="97" t="e">
        <x:f>I70*INDEX(Régions!$AE$2:$AE$6,MATCH($B70,Régions!$A$2:$A$6,0))</x:f>
        <x:v>#NAME?</x:v>
      </x:c>
      <x:c r="AI70" s="97" t="e">
        <x:f>D70*INDEX(Régions!$AF$2:$AF$6,MATCH($B70,Régions!$A$2:$A$6,0))</x:f>
        <x:v>#NAME?</x:v>
      </x:c>
      <x:c r="AJ70" s="97" t="e">
        <x:f>E70*INDEX(Régions!$AG$2:$AG$6,MATCH($B70,Régions!$A$2:$A$6,0))</x:f>
        <x:v>#NAME?</x:v>
      </x:c>
      <x:c r="AK70" s="97" t="e">
        <x:f>F70*INDEX(Régions!$AH$2:$AH$6,MATCH($B70,Régions!$A$2:$A$6,0))</x:f>
        <x:v>#NAME?</x:v>
      </x:c>
      <x:c r="AL70" s="97" t="e">
        <x:f>G70*INDEX(Régions!$AI$2:$AI$6,MATCH($B70,Régions!$A$2:$A$6,0))</x:f>
        <x:v>#NAME?</x:v>
      </x:c>
      <x:c r="AM70" s="97" t="e">
        <x:f>H70*INDEX(Régions!$AJ$2:$AJ$6,MATCH($B70,Régions!$A$2:$A$6,0))</x:f>
        <x:v>#NAME?</x:v>
      </x:c>
      <x:c r="AN70" s="97" t="e">
        <x:f>I70*INDEX(Régions!$AK$2:$AK$6,MATCH($B70,Régions!$A$2:$A$6,0))</x:f>
        <x:v>#NAME?</x:v>
      </x:c>
      <x:c r="AO70" s="99" t="str">
        <x:f>INDEX({"CAQ","PLQ","QS","PQ","PCQ","Autre"},MATCH(MAX(Q70:V70),Q70:V70,0))</x:f>
        <x:v>CAQ</x:v>
      </x:c>
      <x:c r="AP70" s="99" t="str">
        <x:f>INDEX({"CAQ","PLQ","QS","PQ","PCQ","Autre"},MATCH(MAX(W70:AB70),W70:AB70,0))</x:f>
        <x:v>CAQ</x:v>
      </x:c>
      <x:c r="AQ70" s="99" t="str">
        <x:f>INDEX({"CAQ","PLQ","QS","PQ","PCQ","Autre"},MATCH(MAX(AC70:AH70),AC70:AH70,0))</x:f>
        <x:v>CAQ</x:v>
      </x:c>
      <x:c r="AR70" s="99" t="str">
        <x:f>INDEX({"CAQ","PLQ","QS","PQ","PCQ","Autre"},MATCH(MAX(AI70:AN70),AI70:AN70,0))</x:f>
        <x:v>CAQ</x:v>
      </x:c>
      <x:c r="AS70" s="100" t="n">
        <x:f>(MAX(K70:P70)-LARGE(K70:P70,2))*100</x:f>
        <x:v>8.263838964773546</x:v>
      </x:c>
      <x:c r="AT70" s="101" t="str">
        <x:f>IF(AS70&lt;5,"Oui","Non")</x:f>
        <x:v>Non</x:v>
      </x:c>
      <x:c r="AU70" s="102" t="n">
        <x:v>1.597</x:v>
      </x:c>
      <x:c r="AV70" s="102" t="n">
        <x:v>1.734</x:v>
      </x:c>
      <x:c r="AW70" s="102" t="n">
        <x:v>1.696</x:v>
      </x:c>
      <x:c r="AX70" s="102" t="n">
        <x:v>-2.965</x:v>
      </x:c>
      <x:c r="AY70" s="96" t="n">
        <x:v>8245</x:v>
      </x:c>
      <x:c r="AZ70" s="96" t="n">
        <x:v>4417</x:v>
      </x:c>
      <x:c r="BA70" s="96" t="n">
        <x:v>6293</x:v>
      </x:c>
      <x:c r="BB70" s="96" t="n">
        <x:v>8949</x:v>
      </x:c>
      <x:c r="BC70" s="96" t="n">
        <x:v>1138</x:v>
      </x:c>
      <x:c r="BD70" s="97" t="e">
        <x:f>AY70*INDEX(Régions!$AQ$2:$AQ$6,MATCH($B70,Régions!$A$2:$A$6,0))</x:f>
        <x:v>#NAME?</x:v>
      </x:c>
      <x:c r="BE70" s="97" t="e">
        <x:f>AZ70*INDEX(Régions!$AR$2:$AR$6,MATCH($B70,Régions!$A$2:$A$6,0))</x:f>
        <x:v>#NAME?</x:v>
      </x:c>
      <x:c r="BF70" s="97" t="e">
        <x:f>BA70*INDEX(Régions!$AS$2:$AS$6,MATCH($B70,Régions!$A$2:$A$6,0))</x:f>
        <x:v>#NAME?</x:v>
      </x:c>
      <x:c r="BG70" s="97" t="e">
        <x:f>BB70*INDEX(Régions!$AT$2:$AT$6,MATCH($B70,Régions!$A$2:$A$6,0))</x:f>
        <x:v>#NAME?</x:v>
      </x:c>
      <x:c r="BH70" s="97" t="e">
        <x:f>U70</x:f>
        <x:v>#NAME?</x:v>
      </x:c>
      <x:c r="BI70" s="97" t="e">
        <x:f>BC70*INDEX(Régions!$AU$2:$AU$6,MATCH($B70,Régions!$A$2:$A$6,0))</x:f>
        <x:v>#NAME?</x:v>
      </x:c>
      <x:c r="BJ70" s="97" t="str">
        <x:f>INDEX({"CAQ","PLQ","QS","PQ","PCQ","Autre"},MATCH(MAX(BD70:BI70),BD70:BI70,0))</x:f>
        <x:v>CAQ</x:v>
      </x:c>
    </x:row>
    <x:row r="71" s="60" customFormat="1" ht="15" customHeight="1">
      <x:c r="A71" s="94" t="inlineStr">
        <x:is>
          <x:t xml:space="preserve">Marquette</x:t>
        </x:is>
      </x:c>
      <x:c r="B71" s="94" t="inlineStr">
        <x:is>
          <x:t xml:space="preserve">Île de Montréal</x:t>
        </x:is>
      </x:c>
      <x:c r="C71" s="95" t="inlineStr">
        <x:is>
          <x:t xml:space="preserve">PLQ</x:t>
        </x:is>
      </x:c>
      <x:c r="D71" s="96" t="n">
        <x:v>5722</x:v>
      </x:c>
      <x:c r="E71" s="96" t="n">
        <x:v>12255</x:v>
      </x:c>
      <x:c r="F71" s="96" t="n">
        <x:v>2956</x:v>
      </x:c>
      <x:c r="G71" s="96" t="n">
        <x:v>2114</x:v>
      </x:c>
      <x:c r="H71" s="96" t="n">
        <x:v>2395</x:v>
      </x:c>
      <x:c r="I71" s="96" t="n">
        <x:v>782</x:v>
      </x:c>
      <x:c r="J71" s="97" t="n">
        <x:f>SUM(D71:I71)</x:f>
        <x:v>26224</x:v>
      </x:c>
      <x:c r="K71" s="98" t="n">
        <x:f>IFERROR(D71/J71,0)</x:f>
        <x:v>0.21819707138499084</x:v>
      </x:c>
      <x:c r="L71" s="98" t="n">
        <x:f>IFERROR(E71/J71,0)</x:f>
        <x:v>0.46732001220256253</x:v>
      </x:c>
      <x:c r="M71" s="98" t="n">
        <x:f>IFERROR(F71/J71,0)</x:f>
        <x:v>0.11272117144600366</x:v>
      </x:c>
      <x:c r="N71" s="98" t="n">
        <x:f>IFERROR(G71/J71,0)</x:f>
        <x:v>0.08061317876754118</x:v>
      </x:c>
      <x:c r="O71" s="98" t="n">
        <x:f>IFERROR(H71/J71,0)</x:f>
        <x:v>0.09132855399633923</x:v>
      </x:c>
      <x:c r="P71" s="98" t="n">
        <x:f>IFERROR(I71/J71,0)</x:f>
        <x:v>0.02982001220256254</x:v>
      </x:c>
      <x:c r="Q71" s="97" t="e">
        <x:f>D71*INDEX(Régions!$T$2:$T$6,MATCH($B71,Régions!$A$2:$A$6,0))</x:f>
        <x:v>#NAME?</x:v>
      </x:c>
      <x:c r="R71" s="97" t="e">
        <x:f>E71*INDEX(Régions!$U$2:$U$6,MATCH($B71,Régions!$A$2:$A$6,0))</x:f>
        <x:v>#NAME?</x:v>
      </x:c>
      <x:c r="S71" s="97" t="e">
        <x:f>F71*INDEX(Régions!$V$2:$V$6,MATCH($B71,Régions!$A$2:$A$6,0))</x:f>
        <x:v>#NAME?</x:v>
      </x:c>
      <x:c r="T71" s="97" t="e">
        <x:f>G71*INDEX(Régions!$W$2:$W$6,MATCH($B71,Régions!$A$2:$A$6,0))</x:f>
        <x:v>#NAME?</x:v>
      </x:c>
      <x:c r="U71" s="97" t="e">
        <x:f>H71*INDEX(Régions!$X$2:$X$6,MATCH($B71,Régions!$A$2:$A$6,0))</x:f>
        <x:v>#NAME?</x:v>
      </x:c>
      <x:c r="V71" s="97" t="e">
        <x:f>I71*INDEX(Régions!$Y$2:$Y$6,MATCH($B71,Régions!$A$2:$A$6,0))</x:f>
        <x:v>#NAME?</x:v>
      </x:c>
      <x:c r="W71" s="97" t="e">
        <x:f>Q71+(AU71/100)*J71*Régions!$O$2</x:f>
        <x:v>#NAME?</x:v>
      </x:c>
      <x:c r="X71" s="97" t="e">
        <x:f>R71+(AV71/100)*J71*Régions!$O$2</x:f>
        <x:v>#NAME?</x:v>
      </x:c>
      <x:c r="Y71" s="97" t="e">
        <x:f>S71+(AW71/100)*J71*Régions!$O$2</x:f>
        <x:v>#NAME?</x:v>
      </x:c>
      <x:c r="Z71" s="97" t="e">
        <x:f>T71+(AX71/100)*J71*Régions!$O$2</x:f>
        <x:v>#NAME?</x:v>
      </x:c>
      <x:c r="AA71" s="97" t="e">
        <x:f>U71</x:f>
        <x:v>#NAME?</x:v>
      </x:c>
      <x:c r="AB71" s="97" t="e">
        <x:f>V71</x:f>
        <x:v>#NAME?</x:v>
      </x:c>
      <x:c r="AC71" s="97" t="e">
        <x:f>D71*INDEX(Régions!$Z$2:$Z$6,MATCH($B71,Régions!$A$2:$A$6,0))</x:f>
        <x:v>#NAME?</x:v>
      </x:c>
      <x:c r="AD71" s="97" t="e">
        <x:f>E71*INDEX(Régions!$AA$2:$AA$6,MATCH($B71,Régions!$A$2:$A$6,0))</x:f>
        <x:v>#NAME?</x:v>
      </x:c>
      <x:c r="AE71" s="97" t="e">
        <x:f>F71*INDEX(Régions!$AB$2:$AB$6,MATCH($B71,Régions!$A$2:$A$6,0))</x:f>
        <x:v>#NAME?</x:v>
      </x:c>
      <x:c r="AF71" s="97" t="e">
        <x:f>G71*INDEX(Régions!$AC$2:$AC$6,MATCH($B71,Régions!$A$2:$A$6,0))</x:f>
        <x:v>#NAME?</x:v>
      </x:c>
      <x:c r="AG71" s="97" t="e">
        <x:f>H71*INDEX(Régions!$AD$2:$AD$6,MATCH($B71,Régions!$A$2:$A$6,0))</x:f>
        <x:v>#NAME?</x:v>
      </x:c>
      <x:c r="AH71" s="97" t="e">
        <x:f>I71*INDEX(Régions!$AE$2:$AE$6,MATCH($B71,Régions!$A$2:$A$6,0))</x:f>
        <x:v>#NAME?</x:v>
      </x:c>
      <x:c r="AI71" s="97" t="e">
        <x:f>D71*INDEX(Régions!$AF$2:$AF$6,MATCH($B71,Régions!$A$2:$A$6,0))</x:f>
        <x:v>#NAME?</x:v>
      </x:c>
      <x:c r="AJ71" s="97" t="e">
        <x:f>E71*INDEX(Régions!$AG$2:$AG$6,MATCH($B71,Régions!$A$2:$A$6,0))</x:f>
        <x:v>#NAME?</x:v>
      </x:c>
      <x:c r="AK71" s="97" t="e">
        <x:f>F71*INDEX(Régions!$AH$2:$AH$6,MATCH($B71,Régions!$A$2:$A$6,0))</x:f>
        <x:v>#NAME?</x:v>
      </x:c>
      <x:c r="AL71" s="97" t="e">
        <x:f>G71*INDEX(Régions!$AI$2:$AI$6,MATCH($B71,Régions!$A$2:$A$6,0))</x:f>
        <x:v>#NAME?</x:v>
      </x:c>
      <x:c r="AM71" s="97" t="e">
        <x:f>H71*INDEX(Régions!$AJ$2:$AJ$6,MATCH($B71,Régions!$A$2:$A$6,0))</x:f>
        <x:v>#NAME?</x:v>
      </x:c>
      <x:c r="AN71" s="97" t="e">
        <x:f>I71*INDEX(Régions!$AK$2:$AK$6,MATCH($B71,Régions!$A$2:$A$6,0))</x:f>
        <x:v>#NAME?</x:v>
      </x:c>
      <x:c r="AO71" s="99" t="str">
        <x:f>INDEX({"CAQ","PLQ","QS","PQ","PCQ","Autre"},MATCH(MAX(Q71:V71),Q71:V71,0))</x:f>
        <x:v>CAQ</x:v>
      </x:c>
      <x:c r="AP71" s="99" t="str">
        <x:f>INDEX({"CAQ","PLQ","QS","PQ","PCQ","Autre"},MATCH(MAX(W71:AB71),W71:AB71,0))</x:f>
        <x:v>CAQ</x:v>
      </x:c>
      <x:c r="AQ71" s="99" t="str">
        <x:f>INDEX({"CAQ","PLQ","QS","PQ","PCQ","Autre"},MATCH(MAX(AC71:AH71),AC71:AH71,0))</x:f>
        <x:v>CAQ</x:v>
      </x:c>
      <x:c r="AR71" s="99" t="str">
        <x:f>INDEX({"CAQ","PLQ","QS","PQ","PCQ","Autre"},MATCH(MAX(AI71:AN71),AI71:AN71,0))</x:f>
        <x:v>CAQ</x:v>
      </x:c>
      <x:c r="AS71" s="100" t="n">
        <x:f>(MAX(K71:P71)-LARGE(K71:P71,2))*100</x:f>
        <x:v>24.912294081757167</x:v>
      </x:c>
      <x:c r="AT71" s="101" t="str">
        <x:f>IF(AS71&lt;5,"Oui","Non")</x:f>
        <x:v>Non</x:v>
      </x:c>
      <x:c r="AU71" s="102" t="n">
        <x:v>-8.632</x:v>
      </x:c>
      <x:c r="AV71" s="102" t="n">
        <x:v>12.58</x:v>
      </x:c>
      <x:c r="AW71" s="102" t="n">
        <x:v>-0.9399999999999999</x:v>
      </x:c>
      <x:c r="AX71" s="102" t="n">
        <x:v>1.436</x:v>
      </x:c>
      <x:c r="AY71" s="96" t="n">
        <x:v>7793</x:v>
      </x:c>
      <x:c r="AZ71" s="96" t="n">
        <x:v>11819</x:v>
      </x:c>
      <x:c r="BA71" s="96" t="n">
        <x:v>3153</x:v>
      </x:c>
      <x:c r="BB71" s="96" t="n">
        <x:v>2139</x:v>
      </x:c>
      <x:c r="BC71" s="96" t="n">
        <x:v>2590</x:v>
      </x:c>
      <x:c r="BD71" s="97" t="e">
        <x:f>AY71*INDEX(Régions!$AQ$2:$AQ$6,MATCH($B71,Régions!$A$2:$A$6,0))</x:f>
        <x:v>#NAME?</x:v>
      </x:c>
      <x:c r="BE71" s="97" t="e">
        <x:f>AZ71*INDEX(Régions!$AR$2:$AR$6,MATCH($B71,Régions!$A$2:$A$6,0))</x:f>
        <x:v>#NAME?</x:v>
      </x:c>
      <x:c r="BF71" s="97" t="e">
        <x:f>BA71*INDEX(Régions!$AS$2:$AS$6,MATCH($B71,Régions!$A$2:$A$6,0))</x:f>
        <x:v>#NAME?</x:v>
      </x:c>
      <x:c r="BG71" s="97" t="e">
        <x:f>BB71*INDEX(Régions!$AT$2:$AT$6,MATCH($B71,Régions!$A$2:$A$6,0))</x:f>
        <x:v>#NAME?</x:v>
      </x:c>
      <x:c r="BH71" s="97" t="e">
        <x:f>U71</x:f>
        <x:v>#NAME?</x:v>
      </x:c>
      <x:c r="BI71" s="97" t="e">
        <x:f>BC71*INDEX(Régions!$AU$2:$AU$6,MATCH($B71,Régions!$A$2:$A$6,0))</x:f>
        <x:v>#NAME?</x:v>
      </x:c>
      <x:c r="BJ71" s="97" t="str">
        <x:f>INDEX({"CAQ","PLQ","QS","PQ","PCQ","Autre"},MATCH(MAX(BD71:BI71),BD71:BI71,0))</x:f>
        <x:v>CAQ</x:v>
      </x:c>
    </x:row>
    <x:row r="72" s="60" customFormat="1" ht="15" customHeight="1">
      <x:c r="A72" s="94" t="inlineStr">
        <x:is>
          <x:t xml:space="preserve">Maskinongé</x:t>
        </x:is>
      </x:c>
      <x:c r="B72" s="94" t="inlineStr">
        <x:is>
          <x:t xml:space="preserve">Reste du Québec</x:t>
        </x:is>
      </x:c>
      <x:c r="C72" s="95" t="inlineStr">
        <x:is>
          <x:t xml:space="preserve">CAQ</x:t>
        </x:is>
      </x:c>
      <x:c r="D72" s="96" t="n">
        <x:v>17095</x:v>
      </x:c>
      <x:c r="E72" s="96" t="n">
        <x:v>1619</x:v>
      </x:c>
      <x:c r="F72" s="96" t="n">
        <x:v>3162</x:v>
      </x:c>
      <x:c r="G72" s="96" t="n">
        <x:v>4519</x:v>
      </x:c>
      <x:c r="H72" s="96" t="n">
        <x:v>5131</x:v>
      </x:c>
      <x:c r="I72" s="96" t="n">
        <x:v>426</x:v>
      </x:c>
      <x:c r="J72" s="97" t="n">
        <x:f>SUM(D72:I72)</x:f>
        <x:v>31952</x:v>
      </x:c>
      <x:c r="K72" s="98" t="n">
        <x:f>IFERROR(D72/J72,0)</x:f>
        <x:v>0.5350212819228843</x:v>
      </x:c>
      <x:c r="L72" s="98" t="n">
        <x:f>IFERROR(E72/J72,0)</x:f>
        <x:v>0.05066975463194792</x:v>
      </x:c>
      <x:c r="M72" s="98" t="n">
        <x:f>IFERROR(F72/J72,0)</x:f>
        <x:v>0.09896094141211818</x:v>
      </x:c>
      <x:c r="N72" s="98" t="n">
        <x:f>IFERROR(G72/J72,0)</x:f>
        <x:v>0.14143089634451678</x:v>
      </x:c>
      <x:c r="O72" s="98" t="n">
        <x:f>IFERROR(H72/J72,0)</x:f>
        <x:v>0.16058462694041062</x:v>
      </x:c>
      <x:c r="P72" s="98" t="n">
        <x:f>IFERROR(I72/J72,0)</x:f>
        <x:v>0.013332498748122184</x:v>
      </x:c>
      <x:c r="Q72" s="97" t="e">
        <x:f>D72*INDEX(Régions!$T$2:$T$6,MATCH($B72,Régions!$A$2:$A$6,0))</x:f>
        <x:v>#NAME?</x:v>
      </x:c>
      <x:c r="R72" s="97" t="e">
        <x:f>E72*INDEX(Régions!$U$2:$U$6,MATCH($B72,Régions!$A$2:$A$6,0))</x:f>
        <x:v>#NAME?</x:v>
      </x:c>
      <x:c r="S72" s="97" t="e">
        <x:f>F72*INDEX(Régions!$V$2:$V$6,MATCH($B72,Régions!$A$2:$A$6,0))</x:f>
        <x:v>#NAME?</x:v>
      </x:c>
      <x:c r="T72" s="97" t="e">
        <x:f>G72*INDEX(Régions!$W$2:$W$6,MATCH($B72,Régions!$A$2:$A$6,0))</x:f>
        <x:v>#NAME?</x:v>
      </x:c>
      <x:c r="U72" s="97" t="e">
        <x:f>H72*INDEX(Régions!$X$2:$X$6,MATCH($B72,Régions!$A$2:$A$6,0))</x:f>
        <x:v>#NAME?</x:v>
      </x:c>
      <x:c r="V72" s="97" t="e">
        <x:f>I72*INDEX(Régions!$Y$2:$Y$6,MATCH($B72,Régions!$A$2:$A$6,0))</x:f>
        <x:v>#NAME?</x:v>
      </x:c>
      <x:c r="W72" s="97" t="e">
        <x:f>Q72+(AU72/100)*J72*Régions!$O$2</x:f>
        <x:v>#NAME?</x:v>
      </x:c>
      <x:c r="X72" s="97" t="e">
        <x:f>R72+(AV72/100)*J72*Régions!$O$2</x:f>
        <x:v>#NAME?</x:v>
      </x:c>
      <x:c r="Y72" s="97" t="e">
        <x:f>S72+(AW72/100)*J72*Régions!$O$2</x:f>
        <x:v>#NAME?</x:v>
      </x:c>
      <x:c r="Z72" s="97" t="e">
        <x:f>T72+(AX72/100)*J72*Régions!$O$2</x:f>
        <x:v>#NAME?</x:v>
      </x:c>
      <x:c r="AA72" s="97" t="e">
        <x:f>U72</x:f>
        <x:v>#NAME?</x:v>
      </x:c>
      <x:c r="AB72" s="97" t="e">
        <x:f>V72</x:f>
        <x:v>#NAME?</x:v>
      </x:c>
      <x:c r="AC72" s="97" t="e">
        <x:f>D72*INDEX(Régions!$Z$2:$Z$6,MATCH($B72,Régions!$A$2:$A$6,0))</x:f>
        <x:v>#NAME?</x:v>
      </x:c>
      <x:c r="AD72" s="97" t="e">
        <x:f>E72*INDEX(Régions!$AA$2:$AA$6,MATCH($B72,Régions!$A$2:$A$6,0))</x:f>
        <x:v>#NAME?</x:v>
      </x:c>
      <x:c r="AE72" s="97" t="e">
        <x:f>F72*INDEX(Régions!$AB$2:$AB$6,MATCH($B72,Régions!$A$2:$A$6,0))</x:f>
        <x:v>#NAME?</x:v>
      </x:c>
      <x:c r="AF72" s="97" t="e">
        <x:f>G72*INDEX(Régions!$AC$2:$AC$6,MATCH($B72,Régions!$A$2:$A$6,0))</x:f>
        <x:v>#NAME?</x:v>
      </x:c>
      <x:c r="AG72" s="97" t="e">
        <x:f>H72*INDEX(Régions!$AD$2:$AD$6,MATCH($B72,Régions!$A$2:$A$6,0))</x:f>
        <x:v>#NAME?</x:v>
      </x:c>
      <x:c r="AH72" s="97" t="e">
        <x:f>I72*INDEX(Régions!$AE$2:$AE$6,MATCH($B72,Régions!$A$2:$A$6,0))</x:f>
        <x:v>#NAME?</x:v>
      </x:c>
      <x:c r="AI72" s="97" t="e">
        <x:f>D72*INDEX(Régions!$AF$2:$AF$6,MATCH($B72,Régions!$A$2:$A$6,0))</x:f>
        <x:v>#NAME?</x:v>
      </x:c>
      <x:c r="AJ72" s="97" t="e">
        <x:f>E72*INDEX(Régions!$AG$2:$AG$6,MATCH($B72,Régions!$A$2:$A$6,0))</x:f>
        <x:v>#NAME?</x:v>
      </x:c>
      <x:c r="AK72" s="97" t="e">
        <x:f>F72*INDEX(Régions!$AH$2:$AH$6,MATCH($B72,Régions!$A$2:$A$6,0))</x:f>
        <x:v>#NAME?</x:v>
      </x:c>
      <x:c r="AL72" s="97" t="e">
        <x:f>G72*INDEX(Régions!$AI$2:$AI$6,MATCH($B72,Régions!$A$2:$A$6,0))</x:f>
        <x:v>#NAME?</x:v>
      </x:c>
      <x:c r="AM72" s="97" t="e">
        <x:f>H72*INDEX(Régions!$AJ$2:$AJ$6,MATCH($B72,Régions!$A$2:$A$6,0))</x:f>
        <x:v>#NAME?</x:v>
      </x:c>
      <x:c r="AN72" s="97" t="e">
        <x:f>I72*INDEX(Régions!$AK$2:$AK$6,MATCH($B72,Régions!$A$2:$A$6,0))</x:f>
        <x:v>#NAME?</x:v>
      </x:c>
      <x:c r="AO72" s="99" t="str">
        <x:f>INDEX({"CAQ","PLQ","QS","PQ","PCQ","Autre"},MATCH(MAX(Q72:V72),Q72:V72,0))</x:f>
        <x:v>CAQ</x:v>
      </x:c>
      <x:c r="AP72" s="99" t="str">
        <x:f>INDEX({"CAQ","PLQ","QS","PQ","PCQ","Autre"},MATCH(MAX(W72:AB72),W72:AB72,0))</x:f>
        <x:v>CAQ</x:v>
      </x:c>
      <x:c r="AQ72" s="99" t="str">
        <x:f>INDEX({"CAQ","PLQ","QS","PQ","PCQ","Autre"},MATCH(MAX(AC72:AH72),AC72:AH72,0))</x:f>
        <x:v>CAQ</x:v>
      </x:c>
      <x:c r="AR72" s="99" t="str">
        <x:f>INDEX({"CAQ","PLQ","QS","PQ","PCQ","Autre"},MATCH(MAX(AI72:AN72),AI72:AN72,0))</x:f>
        <x:v>CAQ</x:v>
      </x:c>
      <x:c r="AS72" s="100" t="n">
        <x:f>(MAX(K72:P72)-LARGE(K72:P72,2))*100</x:f>
        <x:v>37.44366549824737</x:v>
      </x:c>
      <x:c r="AT72" s="101" t="str">
        <x:f>IF(AS72&lt;5,"Oui","Non")</x:f>
        <x:v>Non</x:v>
      </x:c>
      <x:c r="AU72" s="102" t="n">
        <x:v>5.132</x:v>
      </x:c>
      <x:c r="AV72" s="102" t="n">
        <x:v>-10.087</x:v>
      </x:c>
      <x:c r="AW72" s="102" t="n">
        <x:v>-1.214</x:v>
      </x:c>
      <x:c r="AX72" s="102" t="n">
        <x:v>5.312</x:v>
      </x:c>
      <x:c r="AY72" s="96" t="n">
        <x:v>13198</x:v>
      </x:c>
      <x:c r="AZ72" s="96" t="n">
        <x:v>8681</x:v>
      </x:c>
      <x:c r="BA72" s="96" t="n">
        <x:v>3764</x:v>
      </x:c>
      <x:c r="BB72" s="96" t="n">
        <x:v>3987</x:v>
      </x:c>
      <x:c r="BC72" s="96" t="n">
        <x:v>1482</x:v>
      </x:c>
      <x:c r="BD72" s="97" t="e">
        <x:f>AY72*INDEX(Régions!$AQ$2:$AQ$6,MATCH($B72,Régions!$A$2:$A$6,0))</x:f>
        <x:v>#NAME?</x:v>
      </x:c>
      <x:c r="BE72" s="97" t="e">
        <x:f>AZ72*INDEX(Régions!$AR$2:$AR$6,MATCH($B72,Régions!$A$2:$A$6,0))</x:f>
        <x:v>#NAME?</x:v>
      </x:c>
      <x:c r="BF72" s="97" t="e">
        <x:f>BA72*INDEX(Régions!$AS$2:$AS$6,MATCH($B72,Régions!$A$2:$A$6,0))</x:f>
        <x:v>#NAME?</x:v>
      </x:c>
      <x:c r="BG72" s="97" t="e">
        <x:f>BB72*INDEX(Régions!$AT$2:$AT$6,MATCH($B72,Régions!$A$2:$A$6,0))</x:f>
        <x:v>#NAME?</x:v>
      </x:c>
      <x:c r="BH72" s="97" t="e">
        <x:f>U72</x:f>
        <x:v>#NAME?</x:v>
      </x:c>
      <x:c r="BI72" s="97" t="e">
        <x:f>BC72*INDEX(Régions!$AU$2:$AU$6,MATCH($B72,Régions!$A$2:$A$6,0))</x:f>
        <x:v>#NAME?</x:v>
      </x:c>
      <x:c r="BJ72" s="97" t="str">
        <x:f>INDEX({"CAQ","PLQ","QS","PQ","PCQ","Autre"},MATCH(MAX(BD72:BI72),BD72:BI72,0))</x:f>
        <x:v>CAQ</x:v>
      </x:c>
    </x:row>
    <x:row r="73" s="60" customFormat="1" ht="15" customHeight="1">
      <x:c r="A73" s="94" t="inlineStr">
        <x:is>
          <x:t xml:space="preserve">Masson</x:t>
        </x:is>
      </x:c>
      <x:c r="B73" s="94" t="inlineStr">
        <x:is>
          <x:t xml:space="preserve">Banlieue de Montréal</x:t>
        </x:is>
      </x:c>
      <x:c r="C73" s="95" t="inlineStr">
        <x:is>
          <x:t xml:space="preserve">CAQ</x:t>
        </x:is>
      </x:c>
      <x:c r="D73" s="96" t="n">
        <x:v>18194</x:v>
      </x:c>
      <x:c r="E73" s="96" t="n">
        <x:v>2723</x:v>
      </x:c>
      <x:c r="F73" s="96" t="n">
        <x:v>4610</x:v>
      </x:c>
      <x:c r="G73" s="96" t="n">
        <x:v>6432</x:v>
      </x:c>
      <x:c r="H73" s="96" t="n">
        <x:v>2972</x:v>
      </x:c>
      <x:c r="I73" s="96" t="n">
        <x:v>332</x:v>
      </x:c>
      <x:c r="J73" s="97" t="n">
        <x:f>SUM(D73:I73)</x:f>
        <x:v>35263</x:v>
      </x:c>
      <x:c r="K73" s="98" t="n">
        <x:f>IFERROR(D73/J73,0)</x:f>
        <x:v>0.5159515639622267</x:v>
      </x:c>
      <x:c r="L73" s="98" t="n">
        <x:f>IFERROR(E73/J73,0)</x:f>
        <x:v>0.07721974874514363</x:v>
      </x:c>
      <x:c r="M73" s="98" t="n">
        <x:f>IFERROR(F73/J73,0)</x:f>
        <x:v>0.1307319286504268</x:v>
      </x:c>
      <x:c r="N73" s="98" t="n">
        <x:f>IFERROR(G73/J73,0)</x:f>
        <x:v>0.18240081672007485</x:v>
      </x:c>
      <x:c r="O73" s="98" t="n">
        <x:f>IFERROR(H73/J73,0)</x:f>
        <x:v>0.08428097439242266</x:v>
      </x:c>
      <x:c r="P73" s="98" t="n">
        <x:f>IFERROR(I73/J73,0)</x:f>
        <x:v>0.009414967529705357</x:v>
      </x:c>
      <x:c r="Q73" s="97" t="e">
        <x:f>D73*INDEX(Régions!$T$2:$T$6,MATCH($B73,Régions!$A$2:$A$6,0))</x:f>
        <x:v>#NAME?</x:v>
      </x:c>
      <x:c r="R73" s="97" t="e">
        <x:f>E73*INDEX(Régions!$U$2:$U$6,MATCH($B73,Régions!$A$2:$A$6,0))</x:f>
        <x:v>#NAME?</x:v>
      </x:c>
      <x:c r="S73" s="97" t="e">
        <x:f>F73*INDEX(Régions!$V$2:$V$6,MATCH($B73,Régions!$A$2:$A$6,0))</x:f>
        <x:v>#NAME?</x:v>
      </x:c>
      <x:c r="T73" s="97" t="e">
        <x:f>G73*INDEX(Régions!$W$2:$W$6,MATCH($B73,Régions!$A$2:$A$6,0))</x:f>
        <x:v>#NAME?</x:v>
      </x:c>
      <x:c r="U73" s="97" t="e">
        <x:f>H73*INDEX(Régions!$X$2:$X$6,MATCH($B73,Régions!$A$2:$A$6,0))</x:f>
        <x:v>#NAME?</x:v>
      </x:c>
      <x:c r="V73" s="97" t="e">
        <x:f>I73*INDEX(Régions!$Y$2:$Y$6,MATCH($B73,Régions!$A$2:$A$6,0))</x:f>
        <x:v>#NAME?</x:v>
      </x:c>
      <x:c r="W73" s="97" t="e">
        <x:f>Q73+(AU73/100)*J73*Régions!$O$2</x:f>
        <x:v>#NAME?</x:v>
      </x:c>
      <x:c r="X73" s="97" t="e">
        <x:f>R73+(AV73/100)*J73*Régions!$O$2</x:f>
        <x:v>#NAME?</x:v>
      </x:c>
      <x:c r="Y73" s="97" t="e">
        <x:f>S73+(AW73/100)*J73*Régions!$O$2</x:f>
        <x:v>#NAME?</x:v>
      </x:c>
      <x:c r="Z73" s="97" t="e">
        <x:f>T73+(AX73/100)*J73*Régions!$O$2</x:f>
        <x:v>#NAME?</x:v>
      </x:c>
      <x:c r="AA73" s="97" t="e">
        <x:f>U73</x:f>
        <x:v>#NAME?</x:v>
      </x:c>
      <x:c r="AB73" s="97" t="e">
        <x:f>V73</x:f>
        <x:v>#NAME?</x:v>
      </x:c>
      <x:c r="AC73" s="97" t="e">
        <x:f>D73*INDEX(Régions!$Z$2:$Z$6,MATCH($B73,Régions!$A$2:$A$6,0))</x:f>
        <x:v>#NAME?</x:v>
      </x:c>
      <x:c r="AD73" s="97" t="e">
        <x:f>E73*INDEX(Régions!$AA$2:$AA$6,MATCH($B73,Régions!$A$2:$A$6,0))</x:f>
        <x:v>#NAME?</x:v>
      </x:c>
      <x:c r="AE73" s="97" t="e">
        <x:f>F73*INDEX(Régions!$AB$2:$AB$6,MATCH($B73,Régions!$A$2:$A$6,0))</x:f>
        <x:v>#NAME?</x:v>
      </x:c>
      <x:c r="AF73" s="97" t="e">
        <x:f>G73*INDEX(Régions!$AC$2:$AC$6,MATCH($B73,Régions!$A$2:$A$6,0))</x:f>
        <x:v>#NAME?</x:v>
      </x:c>
      <x:c r="AG73" s="97" t="e">
        <x:f>H73*INDEX(Régions!$AD$2:$AD$6,MATCH($B73,Régions!$A$2:$A$6,0))</x:f>
        <x:v>#NAME?</x:v>
      </x:c>
      <x:c r="AH73" s="97" t="e">
        <x:f>I73*INDEX(Régions!$AE$2:$AE$6,MATCH($B73,Régions!$A$2:$A$6,0))</x:f>
        <x:v>#NAME?</x:v>
      </x:c>
      <x:c r="AI73" s="97" t="e">
        <x:f>D73*INDEX(Régions!$AF$2:$AF$6,MATCH($B73,Régions!$A$2:$A$6,0))</x:f>
        <x:v>#NAME?</x:v>
      </x:c>
      <x:c r="AJ73" s="97" t="e">
        <x:f>E73*INDEX(Régions!$AG$2:$AG$6,MATCH($B73,Régions!$A$2:$A$6,0))</x:f>
        <x:v>#NAME?</x:v>
      </x:c>
      <x:c r="AK73" s="97" t="e">
        <x:f>F73*INDEX(Régions!$AH$2:$AH$6,MATCH($B73,Régions!$A$2:$A$6,0))</x:f>
        <x:v>#NAME?</x:v>
      </x:c>
      <x:c r="AL73" s="97" t="e">
        <x:f>G73*INDEX(Régions!$AI$2:$AI$6,MATCH($B73,Régions!$A$2:$A$6,0))</x:f>
        <x:v>#NAME?</x:v>
      </x:c>
      <x:c r="AM73" s="97" t="e">
        <x:f>H73*INDEX(Régions!$AJ$2:$AJ$6,MATCH($B73,Régions!$A$2:$A$6,0))</x:f>
        <x:v>#NAME?</x:v>
      </x:c>
      <x:c r="AN73" s="97" t="e">
        <x:f>I73*INDEX(Régions!$AK$2:$AK$6,MATCH($B73,Régions!$A$2:$A$6,0))</x:f>
        <x:v>#NAME?</x:v>
      </x:c>
      <x:c r="AO73" s="99" t="str">
        <x:f>INDEX({"CAQ","PLQ","QS","PQ","PCQ","Autre"},MATCH(MAX(Q73:V73),Q73:V73,0))</x:f>
        <x:v>CAQ</x:v>
      </x:c>
      <x:c r="AP73" s="99" t="str">
        <x:f>INDEX({"CAQ","PLQ","QS","PQ","PCQ","Autre"},MATCH(MAX(W73:AB73),W73:AB73,0))</x:f>
        <x:v>CAQ</x:v>
      </x:c>
      <x:c r="AQ73" s="99" t="str">
        <x:f>INDEX({"CAQ","PLQ","QS","PQ","PCQ","Autre"},MATCH(MAX(AC73:AH73),AC73:AH73,0))</x:f>
        <x:v>CAQ</x:v>
      </x:c>
      <x:c r="AR73" s="99" t="str">
        <x:f>INDEX({"CAQ","PLQ","QS","PQ","PCQ","Autre"},MATCH(MAX(AI73:AN73),AI73:AN73,0))</x:f>
        <x:v>CAQ</x:v>
      </x:c>
      <x:c r="AS73" s="100" t="n">
        <x:f>(MAX(K73:P73)-LARGE(K73:P73,2))*100</x:f>
        <x:v>33.355074724215186</x:v>
      </x:c>
      <x:c r="AT73" s="101" t="str">
        <x:f>IF(AS73&lt;5,"Oui","Non")</x:f>
        <x:v>Non</x:v>
      </x:c>
      <x:c r="AU73" s="102" t="n">
        <x:v>-4.579</x:v>
      </x:c>
      <x:c r="AV73" s="102" t="n">
        <x:v>3.734</x:v>
      </x:c>
      <x:c r="AW73" s="102" t="n">
        <x:v>0.325</x:v>
      </x:c>
      <x:c r="AX73" s="102" t="n">
        <x:v>1.529</x:v>
      </x:c>
      <x:c r="AY73" s="96" t="n">
        <x:v>17564</x:v>
      </x:c>
      <x:c r="AZ73" s="96" t="n">
        <x:v>3606</x:v>
      </x:c>
      <x:c r="BA73" s="96" t="n">
        <x:v>4451</x:v>
      </x:c>
      <x:c r="BB73" s="96" t="n">
        <x:v>6527</x:v>
      </x:c>
      <x:c r="BC73" s="96" t="n">
        <x:v>962</x:v>
      </x:c>
      <x:c r="BD73" s="97" t="e">
        <x:f>AY73*INDEX(Régions!$AQ$2:$AQ$6,MATCH($B73,Régions!$A$2:$A$6,0))</x:f>
        <x:v>#NAME?</x:v>
      </x:c>
      <x:c r="BE73" s="97" t="e">
        <x:f>AZ73*INDEX(Régions!$AR$2:$AR$6,MATCH($B73,Régions!$A$2:$A$6,0))</x:f>
        <x:v>#NAME?</x:v>
      </x:c>
      <x:c r="BF73" s="97" t="e">
        <x:f>BA73*INDEX(Régions!$AS$2:$AS$6,MATCH($B73,Régions!$A$2:$A$6,0))</x:f>
        <x:v>#NAME?</x:v>
      </x:c>
      <x:c r="BG73" s="97" t="e">
        <x:f>BB73*INDEX(Régions!$AT$2:$AT$6,MATCH($B73,Régions!$A$2:$A$6,0))</x:f>
        <x:v>#NAME?</x:v>
      </x:c>
      <x:c r="BH73" s="97" t="e">
        <x:f>U73</x:f>
        <x:v>#NAME?</x:v>
      </x:c>
      <x:c r="BI73" s="97" t="e">
        <x:f>BC73*INDEX(Régions!$AU$2:$AU$6,MATCH($B73,Régions!$A$2:$A$6,0))</x:f>
        <x:v>#NAME?</x:v>
      </x:c>
      <x:c r="BJ73" s="97" t="str">
        <x:f>INDEX({"CAQ","PLQ","QS","PQ","PCQ","Autre"},MATCH(MAX(BD73:BI73),BD73:BI73,0))</x:f>
        <x:v>CAQ</x:v>
      </x:c>
    </x:row>
    <x:row r="74" s="60" customFormat="1" ht="15" customHeight="1">
      <x:c r="A74" s="94" t="inlineStr">
        <x:is>
          <x:t xml:space="preserve">Matane-Matapédia-Mitis</x:t>
        </x:is>
      </x:c>
      <x:c r="B74" s="94" t="inlineStr">
        <x:is>
          <x:t xml:space="preserve">Reste du Québec</x:t>
        </x:is>
      </x:c>
      <x:c r="C74" s="95" t="inlineStr">
        <x:is>
          <x:t xml:space="preserve">PQ</x:t>
        </x:is>
      </x:c>
      <x:c r="D74" s="96" t="n">
        <x:v>5163</x:v>
      </x:c>
      <x:c r="E74" s="96" t="n">
        <x:v>637</x:v>
      </x:c>
      <x:c r="F74" s="96" t="n">
        <x:v>1450</x:v>
      </x:c>
      <x:c r="G74" s="96" t="n">
        <x:v>20057</x:v>
      </x:c>
      <x:c r="H74" s="96" t="n">
        <x:v>2316</x:v>
      </x:c>
      <x:c r="I74" s="96" t="n">
        <x:v>123</x:v>
      </x:c>
      <x:c r="J74" s="97" t="n">
        <x:f>SUM(D74:I74)</x:f>
        <x:v>29746</x:v>
      </x:c>
      <x:c r="K74" s="98" t="n">
        <x:f>IFERROR(D74/J74,0)</x:f>
        <x:v>0.1735695555704969</x:v>
      </x:c>
      <x:c r="L74" s="98" t="n">
        <x:f>IFERROR(E74/J74,0)</x:f>
        <x:v>0.021414643985745982</x:v>
      </x:c>
      <x:c r="M74" s="98" t="n">
        <x:f>IFERROR(F74/J74,0)</x:f>
        <x:v>0.048746049889060714</x:v>
      </x:c>
      <x:c r="N74" s="98" t="n">
        <x:f>IFERROR(G74/J74,0)</x:f>
        <x:v>0.6742755328447523</x:v>
      </x:c>
      <x:c r="O74" s="98" t="n">
        <x:f>IFERROR(H74/J74,0)</x:f>
        <x:v>0.07785920796073421</x:v>
      </x:c>
      <x:c r="P74" s="98" t="n">
        <x:f>IFERROR(I74/J74,0)</x:f>
        <x:v>0.004135009749209978</x:v>
      </x:c>
      <x:c r="Q74" s="97" t="e">
        <x:f>D74*INDEX(Régions!$T$2:$T$6,MATCH($B74,Régions!$A$2:$A$6,0))</x:f>
        <x:v>#NAME?</x:v>
      </x:c>
      <x:c r="R74" s="97" t="e">
        <x:f>E74*INDEX(Régions!$U$2:$U$6,MATCH($B74,Régions!$A$2:$A$6,0))</x:f>
        <x:v>#NAME?</x:v>
      </x:c>
      <x:c r="S74" s="97" t="e">
        <x:f>F74*INDEX(Régions!$V$2:$V$6,MATCH($B74,Régions!$A$2:$A$6,0))</x:f>
        <x:v>#NAME?</x:v>
      </x:c>
      <x:c r="T74" s="97" t="e">
        <x:f>G74*INDEX(Régions!$W$2:$W$6,MATCH($B74,Régions!$A$2:$A$6,0))</x:f>
        <x:v>#NAME?</x:v>
      </x:c>
      <x:c r="U74" s="97" t="e">
        <x:f>H74*INDEX(Régions!$X$2:$X$6,MATCH($B74,Régions!$A$2:$A$6,0))</x:f>
        <x:v>#NAME?</x:v>
      </x:c>
      <x:c r="V74" s="97" t="e">
        <x:f>I74*INDEX(Régions!$Y$2:$Y$6,MATCH($B74,Régions!$A$2:$A$6,0))</x:f>
        <x:v>#NAME?</x:v>
      </x:c>
      <x:c r="W74" s="97" t="e">
        <x:f>Q74+(AU74/100)*J74*Régions!$O$2</x:f>
        <x:v>#NAME?</x:v>
      </x:c>
      <x:c r="X74" s="97" t="e">
        <x:f>R74+(AV74/100)*J74*Régions!$O$2</x:f>
        <x:v>#NAME?</x:v>
      </x:c>
      <x:c r="Y74" s="97" t="e">
        <x:f>S74+(AW74/100)*J74*Régions!$O$2</x:f>
        <x:v>#NAME?</x:v>
      </x:c>
      <x:c r="Z74" s="97" t="e">
        <x:f>T74+(AX74/100)*J74*Régions!$O$2</x:f>
        <x:v>#NAME?</x:v>
      </x:c>
      <x:c r="AA74" s="97" t="e">
        <x:f>U74</x:f>
        <x:v>#NAME?</x:v>
      </x:c>
      <x:c r="AB74" s="97" t="e">
        <x:f>V74</x:f>
        <x:v>#NAME?</x:v>
      </x:c>
      <x:c r="AC74" s="97" t="e">
        <x:f>D74*INDEX(Régions!$Z$2:$Z$6,MATCH($B74,Régions!$A$2:$A$6,0))</x:f>
        <x:v>#NAME?</x:v>
      </x:c>
      <x:c r="AD74" s="97" t="e">
        <x:f>E74*INDEX(Régions!$AA$2:$AA$6,MATCH($B74,Régions!$A$2:$A$6,0))</x:f>
        <x:v>#NAME?</x:v>
      </x:c>
      <x:c r="AE74" s="97" t="e">
        <x:f>F74*INDEX(Régions!$AB$2:$AB$6,MATCH($B74,Régions!$A$2:$A$6,0))</x:f>
        <x:v>#NAME?</x:v>
      </x:c>
      <x:c r="AF74" s="97" t="e">
        <x:f>G74*INDEX(Régions!$AC$2:$AC$6,MATCH($B74,Régions!$A$2:$A$6,0))</x:f>
        <x:v>#NAME?</x:v>
      </x:c>
      <x:c r="AG74" s="97" t="e">
        <x:f>H74*INDEX(Régions!$AD$2:$AD$6,MATCH($B74,Régions!$A$2:$A$6,0))</x:f>
        <x:v>#NAME?</x:v>
      </x:c>
      <x:c r="AH74" s="97" t="e">
        <x:f>I74*INDEX(Régions!$AE$2:$AE$6,MATCH($B74,Régions!$A$2:$A$6,0))</x:f>
        <x:v>#NAME?</x:v>
      </x:c>
      <x:c r="AI74" s="97" t="e">
        <x:f>D74*INDEX(Régions!$AF$2:$AF$6,MATCH($B74,Régions!$A$2:$A$6,0))</x:f>
        <x:v>#NAME?</x:v>
      </x:c>
      <x:c r="AJ74" s="97" t="e">
        <x:f>E74*INDEX(Régions!$AG$2:$AG$6,MATCH($B74,Régions!$A$2:$A$6,0))</x:f>
        <x:v>#NAME?</x:v>
      </x:c>
      <x:c r="AK74" s="97" t="e">
        <x:f>F74*INDEX(Régions!$AH$2:$AH$6,MATCH($B74,Régions!$A$2:$A$6,0))</x:f>
        <x:v>#NAME?</x:v>
      </x:c>
      <x:c r="AL74" s="97" t="e">
        <x:f>G74*INDEX(Régions!$AI$2:$AI$6,MATCH($B74,Régions!$A$2:$A$6,0))</x:f>
        <x:v>#NAME?</x:v>
      </x:c>
      <x:c r="AM74" s="97" t="e">
        <x:f>H74*INDEX(Régions!$AJ$2:$AJ$6,MATCH($B74,Régions!$A$2:$A$6,0))</x:f>
        <x:v>#NAME?</x:v>
      </x:c>
      <x:c r="AN74" s="97" t="e">
        <x:f>I74*INDEX(Régions!$AK$2:$AK$6,MATCH($B74,Régions!$A$2:$A$6,0))</x:f>
        <x:v>#NAME?</x:v>
      </x:c>
      <x:c r="AO74" s="99" t="str">
        <x:f>INDEX({"CAQ","PLQ","QS","PQ","PCQ","Autre"},MATCH(MAX(Q74:V74),Q74:V74,0))</x:f>
        <x:v>CAQ</x:v>
      </x:c>
      <x:c r="AP74" s="99" t="str">
        <x:f>INDEX({"CAQ","PLQ","QS","PQ","PCQ","Autre"},MATCH(MAX(W74:AB74),W74:AB74,0))</x:f>
        <x:v>CAQ</x:v>
      </x:c>
      <x:c r="AQ74" s="99" t="str">
        <x:f>INDEX({"CAQ","PLQ","QS","PQ","PCQ","Autre"},MATCH(MAX(AC74:AH74),AC74:AH74,0))</x:f>
        <x:v>CAQ</x:v>
      </x:c>
      <x:c r="AR74" s="99" t="str">
        <x:f>INDEX({"CAQ","PLQ","QS","PQ","PCQ","Autre"},MATCH(MAX(AI74:AN74),AI74:AN74,0))</x:f>
        <x:v>CAQ</x:v>
      </x:c>
      <x:c r="AS74" s="100" t="n">
        <x:f>(MAX(K74:P74)-LARGE(K74:P74,2))*100</x:f>
        <x:v>50.070597727425536</x:v>
      </x:c>
      <x:c r="AT74" s="101" t="str">
        <x:f>IF(AS74&lt;5,"Oui","Non")</x:f>
        <x:v>Non</x:v>
      </x:c>
      <x:c r="AU74" s="102" t="n">
        <x:v>0.046</x:v>
      </x:c>
      <x:c r="AV74" s="102" t="n">
        <x:v>3.624</x:v>
      </x:c>
      <x:c r="AW74" s="102" t="n">
        <x:v>0.08500000000000001</x:v>
      </x:c>
      <x:c r="AX74" s="102" t="n">
        <x:v>1.952</x:v>
      </x:c>
      <x:c r="AY74" s="96" t="n">
        <x:v>3379</x:v>
      </x:c>
      <x:c r="AZ74" s="96" t="n">
        <x:v>3351</x:v>
      </x:c>
      <x:c r="BA74" s="96" t="n">
        <x:v>1718</x:v>
      </x:c>
      <x:c r="BB74" s="96" t="n">
        <x:v>20658</x:v>
      </x:c>
      <x:c r="BC74" s="96" t="n">
        <x:v>635</x:v>
      </x:c>
      <x:c r="BD74" s="97" t="e">
        <x:f>AY74*INDEX(Régions!$AQ$2:$AQ$6,MATCH($B74,Régions!$A$2:$A$6,0))</x:f>
        <x:v>#NAME?</x:v>
      </x:c>
      <x:c r="BE74" s="97" t="e">
        <x:f>AZ74*INDEX(Régions!$AR$2:$AR$6,MATCH($B74,Régions!$A$2:$A$6,0))</x:f>
        <x:v>#NAME?</x:v>
      </x:c>
      <x:c r="BF74" s="97" t="e">
        <x:f>BA74*INDEX(Régions!$AS$2:$AS$6,MATCH($B74,Régions!$A$2:$A$6,0))</x:f>
        <x:v>#NAME?</x:v>
      </x:c>
      <x:c r="BG74" s="97" t="e">
        <x:f>BB74*INDEX(Régions!$AT$2:$AT$6,MATCH($B74,Régions!$A$2:$A$6,0))</x:f>
        <x:v>#NAME?</x:v>
      </x:c>
      <x:c r="BH74" s="97" t="e">
        <x:f>U74</x:f>
        <x:v>#NAME?</x:v>
      </x:c>
      <x:c r="BI74" s="97" t="e">
        <x:f>BC74*INDEX(Régions!$AU$2:$AU$6,MATCH($B74,Régions!$A$2:$A$6,0))</x:f>
        <x:v>#NAME?</x:v>
      </x:c>
      <x:c r="BJ74" s="97" t="str">
        <x:f>INDEX({"CAQ","PLQ","QS","PQ","PCQ","Autre"},MATCH(MAX(BD74:BI74),BD74:BI74,0))</x:f>
        <x:v>CAQ</x:v>
      </x:c>
    </x:row>
    <x:row r="75" s="60" customFormat="1" ht="15" customHeight="1">
      <x:c r="A75" s="94" t="inlineStr">
        <x:is>
          <x:t xml:space="preserve">Maurice-Richard</x:t>
        </x:is>
      </x:c>
      <x:c r="B75" s="94" t="inlineStr">
        <x:is>
          <x:t xml:space="preserve">Île de Montréal</x:t>
        </x:is>
      </x:c>
      <x:c r="C75" s="95" t="inlineStr">
        <x:is>
          <x:t xml:space="preserve">QS</x:t>
        </x:is>
      </x:c>
      <x:c r="D75" s="96" t="n">
        <x:v>8542</x:v>
      </x:c>
      <x:c r="E75" s="96" t="n">
        <x:v>5414</x:v>
      </x:c>
      <x:c r="F75" s="96" t="n">
        <x:v>10903</x:v>
      </x:c>
      <x:c r="G75" s="96" t="n">
        <x:v>4612</x:v>
      </x:c>
      <x:c r="H75" s="96" t="n">
        <x:v>1322</x:v>
      </x:c>
      <x:c r="I75" s="96" t="n">
        <x:v>654</x:v>
      </x:c>
      <x:c r="J75" s="97" t="n">
        <x:f>SUM(D75:I75)</x:f>
        <x:v>31447</x:v>
      </x:c>
      <x:c r="K75" s="98" t="n">
        <x:f>IFERROR(D75/J75,0)</x:f>
        <x:v>0.271631634178141</x:v>
      </x:c>
      <x:c r="L75" s="98" t="n">
        <x:f>IFERROR(E75/J75,0)</x:f>
        <x:v>0.1721626864247782</x:v>
      </x:c>
      <x:c r="M75" s="98" t="n">
        <x:f>IFERROR(F75/J75,0)</x:f>
        <x:v>0.34671033802906476</x:v>
      </x:c>
      <x:c r="N75" s="98" t="n">
        <x:f>IFERROR(G75/J75,0)</x:f>
        <x:v>0.14665945877190192</x:v>
      </x:c>
      <x:c r="O75" s="98" t="n">
        <x:f>IFERROR(H75/J75,0)</x:f>
        <x:v>0.04203898623080103</x:v>
      </x:c>
      <x:c r="P75" s="98" t="n">
        <x:f>IFERROR(I75/J75,0)</x:f>
        <x:v>0.020796896365313067</x:v>
      </x:c>
      <x:c r="Q75" s="97" t="e">
        <x:f>D75*INDEX(Régions!$T$2:$T$6,MATCH($B75,Régions!$A$2:$A$6,0))</x:f>
        <x:v>#NAME?</x:v>
      </x:c>
      <x:c r="R75" s="97" t="e">
        <x:f>E75*INDEX(Régions!$U$2:$U$6,MATCH($B75,Régions!$A$2:$A$6,0))</x:f>
        <x:v>#NAME?</x:v>
      </x:c>
      <x:c r="S75" s="97" t="e">
        <x:f>F75*INDEX(Régions!$V$2:$V$6,MATCH($B75,Régions!$A$2:$A$6,0))</x:f>
        <x:v>#NAME?</x:v>
      </x:c>
      <x:c r="T75" s="97" t="e">
        <x:f>G75*INDEX(Régions!$W$2:$W$6,MATCH($B75,Régions!$A$2:$A$6,0))</x:f>
        <x:v>#NAME?</x:v>
      </x:c>
      <x:c r="U75" s="97" t="e">
        <x:f>H75*INDEX(Régions!$X$2:$X$6,MATCH($B75,Régions!$A$2:$A$6,0))</x:f>
        <x:v>#NAME?</x:v>
      </x:c>
      <x:c r="V75" s="97" t="e">
        <x:f>I75*INDEX(Régions!$Y$2:$Y$6,MATCH($B75,Régions!$A$2:$A$6,0))</x:f>
        <x:v>#NAME?</x:v>
      </x:c>
      <x:c r="W75" s="97" t="e">
        <x:f>Q75+(AU75/100)*J75*Régions!$O$2</x:f>
        <x:v>#NAME?</x:v>
      </x:c>
      <x:c r="X75" s="97" t="e">
        <x:f>R75+(AV75/100)*J75*Régions!$O$2</x:f>
        <x:v>#NAME?</x:v>
      </x:c>
      <x:c r="Y75" s="97" t="e">
        <x:f>S75+(AW75/100)*J75*Régions!$O$2</x:f>
        <x:v>#NAME?</x:v>
      </x:c>
      <x:c r="Z75" s="97" t="e">
        <x:f>T75+(AX75/100)*J75*Régions!$O$2</x:f>
        <x:v>#NAME?</x:v>
      </x:c>
      <x:c r="AA75" s="97" t="e">
        <x:f>U75</x:f>
        <x:v>#NAME?</x:v>
      </x:c>
      <x:c r="AB75" s="97" t="e">
        <x:f>V75</x:f>
        <x:v>#NAME?</x:v>
      </x:c>
      <x:c r="AC75" s="97" t="e">
        <x:f>D75*INDEX(Régions!$Z$2:$Z$6,MATCH($B75,Régions!$A$2:$A$6,0))</x:f>
        <x:v>#NAME?</x:v>
      </x:c>
      <x:c r="AD75" s="97" t="e">
        <x:f>E75*INDEX(Régions!$AA$2:$AA$6,MATCH($B75,Régions!$A$2:$A$6,0))</x:f>
        <x:v>#NAME?</x:v>
      </x:c>
      <x:c r="AE75" s="97" t="e">
        <x:f>F75*INDEX(Régions!$AB$2:$AB$6,MATCH($B75,Régions!$A$2:$A$6,0))</x:f>
        <x:v>#NAME?</x:v>
      </x:c>
      <x:c r="AF75" s="97" t="e">
        <x:f>G75*INDEX(Régions!$AC$2:$AC$6,MATCH($B75,Régions!$A$2:$A$6,0))</x:f>
        <x:v>#NAME?</x:v>
      </x:c>
      <x:c r="AG75" s="97" t="e">
        <x:f>H75*INDEX(Régions!$AD$2:$AD$6,MATCH($B75,Régions!$A$2:$A$6,0))</x:f>
        <x:v>#NAME?</x:v>
      </x:c>
      <x:c r="AH75" s="97" t="e">
        <x:f>I75*INDEX(Régions!$AE$2:$AE$6,MATCH($B75,Régions!$A$2:$A$6,0))</x:f>
        <x:v>#NAME?</x:v>
      </x:c>
      <x:c r="AI75" s="97" t="e">
        <x:f>D75*INDEX(Régions!$AF$2:$AF$6,MATCH($B75,Régions!$A$2:$A$6,0))</x:f>
        <x:v>#NAME?</x:v>
      </x:c>
      <x:c r="AJ75" s="97" t="e">
        <x:f>E75*INDEX(Régions!$AG$2:$AG$6,MATCH($B75,Régions!$A$2:$A$6,0))</x:f>
        <x:v>#NAME?</x:v>
      </x:c>
      <x:c r="AK75" s="97" t="e">
        <x:f>F75*INDEX(Régions!$AH$2:$AH$6,MATCH($B75,Régions!$A$2:$A$6,0))</x:f>
        <x:v>#NAME?</x:v>
      </x:c>
      <x:c r="AL75" s="97" t="e">
        <x:f>G75*INDEX(Régions!$AI$2:$AI$6,MATCH($B75,Régions!$A$2:$A$6,0))</x:f>
        <x:v>#NAME?</x:v>
      </x:c>
      <x:c r="AM75" s="97" t="e">
        <x:f>H75*INDEX(Régions!$AJ$2:$AJ$6,MATCH($B75,Régions!$A$2:$A$6,0))</x:f>
        <x:v>#NAME?</x:v>
      </x:c>
      <x:c r="AN75" s="97" t="e">
        <x:f>I75*INDEX(Régions!$AK$2:$AK$6,MATCH($B75,Régions!$A$2:$A$6,0))</x:f>
        <x:v>#NAME?</x:v>
      </x:c>
      <x:c r="AO75" s="99" t="str">
        <x:f>INDEX({"CAQ","PLQ","QS","PQ","PCQ","Autre"},MATCH(MAX(Q75:V75),Q75:V75,0))</x:f>
        <x:v>CAQ</x:v>
      </x:c>
      <x:c r="AP75" s="99" t="str">
        <x:f>INDEX({"CAQ","PLQ","QS","PQ","PCQ","Autre"},MATCH(MAX(W75:AB75),W75:AB75,0))</x:f>
        <x:v>CAQ</x:v>
      </x:c>
      <x:c r="AQ75" s="99" t="str">
        <x:f>INDEX({"CAQ","PLQ","QS","PQ","PCQ","Autre"},MATCH(MAX(AC75:AH75),AC75:AH75,0))</x:f>
        <x:v>CAQ</x:v>
      </x:c>
      <x:c r="AR75" s="99" t="str">
        <x:f>INDEX({"CAQ","PLQ","QS","PQ","PCQ","Autre"},MATCH(MAX(AI75:AN75),AI75:AN75,0))</x:f>
        <x:v>CAQ</x:v>
      </x:c>
      <x:c r="AS75" s="100" t="n">
        <x:f>(MAX(K75:P75)-LARGE(K75:P75,2))*100</x:f>
        <x:v>7.5078703850923745</x:v>
      </x:c>
      <x:c r="AT75" s="101" t="str">
        <x:f>IF(AS75&lt;5,"Oui","Non")</x:f>
        <x:v>Non</x:v>
      </x:c>
      <x:c r="AU75" s="102" t="n">
        <x:v>5.304</x:v>
      </x:c>
      <x:c r="AV75" s="102" t="n">
        <x:v>-3.464</x:v>
      </x:c>
      <x:c r="AW75" s="102" t="n">
        <x:v>6.066</x:v>
      </x:c>
      <x:c r="AX75" s="102" t="n">
        <x:v>-3.31</x:v>
      </x:c>
      <x:c r="AY75" s="96" t="n">
        <x:v>6330</x:v>
      </x:c>
      <x:c r="AZ75" s="96" t="n">
        <x:v>9459</x:v>
      </x:c>
      <x:c r="BA75" s="96" t="n">
        <x:v>8929</x:v>
      </x:c>
      <x:c r="BB75" s="96" t="n">
        <x:v>6131</x:v>
      </x:c>
      <x:c r="BC75" s="96" t="n">
        <x:v>1199</x:v>
      </x:c>
      <x:c r="BD75" s="97" t="e">
        <x:f>AY75*INDEX(Régions!$AQ$2:$AQ$6,MATCH($B75,Régions!$A$2:$A$6,0))</x:f>
        <x:v>#NAME?</x:v>
      </x:c>
      <x:c r="BE75" s="97" t="e">
        <x:f>AZ75*INDEX(Régions!$AR$2:$AR$6,MATCH($B75,Régions!$A$2:$A$6,0))</x:f>
        <x:v>#NAME?</x:v>
      </x:c>
      <x:c r="BF75" s="97" t="e">
        <x:f>BA75*INDEX(Régions!$AS$2:$AS$6,MATCH($B75,Régions!$A$2:$A$6,0))</x:f>
        <x:v>#NAME?</x:v>
      </x:c>
      <x:c r="BG75" s="97" t="e">
        <x:f>BB75*INDEX(Régions!$AT$2:$AT$6,MATCH($B75,Régions!$A$2:$A$6,0))</x:f>
        <x:v>#NAME?</x:v>
      </x:c>
      <x:c r="BH75" s="97" t="e">
        <x:f>U75</x:f>
        <x:v>#NAME?</x:v>
      </x:c>
      <x:c r="BI75" s="97" t="e">
        <x:f>BC75*INDEX(Régions!$AU$2:$AU$6,MATCH($B75,Régions!$A$2:$A$6,0))</x:f>
        <x:v>#NAME?</x:v>
      </x:c>
      <x:c r="BJ75" s="97" t="str">
        <x:f>INDEX({"CAQ","PLQ","QS","PQ","PCQ","Autre"},MATCH(MAX(BD75:BI75),BD75:BI75,0))</x:f>
        <x:v>CAQ</x:v>
      </x:c>
    </x:row>
    <x:row r="76" s="60" customFormat="1" ht="15" customHeight="1">
      <x:c r="A76" s="94" t="inlineStr">
        <x:is>
          <x:t xml:space="preserve">Mercier</x:t>
        </x:is>
      </x:c>
      <x:c r="B76" s="94" t="inlineStr">
        <x:is>
          <x:t xml:space="preserve">Île de Montréal</x:t>
        </x:is>
      </x:c>
      <x:c r="C76" s="95" t="inlineStr">
        <x:is>
          <x:t xml:space="preserve">QS</x:t>
        </x:is>
      </x:c>
      <x:c r="D76" s="96" t="n">
        <x:v>2814</x:v>
      </x:c>
      <x:c r="E76" s="96" t="n">
        <x:v>3837</x:v>
      </x:c>
      <x:c r="F76" s="96" t="n">
        <x:v>14755</x:v>
      </x:c>
      <x:c r="G76" s="96" t="n">
        <x:v>3986</x:v>
      </x:c>
      <x:c r="H76" s="96" t="n">
        <x:v>1051</x:v>
      </x:c>
      <x:c r="I76" s="96" t="n">
        <x:v>920</x:v>
      </x:c>
      <x:c r="J76" s="97" t="n">
        <x:f>SUM(D76:I76)</x:f>
        <x:v>27363</x:v>
      </x:c>
      <x:c r="K76" s="98" t="n">
        <x:f>IFERROR(D76/J76,0)</x:f>
        <x:v>0.10283960092095165</x:v>
      </x:c>
      <x:c r="L76" s="98" t="n">
        <x:f>IFERROR(E76/J76,0)</x:f>
        <x:v>0.14022585242846178</x:v>
      </x:c>
      <x:c r="M76" s="98" t="n">
        <x:f>IFERROR(F76/J76,0)</x:f>
        <x:v>0.5392318093776267</x:v>
      </x:c>
      <x:c r="N76" s="98" t="n">
        <x:f>IFERROR(G76/J76,0)</x:f>
        <x:v>0.14567116178781567</x:v>
      </x:c>
      <x:c r="O76" s="98" t="n">
        <x:f>IFERROR(H76/J76,0)</x:f>
        <x:v>0.03840953111866389</x:v>
      </x:c>
      <x:c r="P76" s="98" t="n">
        <x:f>IFERROR(I76/J76,0)</x:f>
        <x:v>0.03362204436648028</x:v>
      </x:c>
      <x:c r="Q76" s="97" t="e">
        <x:f>D76*INDEX(Régions!$T$2:$T$6,MATCH($B76,Régions!$A$2:$A$6,0))</x:f>
        <x:v>#NAME?</x:v>
      </x:c>
      <x:c r="R76" s="97" t="e">
        <x:f>E76*INDEX(Régions!$U$2:$U$6,MATCH($B76,Régions!$A$2:$A$6,0))</x:f>
        <x:v>#NAME?</x:v>
      </x:c>
      <x:c r="S76" s="97" t="e">
        <x:f>F76*INDEX(Régions!$V$2:$V$6,MATCH($B76,Régions!$A$2:$A$6,0))</x:f>
        <x:v>#NAME?</x:v>
      </x:c>
      <x:c r="T76" s="97" t="e">
        <x:f>G76*INDEX(Régions!$W$2:$W$6,MATCH($B76,Régions!$A$2:$A$6,0))</x:f>
        <x:v>#NAME?</x:v>
      </x:c>
      <x:c r="U76" s="97" t="e">
        <x:f>H76*INDEX(Régions!$X$2:$X$6,MATCH($B76,Régions!$A$2:$A$6,0))</x:f>
        <x:v>#NAME?</x:v>
      </x:c>
      <x:c r="V76" s="97" t="e">
        <x:f>I76*INDEX(Régions!$Y$2:$Y$6,MATCH($B76,Régions!$A$2:$A$6,0))</x:f>
        <x:v>#NAME?</x:v>
      </x:c>
      <x:c r="W76" s="97" t="e">
        <x:f>Q76+(AU76/100)*J76*Régions!$O$2</x:f>
        <x:v>#NAME?</x:v>
      </x:c>
      <x:c r="X76" s="97" t="e">
        <x:f>R76+(AV76/100)*J76*Régions!$O$2</x:f>
        <x:v>#NAME?</x:v>
      </x:c>
      <x:c r="Y76" s="97" t="e">
        <x:f>S76+(AW76/100)*J76*Régions!$O$2</x:f>
        <x:v>#NAME?</x:v>
      </x:c>
      <x:c r="Z76" s="97" t="e">
        <x:f>T76+(AX76/100)*J76*Régions!$O$2</x:f>
        <x:v>#NAME?</x:v>
      </x:c>
      <x:c r="AA76" s="97" t="e">
        <x:f>U76</x:f>
        <x:v>#NAME?</x:v>
      </x:c>
      <x:c r="AB76" s="97" t="e">
        <x:f>V76</x:f>
        <x:v>#NAME?</x:v>
      </x:c>
      <x:c r="AC76" s="97" t="e">
        <x:f>D76*INDEX(Régions!$Z$2:$Z$6,MATCH($B76,Régions!$A$2:$A$6,0))</x:f>
        <x:v>#NAME?</x:v>
      </x:c>
      <x:c r="AD76" s="97" t="e">
        <x:f>E76*INDEX(Régions!$AA$2:$AA$6,MATCH($B76,Régions!$A$2:$A$6,0))</x:f>
        <x:v>#NAME?</x:v>
      </x:c>
      <x:c r="AE76" s="97" t="e">
        <x:f>F76*INDEX(Régions!$AB$2:$AB$6,MATCH($B76,Régions!$A$2:$A$6,0))</x:f>
        <x:v>#NAME?</x:v>
      </x:c>
      <x:c r="AF76" s="97" t="e">
        <x:f>G76*INDEX(Régions!$AC$2:$AC$6,MATCH($B76,Régions!$A$2:$A$6,0))</x:f>
        <x:v>#NAME?</x:v>
      </x:c>
      <x:c r="AG76" s="97" t="e">
        <x:f>H76*INDEX(Régions!$AD$2:$AD$6,MATCH($B76,Régions!$A$2:$A$6,0))</x:f>
        <x:v>#NAME?</x:v>
      </x:c>
      <x:c r="AH76" s="97" t="e">
        <x:f>I76*INDEX(Régions!$AE$2:$AE$6,MATCH($B76,Régions!$A$2:$A$6,0))</x:f>
        <x:v>#NAME?</x:v>
      </x:c>
      <x:c r="AI76" s="97" t="e">
        <x:f>D76*INDEX(Régions!$AF$2:$AF$6,MATCH($B76,Régions!$A$2:$A$6,0))</x:f>
        <x:v>#NAME?</x:v>
      </x:c>
      <x:c r="AJ76" s="97" t="e">
        <x:f>E76*INDEX(Régions!$AG$2:$AG$6,MATCH($B76,Régions!$A$2:$A$6,0))</x:f>
        <x:v>#NAME?</x:v>
      </x:c>
      <x:c r="AK76" s="97" t="e">
        <x:f>F76*INDEX(Régions!$AH$2:$AH$6,MATCH($B76,Régions!$A$2:$A$6,0))</x:f>
        <x:v>#NAME?</x:v>
      </x:c>
      <x:c r="AL76" s="97" t="e">
        <x:f>G76*INDEX(Régions!$AI$2:$AI$6,MATCH($B76,Régions!$A$2:$A$6,0))</x:f>
        <x:v>#NAME?</x:v>
      </x:c>
      <x:c r="AM76" s="97" t="e">
        <x:f>H76*INDEX(Régions!$AJ$2:$AJ$6,MATCH($B76,Régions!$A$2:$A$6,0))</x:f>
        <x:v>#NAME?</x:v>
      </x:c>
      <x:c r="AN76" s="97" t="e">
        <x:f>I76*INDEX(Régions!$AK$2:$AK$6,MATCH($B76,Régions!$A$2:$A$6,0))</x:f>
        <x:v>#NAME?</x:v>
      </x:c>
      <x:c r="AO76" s="99" t="str">
        <x:f>INDEX({"CAQ","PLQ","QS","PQ","PCQ","Autre"},MATCH(MAX(Q76:V76),Q76:V76,0))</x:f>
        <x:v>CAQ</x:v>
      </x:c>
      <x:c r="AP76" s="99" t="str">
        <x:f>INDEX({"CAQ","PLQ","QS","PQ","PCQ","Autre"},MATCH(MAX(W76:AB76),W76:AB76,0))</x:f>
        <x:v>CAQ</x:v>
      </x:c>
      <x:c r="AQ76" s="99" t="str">
        <x:f>INDEX({"CAQ","PLQ","QS","PQ","PCQ","Autre"},MATCH(MAX(AC76:AH76),AC76:AH76,0))</x:f>
        <x:v>CAQ</x:v>
      </x:c>
      <x:c r="AR76" s="99" t="str">
        <x:f>INDEX({"CAQ","PLQ","QS","PQ","PCQ","Autre"},MATCH(MAX(AI76:AN76),AI76:AN76,0))</x:f>
        <x:v>CAQ</x:v>
      </x:c>
      <x:c r="AS76" s="100" t="n">
        <x:f>(MAX(K76:P76)-LARGE(K76:P76,2))*100</x:f>
        <x:v>39.356064758981105</x:v>
      </x:c>
      <x:c r="AT76" s="101" t="str">
        <x:f>IF(AS76&lt;5,"Oui","Non")</x:f>
        <x:v>Non</x:v>
      </x:c>
      <x:c r="AU76" s="102" t="n">
        <x:v>0.138</x:v>
      </x:c>
      <x:c r="AV76" s="102" t="n">
        <x:v>5.151</x:v>
      </x:c>
      <x:c r="AW76" s="102" t="n">
        <x:v>-1.319</x:v>
      </x:c>
      <x:c r="AX76" s="102" t="n">
        <x:v>3.595</x:v>
      </x:c>
      <x:c r="AY76" s="96" t="n">
        <x:v>2348</x:v>
      </x:c>
      <x:c r="AZ76" s="96" t="n">
        <x:v>5172</x:v>
      </x:c>
      <x:c r="BA76" s="96" t="n">
        <x:v>15919</x:v>
      </x:c>
      <x:c r="BB76" s="96" t="n">
        <x:v>3542</x:v>
      </x:c>
      <x:c r="BC76" s="96" t="n">
        <x:v>2229</x:v>
      </x:c>
      <x:c r="BD76" s="97" t="e">
        <x:f>AY76*INDEX(Régions!$AQ$2:$AQ$6,MATCH($B76,Régions!$A$2:$A$6,0))</x:f>
        <x:v>#NAME?</x:v>
      </x:c>
      <x:c r="BE76" s="97" t="e">
        <x:f>AZ76*INDEX(Régions!$AR$2:$AR$6,MATCH($B76,Régions!$A$2:$A$6,0))</x:f>
        <x:v>#NAME?</x:v>
      </x:c>
      <x:c r="BF76" s="97" t="e">
        <x:f>BA76*INDEX(Régions!$AS$2:$AS$6,MATCH($B76,Régions!$A$2:$A$6,0))</x:f>
        <x:v>#NAME?</x:v>
      </x:c>
      <x:c r="BG76" s="97" t="e">
        <x:f>BB76*INDEX(Régions!$AT$2:$AT$6,MATCH($B76,Régions!$A$2:$A$6,0))</x:f>
        <x:v>#NAME?</x:v>
      </x:c>
      <x:c r="BH76" s="97" t="e">
        <x:f>U76</x:f>
        <x:v>#NAME?</x:v>
      </x:c>
      <x:c r="BI76" s="97" t="e">
        <x:f>BC76*INDEX(Régions!$AU$2:$AU$6,MATCH($B76,Régions!$A$2:$A$6,0))</x:f>
        <x:v>#NAME?</x:v>
      </x:c>
      <x:c r="BJ76" s="97" t="str">
        <x:f>INDEX({"CAQ","PLQ","QS","PQ","PCQ","Autre"},MATCH(MAX(BD76:BI76),BD76:BI76,0))</x:f>
        <x:v>CAQ</x:v>
      </x:c>
    </x:row>
    <x:row r="77" s="60" customFormat="1" ht="15" customHeight="1">
      <x:c r="A77" s="94" t="inlineStr">
        <x:is>
          <x:t xml:space="preserve">Mille-Îles</x:t>
        </x:is>
      </x:c>
      <x:c r="B77" s="94" t="inlineStr">
        <x:is>
          <x:t xml:space="preserve">Banlieue de Montréal</x:t>
        </x:is>
      </x:c>
      <x:c r="C77" s="95" t="inlineStr">
        <x:is>
          <x:t xml:space="preserve">PLQ</x:t>
        </x:is>
      </x:c>
      <x:c r="D77" s="96" t="n">
        <x:v>9967</x:v>
      </x:c>
      <x:c r="E77" s="96" t="n">
        <x:v>10305</x:v>
      </x:c>
      <x:c r="F77" s="96" t="n">
        <x:v>4244</x:v>
      </x:c>
      <x:c r="G77" s="96" t="n">
        <x:v>3903</x:v>
      </x:c>
      <x:c r="H77" s="96" t="n">
        <x:v>3339</x:v>
      </x:c>
      <x:c r="I77" s="96" t="n">
        <x:v>379</x:v>
      </x:c>
      <x:c r="J77" s="97" t="n">
        <x:f>SUM(D77:I77)</x:f>
        <x:v>32137</x:v>
      </x:c>
      <x:c r="K77" s="98" t="n">
        <x:f>IFERROR(D77/J77,0)</x:f>
        <x:v>0.3101409590191991</x:v>
      </x:c>
      <x:c r="L77" s="98" t="n">
        <x:f>IFERROR(E77/J77,0)</x:f>
        <x:v>0.32065843109188785</x:v>
      </x:c>
      <x:c r="M77" s="98" t="n">
        <x:f>IFERROR(F77/J77,0)</x:f>
        <x:v>0.13205961975293276</x:v>
      </x:c>
      <x:c r="N77" s="98" t="n">
        <x:f>IFERROR(G77/J77,0)</x:f>
        <x:v>0.12144879733640353</x:v>
      </x:c>
      <x:c r="O77" s="98" t="n">
        <x:f>IFERROR(H77/J77,0)</x:f>
        <x:v>0.10389893269440209</x:v>
      </x:c>
      <x:c r="P77" s="98" t="n">
        <x:f>IFERROR(I77/J77,0)</x:f>
        <x:v>0.011793260105174721</x:v>
      </x:c>
      <x:c r="Q77" s="97" t="e">
        <x:f>D77*INDEX(Régions!$T$2:$T$6,MATCH($B77,Régions!$A$2:$A$6,0))</x:f>
        <x:v>#NAME?</x:v>
      </x:c>
      <x:c r="R77" s="97" t="e">
        <x:f>E77*INDEX(Régions!$U$2:$U$6,MATCH($B77,Régions!$A$2:$A$6,0))</x:f>
        <x:v>#NAME?</x:v>
      </x:c>
      <x:c r="S77" s="97" t="e">
        <x:f>F77*INDEX(Régions!$V$2:$V$6,MATCH($B77,Régions!$A$2:$A$6,0))</x:f>
        <x:v>#NAME?</x:v>
      </x:c>
      <x:c r="T77" s="97" t="e">
        <x:f>G77*INDEX(Régions!$W$2:$W$6,MATCH($B77,Régions!$A$2:$A$6,0))</x:f>
        <x:v>#NAME?</x:v>
      </x:c>
      <x:c r="U77" s="97" t="e">
        <x:f>H77*INDEX(Régions!$X$2:$X$6,MATCH($B77,Régions!$A$2:$A$6,0))</x:f>
        <x:v>#NAME?</x:v>
      </x:c>
      <x:c r="V77" s="97" t="e">
        <x:f>I77*INDEX(Régions!$Y$2:$Y$6,MATCH($B77,Régions!$A$2:$A$6,0))</x:f>
        <x:v>#NAME?</x:v>
      </x:c>
      <x:c r="W77" s="97" t="e">
        <x:f>Q77+(AU77/100)*J77*Régions!$O$2</x:f>
        <x:v>#NAME?</x:v>
      </x:c>
      <x:c r="X77" s="97" t="e">
        <x:f>R77+(AV77/100)*J77*Régions!$O$2</x:f>
        <x:v>#NAME?</x:v>
      </x:c>
      <x:c r="Y77" s="97" t="e">
        <x:f>S77+(AW77/100)*J77*Régions!$O$2</x:f>
        <x:v>#NAME?</x:v>
      </x:c>
      <x:c r="Z77" s="97" t="e">
        <x:f>T77+(AX77/100)*J77*Régions!$O$2</x:f>
        <x:v>#NAME?</x:v>
      </x:c>
      <x:c r="AA77" s="97" t="e">
        <x:f>U77</x:f>
        <x:v>#NAME?</x:v>
      </x:c>
      <x:c r="AB77" s="97" t="e">
        <x:f>V77</x:f>
        <x:v>#NAME?</x:v>
      </x:c>
      <x:c r="AC77" s="97" t="e">
        <x:f>D77*INDEX(Régions!$Z$2:$Z$6,MATCH($B77,Régions!$A$2:$A$6,0))</x:f>
        <x:v>#NAME?</x:v>
      </x:c>
      <x:c r="AD77" s="97" t="e">
        <x:f>E77*INDEX(Régions!$AA$2:$AA$6,MATCH($B77,Régions!$A$2:$A$6,0))</x:f>
        <x:v>#NAME?</x:v>
      </x:c>
      <x:c r="AE77" s="97" t="e">
        <x:f>F77*INDEX(Régions!$AB$2:$AB$6,MATCH($B77,Régions!$A$2:$A$6,0))</x:f>
        <x:v>#NAME?</x:v>
      </x:c>
      <x:c r="AF77" s="97" t="e">
        <x:f>G77*INDEX(Régions!$AC$2:$AC$6,MATCH($B77,Régions!$A$2:$A$6,0))</x:f>
        <x:v>#NAME?</x:v>
      </x:c>
      <x:c r="AG77" s="97" t="e">
        <x:f>H77*INDEX(Régions!$AD$2:$AD$6,MATCH($B77,Régions!$A$2:$A$6,0))</x:f>
        <x:v>#NAME?</x:v>
      </x:c>
      <x:c r="AH77" s="97" t="e">
        <x:f>I77*INDEX(Régions!$AE$2:$AE$6,MATCH($B77,Régions!$A$2:$A$6,0))</x:f>
        <x:v>#NAME?</x:v>
      </x:c>
      <x:c r="AI77" s="97" t="e">
        <x:f>D77*INDEX(Régions!$AF$2:$AF$6,MATCH($B77,Régions!$A$2:$A$6,0))</x:f>
        <x:v>#NAME?</x:v>
      </x:c>
      <x:c r="AJ77" s="97" t="e">
        <x:f>E77*INDEX(Régions!$AG$2:$AG$6,MATCH($B77,Régions!$A$2:$A$6,0))</x:f>
        <x:v>#NAME?</x:v>
      </x:c>
      <x:c r="AK77" s="97" t="e">
        <x:f>F77*INDEX(Régions!$AH$2:$AH$6,MATCH($B77,Régions!$A$2:$A$6,0))</x:f>
        <x:v>#NAME?</x:v>
      </x:c>
      <x:c r="AL77" s="97" t="e">
        <x:f>G77*INDEX(Régions!$AI$2:$AI$6,MATCH($B77,Régions!$A$2:$A$6,0))</x:f>
        <x:v>#NAME?</x:v>
      </x:c>
      <x:c r="AM77" s="97" t="e">
        <x:f>H77*INDEX(Régions!$AJ$2:$AJ$6,MATCH($B77,Régions!$A$2:$A$6,0))</x:f>
        <x:v>#NAME?</x:v>
      </x:c>
      <x:c r="AN77" s="97" t="e">
        <x:f>I77*INDEX(Régions!$AK$2:$AK$6,MATCH($B77,Régions!$A$2:$A$6,0))</x:f>
        <x:v>#NAME?</x:v>
      </x:c>
      <x:c r="AO77" s="99" t="str">
        <x:f>INDEX({"CAQ","PLQ","QS","PQ","PCQ","Autre"},MATCH(MAX(Q77:V77),Q77:V77,0))</x:f>
        <x:v>CAQ</x:v>
      </x:c>
      <x:c r="AP77" s="99" t="str">
        <x:f>INDEX({"CAQ","PLQ","QS","PQ","PCQ","Autre"},MATCH(MAX(W77:AB77),W77:AB77,0))</x:f>
        <x:v>CAQ</x:v>
      </x:c>
      <x:c r="AQ77" s="99" t="str">
        <x:f>INDEX({"CAQ","PLQ","QS","PQ","PCQ","Autre"},MATCH(MAX(AC77:AH77),AC77:AH77,0))</x:f>
        <x:v>CAQ</x:v>
      </x:c>
      <x:c r="AR77" s="99" t="str">
        <x:f>INDEX({"CAQ","PLQ","QS","PQ","PCQ","Autre"},MATCH(MAX(AI77:AN77),AI77:AN77,0))</x:f>
        <x:v>CAQ</x:v>
      </x:c>
      <x:c r="AS77" s="100" t="n">
        <x:f>(MAX(K77:P77)-LARGE(K77:P77,2))*100</x:f>
        <x:v>1.0517472072688772</x:v>
      </x:c>
      <x:c r="AT77" s="101" t="str">
        <x:f>IF(AS77&lt;5,"Oui","Non")</x:f>
        <x:v>Oui</x:v>
      </x:c>
      <x:c r="AU77" s="102" t="n">
        <x:v>-3.7</x:v>
      </x:c>
      <x:c r="AV77" s="102" t="n">
        <x:v>3.524</x:v>
      </x:c>
      <x:c r="AW77" s="102" t="n">
        <x:v>0.765</x:v>
      </x:c>
      <x:c r="AX77" s="102" t="n">
        <x:v>0.052</x:v>
      </x:c>
      <x:c r="AY77" s="96" t="n">
        <x:v>10053</x:v>
      </x:c>
      <x:c r="AZ77" s="96" t="n">
        <x:v>11281</x:v>
      </x:c>
      <x:c r="BA77" s="96" t="n">
        <x:v>4180</x:v>
      </x:c>
      <x:c r="BB77" s="96" t="n">
        <x:v>4804</x:v>
      </x:c>
      <x:c r="BC77" s="96" t="n">
        <x:v>1508</x:v>
      </x:c>
      <x:c r="BD77" s="97" t="e">
        <x:f>AY77*INDEX(Régions!$AQ$2:$AQ$6,MATCH($B77,Régions!$A$2:$A$6,0))</x:f>
        <x:v>#NAME?</x:v>
      </x:c>
      <x:c r="BE77" s="97" t="e">
        <x:f>AZ77*INDEX(Régions!$AR$2:$AR$6,MATCH($B77,Régions!$A$2:$A$6,0))</x:f>
        <x:v>#NAME?</x:v>
      </x:c>
      <x:c r="BF77" s="97" t="e">
        <x:f>BA77*INDEX(Régions!$AS$2:$AS$6,MATCH($B77,Régions!$A$2:$A$6,0))</x:f>
        <x:v>#NAME?</x:v>
      </x:c>
      <x:c r="BG77" s="97" t="e">
        <x:f>BB77*INDEX(Régions!$AT$2:$AT$6,MATCH($B77,Régions!$A$2:$A$6,0))</x:f>
        <x:v>#NAME?</x:v>
      </x:c>
      <x:c r="BH77" s="97" t="e">
        <x:f>U77</x:f>
        <x:v>#NAME?</x:v>
      </x:c>
      <x:c r="BI77" s="97" t="e">
        <x:f>BC77*INDEX(Régions!$AU$2:$AU$6,MATCH($B77,Régions!$A$2:$A$6,0))</x:f>
        <x:v>#NAME?</x:v>
      </x:c>
      <x:c r="BJ77" s="97" t="str">
        <x:f>INDEX({"CAQ","PLQ","QS","PQ","PCQ","Autre"},MATCH(MAX(BD77:BI77),BD77:BI77,0))</x:f>
        <x:v>CAQ</x:v>
      </x:c>
    </x:row>
    <x:row r="78" s="60" customFormat="1" ht="15" customHeight="1">
      <x:c r="A78" s="94" t="inlineStr">
        <x:is>
          <x:t xml:space="preserve">Mirabel</x:t>
        </x:is>
      </x:c>
      <x:c r="B78" s="94" t="inlineStr">
        <x:is>
          <x:t xml:space="preserve">Banlieue de Montréal</x:t>
        </x:is>
      </x:c>
      <x:c r="C78" s="95" t="inlineStr">
        <x:is>
          <x:t xml:space="preserve">CAQ</x:t>
        </x:is>
      </x:c>
      <x:c r="D78" s="96" t="n">
        <x:v>17487</x:v>
      </x:c>
      <x:c r="E78" s="96" t="n">
        <x:v>2358</x:v>
      </x:c>
      <x:c r="F78" s="96" t="n">
        <x:v>5028</x:v>
      </x:c>
      <x:c r="G78" s="96" t="n">
        <x:v>5856</x:v>
      </x:c>
      <x:c r="H78" s="96" t="n">
        <x:v>3989</x:v>
      </x:c>
      <x:c r="I78" s="96" t="n">
        <x:v>180</x:v>
      </x:c>
      <x:c r="J78" s="97" t="n">
        <x:f>SUM(D78:I78)</x:f>
        <x:v>34898</x:v>
      </x:c>
      <x:c r="K78" s="98" t="n">
        <x:f>IFERROR(D78/J78,0)</x:f>
        <x:v>0.5010888876153361</x:v>
      </x:c>
      <x:c r="L78" s="98" t="n">
        <x:f>IFERROR(E78/J78,0)</x:f>
        <x:v>0.06756834202533096</x:v>
      </x:c>
      <x:c r="M78" s="98" t="n">
        <x:f>IFERROR(F78/J78,0)</x:f>
        <x:v>0.1440770244713164</x:v>
      </x:c>
      <x:c r="N78" s="98" t="n">
        <x:f>IFERROR(G78/J78,0)</x:f>
        <x:v>0.1678033125107456</x:v>
      </x:c>
      <x:c r="O78" s="98" t="n">
        <x:f>IFERROR(H78/J78,0)</x:f>
        <x:v>0.11430454467304717</x:v>
      </x:c>
      <x:c r="P78" s="98" t="n">
        <x:f>IFERROR(I78/J78,0)</x:f>
        <x:v>0.005157888704223738</x:v>
      </x:c>
      <x:c r="Q78" s="97" t="e">
        <x:f>D78*INDEX(Régions!$T$2:$T$6,MATCH($B78,Régions!$A$2:$A$6,0))</x:f>
        <x:v>#NAME?</x:v>
      </x:c>
      <x:c r="R78" s="97" t="e">
        <x:f>E78*INDEX(Régions!$U$2:$U$6,MATCH($B78,Régions!$A$2:$A$6,0))</x:f>
        <x:v>#NAME?</x:v>
      </x:c>
      <x:c r="S78" s="97" t="e">
        <x:f>F78*INDEX(Régions!$V$2:$V$6,MATCH($B78,Régions!$A$2:$A$6,0))</x:f>
        <x:v>#NAME?</x:v>
      </x:c>
      <x:c r="T78" s="97" t="e">
        <x:f>G78*INDEX(Régions!$W$2:$W$6,MATCH($B78,Régions!$A$2:$A$6,0))</x:f>
        <x:v>#NAME?</x:v>
      </x:c>
      <x:c r="U78" s="97" t="e">
        <x:f>H78*INDEX(Régions!$X$2:$X$6,MATCH($B78,Régions!$A$2:$A$6,0))</x:f>
        <x:v>#NAME?</x:v>
      </x:c>
      <x:c r="V78" s="97" t="e">
        <x:f>I78*INDEX(Régions!$Y$2:$Y$6,MATCH($B78,Régions!$A$2:$A$6,0))</x:f>
        <x:v>#NAME?</x:v>
      </x:c>
      <x:c r="W78" s="97" t="e">
        <x:f>Q78+(AU78/100)*J78*Régions!$O$2</x:f>
        <x:v>#NAME?</x:v>
      </x:c>
      <x:c r="X78" s="97" t="e">
        <x:f>R78+(AV78/100)*J78*Régions!$O$2</x:f>
        <x:v>#NAME?</x:v>
      </x:c>
      <x:c r="Y78" s="97" t="e">
        <x:f>S78+(AW78/100)*J78*Régions!$O$2</x:f>
        <x:v>#NAME?</x:v>
      </x:c>
      <x:c r="Z78" s="97" t="e">
        <x:f>T78+(AX78/100)*J78*Régions!$O$2</x:f>
        <x:v>#NAME?</x:v>
      </x:c>
      <x:c r="AA78" s="97" t="e">
        <x:f>U78</x:f>
        <x:v>#NAME?</x:v>
      </x:c>
      <x:c r="AB78" s="97" t="e">
        <x:f>V78</x:f>
        <x:v>#NAME?</x:v>
      </x:c>
      <x:c r="AC78" s="97" t="e">
        <x:f>D78*INDEX(Régions!$Z$2:$Z$6,MATCH($B78,Régions!$A$2:$A$6,0))</x:f>
        <x:v>#NAME?</x:v>
      </x:c>
      <x:c r="AD78" s="97" t="e">
        <x:f>E78*INDEX(Régions!$AA$2:$AA$6,MATCH($B78,Régions!$A$2:$A$6,0))</x:f>
        <x:v>#NAME?</x:v>
      </x:c>
      <x:c r="AE78" s="97" t="e">
        <x:f>F78*INDEX(Régions!$AB$2:$AB$6,MATCH($B78,Régions!$A$2:$A$6,0))</x:f>
        <x:v>#NAME?</x:v>
      </x:c>
      <x:c r="AF78" s="97" t="e">
        <x:f>G78*INDEX(Régions!$AC$2:$AC$6,MATCH($B78,Régions!$A$2:$A$6,0))</x:f>
        <x:v>#NAME?</x:v>
      </x:c>
      <x:c r="AG78" s="97" t="e">
        <x:f>H78*INDEX(Régions!$AD$2:$AD$6,MATCH($B78,Régions!$A$2:$A$6,0))</x:f>
        <x:v>#NAME?</x:v>
      </x:c>
      <x:c r="AH78" s="97" t="e">
        <x:f>I78*INDEX(Régions!$AE$2:$AE$6,MATCH($B78,Régions!$A$2:$A$6,0))</x:f>
        <x:v>#NAME?</x:v>
      </x:c>
      <x:c r="AI78" s="97" t="e">
        <x:f>D78*INDEX(Régions!$AF$2:$AF$6,MATCH($B78,Régions!$A$2:$A$6,0))</x:f>
        <x:v>#NAME?</x:v>
      </x:c>
      <x:c r="AJ78" s="97" t="e">
        <x:f>E78*INDEX(Régions!$AG$2:$AG$6,MATCH($B78,Régions!$A$2:$A$6,0))</x:f>
        <x:v>#NAME?</x:v>
      </x:c>
      <x:c r="AK78" s="97" t="e">
        <x:f>F78*INDEX(Régions!$AH$2:$AH$6,MATCH($B78,Régions!$A$2:$A$6,0))</x:f>
        <x:v>#NAME?</x:v>
      </x:c>
      <x:c r="AL78" s="97" t="e">
        <x:f>G78*INDEX(Régions!$AI$2:$AI$6,MATCH($B78,Régions!$A$2:$A$6,0))</x:f>
        <x:v>#NAME?</x:v>
      </x:c>
      <x:c r="AM78" s="97" t="e">
        <x:f>H78*INDEX(Régions!$AJ$2:$AJ$6,MATCH($B78,Régions!$A$2:$A$6,0))</x:f>
        <x:v>#NAME?</x:v>
      </x:c>
      <x:c r="AN78" s="97" t="e">
        <x:f>I78*INDEX(Régions!$AK$2:$AK$6,MATCH($B78,Régions!$A$2:$A$6,0))</x:f>
        <x:v>#NAME?</x:v>
      </x:c>
      <x:c r="AO78" s="99" t="str">
        <x:f>INDEX({"CAQ","PLQ","QS","PQ","PCQ","Autre"},MATCH(MAX(Q78:V78),Q78:V78,0))</x:f>
        <x:v>CAQ</x:v>
      </x:c>
      <x:c r="AP78" s="99" t="str">
        <x:f>INDEX({"CAQ","PLQ","QS","PQ","PCQ","Autre"},MATCH(MAX(W78:AB78),W78:AB78,0))</x:f>
        <x:v>CAQ</x:v>
      </x:c>
      <x:c r="AQ78" s="99" t="str">
        <x:f>INDEX({"CAQ","PLQ","QS","PQ","PCQ","Autre"},MATCH(MAX(AC78:AH78),AC78:AH78,0))</x:f>
        <x:v>CAQ</x:v>
      </x:c>
      <x:c r="AR78" s="99" t="str">
        <x:f>INDEX({"CAQ","PLQ","QS","PQ","PCQ","Autre"},MATCH(MAX(AI78:AN78),AI78:AN78,0))</x:f>
        <x:v>CAQ</x:v>
      </x:c>
      <x:c r="AS78" s="100" t="n">
        <x:f>(MAX(K78:P78)-LARGE(K78:P78,2))*100</x:f>
        <x:v>33.32855751045905</x:v>
      </x:c>
      <x:c r="AT78" s="101" t="str">
        <x:f>IF(AS78&lt;5,"Oui","Non")</x:f>
        <x:v>Non</x:v>
      </x:c>
      <x:c r="AU78" s="102" t="n">
        <x:v>-7.647</x:v>
      </x:c>
      <x:c r="AV78" s="102" t="n">
        <x:v>4.743</x:v>
      </x:c>
      <x:c r="AW78" s="102" t="n">
        <x:v>0.142</x:v>
      </x:c>
      <x:c r="AX78" s="102" t="n">
        <x:v>1.669</x:v>
      </x:c>
      <x:c r="AY78" s="96" t="n">
        <x:v>17457</x:v>
      </x:c>
      <x:c r="AZ78" s="96" t="n">
        <x:v>2850</x:v>
      </x:c>
      <x:c r="BA78" s="96" t="n">
        <x:v>4781</x:v>
      </x:c>
      <x:c r="BB78" s="96" t="n">
        <x:v>5788</x:v>
      </x:c>
      <x:c r="BC78" s="96" t="n">
        <x:v>1081</x:v>
      </x:c>
      <x:c r="BD78" s="97" t="e">
        <x:f>AY78*INDEX(Régions!$AQ$2:$AQ$6,MATCH($B78,Régions!$A$2:$A$6,0))</x:f>
        <x:v>#NAME?</x:v>
      </x:c>
      <x:c r="BE78" s="97" t="e">
        <x:f>AZ78*INDEX(Régions!$AR$2:$AR$6,MATCH($B78,Régions!$A$2:$A$6,0))</x:f>
        <x:v>#NAME?</x:v>
      </x:c>
      <x:c r="BF78" s="97" t="e">
        <x:f>BA78*INDEX(Régions!$AS$2:$AS$6,MATCH($B78,Régions!$A$2:$A$6,0))</x:f>
        <x:v>#NAME?</x:v>
      </x:c>
      <x:c r="BG78" s="97" t="e">
        <x:f>BB78*INDEX(Régions!$AT$2:$AT$6,MATCH($B78,Régions!$A$2:$A$6,0))</x:f>
        <x:v>#NAME?</x:v>
      </x:c>
      <x:c r="BH78" s="97" t="e">
        <x:f>U78</x:f>
        <x:v>#NAME?</x:v>
      </x:c>
      <x:c r="BI78" s="97" t="e">
        <x:f>BC78*INDEX(Régions!$AU$2:$AU$6,MATCH($B78,Régions!$A$2:$A$6,0))</x:f>
        <x:v>#NAME?</x:v>
      </x:c>
      <x:c r="BJ78" s="97" t="str">
        <x:f>INDEX({"CAQ","PLQ","QS","PQ","PCQ","Autre"},MATCH(MAX(BD78:BI78),BD78:BI78,0))</x:f>
        <x:v>CAQ</x:v>
      </x:c>
    </x:row>
    <x:row r="79" s="60" customFormat="1" ht="15" customHeight="1">
      <x:c r="A79" s="94" t="inlineStr">
        <x:is>
          <x:t xml:space="preserve">Mont-Royal–Outremont</x:t>
        </x:is>
      </x:c>
      <x:c r="B79" s="94" t="inlineStr">
        <x:is>
          <x:t xml:space="preserve">Île de Montréal</x:t>
        </x:is>
      </x:c>
      <x:c r="C79" s="95" t="inlineStr">
        <x:is>
          <x:t xml:space="preserve">PLQ</x:t>
        </x:is>
      </x:c>
      <x:c r="D79" s="96" t="n">
        <x:v>4677</x:v>
      </x:c>
      <x:c r="E79" s="96" t="n">
        <x:v>11658</x:v>
      </x:c>
      <x:c r="F79" s="96" t="n">
        <x:v>6008</x:v>
      </x:c>
      <x:c r="G79" s="96" t="n">
        <x:v>3385</x:v>
      </x:c>
      <x:c r="H79" s="96" t="n">
        <x:v>3029</x:v>
      </x:c>
      <x:c r="I79" s="96" t="n">
        <x:v>872</x:v>
      </x:c>
      <x:c r="J79" s="97" t="n">
        <x:f>SUM(D79:I79)</x:f>
        <x:v>29629</x:v>
      </x:c>
      <x:c r="K79" s="98" t="n">
        <x:f>IFERROR(D79/J79,0)</x:f>
        <x:v>0.15785210435721758</x:v>
      </x:c>
      <x:c r="L79" s="98" t="n">
        <x:f>IFERROR(E79/J79,0)</x:f>
        <x:v>0.3934658611495494</x:v>
      </x:c>
      <x:c r="M79" s="98" t="n">
        <x:f>IFERROR(F79/J79,0)</x:f>
        <x:v>0.20277430895406529</x:v>
      </x:c>
      <x:c r="N79" s="98" t="n">
        <x:f>IFERROR(G79/J79,0)</x:f>
        <x:v>0.1142461777312768</x:v>
      </x:c>
      <x:c r="O79" s="98" t="n">
        <x:f>IFERROR(H79/J79,0)</x:f>
        <x:v>0.10223092240710115</x:v>
      </x:c>
      <x:c r="P79" s="98" t="n">
        <x:f>IFERROR(I79/J79,0)</x:f>
        <x:v>0.029430625400789768</x:v>
      </x:c>
      <x:c r="Q79" s="97" t="e">
        <x:f>D79*INDEX(Régions!$T$2:$T$6,MATCH($B79,Régions!$A$2:$A$6,0))</x:f>
        <x:v>#NAME?</x:v>
      </x:c>
      <x:c r="R79" s="97" t="e">
        <x:f>E79*INDEX(Régions!$U$2:$U$6,MATCH($B79,Régions!$A$2:$A$6,0))</x:f>
        <x:v>#NAME?</x:v>
      </x:c>
      <x:c r="S79" s="97" t="e">
        <x:f>F79*INDEX(Régions!$V$2:$V$6,MATCH($B79,Régions!$A$2:$A$6,0))</x:f>
        <x:v>#NAME?</x:v>
      </x:c>
      <x:c r="T79" s="97" t="e">
        <x:f>G79*INDEX(Régions!$W$2:$W$6,MATCH($B79,Régions!$A$2:$A$6,0))</x:f>
        <x:v>#NAME?</x:v>
      </x:c>
      <x:c r="U79" s="97" t="e">
        <x:f>H79*INDEX(Régions!$X$2:$X$6,MATCH($B79,Régions!$A$2:$A$6,0))</x:f>
        <x:v>#NAME?</x:v>
      </x:c>
      <x:c r="V79" s="97" t="e">
        <x:f>I79*INDEX(Régions!$Y$2:$Y$6,MATCH($B79,Régions!$A$2:$A$6,0))</x:f>
        <x:v>#NAME?</x:v>
      </x:c>
      <x:c r="W79" s="97" t="e">
        <x:f>Q79+(AU79/100)*J79*Régions!$O$2</x:f>
        <x:v>#NAME?</x:v>
      </x:c>
      <x:c r="X79" s="97" t="e">
        <x:f>R79+(AV79/100)*J79*Régions!$O$2</x:f>
        <x:v>#NAME?</x:v>
      </x:c>
      <x:c r="Y79" s="97" t="e">
        <x:f>S79+(AW79/100)*J79*Régions!$O$2</x:f>
        <x:v>#NAME?</x:v>
      </x:c>
      <x:c r="Z79" s="97" t="e">
        <x:f>T79+(AX79/100)*J79*Régions!$O$2</x:f>
        <x:v>#NAME?</x:v>
      </x:c>
      <x:c r="AA79" s="97" t="e">
        <x:f>U79</x:f>
        <x:v>#NAME?</x:v>
      </x:c>
      <x:c r="AB79" s="97" t="e">
        <x:f>V79</x:f>
        <x:v>#NAME?</x:v>
      </x:c>
      <x:c r="AC79" s="97" t="e">
        <x:f>D79*INDEX(Régions!$Z$2:$Z$6,MATCH($B79,Régions!$A$2:$A$6,0))</x:f>
        <x:v>#NAME?</x:v>
      </x:c>
      <x:c r="AD79" s="97" t="e">
        <x:f>E79*INDEX(Régions!$AA$2:$AA$6,MATCH($B79,Régions!$A$2:$A$6,0))</x:f>
        <x:v>#NAME?</x:v>
      </x:c>
      <x:c r="AE79" s="97" t="e">
        <x:f>F79*INDEX(Régions!$AB$2:$AB$6,MATCH($B79,Régions!$A$2:$A$6,0))</x:f>
        <x:v>#NAME?</x:v>
      </x:c>
      <x:c r="AF79" s="97" t="e">
        <x:f>G79*INDEX(Régions!$AC$2:$AC$6,MATCH($B79,Régions!$A$2:$A$6,0))</x:f>
        <x:v>#NAME?</x:v>
      </x:c>
      <x:c r="AG79" s="97" t="e">
        <x:f>H79*INDEX(Régions!$AD$2:$AD$6,MATCH($B79,Régions!$A$2:$A$6,0))</x:f>
        <x:v>#NAME?</x:v>
      </x:c>
      <x:c r="AH79" s="97" t="e">
        <x:f>I79*INDEX(Régions!$AE$2:$AE$6,MATCH($B79,Régions!$A$2:$A$6,0))</x:f>
        <x:v>#NAME?</x:v>
      </x:c>
      <x:c r="AI79" s="97" t="e">
        <x:f>D79*INDEX(Régions!$AF$2:$AF$6,MATCH($B79,Régions!$A$2:$A$6,0))</x:f>
        <x:v>#NAME?</x:v>
      </x:c>
      <x:c r="AJ79" s="97" t="e">
        <x:f>E79*INDEX(Régions!$AG$2:$AG$6,MATCH($B79,Régions!$A$2:$A$6,0))</x:f>
        <x:v>#NAME?</x:v>
      </x:c>
      <x:c r="AK79" s="97" t="e">
        <x:f>F79*INDEX(Régions!$AH$2:$AH$6,MATCH($B79,Régions!$A$2:$A$6,0))</x:f>
        <x:v>#NAME?</x:v>
      </x:c>
      <x:c r="AL79" s="97" t="e">
        <x:f>G79*INDEX(Régions!$AI$2:$AI$6,MATCH($B79,Régions!$A$2:$A$6,0))</x:f>
        <x:v>#NAME?</x:v>
      </x:c>
      <x:c r="AM79" s="97" t="e">
        <x:f>H79*INDEX(Régions!$AJ$2:$AJ$6,MATCH($B79,Régions!$A$2:$A$6,0))</x:f>
        <x:v>#NAME?</x:v>
      </x:c>
      <x:c r="AN79" s="97" t="e">
        <x:f>I79*INDEX(Régions!$AK$2:$AK$6,MATCH($B79,Régions!$A$2:$A$6,0))</x:f>
        <x:v>#NAME?</x:v>
      </x:c>
      <x:c r="AO79" s="99" t="str">
        <x:f>INDEX({"CAQ","PLQ","QS","PQ","PCQ","Autre"},MATCH(MAX(Q79:V79),Q79:V79,0))</x:f>
        <x:v>CAQ</x:v>
      </x:c>
      <x:c r="AP79" s="99" t="str">
        <x:f>INDEX({"CAQ","PLQ","QS","PQ","PCQ","Autre"},MATCH(MAX(W79:AB79),W79:AB79,0))</x:f>
        <x:v>CAQ</x:v>
      </x:c>
      <x:c r="AQ79" s="99" t="str">
        <x:f>INDEX({"CAQ","PLQ","QS","PQ","PCQ","Autre"},MATCH(MAX(AC79:AH79),AC79:AH79,0))</x:f>
        <x:v>CAQ</x:v>
      </x:c>
      <x:c r="AR79" s="99" t="str">
        <x:f>INDEX({"CAQ","PLQ","QS","PQ","PCQ","Autre"},MATCH(MAX(AI79:AN79),AI79:AN79,0))</x:f>
        <x:v>CAQ</x:v>
      </x:c>
      <x:c r="AS79" s="100" t="n">
        <x:f>(MAX(K79:P79)-LARGE(K79:P79,2))*100</x:f>
        <x:v>19.06915521954841</x:v>
      </x:c>
      <x:c r="AT79" s="101" t="str">
        <x:f>IF(AS79&lt;5,"Oui","Non")</x:f>
        <x:v>Non</x:v>
      </x:c>
      <x:c r="AU79" s="102" t="n">
        <x:v>0.165</x:v>
      </x:c>
      <x:c r="AV79" s="102" t="n">
        <x:v>-3.157</x:v>
      </x:c>
      <x:c r="AW79" s="102" t="n">
        <x:v>4.093</x:v>
      </x:c>
      <x:c r="AX79" s="102" t="n">
        <x:v>0.8159999999999999</x:v>
      </x:c>
      <x:c r="AY79" s="96" t="n">
        <x:v>4218</x:v>
      </x:c>
      <x:c r="AZ79" s="96" t="n">
        <x:v>16026</x:v>
      </x:c>
      <x:c r="BA79" s="96" t="n">
        <x:v>4820</x:v>
      </x:c>
      <x:c r="BB79" s="96" t="n">
        <x:v>3672</x:v>
      </x:c>
      <x:c r="BC79" s="96" t="n">
        <x:v>2480</x:v>
      </x:c>
      <x:c r="BD79" s="97" t="e">
        <x:f>AY79*INDEX(Régions!$AQ$2:$AQ$6,MATCH($B79,Régions!$A$2:$A$6,0))</x:f>
        <x:v>#NAME?</x:v>
      </x:c>
      <x:c r="BE79" s="97" t="e">
        <x:f>AZ79*INDEX(Régions!$AR$2:$AR$6,MATCH($B79,Régions!$A$2:$A$6,0))</x:f>
        <x:v>#NAME?</x:v>
      </x:c>
      <x:c r="BF79" s="97" t="e">
        <x:f>BA79*INDEX(Régions!$AS$2:$AS$6,MATCH($B79,Régions!$A$2:$A$6,0))</x:f>
        <x:v>#NAME?</x:v>
      </x:c>
      <x:c r="BG79" s="97" t="e">
        <x:f>BB79*INDEX(Régions!$AT$2:$AT$6,MATCH($B79,Régions!$A$2:$A$6,0))</x:f>
        <x:v>#NAME?</x:v>
      </x:c>
      <x:c r="BH79" s="97" t="e">
        <x:f>U79</x:f>
        <x:v>#NAME?</x:v>
      </x:c>
      <x:c r="BI79" s="97" t="e">
        <x:f>BC79*INDEX(Régions!$AU$2:$AU$6,MATCH($B79,Régions!$A$2:$A$6,0))</x:f>
        <x:v>#NAME?</x:v>
      </x:c>
      <x:c r="BJ79" s="97" t="str">
        <x:f>INDEX({"CAQ","PLQ","QS","PQ","PCQ","Autre"},MATCH(MAX(BD79:BI79),BD79:BI79,0))</x:f>
        <x:v>CAQ</x:v>
      </x:c>
    </x:row>
    <x:row r="80" s="60" customFormat="1" ht="15" customHeight="1">
      <x:c r="A80" s="94" t="inlineStr">
        <x:is>
          <x:t xml:space="preserve">Montarville</x:t>
        </x:is>
      </x:c>
      <x:c r="B80" s="94" t="inlineStr">
        <x:is>
          <x:t xml:space="preserve">Banlieue de Montréal</x:t>
        </x:is>
      </x:c>
      <x:c r="C80" s="95" t="inlineStr">
        <x:is>
          <x:t xml:space="preserve">CAQ</x:t>
        </x:is>
      </x:c>
      <x:c r="D80" s="96" t="n">
        <x:v>19045</x:v>
      </x:c>
      <x:c r="E80" s="96" t="n">
        <x:v>5090</x:v>
      </x:c>
      <x:c r="F80" s="96" t="n">
        <x:v>6741</x:v>
      </x:c>
      <x:c r="G80" s="96" t="n">
        <x:v>7753</x:v>
      </x:c>
      <x:c r="H80" s="96" t="n">
        <x:v>2124</x:v>
      </x:c>
      <x:c r="I80" s="96" t="n">
        <x:v>735</x:v>
      </x:c>
      <x:c r="J80" s="97" t="n">
        <x:f>SUM(D80:I80)</x:f>
        <x:v>41488</x:v>
      </x:c>
      <x:c r="K80" s="98" t="n">
        <x:f>IFERROR(D80/J80,0)</x:f>
        <x:v>0.4590483995372156</x:v>
      </x:c>
      <x:c r="L80" s="98" t="n">
        <x:f>IFERROR(E80/J80,0)</x:f>
        <x:v>0.12268607790204396</x:v>
      </x:c>
      <x:c r="M80" s="98" t="n">
        <x:f>IFERROR(F80/J80,0)</x:f>
        <x:v>0.16248071731585037</x:v>
      </x:c>
      <x:c r="N80" s="98" t="n">
        <x:f>IFERROR(G80/J80,0)</x:f>
        <x:v>0.1868733127651369</x:v>
      </x:c>
      <x:c r="O80" s="98" t="n">
        <x:f>IFERROR(H80/J80,0)</x:f>
        <x:v>0.05119552641727729</x:v>
      </x:c>
      <x:c r="P80" s="98" t="n">
        <x:f>IFERROR(I80/J80,0)</x:f>
        <x:v>0.017715966062475896</x:v>
      </x:c>
      <x:c r="Q80" s="97" t="e">
        <x:f>D80*INDEX(Régions!$T$2:$T$6,MATCH($B80,Régions!$A$2:$A$6,0))</x:f>
        <x:v>#NAME?</x:v>
      </x:c>
      <x:c r="R80" s="97" t="e">
        <x:f>E80*INDEX(Régions!$U$2:$U$6,MATCH($B80,Régions!$A$2:$A$6,0))</x:f>
        <x:v>#NAME?</x:v>
      </x:c>
      <x:c r="S80" s="97" t="e">
        <x:f>F80*INDEX(Régions!$V$2:$V$6,MATCH($B80,Régions!$A$2:$A$6,0))</x:f>
        <x:v>#NAME?</x:v>
      </x:c>
      <x:c r="T80" s="97" t="e">
        <x:f>G80*INDEX(Régions!$W$2:$W$6,MATCH($B80,Régions!$A$2:$A$6,0))</x:f>
        <x:v>#NAME?</x:v>
      </x:c>
      <x:c r="U80" s="97" t="e">
        <x:f>H80*INDEX(Régions!$X$2:$X$6,MATCH($B80,Régions!$A$2:$A$6,0))</x:f>
        <x:v>#NAME?</x:v>
      </x:c>
      <x:c r="V80" s="97" t="e">
        <x:f>I80*INDEX(Régions!$Y$2:$Y$6,MATCH($B80,Régions!$A$2:$A$6,0))</x:f>
        <x:v>#NAME?</x:v>
      </x:c>
      <x:c r="W80" s="97" t="e">
        <x:f>Q80+(AU80/100)*J80*Régions!$O$2</x:f>
        <x:v>#NAME?</x:v>
      </x:c>
      <x:c r="X80" s="97" t="e">
        <x:f>R80+(AV80/100)*J80*Régions!$O$2</x:f>
        <x:v>#NAME?</x:v>
      </x:c>
      <x:c r="Y80" s="97" t="e">
        <x:f>S80+(AW80/100)*J80*Régions!$O$2</x:f>
        <x:v>#NAME?</x:v>
      </x:c>
      <x:c r="Z80" s="97" t="e">
        <x:f>T80+(AX80/100)*J80*Régions!$O$2</x:f>
        <x:v>#NAME?</x:v>
      </x:c>
      <x:c r="AA80" s="97" t="e">
        <x:f>U80</x:f>
        <x:v>#NAME?</x:v>
      </x:c>
      <x:c r="AB80" s="97" t="e">
        <x:f>V80</x:f>
        <x:v>#NAME?</x:v>
      </x:c>
      <x:c r="AC80" s="97" t="e">
        <x:f>D80*INDEX(Régions!$Z$2:$Z$6,MATCH($B80,Régions!$A$2:$A$6,0))</x:f>
        <x:v>#NAME?</x:v>
      </x:c>
      <x:c r="AD80" s="97" t="e">
        <x:f>E80*INDEX(Régions!$AA$2:$AA$6,MATCH($B80,Régions!$A$2:$A$6,0))</x:f>
        <x:v>#NAME?</x:v>
      </x:c>
      <x:c r="AE80" s="97" t="e">
        <x:f>F80*INDEX(Régions!$AB$2:$AB$6,MATCH($B80,Régions!$A$2:$A$6,0))</x:f>
        <x:v>#NAME?</x:v>
      </x:c>
      <x:c r="AF80" s="97" t="e">
        <x:f>G80*INDEX(Régions!$AC$2:$AC$6,MATCH($B80,Régions!$A$2:$A$6,0))</x:f>
        <x:v>#NAME?</x:v>
      </x:c>
      <x:c r="AG80" s="97" t="e">
        <x:f>H80*INDEX(Régions!$AD$2:$AD$6,MATCH($B80,Régions!$A$2:$A$6,0))</x:f>
        <x:v>#NAME?</x:v>
      </x:c>
      <x:c r="AH80" s="97" t="e">
        <x:f>I80*INDEX(Régions!$AE$2:$AE$6,MATCH($B80,Régions!$A$2:$A$6,0))</x:f>
        <x:v>#NAME?</x:v>
      </x:c>
      <x:c r="AI80" s="97" t="e">
        <x:f>D80*INDEX(Régions!$AF$2:$AF$6,MATCH($B80,Régions!$A$2:$A$6,0))</x:f>
        <x:v>#NAME?</x:v>
      </x:c>
      <x:c r="AJ80" s="97" t="e">
        <x:f>E80*INDEX(Régions!$AG$2:$AG$6,MATCH($B80,Régions!$A$2:$A$6,0))</x:f>
        <x:v>#NAME?</x:v>
      </x:c>
      <x:c r="AK80" s="97" t="e">
        <x:f>F80*INDEX(Régions!$AH$2:$AH$6,MATCH($B80,Régions!$A$2:$A$6,0))</x:f>
        <x:v>#NAME?</x:v>
      </x:c>
      <x:c r="AL80" s="97" t="e">
        <x:f>G80*INDEX(Régions!$AI$2:$AI$6,MATCH($B80,Régions!$A$2:$A$6,0))</x:f>
        <x:v>#NAME?</x:v>
      </x:c>
      <x:c r="AM80" s="97" t="e">
        <x:f>H80*INDEX(Régions!$AJ$2:$AJ$6,MATCH($B80,Régions!$A$2:$A$6,0))</x:f>
        <x:v>#NAME?</x:v>
      </x:c>
      <x:c r="AN80" s="97" t="e">
        <x:f>I80*INDEX(Régions!$AK$2:$AK$6,MATCH($B80,Régions!$A$2:$A$6,0))</x:f>
        <x:v>#NAME?</x:v>
      </x:c>
      <x:c r="AO80" s="99" t="str">
        <x:f>INDEX({"CAQ","PLQ","QS","PQ","PCQ","Autre"},MATCH(MAX(Q80:V80),Q80:V80,0))</x:f>
        <x:v>CAQ</x:v>
      </x:c>
      <x:c r="AP80" s="99" t="str">
        <x:f>INDEX({"CAQ","PLQ","QS","PQ","PCQ","Autre"},MATCH(MAX(W80:AB80),W80:AB80,0))</x:f>
        <x:v>CAQ</x:v>
      </x:c>
      <x:c r="AQ80" s="99" t="str">
        <x:f>INDEX({"CAQ","PLQ","QS","PQ","PCQ","Autre"},MATCH(MAX(AC80:AH80),AC80:AH80,0))</x:f>
        <x:v>CAQ</x:v>
      </x:c>
      <x:c r="AR80" s="99" t="str">
        <x:f>INDEX({"CAQ","PLQ","QS","PQ","PCQ","Autre"},MATCH(MAX(AI80:AN80),AI80:AN80,0))</x:f>
        <x:v>CAQ</x:v>
      </x:c>
      <x:c r="AS80" s="100" t="n">
        <x:f>(MAX(K80:P80)-LARGE(K80:P80,2))*100</x:f>
        <x:v>27.217508677207867</x:v>
      </x:c>
      <x:c r="AT80" s="101" t="str">
        <x:f>IF(AS80&lt;5,"Oui","Non")</x:f>
        <x:v>Non</x:v>
      </x:c>
      <x:c r="AU80" s="102" t="n">
        <x:v>1.669</x:v>
      </x:c>
      <x:c r="AV80" s="102" t="n">
        <x:v>-5.196</x:v>
      </x:c>
      <x:c r="AW80" s="102" t="n">
        <x:v>1.048</x:v>
      </x:c>
      <x:c r="AX80" s="102" t="n">
        <x:v>5.546</x:v>
      </x:c>
      <x:c r="AY80" s="96" t="n">
        <x:v>17368</x:v>
      </x:c>
      <x:c r="AZ80" s="96" t="n">
        <x:v>10295</x:v>
      </x:c>
      <x:c r="BA80" s="96" t="n">
        <x:v>6716</x:v>
      </x:c>
      <x:c r="BB80" s="96" t="n">
        <x:v>6820</x:v>
      </x:c>
      <x:c r="BC80" s="96" t="n">
        <x:v>1050</x:v>
      </x:c>
      <x:c r="BD80" s="97" t="e">
        <x:f>AY80*INDEX(Régions!$AQ$2:$AQ$6,MATCH($B80,Régions!$A$2:$A$6,0))</x:f>
        <x:v>#NAME?</x:v>
      </x:c>
      <x:c r="BE80" s="97" t="e">
        <x:f>AZ80*INDEX(Régions!$AR$2:$AR$6,MATCH($B80,Régions!$A$2:$A$6,0))</x:f>
        <x:v>#NAME?</x:v>
      </x:c>
      <x:c r="BF80" s="97" t="e">
        <x:f>BA80*INDEX(Régions!$AS$2:$AS$6,MATCH($B80,Régions!$A$2:$A$6,0))</x:f>
        <x:v>#NAME?</x:v>
      </x:c>
      <x:c r="BG80" s="97" t="e">
        <x:f>BB80*INDEX(Régions!$AT$2:$AT$6,MATCH($B80,Régions!$A$2:$A$6,0))</x:f>
        <x:v>#NAME?</x:v>
      </x:c>
      <x:c r="BH80" s="97" t="e">
        <x:f>U80</x:f>
        <x:v>#NAME?</x:v>
      </x:c>
      <x:c r="BI80" s="97" t="e">
        <x:f>BC80*INDEX(Régions!$AU$2:$AU$6,MATCH($B80,Régions!$A$2:$A$6,0))</x:f>
        <x:v>#NAME?</x:v>
      </x:c>
      <x:c r="BJ80" s="97" t="str">
        <x:f>INDEX({"CAQ","PLQ","QS","PQ","PCQ","Autre"},MATCH(MAX(BD80:BI80),BD80:BI80,0))</x:f>
        <x:v>CAQ</x:v>
      </x:c>
    </x:row>
    <x:row r="81" s="60" customFormat="1" ht="15" customHeight="1">
      <x:c r="A81" s="94" t="inlineStr">
        <x:is>
          <x:t xml:space="preserve">Montmorency</x:t>
        </x:is>
      </x:c>
      <x:c r="B81" s="94" t="inlineStr">
        <x:is>
          <x:t xml:space="preserve">Québec RMR</x:t>
        </x:is>
      </x:c>
      <x:c r="C81" s="95" t="inlineStr">
        <x:is>
          <x:t xml:space="preserve">CAQ</x:t>
        </x:is>
      </x:c>
      <x:c r="D81" s="96" t="n">
        <x:v>19124</x:v>
      </x:c>
      <x:c r="E81" s="96" t="n">
        <x:v>1969</x:v>
      </x:c>
      <x:c r="F81" s="96" t="n">
        <x:v>5100</x:v>
      </x:c>
      <x:c r="G81" s="96" t="n">
        <x:v>4773</x:v>
      </x:c>
      <x:c r="H81" s="96" t="n">
        <x:v>11031</x:v>
      </x:c>
      <x:c r="I81" s="96" t="n">
        <x:v>329</x:v>
      </x:c>
      <x:c r="J81" s="97" t="n">
        <x:f>SUM(D81:I81)</x:f>
        <x:v>42326</x:v>
      </x:c>
      <x:c r="K81" s="98" t="n">
        <x:f>IFERROR(D81/J81,0)</x:f>
        <x:v>0.45182630061900486</x:v>
      </x:c>
      <x:c r="L81" s="98" t="n">
        <x:f>IFERROR(E81/J81,0)</x:f>
        <x:v>0.046519869583707414</x:v>
      </x:c>
      <x:c r="M81" s="98" t="n">
        <x:f>IFERROR(F81/J81,0)</x:f>
        <x:v>0.12049331380239096</x:v>
      </x:c>
      <x:c r="N81" s="98" t="n">
        <x:f>IFERROR(G81/J81,0)</x:f>
        <x:v>0.11276756603506119</x:v>
      </x:c>
      <x:c r="O81" s="98" t="n">
        <x:f>IFERROR(H81/J81,0)</x:f>
        <x:v>0.2606199499125833</x:v>
      </x:c>
      <x:c r="P81" s="98" t="n">
        <x:f>IFERROR(I81/J81,0)</x:f>
        <x:v>0.00777300004725228</x:v>
      </x:c>
      <x:c r="Q81" s="97" t="e">
        <x:f>D81*INDEX(Régions!$T$2:$T$6,MATCH($B81,Régions!$A$2:$A$6,0))</x:f>
        <x:v>#NAME?</x:v>
      </x:c>
      <x:c r="R81" s="97" t="e">
        <x:f>E81*INDEX(Régions!$U$2:$U$6,MATCH($B81,Régions!$A$2:$A$6,0))</x:f>
        <x:v>#NAME?</x:v>
      </x:c>
      <x:c r="S81" s="97" t="e">
        <x:f>F81*INDEX(Régions!$V$2:$V$6,MATCH($B81,Régions!$A$2:$A$6,0))</x:f>
        <x:v>#NAME?</x:v>
      </x:c>
      <x:c r="T81" s="97" t="e">
        <x:f>G81*INDEX(Régions!$W$2:$W$6,MATCH($B81,Régions!$A$2:$A$6,0))</x:f>
        <x:v>#NAME?</x:v>
      </x:c>
      <x:c r="U81" s="97" t="e">
        <x:f>H81*INDEX(Régions!$X$2:$X$6,MATCH($B81,Régions!$A$2:$A$6,0))</x:f>
        <x:v>#NAME?</x:v>
      </x:c>
      <x:c r="V81" s="97" t="e">
        <x:f>I81*INDEX(Régions!$Y$2:$Y$6,MATCH($B81,Régions!$A$2:$A$6,0))</x:f>
        <x:v>#NAME?</x:v>
      </x:c>
      <x:c r="W81" s="97" t="e">
        <x:f>Q81+(AU81/100)*J81*Régions!$O$2</x:f>
        <x:v>#NAME?</x:v>
      </x:c>
      <x:c r="X81" s="97" t="e">
        <x:f>R81+(AV81/100)*J81*Régions!$O$2</x:f>
        <x:v>#NAME?</x:v>
      </x:c>
      <x:c r="Y81" s="97" t="e">
        <x:f>S81+(AW81/100)*J81*Régions!$O$2</x:f>
        <x:v>#NAME?</x:v>
      </x:c>
      <x:c r="Z81" s="97" t="e">
        <x:f>T81+(AX81/100)*J81*Régions!$O$2</x:f>
        <x:v>#NAME?</x:v>
      </x:c>
      <x:c r="AA81" s="97" t="e">
        <x:f>U81</x:f>
        <x:v>#NAME?</x:v>
      </x:c>
      <x:c r="AB81" s="97" t="e">
        <x:f>V81</x:f>
        <x:v>#NAME?</x:v>
      </x:c>
      <x:c r="AC81" s="97" t="e">
        <x:f>D81*INDEX(Régions!$Z$2:$Z$6,MATCH($B81,Régions!$A$2:$A$6,0))</x:f>
        <x:v>#NAME?</x:v>
      </x:c>
      <x:c r="AD81" s="97" t="e">
        <x:f>E81*INDEX(Régions!$AA$2:$AA$6,MATCH($B81,Régions!$A$2:$A$6,0))</x:f>
        <x:v>#NAME?</x:v>
      </x:c>
      <x:c r="AE81" s="97" t="e">
        <x:f>F81*INDEX(Régions!$AB$2:$AB$6,MATCH($B81,Régions!$A$2:$A$6,0))</x:f>
        <x:v>#NAME?</x:v>
      </x:c>
      <x:c r="AF81" s="97" t="e">
        <x:f>G81*INDEX(Régions!$AC$2:$AC$6,MATCH($B81,Régions!$A$2:$A$6,0))</x:f>
        <x:v>#NAME?</x:v>
      </x:c>
      <x:c r="AG81" s="97" t="e">
        <x:f>H81*INDEX(Régions!$AD$2:$AD$6,MATCH($B81,Régions!$A$2:$A$6,0))</x:f>
        <x:v>#NAME?</x:v>
      </x:c>
      <x:c r="AH81" s="97" t="e">
        <x:f>I81*INDEX(Régions!$AE$2:$AE$6,MATCH($B81,Régions!$A$2:$A$6,0))</x:f>
        <x:v>#NAME?</x:v>
      </x:c>
      <x:c r="AI81" s="97" t="e">
        <x:f>D81*INDEX(Régions!$AF$2:$AF$6,MATCH($B81,Régions!$A$2:$A$6,0))</x:f>
        <x:v>#NAME?</x:v>
      </x:c>
      <x:c r="AJ81" s="97" t="e">
        <x:f>E81*INDEX(Régions!$AG$2:$AG$6,MATCH($B81,Régions!$A$2:$A$6,0))</x:f>
        <x:v>#NAME?</x:v>
      </x:c>
      <x:c r="AK81" s="97" t="e">
        <x:f>F81*INDEX(Régions!$AH$2:$AH$6,MATCH($B81,Régions!$A$2:$A$6,0))</x:f>
        <x:v>#NAME?</x:v>
      </x:c>
      <x:c r="AL81" s="97" t="e">
        <x:f>G81*INDEX(Régions!$AI$2:$AI$6,MATCH($B81,Régions!$A$2:$A$6,0))</x:f>
        <x:v>#NAME?</x:v>
      </x:c>
      <x:c r="AM81" s="97" t="e">
        <x:f>H81*INDEX(Régions!$AJ$2:$AJ$6,MATCH($B81,Régions!$A$2:$A$6,0))</x:f>
        <x:v>#NAME?</x:v>
      </x:c>
      <x:c r="AN81" s="97" t="e">
        <x:f>I81*INDEX(Régions!$AK$2:$AK$6,MATCH($B81,Régions!$A$2:$A$6,0))</x:f>
        <x:v>#NAME?</x:v>
      </x:c>
      <x:c r="AO81" s="99" t="str">
        <x:f>INDEX({"CAQ","PLQ","QS","PQ","PCQ","Autre"},MATCH(MAX(Q81:V81),Q81:V81,0))</x:f>
        <x:v>CAQ</x:v>
      </x:c>
      <x:c r="AP81" s="99" t="str">
        <x:f>INDEX({"CAQ","PLQ","QS","PQ","PCQ","Autre"},MATCH(MAX(W81:AB81),W81:AB81,0))</x:f>
        <x:v>CAQ</x:v>
      </x:c>
      <x:c r="AQ81" s="99" t="str">
        <x:f>INDEX({"CAQ","PLQ","QS","PQ","PCQ","Autre"},MATCH(MAX(AC81:AH81),AC81:AH81,0))</x:f>
        <x:v>CAQ</x:v>
      </x:c>
      <x:c r="AR81" s="99" t="str">
        <x:f>INDEX({"CAQ","PLQ","QS","PQ","PCQ","Autre"},MATCH(MAX(AI81:AN81),AI81:AN81,0))</x:f>
        <x:v>CAQ</x:v>
      </x:c>
      <x:c r="AS81" s="100" t="n">
        <x:f>(MAX(K81:P81)-LARGE(K81:P81,2))*100</x:f>
        <x:v>19.120635070642155</x:v>
      </x:c>
      <x:c r="AT81" s="101" t="str">
        <x:f>IF(AS81&lt;5,"Oui","Non")</x:f>
        <x:v>Non</x:v>
      </x:c>
      <x:c r="AU81" s="102" t="n">
        <x:v>-2.589</x:v>
      </x:c>
      <x:c r="AV81" s="102" t="n">
        <x:v>0.918</x:v>
      </x:c>
      <x:c r="AW81" s="102" t="n">
        <x:v>-0.649</x:v>
      </x:c>
      <x:c r="AX81" s="102" t="n">
        <x:v>-1.286</x:v>
      </x:c>
      <x:c r="AY81" s="96" t="n">
        <x:v>20232</x:v>
      </x:c>
      <x:c r="AZ81" s="96" t="n">
        <x:v>7397</x:v>
      </x:c>
      <x:c r="BA81" s="96" t="n">
        <x:v>5225</x:v>
      </x:c>
      <x:c r="BB81" s="96" t="n">
        <x:v>4221</x:v>
      </x:c>
      <x:c r="BC81" s="96" t="n">
        <x:v>2695</x:v>
      </x:c>
      <x:c r="BD81" s="97" t="e">
        <x:f>AY81*INDEX(Régions!$AQ$2:$AQ$6,MATCH($B81,Régions!$A$2:$A$6,0))</x:f>
        <x:v>#NAME?</x:v>
      </x:c>
      <x:c r="BE81" s="97" t="e">
        <x:f>AZ81*INDEX(Régions!$AR$2:$AR$6,MATCH($B81,Régions!$A$2:$A$6,0))</x:f>
        <x:v>#NAME?</x:v>
      </x:c>
      <x:c r="BF81" s="97" t="e">
        <x:f>BA81*INDEX(Régions!$AS$2:$AS$6,MATCH($B81,Régions!$A$2:$A$6,0))</x:f>
        <x:v>#NAME?</x:v>
      </x:c>
      <x:c r="BG81" s="97" t="e">
        <x:f>BB81*INDEX(Régions!$AT$2:$AT$6,MATCH($B81,Régions!$A$2:$A$6,0))</x:f>
        <x:v>#NAME?</x:v>
      </x:c>
      <x:c r="BH81" s="97" t="e">
        <x:f>U81</x:f>
        <x:v>#NAME?</x:v>
      </x:c>
      <x:c r="BI81" s="97" t="e">
        <x:f>BC81*INDEX(Régions!$AU$2:$AU$6,MATCH($B81,Régions!$A$2:$A$6,0))</x:f>
        <x:v>#NAME?</x:v>
      </x:c>
      <x:c r="BJ81" s="97" t="str">
        <x:f>INDEX({"CAQ","PLQ","QS","PQ","PCQ","Autre"},MATCH(MAX(BD81:BI81),BD81:BI81,0))</x:f>
        <x:v>CAQ</x:v>
      </x:c>
    </x:row>
    <x:row r="82" s="60" customFormat="1" ht="15" customHeight="1">
      <x:c r="A82" s="94" t="inlineStr">
        <x:is>
          <x:t xml:space="preserve">Mégantic</x:t>
        </x:is>
      </x:c>
      <x:c r="B82" s="94" t="inlineStr">
        <x:is>
          <x:t xml:space="preserve">Reste du Québec</x:t>
        </x:is>
      </x:c>
      <x:c r="C82" s="95" t="inlineStr">
        <x:is>
          <x:t xml:space="preserve">CAQ</x:t>
        </x:is>
      </x:c>
      <x:c r="D82" s="96" t="n">
        <x:v>16016</x:v>
      </x:c>
      <x:c r="E82" s="96" t="n">
        <x:v>1953</x:v>
      </x:c>
      <x:c r="F82" s="96" t="n">
        <x:v>4997</x:v>
      </x:c>
      <x:c r="G82" s="96" t="n">
        <x:v>4416</x:v>
      </x:c>
      <x:c r="H82" s="96" t="n">
        <x:v>7083</x:v>
      </x:c>
      <x:c r="I82" s="96" t="n">
        <x:v>123</x:v>
      </x:c>
      <x:c r="J82" s="97" t="n">
        <x:f>SUM(D82:I82)</x:f>
        <x:v>34588</x:v>
      </x:c>
      <x:c r="K82" s="98" t="n">
        <x:f>IFERROR(D82/J82,0)</x:f>
        <x:v>0.4630507690528507</x:v>
      </x:c>
      <x:c r="L82" s="98" t="n">
        <x:f>IFERROR(E82/J82,0)</x:f>
        <x:v>0.0564646698276859</x:v>
      </x:c>
      <x:c r="M82" s="98" t="n">
        <x:f>IFERROR(F82/J82,0)</x:f>
        <x:v>0.14447207123857986</x:v>
      </x:c>
      <x:c r="N82" s="98" t="n">
        <x:f>IFERROR(G82/J82,0)</x:f>
        <x:v>0.12767433792066613</x:v>
      </x:c>
      <x:c r="O82" s="98" t="n">
        <x:f>IFERROR(H82/J82,0)</x:f>
        <x:v>0.2047820053197641</x:v>
      </x:c>
      <x:c r="P82" s="98" t="n">
        <x:f>IFERROR(I82/J82,0)</x:f>
        <x:v>0.0035561466404533362</x:v>
      </x:c>
      <x:c r="Q82" s="97" t="e">
        <x:f>D82*INDEX(Régions!$T$2:$T$6,MATCH($B82,Régions!$A$2:$A$6,0))</x:f>
        <x:v>#NAME?</x:v>
      </x:c>
      <x:c r="R82" s="97" t="e">
        <x:f>E82*INDEX(Régions!$U$2:$U$6,MATCH($B82,Régions!$A$2:$A$6,0))</x:f>
        <x:v>#NAME?</x:v>
      </x:c>
      <x:c r="S82" s="97" t="e">
        <x:f>F82*INDEX(Régions!$V$2:$V$6,MATCH($B82,Régions!$A$2:$A$6,0))</x:f>
        <x:v>#NAME?</x:v>
      </x:c>
      <x:c r="T82" s="97" t="e">
        <x:f>G82*INDEX(Régions!$W$2:$W$6,MATCH($B82,Régions!$A$2:$A$6,0))</x:f>
        <x:v>#NAME?</x:v>
      </x:c>
      <x:c r="U82" s="97" t="e">
        <x:f>H82*INDEX(Régions!$X$2:$X$6,MATCH($B82,Régions!$A$2:$A$6,0))</x:f>
        <x:v>#NAME?</x:v>
      </x:c>
      <x:c r="V82" s="97" t="e">
        <x:f>I82*INDEX(Régions!$Y$2:$Y$6,MATCH($B82,Régions!$A$2:$A$6,0))</x:f>
        <x:v>#NAME?</x:v>
      </x:c>
      <x:c r="W82" s="97" t="e">
        <x:f>Q82+(AU82/100)*J82*Régions!$O$2</x:f>
        <x:v>#NAME?</x:v>
      </x:c>
      <x:c r="X82" s="97" t="e">
        <x:f>R82+(AV82/100)*J82*Régions!$O$2</x:f>
        <x:v>#NAME?</x:v>
      </x:c>
      <x:c r="Y82" s="97" t="e">
        <x:f>S82+(AW82/100)*J82*Régions!$O$2</x:f>
        <x:v>#NAME?</x:v>
      </x:c>
      <x:c r="Z82" s="97" t="e">
        <x:f>T82+(AX82/100)*J82*Régions!$O$2</x:f>
        <x:v>#NAME?</x:v>
      </x:c>
      <x:c r="AA82" s="97" t="e">
        <x:f>U82</x:f>
        <x:v>#NAME?</x:v>
      </x:c>
      <x:c r="AB82" s="97" t="e">
        <x:f>V82</x:f>
        <x:v>#NAME?</x:v>
      </x:c>
      <x:c r="AC82" s="97" t="e">
        <x:f>D82*INDEX(Régions!$Z$2:$Z$6,MATCH($B82,Régions!$A$2:$A$6,0))</x:f>
        <x:v>#NAME?</x:v>
      </x:c>
      <x:c r="AD82" s="97" t="e">
        <x:f>E82*INDEX(Régions!$AA$2:$AA$6,MATCH($B82,Régions!$A$2:$A$6,0))</x:f>
        <x:v>#NAME?</x:v>
      </x:c>
      <x:c r="AE82" s="97" t="e">
        <x:f>F82*INDEX(Régions!$AB$2:$AB$6,MATCH($B82,Régions!$A$2:$A$6,0))</x:f>
        <x:v>#NAME?</x:v>
      </x:c>
      <x:c r="AF82" s="97" t="e">
        <x:f>G82*INDEX(Régions!$AC$2:$AC$6,MATCH($B82,Régions!$A$2:$A$6,0))</x:f>
        <x:v>#NAME?</x:v>
      </x:c>
      <x:c r="AG82" s="97" t="e">
        <x:f>H82*INDEX(Régions!$AD$2:$AD$6,MATCH($B82,Régions!$A$2:$A$6,0))</x:f>
        <x:v>#NAME?</x:v>
      </x:c>
      <x:c r="AH82" s="97" t="e">
        <x:f>I82*INDEX(Régions!$AE$2:$AE$6,MATCH($B82,Régions!$A$2:$A$6,0))</x:f>
        <x:v>#NAME?</x:v>
      </x:c>
      <x:c r="AI82" s="97" t="e">
        <x:f>D82*INDEX(Régions!$AF$2:$AF$6,MATCH($B82,Régions!$A$2:$A$6,0))</x:f>
        <x:v>#NAME?</x:v>
      </x:c>
      <x:c r="AJ82" s="97" t="e">
        <x:f>E82*INDEX(Régions!$AG$2:$AG$6,MATCH($B82,Régions!$A$2:$A$6,0))</x:f>
        <x:v>#NAME?</x:v>
      </x:c>
      <x:c r="AK82" s="97" t="e">
        <x:f>F82*INDEX(Régions!$AH$2:$AH$6,MATCH($B82,Régions!$A$2:$A$6,0))</x:f>
        <x:v>#NAME?</x:v>
      </x:c>
      <x:c r="AL82" s="97" t="e">
        <x:f>G82*INDEX(Régions!$AI$2:$AI$6,MATCH($B82,Régions!$A$2:$A$6,0))</x:f>
        <x:v>#NAME?</x:v>
      </x:c>
      <x:c r="AM82" s="97" t="e">
        <x:f>H82*INDEX(Régions!$AJ$2:$AJ$6,MATCH($B82,Régions!$A$2:$A$6,0))</x:f>
        <x:v>#NAME?</x:v>
      </x:c>
      <x:c r="AN82" s="97" t="e">
        <x:f>I82*INDEX(Régions!$AK$2:$AK$6,MATCH($B82,Régions!$A$2:$A$6,0))</x:f>
        <x:v>#NAME?</x:v>
      </x:c>
      <x:c r="AO82" s="99" t="str">
        <x:f>INDEX({"CAQ","PLQ","QS","PQ","PCQ","Autre"},MATCH(MAX(Q82:V82),Q82:V82,0))</x:f>
        <x:v>CAQ</x:v>
      </x:c>
      <x:c r="AP82" s="99" t="str">
        <x:f>INDEX({"CAQ","PLQ","QS","PQ","PCQ","Autre"},MATCH(MAX(W82:AB82),W82:AB82,0))</x:f>
        <x:v>CAQ</x:v>
      </x:c>
      <x:c r="AQ82" s="99" t="str">
        <x:f>INDEX({"CAQ","PLQ","QS","PQ","PCQ","Autre"},MATCH(MAX(AC82:AH82),AC82:AH82,0))</x:f>
        <x:v>CAQ</x:v>
      </x:c>
      <x:c r="AR82" s="99" t="str">
        <x:f>INDEX({"CAQ","PLQ","QS","PQ","PCQ","Autre"},MATCH(MAX(AI82:AN82),AI82:AN82,0))</x:f>
        <x:v>CAQ</x:v>
      </x:c>
      <x:c r="AS82" s="100" t="n">
        <x:f>(MAX(K82:P82)-LARGE(K82:P82,2))*100</x:f>
        <x:v>25.82687637330866</x:v>
      </x:c>
      <x:c r="AT82" s="101" t="str">
        <x:f>IF(AS82&lt;5,"Oui","Non")</x:f>
        <x:v>Non</x:v>
      </x:c>
      <x:c r="AU82" s="102" t="n">
        <x:v>-5.323</x:v>
      </x:c>
      <x:c r="AV82" s="102" t="n">
        <x:v>-1.439</x:v>
      </x:c>
      <x:c r="AW82" s="102" t="n">
        <x:v>-1.216</x:v>
      </x:c>
      <x:c r="AX82" s="102" t="n">
        <x:v>2.959</x:v>
      </x:c>
      <x:c r="AY82" s="96" t="n">
        <x:v>14900</x:v>
      </x:c>
      <x:c r="AZ82" s="96" t="n">
        <x:v>6470</x:v>
      </x:c>
      <x:c r="BA82" s="96" t="n">
        <x:v>5431</x:v>
      </x:c>
      <x:c r="BB82" s="96" t="n">
        <x:v>4499</x:v>
      </x:c>
      <x:c r="BC82" s="96" t="n">
        <x:v>1318</x:v>
      </x:c>
      <x:c r="BD82" s="97" t="e">
        <x:f>AY82*INDEX(Régions!$AQ$2:$AQ$6,MATCH($B82,Régions!$A$2:$A$6,0))</x:f>
        <x:v>#NAME?</x:v>
      </x:c>
      <x:c r="BE82" s="97" t="e">
        <x:f>AZ82*INDEX(Régions!$AR$2:$AR$6,MATCH($B82,Régions!$A$2:$A$6,0))</x:f>
        <x:v>#NAME?</x:v>
      </x:c>
      <x:c r="BF82" s="97" t="e">
        <x:f>BA82*INDEX(Régions!$AS$2:$AS$6,MATCH($B82,Régions!$A$2:$A$6,0))</x:f>
        <x:v>#NAME?</x:v>
      </x:c>
      <x:c r="BG82" s="97" t="e">
        <x:f>BB82*INDEX(Régions!$AT$2:$AT$6,MATCH($B82,Régions!$A$2:$A$6,0))</x:f>
        <x:v>#NAME?</x:v>
      </x:c>
      <x:c r="BH82" s="97" t="e">
        <x:f>U82</x:f>
        <x:v>#NAME?</x:v>
      </x:c>
      <x:c r="BI82" s="97" t="e">
        <x:f>BC82*INDEX(Régions!$AU$2:$AU$6,MATCH($B82,Régions!$A$2:$A$6,0))</x:f>
        <x:v>#NAME?</x:v>
      </x:c>
      <x:c r="BJ82" s="97" t="str">
        <x:f>INDEX({"CAQ","PLQ","QS","PQ","PCQ","Autre"},MATCH(MAX(BD82:BI82),BD82:BI82,0))</x:f>
        <x:v>CAQ</x:v>
      </x:c>
    </x:row>
    <x:row r="83" s="60" customFormat="1" ht="15" customHeight="1">
      <x:c r="A83" s="94" t="inlineStr">
        <x:is>
          <x:t xml:space="preserve">Nelligan</x:t>
        </x:is>
      </x:c>
      <x:c r="B83" s="94" t="inlineStr">
        <x:is>
          <x:t xml:space="preserve">Île de Montréal</x:t>
        </x:is>
      </x:c>
      <x:c r="C83" s="95" t="inlineStr">
        <x:is>
          <x:t xml:space="preserve">PLQ</x:t>
        </x:is>
      </x:c>
      <x:c r="D83" s="96" t="n">
        <x:v>5584</x:v>
      </x:c>
      <x:c r="E83" s="96" t="n">
        <x:v>17453</x:v>
      </x:c>
      <x:c r="F83" s="96" t="n">
        <x:v>1766</x:v>
      </x:c>
      <x:c r="G83" s="96" t="n">
        <x:v>1399</x:v>
      </x:c>
      <x:c r="H83" s="96" t="n">
        <x:v>6075</x:v>
      </x:c>
      <x:c r="I83" s="96" t="n">
        <x:v>1268</x:v>
      </x:c>
      <x:c r="J83" s="97" t="n">
        <x:f>SUM(D83:I83)</x:f>
        <x:v>33545</x:v>
      </x:c>
      <x:c r="K83" s="98" t="n">
        <x:f>IFERROR(D83/J83,0)</x:f>
        <x:v>0.16646296020271278</x:v>
      </x:c>
      <x:c r="L83" s="98" t="n">
        <x:f>IFERROR(E83/J83,0)</x:f>
        <x:v>0.5202861827396035</x:v>
      </x:c>
      <x:c r="M83" s="98" t="n">
        <x:f>IFERROR(F83/J83,0)</x:f>
        <x:v>0.052645699806230434</x:v>
      </x:c>
      <x:c r="N83" s="98" t="n">
        <x:f>IFERROR(G83/J83,0)</x:f>
        <x:v>0.04170517215680429</x:v>
      </x:c>
      <x:c r="O83" s="98" t="n">
        <x:f>IFERROR(H83/J83,0)</x:f>
        <x:v>0.18110001490535102</x:v>
      </x:c>
      <x:c r="P83" s="98" t="n">
        <x:f>IFERROR(I83/J83,0)</x:f>
        <x:v>0.03779997018929796</x:v>
      </x:c>
      <x:c r="Q83" s="97" t="e">
        <x:f>D83*INDEX(Régions!$T$2:$T$6,MATCH($B83,Régions!$A$2:$A$6,0))</x:f>
        <x:v>#NAME?</x:v>
      </x:c>
      <x:c r="R83" s="97" t="e">
        <x:f>E83*INDEX(Régions!$U$2:$U$6,MATCH($B83,Régions!$A$2:$A$6,0))</x:f>
        <x:v>#NAME?</x:v>
      </x:c>
      <x:c r="S83" s="97" t="e">
        <x:f>F83*INDEX(Régions!$V$2:$V$6,MATCH($B83,Régions!$A$2:$A$6,0))</x:f>
        <x:v>#NAME?</x:v>
      </x:c>
      <x:c r="T83" s="97" t="e">
        <x:f>G83*INDEX(Régions!$W$2:$W$6,MATCH($B83,Régions!$A$2:$A$6,0))</x:f>
        <x:v>#NAME?</x:v>
      </x:c>
      <x:c r="U83" s="97" t="e">
        <x:f>H83*INDEX(Régions!$X$2:$X$6,MATCH($B83,Régions!$A$2:$A$6,0))</x:f>
        <x:v>#NAME?</x:v>
      </x:c>
      <x:c r="V83" s="97" t="e">
        <x:f>I83*INDEX(Régions!$Y$2:$Y$6,MATCH($B83,Régions!$A$2:$A$6,0))</x:f>
        <x:v>#NAME?</x:v>
      </x:c>
      <x:c r="W83" s="97" t="e">
        <x:f>Q83+(AU83/100)*J83*Régions!$O$2</x:f>
        <x:v>#NAME?</x:v>
      </x:c>
      <x:c r="X83" s="97" t="e">
        <x:f>R83+(AV83/100)*J83*Régions!$O$2</x:f>
        <x:v>#NAME?</x:v>
      </x:c>
      <x:c r="Y83" s="97" t="e">
        <x:f>S83+(AW83/100)*J83*Régions!$O$2</x:f>
        <x:v>#NAME?</x:v>
      </x:c>
      <x:c r="Z83" s="97" t="e">
        <x:f>T83+(AX83/100)*J83*Régions!$O$2</x:f>
        <x:v>#NAME?</x:v>
      </x:c>
      <x:c r="AA83" s="97" t="e">
        <x:f>U83</x:f>
        <x:v>#NAME?</x:v>
      </x:c>
      <x:c r="AB83" s="97" t="e">
        <x:f>V83</x:f>
        <x:v>#NAME?</x:v>
      </x:c>
      <x:c r="AC83" s="97" t="e">
        <x:f>D83*INDEX(Régions!$Z$2:$Z$6,MATCH($B83,Régions!$A$2:$A$6,0))</x:f>
        <x:v>#NAME?</x:v>
      </x:c>
      <x:c r="AD83" s="97" t="e">
        <x:f>E83*INDEX(Régions!$AA$2:$AA$6,MATCH($B83,Régions!$A$2:$A$6,0))</x:f>
        <x:v>#NAME?</x:v>
      </x:c>
      <x:c r="AE83" s="97" t="e">
        <x:f>F83*INDEX(Régions!$AB$2:$AB$6,MATCH($B83,Régions!$A$2:$A$6,0))</x:f>
        <x:v>#NAME?</x:v>
      </x:c>
      <x:c r="AF83" s="97" t="e">
        <x:f>G83*INDEX(Régions!$AC$2:$AC$6,MATCH($B83,Régions!$A$2:$A$6,0))</x:f>
        <x:v>#NAME?</x:v>
      </x:c>
      <x:c r="AG83" s="97" t="e">
        <x:f>H83*INDEX(Régions!$AD$2:$AD$6,MATCH($B83,Régions!$A$2:$A$6,0))</x:f>
        <x:v>#NAME?</x:v>
      </x:c>
      <x:c r="AH83" s="97" t="e">
        <x:f>I83*INDEX(Régions!$AE$2:$AE$6,MATCH($B83,Régions!$A$2:$A$6,0))</x:f>
        <x:v>#NAME?</x:v>
      </x:c>
      <x:c r="AI83" s="97" t="e">
        <x:f>D83*INDEX(Régions!$AF$2:$AF$6,MATCH($B83,Régions!$A$2:$A$6,0))</x:f>
        <x:v>#NAME?</x:v>
      </x:c>
      <x:c r="AJ83" s="97" t="e">
        <x:f>E83*INDEX(Régions!$AG$2:$AG$6,MATCH($B83,Régions!$A$2:$A$6,0))</x:f>
        <x:v>#NAME?</x:v>
      </x:c>
      <x:c r="AK83" s="97" t="e">
        <x:f>F83*INDEX(Régions!$AH$2:$AH$6,MATCH($B83,Régions!$A$2:$A$6,0))</x:f>
        <x:v>#NAME?</x:v>
      </x:c>
      <x:c r="AL83" s="97" t="e">
        <x:f>G83*INDEX(Régions!$AI$2:$AI$6,MATCH($B83,Régions!$A$2:$A$6,0))</x:f>
        <x:v>#NAME?</x:v>
      </x:c>
      <x:c r="AM83" s="97" t="e">
        <x:f>H83*INDEX(Régions!$AJ$2:$AJ$6,MATCH($B83,Régions!$A$2:$A$6,0))</x:f>
        <x:v>#NAME?</x:v>
      </x:c>
      <x:c r="AN83" s="97" t="e">
        <x:f>I83*INDEX(Régions!$AK$2:$AK$6,MATCH($B83,Régions!$A$2:$A$6,0))</x:f>
        <x:v>#NAME?</x:v>
      </x:c>
      <x:c r="AO83" s="99" t="str">
        <x:f>INDEX({"CAQ","PLQ","QS","PQ","PCQ","Autre"},MATCH(MAX(Q83:V83),Q83:V83,0))</x:f>
        <x:v>CAQ</x:v>
      </x:c>
      <x:c r="AP83" s="99" t="str">
        <x:f>INDEX({"CAQ","PLQ","QS","PQ","PCQ","Autre"},MATCH(MAX(W83:AB83),W83:AB83,0))</x:f>
        <x:v>CAQ</x:v>
      </x:c>
      <x:c r="AQ83" s="99" t="str">
        <x:f>INDEX({"CAQ","PLQ","QS","PQ","PCQ","Autre"},MATCH(MAX(AC83:AH83),AC83:AH83,0))</x:f>
        <x:v>CAQ</x:v>
      </x:c>
      <x:c r="AR83" s="99" t="str">
        <x:f>INDEX({"CAQ","PLQ","QS","PQ","PCQ","Autre"},MATCH(MAX(AI83:AN83),AI83:AN83,0))</x:f>
        <x:v>CAQ</x:v>
      </x:c>
      <x:c r="AS83" s="100" t="n">
        <x:f>(MAX(K83:P83)-LARGE(K83:P83,2))*100</x:f>
        <x:v>33.91861678342525</x:v>
      </x:c>
      <x:c r="AT83" s="101" t="str">
        <x:f>IF(AS83&lt;5,"Oui","Non")</x:f>
        <x:v>Non</x:v>
      </x:c>
      <x:c r="AU83" s="102" t="n">
        <x:v>-2.631</x:v>
      </x:c>
      <x:c r="AV83" s="102" t="n">
        <x:v>-4.257</x:v>
      </x:c>
      <x:c r="AW83" s="102" t="n">
        <x:v>-1.004</x:v>
      </x:c>
      <x:c r="AX83" s="102" t="n">
        <x:v>0.736</x:v>
      </x:c>
      <x:c r="AY83" s="96" t="n">
        <x:v>5911</x:v>
      </x:c>
      <x:c r="AZ83" s="96" t="n">
        <x:v>22420</x:v>
      </x:c>
      <x:c r="BA83" s="96" t="n">
        <x:v>1902</x:v>
      </x:c>
      <x:c r="BB83" s="96" t="n">
        <x:v>1580</x:v>
      </x:c>
      <x:c r="BC83" s="96" t="n">
        <x:v>2615</x:v>
      </x:c>
      <x:c r="BD83" s="97" t="e">
        <x:f>AY83*INDEX(Régions!$AQ$2:$AQ$6,MATCH($B83,Régions!$A$2:$A$6,0))</x:f>
        <x:v>#NAME?</x:v>
      </x:c>
      <x:c r="BE83" s="97" t="e">
        <x:f>AZ83*INDEX(Régions!$AR$2:$AR$6,MATCH($B83,Régions!$A$2:$A$6,0))</x:f>
        <x:v>#NAME?</x:v>
      </x:c>
      <x:c r="BF83" s="97" t="e">
        <x:f>BA83*INDEX(Régions!$AS$2:$AS$6,MATCH($B83,Régions!$A$2:$A$6,0))</x:f>
        <x:v>#NAME?</x:v>
      </x:c>
      <x:c r="BG83" s="97" t="e">
        <x:f>BB83*INDEX(Régions!$AT$2:$AT$6,MATCH($B83,Régions!$A$2:$A$6,0))</x:f>
        <x:v>#NAME?</x:v>
      </x:c>
      <x:c r="BH83" s="97" t="e">
        <x:f>U83</x:f>
        <x:v>#NAME?</x:v>
      </x:c>
      <x:c r="BI83" s="97" t="e">
        <x:f>BC83*INDEX(Régions!$AU$2:$AU$6,MATCH($B83,Régions!$A$2:$A$6,0))</x:f>
        <x:v>#NAME?</x:v>
      </x:c>
      <x:c r="BJ83" s="97" t="str">
        <x:f>INDEX({"CAQ","PLQ","QS","PQ","PCQ","Autre"},MATCH(MAX(BD83:BI83),BD83:BI83,0))</x:f>
        <x:v>CAQ</x:v>
      </x:c>
    </x:row>
    <x:row r="84" s="60" customFormat="1" ht="15" customHeight="1">
      <x:c r="A84" s="94" t="inlineStr">
        <x:is>
          <x:t xml:space="preserve">Nicolet-Bécancour</x:t>
        </x:is>
      </x:c>
      <x:c r="B84" s="94" t="inlineStr">
        <x:is>
          <x:t xml:space="preserve">Reste du Québec</x:t>
        </x:is>
      </x:c>
      <x:c r="C84" s="95" t="inlineStr">
        <x:is>
          <x:t xml:space="preserve">CAQ</x:t>
        </x:is>
      </x:c>
      <x:c r="D84" s="96" t="n">
        <x:v>13566</x:v>
      </x:c>
      <x:c r="E84" s="96" t="n">
        <x:v>1350</x:v>
      </x:c>
      <x:c r="F84" s="96" t="n">
        <x:v>2532</x:v>
      </x:c>
      <x:c r="G84" s="96" t="n">
        <x:v>4854</x:v>
      </x:c>
      <x:c r="H84" s="96" t="n">
        <x:v>6412</x:v>
      </x:c>
      <x:c r="I84" s="96" t="n">
        <x:v>6</x:v>
      </x:c>
      <x:c r="J84" s="97" t="n">
        <x:f>SUM(D84:I84)</x:f>
        <x:v>28720</x:v>
      </x:c>
      <x:c r="K84" s="98" t="n">
        <x:f>IFERROR(D84/J84,0)</x:f>
        <x:v>0.47235376044568245</x:v>
      </x:c>
      <x:c r="L84" s="98" t="n">
        <x:f>IFERROR(E84/J84,0)</x:f>
        <x:v>0.04700557103064067</x:v>
      </x:c>
      <x:c r="M84" s="98" t="n">
        <x:f>IFERROR(F84/J84,0)</x:f>
        <x:v>0.08816155988857939</x:v>
      </x:c>
      <x:c r="N84" s="98" t="n">
        <x:f>IFERROR(G84/J84,0)</x:f>
        <x:v>0.16901114206128134</x:v>
      </x:c>
      <x:c r="O84" s="98" t="n">
        <x:f>IFERROR(H84/J84,0)</x:f>
        <x:v>0.2232590529247911</x:v>
      </x:c>
      <x:c r="P84" s="98" t="n">
        <x:f>IFERROR(I84/J84,0)</x:f>
        <x:v>0.00020891364902506963</x:v>
      </x:c>
      <x:c r="Q84" s="97" t="e">
        <x:f>D84*INDEX(Régions!$T$2:$T$6,MATCH($B84,Régions!$A$2:$A$6,0))</x:f>
        <x:v>#NAME?</x:v>
      </x:c>
      <x:c r="R84" s="97" t="e">
        <x:f>E84*INDEX(Régions!$U$2:$U$6,MATCH($B84,Régions!$A$2:$A$6,0))</x:f>
        <x:v>#NAME?</x:v>
      </x:c>
      <x:c r="S84" s="97" t="e">
        <x:f>F84*INDEX(Régions!$V$2:$V$6,MATCH($B84,Régions!$A$2:$A$6,0))</x:f>
        <x:v>#NAME?</x:v>
      </x:c>
      <x:c r="T84" s="97" t="e">
        <x:f>G84*INDEX(Régions!$W$2:$W$6,MATCH($B84,Régions!$A$2:$A$6,0))</x:f>
        <x:v>#NAME?</x:v>
      </x:c>
      <x:c r="U84" s="97" t="e">
        <x:f>H84*INDEX(Régions!$X$2:$X$6,MATCH($B84,Régions!$A$2:$A$6,0))</x:f>
        <x:v>#NAME?</x:v>
      </x:c>
      <x:c r="V84" s="97" t="e">
        <x:f>I84*INDEX(Régions!$Y$2:$Y$6,MATCH($B84,Régions!$A$2:$A$6,0))</x:f>
        <x:v>#NAME?</x:v>
      </x:c>
      <x:c r="W84" s="97" t="e">
        <x:f>Q84+(AU84/100)*J84*Régions!$O$2</x:f>
        <x:v>#NAME?</x:v>
      </x:c>
      <x:c r="X84" s="97" t="e">
        <x:f>R84+(AV84/100)*J84*Régions!$O$2</x:f>
        <x:v>#NAME?</x:v>
      </x:c>
      <x:c r="Y84" s="97" t="e">
        <x:f>S84+(AW84/100)*J84*Régions!$O$2</x:f>
        <x:v>#NAME?</x:v>
      </x:c>
      <x:c r="Z84" s="97" t="e">
        <x:f>T84+(AX84/100)*J84*Régions!$O$2</x:f>
        <x:v>#NAME?</x:v>
      </x:c>
      <x:c r="AA84" s="97" t="e">
        <x:f>U84</x:f>
        <x:v>#NAME?</x:v>
      </x:c>
      <x:c r="AB84" s="97" t="e">
        <x:f>V84</x:f>
        <x:v>#NAME?</x:v>
      </x:c>
      <x:c r="AC84" s="97" t="e">
        <x:f>D84*INDEX(Régions!$Z$2:$Z$6,MATCH($B84,Régions!$A$2:$A$6,0))</x:f>
        <x:v>#NAME?</x:v>
      </x:c>
      <x:c r="AD84" s="97" t="e">
        <x:f>E84*INDEX(Régions!$AA$2:$AA$6,MATCH($B84,Régions!$A$2:$A$6,0))</x:f>
        <x:v>#NAME?</x:v>
      </x:c>
      <x:c r="AE84" s="97" t="e">
        <x:f>F84*INDEX(Régions!$AB$2:$AB$6,MATCH($B84,Régions!$A$2:$A$6,0))</x:f>
        <x:v>#NAME?</x:v>
      </x:c>
      <x:c r="AF84" s="97" t="e">
        <x:f>G84*INDEX(Régions!$AC$2:$AC$6,MATCH($B84,Régions!$A$2:$A$6,0))</x:f>
        <x:v>#NAME?</x:v>
      </x:c>
      <x:c r="AG84" s="97" t="e">
        <x:f>H84*INDEX(Régions!$AD$2:$AD$6,MATCH($B84,Régions!$A$2:$A$6,0))</x:f>
        <x:v>#NAME?</x:v>
      </x:c>
      <x:c r="AH84" s="97" t="e">
        <x:f>I84*INDEX(Régions!$AE$2:$AE$6,MATCH($B84,Régions!$A$2:$A$6,0))</x:f>
        <x:v>#NAME?</x:v>
      </x:c>
      <x:c r="AI84" s="97" t="e">
        <x:f>D84*INDEX(Régions!$AF$2:$AF$6,MATCH($B84,Régions!$A$2:$A$6,0))</x:f>
        <x:v>#NAME?</x:v>
      </x:c>
      <x:c r="AJ84" s="97" t="e">
        <x:f>E84*INDEX(Régions!$AG$2:$AG$6,MATCH($B84,Régions!$A$2:$A$6,0))</x:f>
        <x:v>#NAME?</x:v>
      </x:c>
      <x:c r="AK84" s="97" t="e">
        <x:f>F84*INDEX(Régions!$AH$2:$AH$6,MATCH($B84,Régions!$A$2:$A$6,0))</x:f>
        <x:v>#NAME?</x:v>
      </x:c>
      <x:c r="AL84" s="97" t="e">
        <x:f>G84*INDEX(Régions!$AI$2:$AI$6,MATCH($B84,Régions!$A$2:$A$6,0))</x:f>
        <x:v>#NAME?</x:v>
      </x:c>
      <x:c r="AM84" s="97" t="e">
        <x:f>H84*INDEX(Régions!$AJ$2:$AJ$6,MATCH($B84,Régions!$A$2:$A$6,0))</x:f>
        <x:v>#NAME?</x:v>
      </x:c>
      <x:c r="AN84" s="97" t="e">
        <x:f>I84*INDEX(Régions!$AK$2:$AK$6,MATCH($B84,Régions!$A$2:$A$6,0))</x:f>
        <x:v>#NAME?</x:v>
      </x:c>
      <x:c r="AO84" s="99" t="str">
        <x:f>INDEX({"CAQ","PLQ","QS","PQ","PCQ","Autre"},MATCH(MAX(Q84:V84),Q84:V84,0))</x:f>
        <x:v>CAQ</x:v>
      </x:c>
      <x:c r="AP84" s="99" t="str">
        <x:f>INDEX({"CAQ","PLQ","QS","PQ","PCQ","Autre"},MATCH(MAX(W84:AB84),W84:AB84,0))</x:f>
        <x:v>CAQ</x:v>
      </x:c>
      <x:c r="AQ84" s="99" t="str">
        <x:f>INDEX({"CAQ","PLQ","QS","PQ","PCQ","Autre"},MATCH(MAX(AC84:AH84),AC84:AH84,0))</x:f>
        <x:v>CAQ</x:v>
      </x:c>
      <x:c r="AR84" s="99" t="str">
        <x:f>INDEX({"CAQ","PLQ","QS","PQ","PCQ","Autre"},MATCH(MAX(AI84:AN84),AI84:AN84,0))</x:f>
        <x:v>CAQ</x:v>
      </x:c>
      <x:c r="AS84" s="100" t="n">
        <x:f>(MAX(K84:P84)-LARGE(K84:P84,2))*100</x:f>
        <x:v>24.909470752089135</x:v>
      </x:c>
      <x:c r="AT84" s="101" t="str">
        <x:f>IF(AS84&lt;5,"Oui","Non")</x:f>
        <x:v>Non</x:v>
      </x:c>
      <x:c r="AU84" s="102" t="n">
        <x:v>-14.248</x:v>
      </x:c>
      <x:c r="AV84" s="102" t="n">
        <x:v>4.924</x:v>
      </x:c>
      <x:c r="AW84" s="102" t="n">
        <x:v>-2.548</x:v>
      </x:c>
      <x:c r="AX84" s="102" t="n">
        <x:v>5.405</x:v>
      </x:c>
      <x:c r="AY84" s="96" t="n">
        <x:v>15114</x:v>
      </x:c>
      <x:c r="AZ84" s="96" t="n">
        <x:v>3410</x:v>
      </x:c>
      <x:c r="BA84" s="96" t="n">
        <x:v>3362</x:v>
      </x:c>
      <x:c r="BB84" s="96" t="n">
        <x:v>4213</x:v>
      </x:c>
      <x:c r="BC84" s="96" t="n">
        <x:v>1119</x:v>
      </x:c>
      <x:c r="BD84" s="97" t="e">
        <x:f>AY84*INDEX(Régions!$AQ$2:$AQ$6,MATCH($B84,Régions!$A$2:$A$6,0))</x:f>
        <x:v>#NAME?</x:v>
      </x:c>
      <x:c r="BE84" s="97" t="e">
        <x:f>AZ84*INDEX(Régions!$AR$2:$AR$6,MATCH($B84,Régions!$A$2:$A$6,0))</x:f>
        <x:v>#NAME?</x:v>
      </x:c>
      <x:c r="BF84" s="97" t="e">
        <x:f>BA84*INDEX(Régions!$AS$2:$AS$6,MATCH($B84,Régions!$A$2:$A$6,0))</x:f>
        <x:v>#NAME?</x:v>
      </x:c>
      <x:c r="BG84" s="97" t="e">
        <x:f>BB84*INDEX(Régions!$AT$2:$AT$6,MATCH($B84,Régions!$A$2:$A$6,0))</x:f>
        <x:v>#NAME?</x:v>
      </x:c>
      <x:c r="BH84" s="97" t="e">
        <x:f>U84</x:f>
        <x:v>#NAME?</x:v>
      </x:c>
      <x:c r="BI84" s="97" t="e">
        <x:f>BC84*INDEX(Régions!$AU$2:$AU$6,MATCH($B84,Régions!$A$2:$A$6,0))</x:f>
        <x:v>#NAME?</x:v>
      </x:c>
      <x:c r="BJ84" s="97" t="str">
        <x:f>INDEX({"CAQ","PLQ","QS","PQ","PCQ","Autre"},MATCH(MAX(BD84:BI84),BD84:BI84,0))</x:f>
        <x:v>CAQ</x:v>
      </x:c>
    </x:row>
    <x:row r="85" s="60" customFormat="1" ht="15" customHeight="1">
      <x:c r="A85" s="94" t="inlineStr">
        <x:is>
          <x:t xml:space="preserve">Notre-Dame-de-Grâce</x:t>
        </x:is>
      </x:c>
      <x:c r="B85" s="94" t="inlineStr">
        <x:is>
          <x:t xml:space="preserve">Île de Montréal</x:t>
        </x:is>
      </x:c>
      <x:c r="C85" s="95" t="inlineStr">
        <x:is>
          <x:t xml:space="preserve">PLQ</x:t>
        </x:is>
      </x:c>
      <x:c r="D85" s="96" t="n">
        <x:v>1877</x:v>
      </x:c>
      <x:c r="E85" s="96" t="n">
        <x:v>12918</x:v>
      </x:c>
      <x:c r="F85" s="96" t="n">
        <x:v>3967</x:v>
      </x:c>
      <x:c r="G85" s="96" t="n">
        <x:v>1302</x:v>
      </x:c>
      <x:c r="H85" s="96" t="n">
        <x:v>2810</x:v>
      </x:c>
      <x:c r="I85" s="96" t="n">
        <x:v>2728</x:v>
      </x:c>
      <x:c r="J85" s="97" t="n">
        <x:f>SUM(D85:I85)</x:f>
        <x:v>25602</x:v>
      </x:c>
      <x:c r="K85" s="98" t="n">
        <x:f>IFERROR(D85/J85,0)</x:f>
        <x:v>0.07331458479806265</x:v>
      </x:c>
      <x:c r="L85" s="98" t="n">
        <x:f>IFERROR(E85/J85,0)</x:f>
        <x:v>0.5045699554722287</x:v>
      </x:c>
      <x:c r="M85" s="98" t="n">
        <x:f>IFERROR(F85/J85,0)</x:f>
        <x:v>0.15494883212249044</x:v>
      </x:c>
      <x:c r="N85" s="98" t="n">
        <x:f>IFERROR(G85/J85,0)</x:f>
        <x:v>0.050855401921724865</x:v>
      </x:c>
      <x:c r="O85" s="98" t="n">
        <x:f>IFERROR(H85/J85,0)</x:f>
        <x:v>0.10975705023045075</x:v>
      </x:c>
      <x:c r="P85" s="98" t="n">
        <x:f>IFERROR(I85/J85,0)</x:f>
        <x:v>0.10655417545504257</x:v>
      </x:c>
      <x:c r="Q85" s="97" t="e">
        <x:f>D85*INDEX(Régions!$T$2:$T$6,MATCH($B85,Régions!$A$2:$A$6,0))</x:f>
        <x:v>#NAME?</x:v>
      </x:c>
      <x:c r="R85" s="97" t="e">
        <x:f>E85*INDEX(Régions!$U$2:$U$6,MATCH($B85,Régions!$A$2:$A$6,0))</x:f>
        <x:v>#NAME?</x:v>
      </x:c>
      <x:c r="S85" s="97" t="e">
        <x:f>F85*INDEX(Régions!$V$2:$V$6,MATCH($B85,Régions!$A$2:$A$6,0))</x:f>
        <x:v>#NAME?</x:v>
      </x:c>
      <x:c r="T85" s="97" t="e">
        <x:f>G85*INDEX(Régions!$W$2:$W$6,MATCH($B85,Régions!$A$2:$A$6,0))</x:f>
        <x:v>#NAME?</x:v>
      </x:c>
      <x:c r="U85" s="97" t="e">
        <x:f>H85*INDEX(Régions!$X$2:$X$6,MATCH($B85,Régions!$A$2:$A$6,0))</x:f>
        <x:v>#NAME?</x:v>
      </x:c>
      <x:c r="V85" s="97" t="e">
        <x:f>I85*INDEX(Régions!$Y$2:$Y$6,MATCH($B85,Régions!$A$2:$A$6,0))</x:f>
        <x:v>#NAME?</x:v>
      </x:c>
      <x:c r="W85" s="97" t="e">
        <x:f>Q85+(AU85/100)*J85*Régions!$O$2</x:f>
        <x:v>#NAME?</x:v>
      </x:c>
      <x:c r="X85" s="97" t="e">
        <x:f>R85+(AV85/100)*J85*Régions!$O$2</x:f>
        <x:v>#NAME?</x:v>
      </x:c>
      <x:c r="Y85" s="97" t="e">
        <x:f>S85+(AW85/100)*J85*Régions!$O$2</x:f>
        <x:v>#NAME?</x:v>
      </x:c>
      <x:c r="Z85" s="97" t="e">
        <x:f>T85+(AX85/100)*J85*Régions!$O$2</x:f>
        <x:v>#NAME?</x:v>
      </x:c>
      <x:c r="AA85" s="97" t="e">
        <x:f>U85</x:f>
        <x:v>#NAME?</x:v>
      </x:c>
      <x:c r="AB85" s="97" t="e">
        <x:f>V85</x:f>
        <x:v>#NAME?</x:v>
      </x:c>
      <x:c r="AC85" s="97" t="e">
        <x:f>D85*INDEX(Régions!$Z$2:$Z$6,MATCH($B85,Régions!$A$2:$A$6,0))</x:f>
        <x:v>#NAME?</x:v>
      </x:c>
      <x:c r="AD85" s="97" t="e">
        <x:f>E85*INDEX(Régions!$AA$2:$AA$6,MATCH($B85,Régions!$A$2:$A$6,0))</x:f>
        <x:v>#NAME?</x:v>
      </x:c>
      <x:c r="AE85" s="97" t="e">
        <x:f>F85*INDEX(Régions!$AB$2:$AB$6,MATCH($B85,Régions!$A$2:$A$6,0))</x:f>
        <x:v>#NAME?</x:v>
      </x:c>
      <x:c r="AF85" s="97" t="e">
        <x:f>G85*INDEX(Régions!$AC$2:$AC$6,MATCH($B85,Régions!$A$2:$A$6,0))</x:f>
        <x:v>#NAME?</x:v>
      </x:c>
      <x:c r="AG85" s="97" t="e">
        <x:f>H85*INDEX(Régions!$AD$2:$AD$6,MATCH($B85,Régions!$A$2:$A$6,0))</x:f>
        <x:v>#NAME?</x:v>
      </x:c>
      <x:c r="AH85" s="97" t="e">
        <x:f>I85*INDEX(Régions!$AE$2:$AE$6,MATCH($B85,Régions!$A$2:$A$6,0))</x:f>
        <x:v>#NAME?</x:v>
      </x:c>
      <x:c r="AI85" s="97" t="e">
        <x:f>D85*INDEX(Régions!$AF$2:$AF$6,MATCH($B85,Régions!$A$2:$A$6,0))</x:f>
        <x:v>#NAME?</x:v>
      </x:c>
      <x:c r="AJ85" s="97" t="e">
        <x:f>E85*INDEX(Régions!$AG$2:$AG$6,MATCH($B85,Régions!$A$2:$A$6,0))</x:f>
        <x:v>#NAME?</x:v>
      </x:c>
      <x:c r="AK85" s="97" t="e">
        <x:f>F85*INDEX(Régions!$AH$2:$AH$6,MATCH($B85,Régions!$A$2:$A$6,0))</x:f>
        <x:v>#NAME?</x:v>
      </x:c>
      <x:c r="AL85" s="97" t="e">
        <x:f>G85*INDEX(Régions!$AI$2:$AI$6,MATCH($B85,Régions!$A$2:$A$6,0))</x:f>
        <x:v>#NAME?</x:v>
      </x:c>
      <x:c r="AM85" s="97" t="e">
        <x:f>H85*INDEX(Régions!$AJ$2:$AJ$6,MATCH($B85,Régions!$A$2:$A$6,0))</x:f>
        <x:v>#NAME?</x:v>
      </x:c>
      <x:c r="AN85" s="97" t="e">
        <x:f>I85*INDEX(Régions!$AK$2:$AK$6,MATCH($B85,Régions!$A$2:$A$6,0))</x:f>
        <x:v>#NAME?</x:v>
      </x:c>
      <x:c r="AO85" s="99" t="str">
        <x:f>INDEX({"CAQ","PLQ","QS","PQ","PCQ","Autre"},MATCH(MAX(Q85:V85),Q85:V85,0))</x:f>
        <x:v>CAQ</x:v>
      </x:c>
      <x:c r="AP85" s="99" t="str">
        <x:f>INDEX({"CAQ","PLQ","QS","PQ","PCQ","Autre"},MATCH(MAX(W85:AB85),W85:AB85,0))</x:f>
        <x:v>CAQ</x:v>
      </x:c>
      <x:c r="AQ85" s="99" t="str">
        <x:f>INDEX({"CAQ","PLQ","QS","PQ","PCQ","Autre"},MATCH(MAX(AC85:AH85),AC85:AH85,0))</x:f>
        <x:v>CAQ</x:v>
      </x:c>
      <x:c r="AR85" s="99" t="str">
        <x:f>INDEX({"CAQ","PLQ","QS","PQ","PCQ","Autre"},MATCH(MAX(AI85:AN85),AI85:AN85,0))</x:f>
        <x:v>CAQ</x:v>
      </x:c>
      <x:c r="AS85" s="100" t="n">
        <x:f>(MAX(K85:P85)-LARGE(K85:P85,2))*100</x:f>
        <x:v>34.962112334973824</x:v>
      </x:c>
      <x:c r="AT85" s="101" t="str">
        <x:f>IF(AS85&lt;5,"Oui","Non")</x:f>
        <x:v>Non</x:v>
      </x:c>
      <x:c r="AU85" s="102" t="n">
        <x:v>-2.786</x:v>
      </x:c>
      <x:c r="AV85" s="102" t="n">
        <x:v>-3.691</x:v>
      </x:c>
      <x:c r="AW85" s="102" t="n">
        <x:v>2.912</x:v>
      </x:c>
      <x:c r="AX85" s="102" t="n">
        <x:v>0.781</x:v>
      </x:c>
      <x:c r="AY85" s="96" t="n">
        <x:v>2142</x:v>
      </x:c>
      <x:c r="AZ85" s="96" t="n">
        <x:v>16843</x:v>
      </x:c>
      <x:c r="BA85" s="96" t="n">
        <x:v>3166</x:v>
      </x:c>
      <x:c r="BB85" s="96" t="n">
        <x:v>1460</x:v>
      </x:c>
      <x:c r="BC85" s="96" t="n">
        <x:v>3131</x:v>
      </x:c>
      <x:c r="BD85" s="97" t="e">
        <x:f>AY85*INDEX(Régions!$AQ$2:$AQ$6,MATCH($B85,Régions!$A$2:$A$6,0))</x:f>
        <x:v>#NAME?</x:v>
      </x:c>
      <x:c r="BE85" s="97" t="e">
        <x:f>AZ85*INDEX(Régions!$AR$2:$AR$6,MATCH($B85,Régions!$A$2:$A$6,0))</x:f>
        <x:v>#NAME?</x:v>
      </x:c>
      <x:c r="BF85" s="97" t="e">
        <x:f>BA85*INDEX(Régions!$AS$2:$AS$6,MATCH($B85,Régions!$A$2:$A$6,0))</x:f>
        <x:v>#NAME?</x:v>
      </x:c>
      <x:c r="BG85" s="97" t="e">
        <x:f>BB85*INDEX(Régions!$AT$2:$AT$6,MATCH($B85,Régions!$A$2:$A$6,0))</x:f>
        <x:v>#NAME?</x:v>
      </x:c>
      <x:c r="BH85" s="97" t="e">
        <x:f>U85</x:f>
        <x:v>#NAME?</x:v>
      </x:c>
      <x:c r="BI85" s="97" t="e">
        <x:f>BC85*INDEX(Régions!$AU$2:$AU$6,MATCH($B85,Régions!$A$2:$A$6,0))</x:f>
        <x:v>#NAME?</x:v>
      </x:c>
      <x:c r="BJ85" s="97" t="str">
        <x:f>INDEX({"CAQ","PLQ","QS","PQ","PCQ","Autre"},MATCH(MAX(BD85:BI85),BD85:BI85,0))</x:f>
        <x:v>CAQ</x:v>
      </x:c>
    </x:row>
    <x:row r="86" s="60" customFormat="1" ht="15" customHeight="1">
      <x:c r="A86" s="94" t="inlineStr">
        <x:is>
          <x:t xml:space="preserve">Orford</x:t>
        </x:is>
      </x:c>
      <x:c r="B86" s="94" t="inlineStr">
        <x:is>
          <x:t xml:space="preserve">Reste du Québec</x:t>
        </x:is>
      </x:c>
      <x:c r="C86" s="95" t="inlineStr">
        <x:is>
          <x:t xml:space="preserve">CAQ</x:t>
        </x:is>
      </x:c>
      <x:c r="D86" s="96" t="n">
        <x:v>13642</x:v>
      </x:c>
      <x:c r="E86" s="96" t="n">
        <x:v>4763</x:v>
      </x:c>
      <x:c r="F86" s="96" t="n">
        <x:v>5132</x:v>
      </x:c>
      <x:c r="G86" s="96" t="n">
        <x:v>4323</x:v>
      </x:c>
      <x:c r="H86" s="96" t="n">
        <x:v>3798</x:v>
      </x:c>
      <x:c r="I86" s="96" t="n">
        <x:v>106</x:v>
      </x:c>
      <x:c r="J86" s="97" t="n">
        <x:f>SUM(D86:I86)</x:f>
        <x:v>31764</x:v>
      </x:c>
      <x:c r="K86" s="98" t="n">
        <x:f>IFERROR(D86/J86,0)</x:f>
        <x:v>0.42947991436846744</x:v>
      </x:c>
      <x:c r="L86" s="98" t="n">
        <x:f>IFERROR(E86/J86,0)</x:f>
        <x:v>0.1499496285102632</x:v>
      </x:c>
      <x:c r="M86" s="98" t="n">
        <x:f>IFERROR(F86/J86,0)</x:f>
        <x:v>0.16156655333081477</x:v>
      </x:c>
      <x:c r="N86" s="98" t="n">
        <x:f>IFERROR(G86/J86,0)</x:f>
        <x:v>0.13609746883264073</x:v>
      </x:c>
      <x:c r="O86" s="98" t="n">
        <x:f>IFERROR(H86/J86,0)</x:f>
        <x:v>0.11956932376275028</x:v>
      </x:c>
      <x:c r="P86" s="98" t="n">
        <x:f>IFERROR(I86/J86,0)</x:f>
        <x:v>0.003337111195063594</x:v>
      </x:c>
      <x:c r="Q86" s="97" t="e">
        <x:f>D86*INDEX(Régions!$T$2:$T$6,MATCH($B86,Régions!$A$2:$A$6,0))</x:f>
        <x:v>#NAME?</x:v>
      </x:c>
      <x:c r="R86" s="97" t="e">
        <x:f>E86*INDEX(Régions!$U$2:$U$6,MATCH($B86,Régions!$A$2:$A$6,0))</x:f>
        <x:v>#NAME?</x:v>
      </x:c>
      <x:c r="S86" s="97" t="e">
        <x:f>F86*INDEX(Régions!$V$2:$V$6,MATCH($B86,Régions!$A$2:$A$6,0))</x:f>
        <x:v>#NAME?</x:v>
      </x:c>
      <x:c r="T86" s="97" t="e">
        <x:f>G86*INDEX(Régions!$W$2:$W$6,MATCH($B86,Régions!$A$2:$A$6,0))</x:f>
        <x:v>#NAME?</x:v>
      </x:c>
      <x:c r="U86" s="97" t="e">
        <x:f>H86*INDEX(Régions!$X$2:$X$6,MATCH($B86,Régions!$A$2:$A$6,0))</x:f>
        <x:v>#NAME?</x:v>
      </x:c>
      <x:c r="V86" s="97" t="e">
        <x:f>I86*INDEX(Régions!$Y$2:$Y$6,MATCH($B86,Régions!$A$2:$A$6,0))</x:f>
        <x:v>#NAME?</x:v>
      </x:c>
      <x:c r="W86" s="97" t="e">
        <x:f>Q86+(AU86/100)*J86*Régions!$O$2</x:f>
        <x:v>#NAME?</x:v>
      </x:c>
      <x:c r="X86" s="97" t="e">
        <x:f>R86+(AV86/100)*J86*Régions!$O$2</x:f>
        <x:v>#NAME?</x:v>
      </x:c>
      <x:c r="Y86" s="97" t="e">
        <x:f>S86+(AW86/100)*J86*Régions!$O$2</x:f>
        <x:v>#NAME?</x:v>
      </x:c>
      <x:c r="Z86" s="97" t="e">
        <x:f>T86+(AX86/100)*J86*Régions!$O$2</x:f>
        <x:v>#NAME?</x:v>
      </x:c>
      <x:c r="AA86" s="97" t="e">
        <x:f>U86</x:f>
        <x:v>#NAME?</x:v>
      </x:c>
      <x:c r="AB86" s="97" t="e">
        <x:f>V86</x:f>
        <x:v>#NAME?</x:v>
      </x:c>
      <x:c r="AC86" s="97" t="e">
        <x:f>D86*INDEX(Régions!$Z$2:$Z$6,MATCH($B86,Régions!$A$2:$A$6,0))</x:f>
        <x:v>#NAME?</x:v>
      </x:c>
      <x:c r="AD86" s="97" t="e">
        <x:f>E86*INDEX(Régions!$AA$2:$AA$6,MATCH($B86,Régions!$A$2:$A$6,0))</x:f>
        <x:v>#NAME?</x:v>
      </x:c>
      <x:c r="AE86" s="97" t="e">
        <x:f>F86*INDEX(Régions!$AB$2:$AB$6,MATCH($B86,Régions!$A$2:$A$6,0))</x:f>
        <x:v>#NAME?</x:v>
      </x:c>
      <x:c r="AF86" s="97" t="e">
        <x:f>G86*INDEX(Régions!$AC$2:$AC$6,MATCH($B86,Régions!$A$2:$A$6,0))</x:f>
        <x:v>#NAME?</x:v>
      </x:c>
      <x:c r="AG86" s="97" t="e">
        <x:f>H86*INDEX(Régions!$AD$2:$AD$6,MATCH($B86,Régions!$A$2:$A$6,0))</x:f>
        <x:v>#NAME?</x:v>
      </x:c>
      <x:c r="AH86" s="97" t="e">
        <x:f>I86*INDEX(Régions!$AE$2:$AE$6,MATCH($B86,Régions!$A$2:$A$6,0))</x:f>
        <x:v>#NAME?</x:v>
      </x:c>
      <x:c r="AI86" s="97" t="e">
        <x:f>D86*INDEX(Régions!$AF$2:$AF$6,MATCH($B86,Régions!$A$2:$A$6,0))</x:f>
        <x:v>#NAME?</x:v>
      </x:c>
      <x:c r="AJ86" s="97" t="e">
        <x:f>E86*INDEX(Régions!$AG$2:$AG$6,MATCH($B86,Régions!$A$2:$A$6,0))</x:f>
        <x:v>#NAME?</x:v>
      </x:c>
      <x:c r="AK86" s="97" t="e">
        <x:f>F86*INDEX(Régions!$AH$2:$AH$6,MATCH($B86,Régions!$A$2:$A$6,0))</x:f>
        <x:v>#NAME?</x:v>
      </x:c>
      <x:c r="AL86" s="97" t="e">
        <x:f>G86*INDEX(Régions!$AI$2:$AI$6,MATCH($B86,Régions!$A$2:$A$6,0))</x:f>
        <x:v>#NAME?</x:v>
      </x:c>
      <x:c r="AM86" s="97" t="e">
        <x:f>H86*INDEX(Régions!$AJ$2:$AJ$6,MATCH($B86,Régions!$A$2:$A$6,0))</x:f>
        <x:v>#NAME?</x:v>
      </x:c>
      <x:c r="AN86" s="97" t="e">
        <x:f>I86*INDEX(Régions!$AK$2:$AK$6,MATCH($B86,Régions!$A$2:$A$6,0))</x:f>
        <x:v>#NAME?</x:v>
      </x:c>
      <x:c r="AO86" s="99" t="str">
        <x:f>INDEX({"CAQ","PLQ","QS","PQ","PCQ","Autre"},MATCH(MAX(Q86:V86),Q86:V86,0))</x:f>
        <x:v>CAQ</x:v>
      </x:c>
      <x:c r="AP86" s="99" t="str">
        <x:f>INDEX({"CAQ","PLQ","QS","PQ","PCQ","Autre"},MATCH(MAX(W86:AB86),W86:AB86,0))</x:f>
        <x:v>CAQ</x:v>
      </x:c>
      <x:c r="AQ86" s="99" t="str">
        <x:f>INDEX({"CAQ","PLQ","QS","PQ","PCQ","Autre"},MATCH(MAX(AC86:AH86),AC86:AH86,0))</x:f>
        <x:v>CAQ</x:v>
      </x:c>
      <x:c r="AR86" s="99" t="str">
        <x:f>INDEX({"CAQ","PLQ","QS","PQ","PCQ","Autre"},MATCH(MAX(AI86:AN86),AI86:AN86,0))</x:f>
        <x:v>CAQ</x:v>
      </x:c>
      <x:c r="AS86" s="100" t="n">
        <x:f>(MAX(K86:P86)-LARGE(K86:P86,2))*100</x:f>
        <x:v>26.791336103765268</x:v>
      </x:c>
      <x:c r="AT86" s="101" t="str">
        <x:f>IF(AS86&lt;5,"Oui","Non")</x:f>
        <x:v>Non</x:v>
      </x:c>
      <x:c r="AU86" s="102" t="n">
        <x:v>-3.055</x:v>
      </x:c>
      <x:c r="AV86" s="102" t="n">
        <x:v>2.793</x:v>
      </x:c>
      <x:c r="AW86" s="102" t="n">
        <x:v>-0.727</x:v>
      </x:c>
      <x:c r="AX86" s="102" t="n">
        <x:v>5.217</x:v>
      </x:c>
      <x:c r="AY86" s="96" t="n">
        <x:v>11736</x:v>
      </x:c>
      <x:c r="AZ86" s="96" t="n">
        <x:v>7311</x:v>
      </x:c>
      <x:c r="BA86" s="96" t="n">
        <x:v>5236</x:v>
      </x:c>
      <x:c r="BB86" s="96" t="n">
        <x:v>3626</x:v>
      </x:c>
      <x:c r="BC86" s="96" t="n">
        <x:v>1391</x:v>
      </x:c>
      <x:c r="BD86" s="97" t="e">
        <x:f>AY86*INDEX(Régions!$AQ$2:$AQ$6,MATCH($B86,Régions!$A$2:$A$6,0))</x:f>
        <x:v>#NAME?</x:v>
      </x:c>
      <x:c r="BE86" s="97" t="e">
        <x:f>AZ86*INDEX(Régions!$AR$2:$AR$6,MATCH($B86,Régions!$A$2:$A$6,0))</x:f>
        <x:v>#NAME?</x:v>
      </x:c>
      <x:c r="BF86" s="97" t="e">
        <x:f>BA86*INDEX(Régions!$AS$2:$AS$6,MATCH($B86,Régions!$A$2:$A$6,0))</x:f>
        <x:v>#NAME?</x:v>
      </x:c>
      <x:c r="BG86" s="97" t="e">
        <x:f>BB86*INDEX(Régions!$AT$2:$AT$6,MATCH($B86,Régions!$A$2:$A$6,0))</x:f>
        <x:v>#NAME?</x:v>
      </x:c>
      <x:c r="BH86" s="97" t="e">
        <x:f>U86</x:f>
        <x:v>#NAME?</x:v>
      </x:c>
      <x:c r="BI86" s="97" t="e">
        <x:f>BC86*INDEX(Régions!$AU$2:$AU$6,MATCH($B86,Régions!$A$2:$A$6,0))</x:f>
        <x:v>#NAME?</x:v>
      </x:c>
      <x:c r="BJ86" s="97" t="str">
        <x:f>INDEX({"CAQ","PLQ","QS","PQ","PCQ","Autre"},MATCH(MAX(BD86:BI86),BD86:BI86,0))</x:f>
        <x:v>CAQ</x:v>
      </x:c>
    </x:row>
    <x:row r="87" s="60" customFormat="1" ht="15" customHeight="1">
      <x:c r="A87" s="94" t="inlineStr">
        <x:is>
          <x:t xml:space="preserve">Papineau</x:t>
        </x:is>
      </x:c>
      <x:c r="B87" s="94" t="inlineStr">
        <x:is>
          <x:t xml:space="preserve">Banlieue de Montréal</x:t>
        </x:is>
      </x:c>
      <x:c r="C87" s="95" t="inlineStr">
        <x:is>
          <x:t xml:space="preserve">CAQ</x:t>
        </x:is>
      </x:c>
      <x:c r="D87" s="96" t="n">
        <x:v>18164</x:v>
      </x:c>
      <x:c r="E87" s="96" t="n">
        <x:v>2892</x:v>
      </x:c>
      <x:c r="F87" s="96" t="n">
        <x:v>4740</x:v>
      </x:c>
      <x:c r="G87" s="96" t="n">
        <x:v>3519</x:v>
      </x:c>
      <x:c r="H87" s="96" t="n">
        <x:v>4561</x:v>
      </x:c>
      <x:c r="I87" s="96" t="n">
        <x:v>508</x:v>
      </x:c>
      <x:c r="J87" s="97" t="n">
        <x:f>SUM(D87:I87)</x:f>
        <x:v>34384</x:v>
      </x:c>
      <x:c r="K87" s="98" t="n">
        <x:f>IFERROR(D87/J87,0)</x:f>
        <x:v>0.5282689623080502</x:v>
      </x:c>
      <x:c r="L87" s="98" t="n">
        <x:f>IFERROR(E87/J87,0)</x:f>
        <x:v>0.0841088878548162</x:v>
      </x:c>
      <x:c r="M87" s="98" t="n">
        <x:f>IFERROR(F87/J87,0)</x:f>
        <x:v>0.13785481619357842</x:v>
      </x:c>
      <x:c r="N87" s="98" t="n">
        <x:f>IFERROR(G87/J87,0)</x:f>
        <x:v>0.10234411354118195</x:v>
      </x:c>
      <x:c r="O87" s="98" t="n">
        <x:f>IFERROR(H87/J87,0)</x:f>
        <x:v>0.13264890646812472</x:v>
      </x:c>
      <x:c r="P87" s="98" t="n">
        <x:f>IFERROR(I87/J87,0)</x:f>
        <x:v>0.014774313634248488</x:v>
      </x:c>
      <x:c r="Q87" s="97" t="e">
        <x:f>D87*INDEX(Régions!$T$2:$T$6,MATCH($B87,Régions!$A$2:$A$6,0))</x:f>
        <x:v>#NAME?</x:v>
      </x:c>
      <x:c r="R87" s="97" t="e">
        <x:f>E87*INDEX(Régions!$U$2:$U$6,MATCH($B87,Régions!$A$2:$A$6,0))</x:f>
        <x:v>#NAME?</x:v>
      </x:c>
      <x:c r="S87" s="97" t="e">
        <x:f>F87*INDEX(Régions!$V$2:$V$6,MATCH($B87,Régions!$A$2:$A$6,0))</x:f>
        <x:v>#NAME?</x:v>
      </x:c>
      <x:c r="T87" s="97" t="e">
        <x:f>G87*INDEX(Régions!$W$2:$W$6,MATCH($B87,Régions!$A$2:$A$6,0))</x:f>
        <x:v>#NAME?</x:v>
      </x:c>
      <x:c r="U87" s="97" t="e">
        <x:f>H87*INDEX(Régions!$X$2:$X$6,MATCH($B87,Régions!$A$2:$A$6,0))</x:f>
        <x:v>#NAME?</x:v>
      </x:c>
      <x:c r="V87" s="97" t="e">
        <x:f>I87*INDEX(Régions!$Y$2:$Y$6,MATCH($B87,Régions!$A$2:$A$6,0))</x:f>
        <x:v>#NAME?</x:v>
      </x:c>
      <x:c r="W87" s="97" t="e">
        <x:f>Q87+(AU87/100)*J87*Régions!$O$2</x:f>
        <x:v>#NAME?</x:v>
      </x:c>
      <x:c r="X87" s="97" t="e">
        <x:f>R87+(AV87/100)*J87*Régions!$O$2</x:f>
        <x:v>#NAME?</x:v>
      </x:c>
      <x:c r="Y87" s="97" t="e">
        <x:f>S87+(AW87/100)*J87*Régions!$O$2</x:f>
        <x:v>#NAME?</x:v>
      </x:c>
      <x:c r="Z87" s="97" t="e">
        <x:f>T87+(AX87/100)*J87*Régions!$O$2</x:f>
        <x:v>#NAME?</x:v>
      </x:c>
      <x:c r="AA87" s="97" t="e">
        <x:f>U87</x:f>
        <x:v>#NAME?</x:v>
      </x:c>
      <x:c r="AB87" s="97" t="e">
        <x:f>V87</x:f>
        <x:v>#NAME?</x:v>
      </x:c>
      <x:c r="AC87" s="97" t="e">
        <x:f>D87*INDEX(Régions!$Z$2:$Z$6,MATCH($B87,Régions!$A$2:$A$6,0))</x:f>
        <x:v>#NAME?</x:v>
      </x:c>
      <x:c r="AD87" s="97" t="e">
        <x:f>E87*INDEX(Régions!$AA$2:$AA$6,MATCH($B87,Régions!$A$2:$A$6,0))</x:f>
        <x:v>#NAME?</x:v>
      </x:c>
      <x:c r="AE87" s="97" t="e">
        <x:f>F87*INDEX(Régions!$AB$2:$AB$6,MATCH($B87,Régions!$A$2:$A$6,0))</x:f>
        <x:v>#NAME?</x:v>
      </x:c>
      <x:c r="AF87" s="97" t="e">
        <x:f>G87*INDEX(Régions!$AC$2:$AC$6,MATCH($B87,Régions!$A$2:$A$6,0))</x:f>
        <x:v>#NAME?</x:v>
      </x:c>
      <x:c r="AG87" s="97" t="e">
        <x:f>H87*INDEX(Régions!$AD$2:$AD$6,MATCH($B87,Régions!$A$2:$A$6,0))</x:f>
        <x:v>#NAME?</x:v>
      </x:c>
      <x:c r="AH87" s="97" t="e">
        <x:f>I87*INDEX(Régions!$AE$2:$AE$6,MATCH($B87,Régions!$A$2:$A$6,0))</x:f>
        <x:v>#NAME?</x:v>
      </x:c>
      <x:c r="AI87" s="97" t="e">
        <x:f>D87*INDEX(Régions!$AF$2:$AF$6,MATCH($B87,Régions!$A$2:$A$6,0))</x:f>
        <x:v>#NAME?</x:v>
      </x:c>
      <x:c r="AJ87" s="97" t="e">
        <x:f>E87*INDEX(Régions!$AG$2:$AG$6,MATCH($B87,Régions!$A$2:$A$6,0))</x:f>
        <x:v>#NAME?</x:v>
      </x:c>
      <x:c r="AK87" s="97" t="e">
        <x:f>F87*INDEX(Régions!$AH$2:$AH$6,MATCH($B87,Régions!$A$2:$A$6,0))</x:f>
        <x:v>#NAME?</x:v>
      </x:c>
      <x:c r="AL87" s="97" t="e">
        <x:f>G87*INDEX(Régions!$AI$2:$AI$6,MATCH($B87,Régions!$A$2:$A$6,0))</x:f>
        <x:v>#NAME?</x:v>
      </x:c>
      <x:c r="AM87" s="97" t="e">
        <x:f>H87*INDEX(Régions!$AJ$2:$AJ$6,MATCH($B87,Régions!$A$2:$A$6,0))</x:f>
        <x:v>#NAME?</x:v>
      </x:c>
      <x:c r="AN87" s="97" t="e">
        <x:f>I87*INDEX(Régions!$AK$2:$AK$6,MATCH($B87,Régions!$A$2:$A$6,0))</x:f>
        <x:v>#NAME?</x:v>
      </x:c>
      <x:c r="AO87" s="99" t="str">
        <x:f>INDEX({"CAQ","PLQ","QS","PQ","PCQ","Autre"},MATCH(MAX(Q87:V87),Q87:V87,0))</x:f>
        <x:v>CAQ</x:v>
      </x:c>
      <x:c r="AP87" s="99" t="str">
        <x:f>INDEX({"CAQ","PLQ","QS","PQ","PCQ","Autre"},MATCH(MAX(W87:AB87),W87:AB87,0))</x:f>
        <x:v>CAQ</x:v>
      </x:c>
      <x:c r="AQ87" s="99" t="str">
        <x:f>INDEX({"CAQ","PLQ","QS","PQ","PCQ","Autre"},MATCH(MAX(AC87:AH87),AC87:AH87,0))</x:f>
        <x:v>CAQ</x:v>
      </x:c>
      <x:c r="AR87" s="99" t="str">
        <x:f>INDEX({"CAQ","PLQ","QS","PQ","PCQ","Autre"},MATCH(MAX(AI87:AN87),AI87:AN87,0))</x:f>
        <x:v>CAQ</x:v>
      </x:c>
      <x:c r="AS87" s="100" t="n">
        <x:f>(MAX(K87:P87)-LARGE(K87:P87,2))*100</x:f>
        <x:v>39.04141461144718</x:v>
      </x:c>
      <x:c r="AT87" s="101" t="str">
        <x:f>IF(AS87&lt;5,"Oui","Non")</x:f>
        <x:v>Non</x:v>
      </x:c>
      <x:c r="AU87" s="102" t="n">
        <x:v>2.767</x:v>
      </x:c>
      <x:c r="AV87" s="102" t="n">
        <x:v>-7.795</x:v>
      </x:c>
      <x:c r="AW87" s="102" t="n">
        <x:v>-0.546</x:v>
      </x:c>
      <x:c r="AX87" s="102" t="n">
        <x:v>2.651</x:v>
      </x:c>
      <x:c r="AY87" s="96" t="n">
        <x:v>15580</x:v>
      </x:c>
      <x:c r="AZ87" s="96" t="n">
        <x:v>7671</x:v>
      </x:c>
      <x:c r="BA87" s="96" t="n">
        <x:v>4988</x:v>
      </x:c>
      <x:c r="BB87" s="96" t="n">
        <x:v>3514</x:v>
      </x:c>
      <x:c r="BC87" s="96" t="n">
        <x:v>1444</x:v>
      </x:c>
      <x:c r="BD87" s="97" t="e">
        <x:f>AY87*INDEX(Régions!$AQ$2:$AQ$6,MATCH($B87,Régions!$A$2:$A$6,0))</x:f>
        <x:v>#NAME?</x:v>
      </x:c>
      <x:c r="BE87" s="97" t="e">
        <x:f>AZ87*INDEX(Régions!$AR$2:$AR$6,MATCH($B87,Régions!$A$2:$A$6,0))</x:f>
        <x:v>#NAME?</x:v>
      </x:c>
      <x:c r="BF87" s="97" t="e">
        <x:f>BA87*INDEX(Régions!$AS$2:$AS$6,MATCH($B87,Régions!$A$2:$A$6,0))</x:f>
        <x:v>#NAME?</x:v>
      </x:c>
      <x:c r="BG87" s="97" t="e">
        <x:f>BB87*INDEX(Régions!$AT$2:$AT$6,MATCH($B87,Régions!$A$2:$A$6,0))</x:f>
        <x:v>#NAME?</x:v>
      </x:c>
      <x:c r="BH87" s="97" t="e">
        <x:f>U87</x:f>
        <x:v>#NAME?</x:v>
      </x:c>
      <x:c r="BI87" s="97" t="e">
        <x:f>BC87*INDEX(Régions!$AU$2:$AU$6,MATCH($B87,Régions!$A$2:$A$6,0))</x:f>
        <x:v>#NAME?</x:v>
      </x:c>
      <x:c r="BJ87" s="97" t="str">
        <x:f>INDEX({"CAQ","PLQ","QS","PQ","PCQ","Autre"},MATCH(MAX(BD87:BI87),BD87:BI87,0))</x:f>
        <x:v>CAQ</x:v>
      </x:c>
    </x:row>
    <x:row r="88" s="60" customFormat="1" ht="15" customHeight="1">
      <x:c r="A88" s="94" t="inlineStr">
        <x:is>
          <x:t xml:space="preserve">Pierre-Laporte</x:t>
        </x:is>
      </x:c>
      <x:c r="B88" s="94" t="inlineStr">
        <x:is>
          <x:t xml:space="preserve">Banlieue de Montréal</x:t>
        </x:is>
      </x:c>
      <x:c r="C88" s="95" t="inlineStr">
        <x:is>
          <x:t xml:space="preserve">CAQ</x:t>
        </x:is>
      </x:c>
      <x:c r="D88" s="96" t="n">
        <x:v>10361</x:v>
      </x:c>
      <x:c r="E88" s="96" t="n">
        <x:v>9707</x:v>
      </x:c>
      <x:c r="F88" s="96" t="n">
        <x:v>5968</x:v>
      </x:c>
      <x:c r="G88" s="96" t="n">
        <x:v>4108</x:v>
      </x:c>
      <x:c r="H88" s="96" t="n">
        <x:v>2933</x:v>
      </x:c>
      <x:c r="I88" s="96" t="n">
        <x:v>610</x:v>
      </x:c>
      <x:c r="J88" s="97" t="n">
        <x:f>SUM(D88:I88)</x:f>
        <x:v>33687</x:v>
      </x:c>
      <x:c r="K88" s="98" t="n">
        <x:f>IFERROR(D88/J88,0)</x:f>
        <x:v>0.30756671713123757</x:v>
      </x:c>
      <x:c r="L88" s="98" t="n">
        <x:f>IFERROR(E88/J88,0)</x:f>
        <x:v>0.2881526998545433</x:v>
      </x:c>
      <x:c r="M88" s="98" t="n">
        <x:f>IFERROR(F88/J88,0)</x:f>
        <x:v>0.17716032891026212</x:v>
      </x:c>
      <x:c r="N88" s="98" t="n">
        <x:f>IFERROR(G88/J88,0)</x:f>
        <x:v>0.12194615133434263</x:v>
      </x:c>
      <x:c r="O88" s="98" t="n">
        <x:f>IFERROR(H88/J88,0)</x:f>
        <x:v>0.08706622732804939</x:v>
      </x:c>
      <x:c r="P88" s="98" t="n">
        <x:f>IFERROR(I88/J88,0)</x:f>
        <x:v>0.018107875441564995</x:v>
      </x:c>
      <x:c r="Q88" s="97" t="e">
        <x:f>D88*INDEX(Régions!$T$2:$T$6,MATCH($B88,Régions!$A$2:$A$6,0))</x:f>
        <x:v>#NAME?</x:v>
      </x:c>
      <x:c r="R88" s="97" t="e">
        <x:f>E88*INDEX(Régions!$U$2:$U$6,MATCH($B88,Régions!$A$2:$A$6,0))</x:f>
        <x:v>#NAME?</x:v>
      </x:c>
      <x:c r="S88" s="97" t="e">
        <x:f>F88*INDEX(Régions!$V$2:$V$6,MATCH($B88,Régions!$A$2:$A$6,0))</x:f>
        <x:v>#NAME?</x:v>
      </x:c>
      <x:c r="T88" s="97" t="e">
        <x:f>G88*INDEX(Régions!$W$2:$W$6,MATCH($B88,Régions!$A$2:$A$6,0))</x:f>
        <x:v>#NAME?</x:v>
      </x:c>
      <x:c r="U88" s="97" t="e">
        <x:f>H88*INDEX(Régions!$X$2:$X$6,MATCH($B88,Régions!$A$2:$A$6,0))</x:f>
        <x:v>#NAME?</x:v>
      </x:c>
      <x:c r="V88" s="97" t="e">
        <x:f>I88*INDEX(Régions!$Y$2:$Y$6,MATCH($B88,Régions!$A$2:$A$6,0))</x:f>
        <x:v>#NAME?</x:v>
      </x:c>
      <x:c r="W88" s="97" t="e">
        <x:f>Q88+(AU88/100)*J88*Régions!$O$2</x:f>
        <x:v>#NAME?</x:v>
      </x:c>
      <x:c r="X88" s="97" t="e">
        <x:f>R88+(AV88/100)*J88*Régions!$O$2</x:f>
        <x:v>#NAME?</x:v>
      </x:c>
      <x:c r="Y88" s="97" t="e">
        <x:f>S88+(AW88/100)*J88*Régions!$O$2</x:f>
        <x:v>#NAME?</x:v>
      </x:c>
      <x:c r="Z88" s="97" t="e">
        <x:f>T88+(AX88/100)*J88*Régions!$O$2</x:f>
        <x:v>#NAME?</x:v>
      </x:c>
      <x:c r="AA88" s="97" t="e">
        <x:f>U88</x:f>
        <x:v>#NAME?</x:v>
      </x:c>
      <x:c r="AB88" s="97" t="e">
        <x:f>V88</x:f>
        <x:v>#NAME?</x:v>
      </x:c>
      <x:c r="AC88" s="97" t="e">
        <x:f>D88*INDEX(Régions!$Z$2:$Z$6,MATCH($B88,Régions!$A$2:$A$6,0))</x:f>
        <x:v>#NAME?</x:v>
      </x:c>
      <x:c r="AD88" s="97" t="e">
        <x:f>E88*INDEX(Régions!$AA$2:$AA$6,MATCH($B88,Régions!$A$2:$A$6,0))</x:f>
        <x:v>#NAME?</x:v>
      </x:c>
      <x:c r="AE88" s="97" t="e">
        <x:f>F88*INDEX(Régions!$AB$2:$AB$6,MATCH($B88,Régions!$A$2:$A$6,0))</x:f>
        <x:v>#NAME?</x:v>
      </x:c>
      <x:c r="AF88" s="97" t="e">
        <x:f>G88*INDEX(Régions!$AC$2:$AC$6,MATCH($B88,Régions!$A$2:$A$6,0))</x:f>
        <x:v>#NAME?</x:v>
      </x:c>
      <x:c r="AG88" s="97" t="e">
        <x:f>H88*INDEX(Régions!$AD$2:$AD$6,MATCH($B88,Régions!$A$2:$A$6,0))</x:f>
        <x:v>#NAME?</x:v>
      </x:c>
      <x:c r="AH88" s="97" t="e">
        <x:f>I88*INDEX(Régions!$AE$2:$AE$6,MATCH($B88,Régions!$A$2:$A$6,0))</x:f>
        <x:v>#NAME?</x:v>
      </x:c>
      <x:c r="AI88" s="97" t="e">
        <x:f>D88*INDEX(Régions!$AF$2:$AF$6,MATCH($B88,Régions!$A$2:$A$6,0))</x:f>
        <x:v>#NAME?</x:v>
      </x:c>
      <x:c r="AJ88" s="97" t="e">
        <x:f>E88*INDEX(Régions!$AG$2:$AG$6,MATCH($B88,Régions!$A$2:$A$6,0))</x:f>
        <x:v>#NAME?</x:v>
      </x:c>
      <x:c r="AK88" s="97" t="e">
        <x:f>F88*INDEX(Régions!$AH$2:$AH$6,MATCH($B88,Régions!$A$2:$A$6,0))</x:f>
        <x:v>#NAME?</x:v>
      </x:c>
      <x:c r="AL88" s="97" t="e">
        <x:f>G88*INDEX(Régions!$AI$2:$AI$6,MATCH($B88,Régions!$A$2:$A$6,0))</x:f>
        <x:v>#NAME?</x:v>
      </x:c>
      <x:c r="AM88" s="97" t="e">
        <x:f>H88*INDEX(Régions!$AJ$2:$AJ$6,MATCH($B88,Régions!$A$2:$A$6,0))</x:f>
        <x:v>#NAME?</x:v>
      </x:c>
      <x:c r="AN88" s="97" t="e">
        <x:f>I88*INDEX(Régions!$AK$2:$AK$6,MATCH($B88,Régions!$A$2:$A$6,0))</x:f>
        <x:v>#NAME?</x:v>
      </x:c>
      <x:c r="AO88" s="99" t="str">
        <x:f>INDEX({"CAQ","PLQ","QS","PQ","PCQ","Autre"},MATCH(MAX(Q88:V88),Q88:V88,0))</x:f>
        <x:v>CAQ</x:v>
      </x:c>
      <x:c r="AP88" s="99" t="str">
        <x:f>INDEX({"CAQ","PLQ","QS","PQ","PCQ","Autre"},MATCH(MAX(W88:AB88),W88:AB88,0))</x:f>
        <x:v>CAQ</x:v>
      </x:c>
      <x:c r="AQ88" s="99" t="str">
        <x:f>INDEX({"CAQ","PLQ","QS","PQ","PCQ","Autre"},MATCH(MAX(AC88:AH88),AC88:AH88,0))</x:f>
        <x:v>CAQ</x:v>
      </x:c>
      <x:c r="AR88" s="99" t="str">
        <x:f>INDEX({"CAQ","PLQ","QS","PQ","PCQ","Autre"},MATCH(MAX(AI88:AN88),AI88:AN88,0))</x:f>
        <x:v>CAQ</x:v>
      </x:c>
      <x:c r="AS88" s="100" t="n">
        <x:f>(MAX(K88:P88)-LARGE(K88:P88,2))*100</x:f>
        <x:v>1.9414017276694284</x:v>
      </x:c>
      <x:c r="AT88" s="101" t="str">
        <x:f>IF(AS88&lt;5,"Oui","Non")</x:f>
        <x:v>Oui</x:v>
      </x:c>
      <x:c r="AU88" s="102" t="n">
        <x:v>-0.929</x:v>
      </x:c>
      <x:c r="AV88" s="102" t="n">
        <x:v>0.109</x:v>
      </x:c>
      <x:c r="AW88" s="102" t="n">
        <x:v>1.314</x:v>
      </x:c>
      <x:c r="AX88" s="102" t="n">
        <x:v>1.967</x:v>
      </x:c>
      <x:c r="AY88" s="96" t="n">
        <x:v>10037</x:v>
      </x:c>
      <x:c r="AZ88" s="96" t="n">
        <x:v>12515</x:v>
      </x:c>
      <x:c r="BA88" s="96" t="n">
        <x:v>6009</x:v>
      </x:c>
      <x:c r="BB88" s="96" t="n">
        <x:v>4650</x:v>
      </x:c>
      <x:c r="BC88" s="96" t="n">
        <x:v>1935</x:v>
      </x:c>
      <x:c r="BD88" s="97" t="e">
        <x:f>AY88*INDEX(Régions!$AQ$2:$AQ$6,MATCH($B88,Régions!$A$2:$A$6,0))</x:f>
        <x:v>#NAME?</x:v>
      </x:c>
      <x:c r="BE88" s="97" t="e">
        <x:f>AZ88*INDEX(Régions!$AR$2:$AR$6,MATCH($B88,Régions!$A$2:$A$6,0))</x:f>
        <x:v>#NAME?</x:v>
      </x:c>
      <x:c r="BF88" s="97" t="e">
        <x:f>BA88*INDEX(Régions!$AS$2:$AS$6,MATCH($B88,Régions!$A$2:$A$6,0))</x:f>
        <x:v>#NAME?</x:v>
      </x:c>
      <x:c r="BG88" s="97" t="e">
        <x:f>BB88*INDEX(Régions!$AT$2:$AT$6,MATCH($B88,Régions!$A$2:$A$6,0))</x:f>
        <x:v>#NAME?</x:v>
      </x:c>
      <x:c r="BH88" s="97" t="e">
        <x:f>U88</x:f>
        <x:v>#NAME?</x:v>
      </x:c>
      <x:c r="BI88" s="97" t="e">
        <x:f>BC88*INDEX(Régions!$AU$2:$AU$6,MATCH($B88,Régions!$A$2:$A$6,0))</x:f>
        <x:v>#NAME?</x:v>
      </x:c>
      <x:c r="BJ88" s="97" t="str">
        <x:f>INDEX({"CAQ","PLQ","QS","PQ","PCQ","Autre"},MATCH(MAX(BD88:BI88),BD88:BI88,0))</x:f>
        <x:v>CAQ</x:v>
      </x:c>
    </x:row>
    <x:row r="89" s="60" customFormat="1" ht="15" customHeight="1">
      <x:c r="A89" s="94" t="inlineStr">
        <x:is>
          <x:t xml:space="preserve">Pointe-aux-Trembles</x:t>
        </x:is>
      </x:c>
      <x:c r="B89" s="94" t="inlineStr">
        <x:is>
          <x:t xml:space="preserve">Île de Montréal</x:t>
        </x:is>
      </x:c>
      <x:c r="C89" s="95" t="inlineStr">
        <x:is>
          <x:t xml:space="preserve">CAQ</x:t>
        </x:is>
      </x:c>
      <x:c r="D89" s="96" t="n">
        <x:v>12156</x:v>
      </x:c>
      <x:c r="E89" s="96" t="n">
        <x:v>2750</x:v>
      </x:c>
      <x:c r="F89" s="96" t="n">
        <x:v>4084</x:v>
      </x:c>
      <x:c r="G89" s="96" t="n">
        <x:v>5265</x:v>
      </x:c>
      <x:c r="H89" s="96" t="n">
        <x:v>1804</x:v>
      </x:c>
      <x:c r="I89" s="96" t="n">
        <x:v>436</x:v>
      </x:c>
      <x:c r="J89" s="97" t="n">
        <x:f>SUM(D89:I89)</x:f>
        <x:v>26495</x:v>
      </x:c>
      <x:c r="K89" s="98" t="n">
        <x:f>IFERROR(D89/J89,0)</x:f>
        <x:v>0.45880354783921495</x:v>
      </x:c>
      <x:c r="L89" s="98" t="n">
        <x:f>IFERROR(E89/J89,0)</x:f>
        <x:v>0.10379316852236271</x:v>
      </x:c>
      <x:c r="M89" s="98" t="n">
        <x:f>IFERROR(F89/J89,0)</x:f>
        <x:v>0.15414229099830157</x:v>
      </x:c>
      <x:c r="N89" s="98" t="n">
        <x:f>IFERROR(G89/J89,0)</x:f>
        <x:v>0.19871673900735987</x:v>
      </x:c>
      <x:c r="O89" s="98" t="n">
        <x:f>IFERROR(H89/J89,0)</x:f>
        <x:v>0.06808831855066994</x:v>
      </x:c>
      <x:c r="P89" s="98" t="n">
        <x:f>IFERROR(I89/J89,0)</x:f>
        <x:v>0.01645593508209096</x:v>
      </x:c>
      <x:c r="Q89" s="97" t="e">
        <x:f>D89*INDEX(Régions!$T$2:$T$6,MATCH($B89,Régions!$A$2:$A$6,0))</x:f>
        <x:v>#NAME?</x:v>
      </x:c>
      <x:c r="R89" s="97" t="e">
        <x:f>E89*INDEX(Régions!$U$2:$U$6,MATCH($B89,Régions!$A$2:$A$6,0))</x:f>
        <x:v>#NAME?</x:v>
      </x:c>
      <x:c r="S89" s="97" t="e">
        <x:f>F89*INDEX(Régions!$V$2:$V$6,MATCH($B89,Régions!$A$2:$A$6,0))</x:f>
        <x:v>#NAME?</x:v>
      </x:c>
      <x:c r="T89" s="97" t="e">
        <x:f>G89*INDEX(Régions!$W$2:$W$6,MATCH($B89,Régions!$A$2:$A$6,0))</x:f>
        <x:v>#NAME?</x:v>
      </x:c>
      <x:c r="U89" s="97" t="e">
        <x:f>H89*INDEX(Régions!$X$2:$X$6,MATCH($B89,Régions!$A$2:$A$6,0))</x:f>
        <x:v>#NAME?</x:v>
      </x:c>
      <x:c r="V89" s="97" t="e">
        <x:f>I89*INDEX(Régions!$Y$2:$Y$6,MATCH($B89,Régions!$A$2:$A$6,0))</x:f>
        <x:v>#NAME?</x:v>
      </x:c>
      <x:c r="W89" s="97" t="e">
        <x:f>Q89+(AU89/100)*J89*Régions!$O$2</x:f>
        <x:v>#NAME?</x:v>
      </x:c>
      <x:c r="X89" s="97" t="e">
        <x:f>R89+(AV89/100)*J89*Régions!$O$2</x:f>
        <x:v>#NAME?</x:v>
      </x:c>
      <x:c r="Y89" s="97" t="e">
        <x:f>S89+(AW89/100)*J89*Régions!$O$2</x:f>
        <x:v>#NAME?</x:v>
      </x:c>
      <x:c r="Z89" s="97" t="e">
        <x:f>T89+(AX89/100)*J89*Régions!$O$2</x:f>
        <x:v>#NAME?</x:v>
      </x:c>
      <x:c r="AA89" s="97" t="e">
        <x:f>U89</x:f>
        <x:v>#NAME?</x:v>
      </x:c>
      <x:c r="AB89" s="97" t="e">
        <x:f>V89</x:f>
        <x:v>#NAME?</x:v>
      </x:c>
      <x:c r="AC89" s="97" t="e">
        <x:f>D89*INDEX(Régions!$Z$2:$Z$6,MATCH($B89,Régions!$A$2:$A$6,0))</x:f>
        <x:v>#NAME?</x:v>
      </x:c>
      <x:c r="AD89" s="97" t="e">
        <x:f>E89*INDEX(Régions!$AA$2:$AA$6,MATCH($B89,Régions!$A$2:$A$6,0))</x:f>
        <x:v>#NAME?</x:v>
      </x:c>
      <x:c r="AE89" s="97" t="e">
        <x:f>F89*INDEX(Régions!$AB$2:$AB$6,MATCH($B89,Régions!$A$2:$A$6,0))</x:f>
        <x:v>#NAME?</x:v>
      </x:c>
      <x:c r="AF89" s="97" t="e">
        <x:f>G89*INDEX(Régions!$AC$2:$AC$6,MATCH($B89,Régions!$A$2:$A$6,0))</x:f>
        <x:v>#NAME?</x:v>
      </x:c>
      <x:c r="AG89" s="97" t="e">
        <x:f>H89*INDEX(Régions!$AD$2:$AD$6,MATCH($B89,Régions!$A$2:$A$6,0))</x:f>
        <x:v>#NAME?</x:v>
      </x:c>
      <x:c r="AH89" s="97" t="e">
        <x:f>I89*INDEX(Régions!$AE$2:$AE$6,MATCH($B89,Régions!$A$2:$A$6,0))</x:f>
        <x:v>#NAME?</x:v>
      </x:c>
      <x:c r="AI89" s="97" t="e">
        <x:f>D89*INDEX(Régions!$AF$2:$AF$6,MATCH($B89,Régions!$A$2:$A$6,0))</x:f>
        <x:v>#NAME?</x:v>
      </x:c>
      <x:c r="AJ89" s="97" t="e">
        <x:f>E89*INDEX(Régions!$AG$2:$AG$6,MATCH($B89,Régions!$A$2:$A$6,0))</x:f>
        <x:v>#NAME?</x:v>
      </x:c>
      <x:c r="AK89" s="97" t="e">
        <x:f>F89*INDEX(Régions!$AH$2:$AH$6,MATCH($B89,Régions!$A$2:$A$6,0))</x:f>
        <x:v>#NAME?</x:v>
      </x:c>
      <x:c r="AL89" s="97" t="e">
        <x:f>G89*INDEX(Régions!$AI$2:$AI$6,MATCH($B89,Régions!$A$2:$A$6,0))</x:f>
        <x:v>#NAME?</x:v>
      </x:c>
      <x:c r="AM89" s="97" t="e">
        <x:f>H89*INDEX(Régions!$AJ$2:$AJ$6,MATCH($B89,Régions!$A$2:$A$6,0))</x:f>
        <x:v>#NAME?</x:v>
      </x:c>
      <x:c r="AN89" s="97" t="e">
        <x:f>I89*INDEX(Régions!$AK$2:$AK$6,MATCH($B89,Régions!$A$2:$A$6,0))</x:f>
        <x:v>#NAME?</x:v>
      </x:c>
      <x:c r="AO89" s="99" t="str">
        <x:f>INDEX({"CAQ","PLQ","QS","PQ","PCQ","Autre"},MATCH(MAX(Q89:V89),Q89:V89,0))</x:f>
        <x:v>CAQ</x:v>
      </x:c>
      <x:c r="AP89" s="99" t="str">
        <x:f>INDEX({"CAQ","PLQ","QS","PQ","PCQ","Autre"},MATCH(MAX(W89:AB89),W89:AB89,0))</x:f>
        <x:v>CAQ</x:v>
      </x:c>
      <x:c r="AQ89" s="99" t="str">
        <x:f>INDEX({"CAQ","PLQ","QS","PQ","PCQ","Autre"},MATCH(MAX(AC89:AH89),AC89:AH89,0))</x:f>
        <x:v>CAQ</x:v>
      </x:c>
      <x:c r="AR89" s="99" t="str">
        <x:f>INDEX({"CAQ","PLQ","QS","PQ","PCQ","Autre"},MATCH(MAX(AI89:AN89),AI89:AN89,0))</x:f>
        <x:v>CAQ</x:v>
      </x:c>
      <x:c r="AS89" s="100" t="n">
        <x:f>(MAX(K89:P89)-LARGE(K89:P89,2))*100</x:f>
        <x:v>26.00868088318551</x:v>
      </x:c>
      <x:c r="AT89" s="101" t="str">
        <x:f>IF(AS89&lt;5,"Oui","Non")</x:f>
        <x:v>Non</x:v>
      </x:c>
      <x:c r="AU89" s="102" t="n">
        <x:v>4.816</x:v>
      </x:c>
      <x:c r="AV89" s="102" t="n">
        <x:v>6.657</x:v>
      </x:c>
      <x:c r="AW89" s="102" t="n">
        <x:v>-0.192</x:v>
      </x:c>
      <x:c r="AX89" s="102" t="n">
        <x:v>-11.176</x:v>
      </x:c>
      <x:c r="AY89" s="96" t="n">
        <x:v>10579</x:v>
      </x:c>
      <x:c r="AZ89" s="96" t="n">
        <x:v>3410</x:v>
      </x:c>
      <x:c r="BA89" s="96" t="n">
        <x:v>4036</x:v>
      </x:c>
      <x:c r="BB89" s="96" t="n">
        <x:v>8745</x:v>
      </x:c>
      <x:c r="BC89" s="96" t="n">
        <x:v>386</x:v>
      </x:c>
      <x:c r="BD89" s="97" t="e">
        <x:f>AY89*INDEX(Régions!$AQ$2:$AQ$6,MATCH($B89,Régions!$A$2:$A$6,0))</x:f>
        <x:v>#NAME?</x:v>
      </x:c>
      <x:c r="BE89" s="97" t="e">
        <x:f>AZ89*INDEX(Régions!$AR$2:$AR$6,MATCH($B89,Régions!$A$2:$A$6,0))</x:f>
        <x:v>#NAME?</x:v>
      </x:c>
      <x:c r="BF89" s="97" t="e">
        <x:f>BA89*INDEX(Régions!$AS$2:$AS$6,MATCH($B89,Régions!$A$2:$A$6,0))</x:f>
        <x:v>#NAME?</x:v>
      </x:c>
      <x:c r="BG89" s="97" t="e">
        <x:f>BB89*INDEX(Régions!$AT$2:$AT$6,MATCH($B89,Régions!$A$2:$A$6,0))</x:f>
        <x:v>#NAME?</x:v>
      </x:c>
      <x:c r="BH89" s="97" t="e">
        <x:f>U89</x:f>
        <x:v>#NAME?</x:v>
      </x:c>
      <x:c r="BI89" s="97" t="e">
        <x:f>BC89*INDEX(Régions!$AU$2:$AU$6,MATCH($B89,Régions!$A$2:$A$6,0))</x:f>
        <x:v>#NAME?</x:v>
      </x:c>
      <x:c r="BJ89" s="97" t="str">
        <x:f>INDEX({"CAQ","PLQ","QS","PQ","PCQ","Autre"},MATCH(MAX(BD89:BI89),BD89:BI89,0))</x:f>
        <x:v>CAQ</x:v>
      </x:c>
    </x:row>
    <x:row r="90" s="60" customFormat="1" ht="15" customHeight="1">
      <x:c r="A90" s="94" t="inlineStr">
        <x:is>
          <x:t xml:space="preserve">Pontiac</x:t>
        </x:is>
      </x:c>
      <x:c r="B90" s="94" t="inlineStr">
        <x:is>
          <x:t xml:space="preserve">Reste du Québec</x:t>
        </x:is>
      </x:c>
      <x:c r="C90" s="95" t="inlineStr">
        <x:is>
          <x:t xml:space="preserve">PLQ</x:t>
        </x:is>
      </x:c>
      <x:c r="D90" s="96" t="n">
        <x:v>7056</x:v>
      </x:c>
      <x:c r="E90" s="96" t="n">
        <x:v>12476</x:v>
      </x:c>
      <x:c r="F90" s="96" t="n">
        <x:v>2935</x:v>
      </x:c>
      <x:c r="G90" s="96" t="n">
        <x:v>1887</x:v>
      </x:c>
      <x:c r="H90" s="96" t="n">
        <x:v>3593</x:v>
      </x:c>
      <x:c r="I90" s="96" t="n">
        <x:v>616</x:v>
      </x:c>
      <x:c r="J90" s="97" t="n">
        <x:f>SUM(D90:I90)</x:f>
        <x:v>28563</x:v>
      </x:c>
      <x:c r="K90" s="98" t="n">
        <x:f>IFERROR(D90/J90,0)</x:f>
        <x:v>0.24703287469803592</x:v>
      </x:c>
      <x:c r="L90" s="98" t="n">
        <x:f>IFERROR(E90/J90,0)</x:f>
        <x:v>0.4367888527115499</x:v>
      </x:c>
      <x:c r="M90" s="98" t="n">
        <x:f>IFERROR(F90/J90,0)</x:f>
        <x:v>0.10275531281728109</x:v>
      </x:c>
      <x:c r="N90" s="98" t="n">
        <x:f>IFERROR(G90/J90,0)</x:f>
        <x:v>0.06606448902426215</x:v>
      </x:c>
      <x:c r="O90" s="98" t="n">
        <x:f>IFERROR(H90/J90,0)</x:f>
        <x:v>0.12579210867205826</x:v>
      </x:c>
      <x:c r="P90" s="98" t="n">
        <x:f>IFERROR(I90/J90,0)</x:f>
        <x:v>0.02156636207681266</x:v>
      </x:c>
      <x:c r="Q90" s="97" t="e">
        <x:f>D90*INDEX(Régions!$T$2:$T$6,MATCH($B90,Régions!$A$2:$A$6,0))</x:f>
        <x:v>#NAME?</x:v>
      </x:c>
      <x:c r="R90" s="97" t="e">
        <x:f>E90*INDEX(Régions!$U$2:$U$6,MATCH($B90,Régions!$A$2:$A$6,0))</x:f>
        <x:v>#NAME?</x:v>
      </x:c>
      <x:c r="S90" s="97" t="e">
        <x:f>F90*INDEX(Régions!$V$2:$V$6,MATCH($B90,Régions!$A$2:$A$6,0))</x:f>
        <x:v>#NAME?</x:v>
      </x:c>
      <x:c r="T90" s="97" t="e">
        <x:f>G90*INDEX(Régions!$W$2:$W$6,MATCH($B90,Régions!$A$2:$A$6,0))</x:f>
        <x:v>#NAME?</x:v>
      </x:c>
      <x:c r="U90" s="97" t="e">
        <x:f>H90*INDEX(Régions!$X$2:$X$6,MATCH($B90,Régions!$A$2:$A$6,0))</x:f>
        <x:v>#NAME?</x:v>
      </x:c>
      <x:c r="V90" s="97" t="e">
        <x:f>I90*INDEX(Régions!$Y$2:$Y$6,MATCH($B90,Régions!$A$2:$A$6,0))</x:f>
        <x:v>#NAME?</x:v>
      </x:c>
      <x:c r="W90" s="97" t="e">
        <x:f>Q90+(AU90/100)*J90*Régions!$O$2</x:f>
        <x:v>#NAME?</x:v>
      </x:c>
      <x:c r="X90" s="97" t="e">
        <x:f>R90+(AV90/100)*J90*Régions!$O$2</x:f>
        <x:v>#NAME?</x:v>
      </x:c>
      <x:c r="Y90" s="97" t="e">
        <x:f>S90+(AW90/100)*J90*Régions!$O$2</x:f>
        <x:v>#NAME?</x:v>
      </x:c>
      <x:c r="Z90" s="97" t="e">
        <x:f>T90+(AX90/100)*J90*Régions!$O$2</x:f>
        <x:v>#NAME?</x:v>
      </x:c>
      <x:c r="AA90" s="97" t="e">
        <x:f>U90</x:f>
        <x:v>#NAME?</x:v>
      </x:c>
      <x:c r="AB90" s="97" t="e">
        <x:f>V90</x:f>
        <x:v>#NAME?</x:v>
      </x:c>
      <x:c r="AC90" s="97" t="e">
        <x:f>D90*INDEX(Régions!$Z$2:$Z$6,MATCH($B90,Régions!$A$2:$A$6,0))</x:f>
        <x:v>#NAME?</x:v>
      </x:c>
      <x:c r="AD90" s="97" t="e">
        <x:f>E90*INDEX(Régions!$AA$2:$AA$6,MATCH($B90,Régions!$A$2:$A$6,0))</x:f>
        <x:v>#NAME?</x:v>
      </x:c>
      <x:c r="AE90" s="97" t="e">
        <x:f>F90*INDEX(Régions!$AB$2:$AB$6,MATCH($B90,Régions!$A$2:$A$6,0))</x:f>
        <x:v>#NAME?</x:v>
      </x:c>
      <x:c r="AF90" s="97" t="e">
        <x:f>G90*INDEX(Régions!$AC$2:$AC$6,MATCH($B90,Régions!$A$2:$A$6,0))</x:f>
        <x:v>#NAME?</x:v>
      </x:c>
      <x:c r="AG90" s="97" t="e">
        <x:f>H90*INDEX(Régions!$AD$2:$AD$6,MATCH($B90,Régions!$A$2:$A$6,0))</x:f>
        <x:v>#NAME?</x:v>
      </x:c>
      <x:c r="AH90" s="97" t="e">
        <x:f>I90*INDEX(Régions!$AE$2:$AE$6,MATCH($B90,Régions!$A$2:$A$6,0))</x:f>
        <x:v>#NAME?</x:v>
      </x:c>
      <x:c r="AI90" s="97" t="e">
        <x:f>D90*INDEX(Régions!$AF$2:$AF$6,MATCH($B90,Régions!$A$2:$A$6,0))</x:f>
        <x:v>#NAME?</x:v>
      </x:c>
      <x:c r="AJ90" s="97" t="e">
        <x:f>E90*INDEX(Régions!$AG$2:$AG$6,MATCH($B90,Régions!$A$2:$A$6,0))</x:f>
        <x:v>#NAME?</x:v>
      </x:c>
      <x:c r="AK90" s="97" t="e">
        <x:f>F90*INDEX(Régions!$AH$2:$AH$6,MATCH($B90,Régions!$A$2:$A$6,0))</x:f>
        <x:v>#NAME?</x:v>
      </x:c>
      <x:c r="AL90" s="97" t="e">
        <x:f>G90*INDEX(Régions!$AI$2:$AI$6,MATCH($B90,Régions!$A$2:$A$6,0))</x:f>
        <x:v>#NAME?</x:v>
      </x:c>
      <x:c r="AM90" s="97" t="e">
        <x:f>H90*INDEX(Régions!$AJ$2:$AJ$6,MATCH($B90,Régions!$A$2:$A$6,0))</x:f>
        <x:v>#NAME?</x:v>
      </x:c>
      <x:c r="AN90" s="97" t="e">
        <x:f>I90*INDEX(Régions!$AK$2:$AK$6,MATCH($B90,Régions!$A$2:$A$6,0))</x:f>
        <x:v>#NAME?</x:v>
      </x:c>
      <x:c r="AO90" s="99" t="str">
        <x:f>INDEX({"CAQ","PLQ","QS","PQ","PCQ","Autre"},MATCH(MAX(Q90:V90),Q90:V90,0))</x:f>
        <x:v>CAQ</x:v>
      </x:c>
      <x:c r="AP90" s="99" t="str">
        <x:f>INDEX({"CAQ","PLQ","QS","PQ","PCQ","Autre"},MATCH(MAX(W90:AB90),W90:AB90,0))</x:f>
        <x:v>CAQ</x:v>
      </x:c>
      <x:c r="AQ90" s="99" t="str">
        <x:f>INDEX({"CAQ","PLQ","QS","PQ","PCQ","Autre"},MATCH(MAX(AC90:AH90),AC90:AH90,0))</x:f>
        <x:v>CAQ</x:v>
      </x:c>
      <x:c r="AR90" s="99" t="str">
        <x:f>INDEX({"CAQ","PLQ","QS","PQ","PCQ","Autre"},MATCH(MAX(AI90:AN90),AI90:AN90,0))</x:f>
        <x:v>CAQ</x:v>
      </x:c>
      <x:c r="AS90" s="100" t="n">
        <x:f>(MAX(K90:P90)-LARGE(K90:P90,2))*100</x:f>
        <x:v>18.975597801351395</x:v>
      </x:c>
      <x:c r="AT90" s="101" t="str">
        <x:f>IF(AS90&lt;5,"Oui","Non")</x:f>
        <x:v>Non</x:v>
      </x:c>
      <x:c r="AU90" s="102" t="n">
        <x:v>-1.66</x:v>
      </x:c>
      <x:c r="AV90" s="102" t="n">
        <x:v>2.543</x:v>
      </x:c>
      <x:c r="AW90" s="102" t="n">
        <x:v>0.52</x:v>
      </x:c>
      <x:c r="AX90" s="102" t="n">
        <x:v>5.081</x:v>
      </x:c>
      <x:c r="AY90" s="96" t="n">
        <x:v>5632</x:v>
      </x:c>
      <x:c r="AZ90" s="96" t="n">
        <x:v>14867</x:v>
      </x:c>
      <x:c r="BA90" s="96" t="n">
        <x:v>2964</x:v>
      </x:c>
      <x:c r="BB90" s="96" t="n">
        <x:v>1520</x:v>
      </x:c>
      <x:c r="BC90" s="96" t="n">
        <x:v>2607</x:v>
      </x:c>
      <x:c r="BD90" s="97" t="e">
        <x:f>AY90*INDEX(Régions!$AQ$2:$AQ$6,MATCH($B90,Régions!$A$2:$A$6,0))</x:f>
        <x:v>#NAME?</x:v>
      </x:c>
      <x:c r="BE90" s="97" t="e">
        <x:f>AZ90*INDEX(Régions!$AR$2:$AR$6,MATCH($B90,Régions!$A$2:$A$6,0))</x:f>
        <x:v>#NAME?</x:v>
      </x:c>
      <x:c r="BF90" s="97" t="e">
        <x:f>BA90*INDEX(Régions!$AS$2:$AS$6,MATCH($B90,Régions!$A$2:$A$6,0))</x:f>
        <x:v>#NAME?</x:v>
      </x:c>
      <x:c r="BG90" s="97" t="e">
        <x:f>BB90*INDEX(Régions!$AT$2:$AT$6,MATCH($B90,Régions!$A$2:$A$6,0))</x:f>
        <x:v>#NAME?</x:v>
      </x:c>
      <x:c r="BH90" s="97" t="e">
        <x:f>U90</x:f>
        <x:v>#NAME?</x:v>
      </x:c>
      <x:c r="BI90" s="97" t="e">
        <x:f>BC90*INDEX(Régions!$AU$2:$AU$6,MATCH($B90,Régions!$A$2:$A$6,0))</x:f>
        <x:v>#NAME?</x:v>
      </x:c>
      <x:c r="BJ90" s="97" t="str">
        <x:f>INDEX({"CAQ","PLQ","QS","PQ","PCQ","Autre"},MATCH(MAX(BD90:BI90),BD90:BI90,0))</x:f>
        <x:v>CAQ</x:v>
      </x:c>
    </x:row>
    <x:row r="91" s="60" customFormat="1" ht="15" customHeight="1">
      <x:c r="A91" s="94" t="inlineStr">
        <x:is>
          <x:t xml:space="preserve">Portneuf</x:t>
        </x:is>
      </x:c>
      <x:c r="B91" s="94" t="inlineStr">
        <x:is>
          <x:t xml:space="preserve">Québec RMR</x:t>
        </x:is>
      </x:c>
      <x:c r="C91" s="95" t="inlineStr">
        <x:is>
          <x:t xml:space="preserve">CAQ</x:t>
        </x:is>
      </x:c>
      <x:c r="D91" s="96" t="n">
        <x:v>18254</x:v>
      </x:c>
      <x:c r="E91" s="96" t="n">
        <x:v>1279</x:v>
      </x:c>
      <x:c r="F91" s="96" t="n">
        <x:v>3245</x:v>
      </x:c>
      <x:c r="G91" s="96" t="n">
        <x:v>3840</x:v>
      </x:c>
      <x:c r="H91" s="96" t="n">
        <x:v>11591</x:v>
      </x:c>
      <x:c r="I91" s="96" t="n">
        <x:v>728</x:v>
      </x:c>
      <x:c r="J91" s="97" t="n">
        <x:f>SUM(D91:I91)</x:f>
        <x:v>38937</x:v>
      </x:c>
      <x:c r="K91" s="98" t="n">
        <x:f>IFERROR(D91/J91,0)</x:f>
        <x:v>0.46880858823227267</x:v>
      </x:c>
      <x:c r="L91" s="98" t="n">
        <x:f>IFERROR(E91/J91,0)</x:f>
        <x:v>0.03284793384184709</x:v>
      </x:c>
      <x:c r="M91" s="98" t="n">
        <x:f>IFERROR(F91/J91,0)</x:f>
        <x:v>0.0833397539615276</x:v>
      </x:c>
      <x:c r="N91" s="98" t="n">
        <x:f>IFERROR(G91/J91,0)</x:f>
        <x:v>0.0986208490638724</x:v>
      </x:c>
      <x:c r="O91" s="98" t="n">
        <x:f>IFERROR(H91/J91,0)</x:f>
        <x:v>0.2976860055987878</x:v>
      </x:c>
      <x:c r="P91" s="98" t="n">
        <x:f>IFERROR(I91/J91,0)</x:f>
        <x:v>0.018696869301692478</x:v>
      </x:c>
      <x:c r="Q91" s="97" t="e">
        <x:f>D91*INDEX(Régions!$T$2:$T$6,MATCH($B91,Régions!$A$2:$A$6,0))</x:f>
        <x:v>#NAME?</x:v>
      </x:c>
      <x:c r="R91" s="97" t="e">
        <x:f>E91*INDEX(Régions!$U$2:$U$6,MATCH($B91,Régions!$A$2:$A$6,0))</x:f>
        <x:v>#NAME?</x:v>
      </x:c>
      <x:c r="S91" s="97" t="e">
        <x:f>F91*INDEX(Régions!$V$2:$V$6,MATCH($B91,Régions!$A$2:$A$6,0))</x:f>
        <x:v>#NAME?</x:v>
      </x:c>
      <x:c r="T91" s="97" t="e">
        <x:f>G91*INDEX(Régions!$W$2:$W$6,MATCH($B91,Régions!$A$2:$A$6,0))</x:f>
        <x:v>#NAME?</x:v>
      </x:c>
      <x:c r="U91" s="97" t="e">
        <x:f>H91*INDEX(Régions!$X$2:$X$6,MATCH($B91,Régions!$A$2:$A$6,0))</x:f>
        <x:v>#NAME?</x:v>
      </x:c>
      <x:c r="V91" s="97" t="e">
        <x:f>I91*INDEX(Régions!$Y$2:$Y$6,MATCH($B91,Régions!$A$2:$A$6,0))</x:f>
        <x:v>#NAME?</x:v>
      </x:c>
      <x:c r="W91" s="97" t="e">
        <x:f>Q91+(AU91/100)*J91*Régions!$O$2</x:f>
        <x:v>#NAME?</x:v>
      </x:c>
      <x:c r="X91" s="97" t="e">
        <x:f>R91+(AV91/100)*J91*Régions!$O$2</x:f>
        <x:v>#NAME?</x:v>
      </x:c>
      <x:c r="Y91" s="97" t="e">
        <x:f>S91+(AW91/100)*J91*Régions!$O$2</x:f>
        <x:v>#NAME?</x:v>
      </x:c>
      <x:c r="Z91" s="97" t="e">
        <x:f>T91+(AX91/100)*J91*Régions!$O$2</x:f>
        <x:v>#NAME?</x:v>
      </x:c>
      <x:c r="AA91" s="97" t="e">
        <x:f>U91</x:f>
        <x:v>#NAME?</x:v>
      </x:c>
      <x:c r="AB91" s="97" t="e">
        <x:f>V91</x:f>
        <x:v>#NAME?</x:v>
      </x:c>
      <x:c r="AC91" s="97" t="e">
        <x:f>D91*INDEX(Régions!$Z$2:$Z$6,MATCH($B91,Régions!$A$2:$A$6,0))</x:f>
        <x:v>#NAME?</x:v>
      </x:c>
      <x:c r="AD91" s="97" t="e">
        <x:f>E91*INDEX(Régions!$AA$2:$AA$6,MATCH($B91,Régions!$A$2:$A$6,0))</x:f>
        <x:v>#NAME?</x:v>
      </x:c>
      <x:c r="AE91" s="97" t="e">
        <x:f>F91*INDEX(Régions!$AB$2:$AB$6,MATCH($B91,Régions!$A$2:$A$6,0))</x:f>
        <x:v>#NAME?</x:v>
      </x:c>
      <x:c r="AF91" s="97" t="e">
        <x:f>G91*INDEX(Régions!$AC$2:$AC$6,MATCH($B91,Régions!$A$2:$A$6,0))</x:f>
        <x:v>#NAME?</x:v>
      </x:c>
      <x:c r="AG91" s="97" t="e">
        <x:f>H91*INDEX(Régions!$AD$2:$AD$6,MATCH($B91,Régions!$A$2:$A$6,0))</x:f>
        <x:v>#NAME?</x:v>
      </x:c>
      <x:c r="AH91" s="97" t="e">
        <x:f>I91*INDEX(Régions!$AE$2:$AE$6,MATCH($B91,Régions!$A$2:$A$6,0))</x:f>
        <x:v>#NAME?</x:v>
      </x:c>
      <x:c r="AI91" s="97" t="e">
        <x:f>D91*INDEX(Régions!$AF$2:$AF$6,MATCH($B91,Régions!$A$2:$A$6,0))</x:f>
        <x:v>#NAME?</x:v>
      </x:c>
      <x:c r="AJ91" s="97" t="e">
        <x:f>E91*INDEX(Régions!$AG$2:$AG$6,MATCH($B91,Régions!$A$2:$A$6,0))</x:f>
        <x:v>#NAME?</x:v>
      </x:c>
      <x:c r="AK91" s="97" t="e">
        <x:f>F91*INDEX(Régions!$AH$2:$AH$6,MATCH($B91,Régions!$A$2:$A$6,0))</x:f>
        <x:v>#NAME?</x:v>
      </x:c>
      <x:c r="AL91" s="97" t="e">
        <x:f>G91*INDEX(Régions!$AI$2:$AI$6,MATCH($B91,Régions!$A$2:$A$6,0))</x:f>
        <x:v>#NAME?</x:v>
      </x:c>
      <x:c r="AM91" s="97" t="e">
        <x:f>H91*INDEX(Régions!$AJ$2:$AJ$6,MATCH($B91,Régions!$A$2:$A$6,0))</x:f>
        <x:v>#NAME?</x:v>
      </x:c>
      <x:c r="AN91" s="97" t="e">
        <x:f>I91*INDEX(Régions!$AK$2:$AK$6,MATCH($B91,Régions!$A$2:$A$6,0))</x:f>
        <x:v>#NAME?</x:v>
      </x:c>
      <x:c r="AO91" s="99" t="str">
        <x:f>INDEX({"CAQ","PLQ","QS","PQ","PCQ","Autre"},MATCH(MAX(Q91:V91),Q91:V91,0))</x:f>
        <x:v>CAQ</x:v>
      </x:c>
      <x:c r="AP91" s="99" t="str">
        <x:f>INDEX({"CAQ","PLQ","QS","PQ","PCQ","Autre"},MATCH(MAX(W91:AB91),W91:AB91,0))</x:f>
        <x:v>CAQ</x:v>
      </x:c>
      <x:c r="AQ91" s="99" t="str">
        <x:f>INDEX({"CAQ","PLQ","QS","PQ","PCQ","Autre"},MATCH(MAX(AC91:AH91),AC91:AH91,0))</x:f>
        <x:v>CAQ</x:v>
      </x:c>
      <x:c r="AR91" s="99" t="str">
        <x:f>INDEX({"CAQ","PLQ","QS","PQ","PCQ","Autre"},MATCH(MAX(AI91:AN91),AI91:AN91,0))</x:f>
        <x:v>CAQ</x:v>
      </x:c>
      <x:c r="AS91" s="100" t="n">
        <x:f>(MAX(K91:P91)-LARGE(K91:P91,2))*100</x:f>
        <x:v>17.11225826334849</x:v>
      </x:c>
      <x:c r="AT91" s="101" t="str">
        <x:f>IF(AS91&lt;5,"Oui","Non")</x:f>
        <x:v>Non</x:v>
      </x:c>
      <x:c r="AU91" s="102" t="n">
        <x:v>-4.891</x:v>
      </x:c>
      <x:c r="AV91" s="102" t="n">
        <x:v>-0.351</x:v>
      </x:c>
      <x:c r="AW91" s="102" t="n">
        <x:v>-2.393</x:v>
      </x:c>
      <x:c r="AX91" s="102" t="n">
        <x:v>-1.061</x:v>
      </x:c>
      <x:c r="AY91" s="96" t="n">
        <x:v>19367</x:v>
      </x:c>
      <x:c r="AZ91" s="96" t="n">
        <x:v>6530</x:v>
      </x:c>
      <x:c r="BA91" s="96" t="n">
        <x:v>3941</x:v>
      </x:c>
      <x:c r="BB91" s="96" t="n">
        <x:v>3167</x:v>
      </x:c>
      <x:c r="BC91" s="96" t="n">
        <x:v>2289</x:v>
      </x:c>
      <x:c r="BD91" s="97" t="e">
        <x:f>AY91*INDEX(Régions!$AQ$2:$AQ$6,MATCH($B91,Régions!$A$2:$A$6,0))</x:f>
        <x:v>#NAME?</x:v>
      </x:c>
      <x:c r="BE91" s="97" t="e">
        <x:f>AZ91*INDEX(Régions!$AR$2:$AR$6,MATCH($B91,Régions!$A$2:$A$6,0))</x:f>
        <x:v>#NAME?</x:v>
      </x:c>
      <x:c r="BF91" s="97" t="e">
        <x:f>BA91*INDEX(Régions!$AS$2:$AS$6,MATCH($B91,Régions!$A$2:$A$6,0))</x:f>
        <x:v>#NAME?</x:v>
      </x:c>
      <x:c r="BG91" s="97" t="e">
        <x:f>BB91*INDEX(Régions!$AT$2:$AT$6,MATCH($B91,Régions!$A$2:$A$6,0))</x:f>
        <x:v>#NAME?</x:v>
      </x:c>
      <x:c r="BH91" s="97" t="e">
        <x:f>U91</x:f>
        <x:v>#NAME?</x:v>
      </x:c>
      <x:c r="BI91" s="97" t="e">
        <x:f>BC91*INDEX(Régions!$AU$2:$AU$6,MATCH($B91,Régions!$A$2:$A$6,0))</x:f>
        <x:v>#NAME?</x:v>
      </x:c>
      <x:c r="BJ91" s="97" t="str">
        <x:f>INDEX({"CAQ","PLQ","QS","PQ","PCQ","Autre"},MATCH(MAX(BD91:BI91),BD91:BI91,0))</x:f>
        <x:v>CAQ</x:v>
      </x:c>
    </x:row>
    <x:row r="92" s="60" customFormat="1" ht="15" customHeight="1">
      <x:c r="A92" s="94" t="inlineStr">
        <x:is>
          <x:t xml:space="preserve">Prévost</x:t>
        </x:is>
      </x:c>
      <x:c r="B92" s="94" t="inlineStr">
        <x:is>
          <x:t xml:space="preserve">Banlieue de Montréal</x:t>
        </x:is>
      </x:c>
      <x:c r="C92" s="95" t="inlineStr">
        <x:is>
          <x:t xml:space="preserve">CAQ</x:t>
        </x:is>
      </x:c>
      <x:c r="D92" s="96" t="n">
        <x:v>15910</x:v>
      </x:c>
      <x:c r="E92" s="96" t="n">
        <x:v>2072</x:v>
      </x:c>
      <x:c r="F92" s="96" t="n">
        <x:v>5198</x:v>
      </x:c>
      <x:c r="G92" s="96" t="n">
        <x:v>6739</x:v>
      </x:c>
      <x:c r="H92" s="96" t="n">
        <x:v>4020</x:v>
      </x:c>
      <x:c r="I92" s="96" t="n">
        <x:v>474</x:v>
      </x:c>
      <x:c r="J92" s="97" t="n">
        <x:f>SUM(D92:I92)</x:f>
        <x:v>34413</x:v>
      </x:c>
      <x:c r="K92" s="98" t="n">
        <x:f>IFERROR(D92/J92,0)</x:f>
        <x:v>0.4623252840496324</x:v>
      </x:c>
      <x:c r="L92" s="98" t="n">
        <x:f>IFERROR(E92/J92,0)</x:f>
        <x:v>0.06020980443437073</x:v>
      </x:c>
      <x:c r="M92" s="98" t="n">
        <x:f>IFERROR(F92/J92,0)</x:f>
        <x:v>0.15104756923255747</x:v>
      </x:c>
      <x:c r="N92" s="98" t="n">
        <x:f>IFERROR(G92/J92,0)</x:f>
        <x:v>0.1958271583413245</x:v>
      </x:c>
      <x:c r="O92" s="98" t="n">
        <x:f>IFERROR(H92/J92,0)</x:f>
        <x:v>0.11681631941417488</x:v>
      </x:c>
      <x:c r="P92" s="98" t="n">
        <x:f>IFERROR(I92/J92,0)</x:f>
        <x:v>0.013773864527940022</x:v>
      </x:c>
      <x:c r="Q92" s="97" t="e">
        <x:f>D92*INDEX(Régions!$T$2:$T$6,MATCH($B92,Régions!$A$2:$A$6,0))</x:f>
        <x:v>#NAME?</x:v>
      </x:c>
      <x:c r="R92" s="97" t="e">
        <x:f>E92*INDEX(Régions!$U$2:$U$6,MATCH($B92,Régions!$A$2:$A$6,0))</x:f>
        <x:v>#NAME?</x:v>
      </x:c>
      <x:c r="S92" s="97" t="e">
        <x:f>F92*INDEX(Régions!$V$2:$V$6,MATCH($B92,Régions!$A$2:$A$6,0))</x:f>
        <x:v>#NAME?</x:v>
      </x:c>
      <x:c r="T92" s="97" t="e">
        <x:f>G92*INDEX(Régions!$W$2:$W$6,MATCH($B92,Régions!$A$2:$A$6,0))</x:f>
        <x:v>#NAME?</x:v>
      </x:c>
      <x:c r="U92" s="97" t="e">
        <x:f>H92*INDEX(Régions!$X$2:$X$6,MATCH($B92,Régions!$A$2:$A$6,0))</x:f>
        <x:v>#NAME?</x:v>
      </x:c>
      <x:c r="V92" s="97" t="e">
        <x:f>I92*INDEX(Régions!$Y$2:$Y$6,MATCH($B92,Régions!$A$2:$A$6,0))</x:f>
        <x:v>#NAME?</x:v>
      </x:c>
      <x:c r="W92" s="97" t="e">
        <x:f>Q92+(AU92/100)*J92*Régions!$O$2</x:f>
        <x:v>#NAME?</x:v>
      </x:c>
      <x:c r="X92" s="97" t="e">
        <x:f>R92+(AV92/100)*J92*Régions!$O$2</x:f>
        <x:v>#NAME?</x:v>
      </x:c>
      <x:c r="Y92" s="97" t="e">
        <x:f>S92+(AW92/100)*J92*Régions!$O$2</x:f>
        <x:v>#NAME?</x:v>
      </x:c>
      <x:c r="Z92" s="97" t="e">
        <x:f>T92+(AX92/100)*J92*Régions!$O$2</x:f>
        <x:v>#NAME?</x:v>
      </x:c>
      <x:c r="AA92" s="97" t="e">
        <x:f>U92</x:f>
        <x:v>#NAME?</x:v>
      </x:c>
      <x:c r="AB92" s="97" t="e">
        <x:f>V92</x:f>
        <x:v>#NAME?</x:v>
      </x:c>
      <x:c r="AC92" s="97" t="e">
        <x:f>D92*INDEX(Régions!$Z$2:$Z$6,MATCH($B92,Régions!$A$2:$A$6,0))</x:f>
        <x:v>#NAME?</x:v>
      </x:c>
      <x:c r="AD92" s="97" t="e">
        <x:f>E92*INDEX(Régions!$AA$2:$AA$6,MATCH($B92,Régions!$A$2:$A$6,0))</x:f>
        <x:v>#NAME?</x:v>
      </x:c>
      <x:c r="AE92" s="97" t="e">
        <x:f>F92*INDEX(Régions!$AB$2:$AB$6,MATCH($B92,Régions!$A$2:$A$6,0))</x:f>
        <x:v>#NAME?</x:v>
      </x:c>
      <x:c r="AF92" s="97" t="e">
        <x:f>G92*INDEX(Régions!$AC$2:$AC$6,MATCH($B92,Régions!$A$2:$A$6,0))</x:f>
        <x:v>#NAME?</x:v>
      </x:c>
      <x:c r="AG92" s="97" t="e">
        <x:f>H92*INDEX(Régions!$AD$2:$AD$6,MATCH($B92,Régions!$A$2:$A$6,0))</x:f>
        <x:v>#NAME?</x:v>
      </x:c>
      <x:c r="AH92" s="97" t="e">
        <x:f>I92*INDEX(Régions!$AE$2:$AE$6,MATCH($B92,Régions!$A$2:$A$6,0))</x:f>
        <x:v>#NAME?</x:v>
      </x:c>
      <x:c r="AI92" s="97" t="e">
        <x:f>D92*INDEX(Régions!$AF$2:$AF$6,MATCH($B92,Régions!$A$2:$A$6,0))</x:f>
        <x:v>#NAME?</x:v>
      </x:c>
      <x:c r="AJ92" s="97" t="e">
        <x:f>E92*INDEX(Régions!$AG$2:$AG$6,MATCH($B92,Régions!$A$2:$A$6,0))</x:f>
        <x:v>#NAME?</x:v>
      </x:c>
      <x:c r="AK92" s="97" t="e">
        <x:f>F92*INDEX(Régions!$AH$2:$AH$6,MATCH($B92,Régions!$A$2:$A$6,0))</x:f>
        <x:v>#NAME?</x:v>
      </x:c>
      <x:c r="AL92" s="97" t="e">
        <x:f>G92*INDEX(Régions!$AI$2:$AI$6,MATCH($B92,Régions!$A$2:$A$6,0))</x:f>
        <x:v>#NAME?</x:v>
      </x:c>
      <x:c r="AM92" s="97" t="e">
        <x:f>H92*INDEX(Régions!$AJ$2:$AJ$6,MATCH($B92,Régions!$A$2:$A$6,0))</x:f>
        <x:v>#NAME?</x:v>
      </x:c>
      <x:c r="AN92" s="97" t="e">
        <x:f>I92*INDEX(Régions!$AK$2:$AK$6,MATCH($B92,Régions!$A$2:$A$6,0))</x:f>
        <x:v>#NAME?</x:v>
      </x:c>
      <x:c r="AO92" s="99" t="str">
        <x:f>INDEX({"CAQ","PLQ","QS","PQ","PCQ","Autre"},MATCH(MAX(Q92:V92),Q92:V92,0))</x:f>
        <x:v>CAQ</x:v>
      </x:c>
      <x:c r="AP92" s="99" t="str">
        <x:f>INDEX({"CAQ","PLQ","QS","PQ","PCQ","Autre"},MATCH(MAX(W92:AB92),W92:AB92,0))</x:f>
        <x:v>CAQ</x:v>
      </x:c>
      <x:c r="AQ92" s="99" t="str">
        <x:f>INDEX({"CAQ","PLQ","QS","PQ","PCQ","Autre"},MATCH(MAX(AC92:AH92),AC92:AH92,0))</x:f>
        <x:v>CAQ</x:v>
      </x:c>
      <x:c r="AR92" s="99" t="str">
        <x:f>INDEX({"CAQ","PLQ","QS","PQ","PCQ","Autre"},MATCH(MAX(AI92:AN92),AI92:AN92,0))</x:f>
        <x:v>CAQ</x:v>
      </x:c>
      <x:c r="AS92" s="100" t="n">
        <x:f>(MAX(K92:P92)-LARGE(K92:P92,2))*100</x:f>
        <x:v>26.64981257083079</x:v>
      </x:c>
      <x:c r="AT92" s="101" t="str">
        <x:f>IF(AS92&lt;5,"Oui","Non")</x:f>
        <x:v>Non</x:v>
      </x:c>
      <x:c r="AU92" s="102" t="n">
        <x:v>-3.926</x:v>
      </x:c>
      <x:c r="AV92" s="102" t="n">
        <x:v>0.083</x:v>
      </x:c>
      <x:c r="AW92" s="102" t="n">
        <x:v>1.843</x:v>
      </x:c>
      <x:c r="AX92" s="102" t="n">
        <x:v>-1.885</x:v>
      </x:c>
      <x:c r="AY92" s="96" t="n">
        <x:v>14882</x:v>
      </x:c>
      <x:c r="AZ92" s="96" t="n">
        <x:v>4063</x:v>
      </x:c>
      <x:c r="BA92" s="96" t="n">
        <x:v>4416</x:v>
      </x:c>
      <x:c r="BB92" s="96" t="n">
        <x:v>7743</x:v>
      </x:c>
      <x:c r="BC92" s="96" t="n">
        <x:v>539</x:v>
      </x:c>
      <x:c r="BD92" s="97" t="e">
        <x:f>AY92*INDEX(Régions!$AQ$2:$AQ$6,MATCH($B92,Régions!$A$2:$A$6,0))</x:f>
        <x:v>#NAME?</x:v>
      </x:c>
      <x:c r="BE92" s="97" t="e">
        <x:f>AZ92*INDEX(Régions!$AR$2:$AR$6,MATCH($B92,Régions!$A$2:$A$6,0))</x:f>
        <x:v>#NAME?</x:v>
      </x:c>
      <x:c r="BF92" s="97" t="e">
        <x:f>BA92*INDEX(Régions!$AS$2:$AS$6,MATCH($B92,Régions!$A$2:$A$6,0))</x:f>
        <x:v>#NAME?</x:v>
      </x:c>
      <x:c r="BG92" s="97" t="e">
        <x:f>BB92*INDEX(Régions!$AT$2:$AT$6,MATCH($B92,Régions!$A$2:$A$6,0))</x:f>
        <x:v>#NAME?</x:v>
      </x:c>
      <x:c r="BH92" s="97" t="e">
        <x:f>U92</x:f>
        <x:v>#NAME?</x:v>
      </x:c>
      <x:c r="BI92" s="97" t="e">
        <x:f>BC92*INDEX(Régions!$AU$2:$AU$6,MATCH($B92,Régions!$A$2:$A$6,0))</x:f>
        <x:v>#NAME?</x:v>
      </x:c>
      <x:c r="BJ92" s="97" t="str">
        <x:f>INDEX({"CAQ","PLQ","QS","PQ","PCQ","Autre"},MATCH(MAX(BD92:BI92),BD92:BI92,0))</x:f>
        <x:v>CAQ</x:v>
      </x:c>
    </x:row>
    <x:row r="93" s="60" customFormat="1" ht="15" customHeight="1">
      <x:c r="A93" s="94" t="inlineStr">
        <x:is>
          <x:t xml:space="preserve">René-Lévesque</x:t>
        </x:is>
      </x:c>
      <x:c r="B93" s="94" t="inlineStr">
        <x:is>
          <x:t xml:space="preserve">Reste du Québec</x:t>
        </x:is>
      </x:c>
      <x:c r="C93" s="95" t="inlineStr">
        <x:is>
          <x:t xml:space="preserve">CAQ</x:t>
        </x:is>
      </x:c>
      <x:c r="D93" s="96" t="n">
        <x:v>11377</x:v>
      </x:c>
      <x:c r="E93" s="96" t="n">
        <x:v>307</x:v>
      </x:c>
      <x:c r="F93" s="96" t="n">
        <x:v>1459</x:v>
      </x:c>
      <x:c r="G93" s="96" t="n">
        <x:v>4087</x:v>
      </x:c>
      <x:c r="H93" s="96" t="n">
        <x:v>1955</x:v>
      </x:c>
      <x:c r="I93" s="96" t="n">
        <x:v>124</x:v>
      </x:c>
      <x:c r="J93" s="97" t="n">
        <x:f>SUM(D93:I93)</x:f>
        <x:v>19309</x:v>
      </x:c>
      <x:c r="K93" s="98" t="n">
        <x:f>IFERROR(D93/J93,0)</x:f>
        <x:v>0.589207105494847</x:v>
      </x:c>
      <x:c r="L93" s="98" t="n">
        <x:f>IFERROR(E93/J93,0)</x:f>
        <x:v>0.01589932155989435</x:v>
      </x:c>
      <x:c r="M93" s="98" t="n">
        <x:f>IFERROR(F93/J93,0)</x:f>
        <x:v>0.07556061940027967</x:v>
      </x:c>
      <x:c r="N93" s="98" t="n">
        <x:f>IFERROR(G93/J93,0)</x:f>
        <x:v>0.21166295509865865</x:v>
      </x:c>
      <x:c r="O93" s="98" t="n">
        <x:f>IFERROR(H93/J93,0)</x:f>
        <x:v>0.10124812263711223</x:v>
      </x:c>
      <x:c r="P93" s="98" t="n">
        <x:f>IFERROR(I93/J93,0)</x:f>
        <x:v>0.006421875809208141</x:v>
      </x:c>
      <x:c r="Q93" s="97" t="e">
        <x:f>D93*INDEX(Régions!$T$2:$T$6,MATCH($B93,Régions!$A$2:$A$6,0))</x:f>
        <x:v>#NAME?</x:v>
      </x:c>
      <x:c r="R93" s="97" t="e">
        <x:f>E93*INDEX(Régions!$U$2:$U$6,MATCH($B93,Régions!$A$2:$A$6,0))</x:f>
        <x:v>#NAME?</x:v>
      </x:c>
      <x:c r="S93" s="97" t="e">
        <x:f>F93*INDEX(Régions!$V$2:$V$6,MATCH($B93,Régions!$A$2:$A$6,0))</x:f>
        <x:v>#NAME?</x:v>
      </x:c>
      <x:c r="T93" s="97" t="e">
        <x:f>G93*INDEX(Régions!$W$2:$W$6,MATCH($B93,Régions!$A$2:$A$6,0))</x:f>
        <x:v>#NAME?</x:v>
      </x:c>
      <x:c r="U93" s="97" t="e">
        <x:f>H93*INDEX(Régions!$X$2:$X$6,MATCH($B93,Régions!$A$2:$A$6,0))</x:f>
        <x:v>#NAME?</x:v>
      </x:c>
      <x:c r="V93" s="97" t="e">
        <x:f>I93*INDEX(Régions!$Y$2:$Y$6,MATCH($B93,Régions!$A$2:$A$6,0))</x:f>
        <x:v>#NAME?</x:v>
      </x:c>
      <x:c r="W93" s="97" t="e">
        <x:f>Q93+(AU93/100)*J93*Régions!$O$2</x:f>
        <x:v>#NAME?</x:v>
      </x:c>
      <x:c r="X93" s="97" t="e">
        <x:f>R93+(AV93/100)*J93*Régions!$O$2</x:f>
        <x:v>#NAME?</x:v>
      </x:c>
      <x:c r="Y93" s="97" t="e">
        <x:f>S93+(AW93/100)*J93*Régions!$O$2</x:f>
        <x:v>#NAME?</x:v>
      </x:c>
      <x:c r="Z93" s="97" t="e">
        <x:f>T93+(AX93/100)*J93*Régions!$O$2</x:f>
        <x:v>#NAME?</x:v>
      </x:c>
      <x:c r="AA93" s="97" t="e">
        <x:f>U93</x:f>
        <x:v>#NAME?</x:v>
      </x:c>
      <x:c r="AB93" s="97" t="e">
        <x:f>V93</x:f>
        <x:v>#NAME?</x:v>
      </x:c>
      <x:c r="AC93" s="97" t="e">
        <x:f>D93*INDEX(Régions!$Z$2:$Z$6,MATCH($B93,Régions!$A$2:$A$6,0))</x:f>
        <x:v>#NAME?</x:v>
      </x:c>
      <x:c r="AD93" s="97" t="e">
        <x:f>E93*INDEX(Régions!$AA$2:$AA$6,MATCH($B93,Régions!$A$2:$A$6,0))</x:f>
        <x:v>#NAME?</x:v>
      </x:c>
      <x:c r="AE93" s="97" t="e">
        <x:f>F93*INDEX(Régions!$AB$2:$AB$6,MATCH($B93,Régions!$A$2:$A$6,0))</x:f>
        <x:v>#NAME?</x:v>
      </x:c>
      <x:c r="AF93" s="97" t="e">
        <x:f>G93*INDEX(Régions!$AC$2:$AC$6,MATCH($B93,Régions!$A$2:$A$6,0))</x:f>
        <x:v>#NAME?</x:v>
      </x:c>
      <x:c r="AG93" s="97" t="e">
        <x:f>H93*INDEX(Régions!$AD$2:$AD$6,MATCH($B93,Régions!$A$2:$A$6,0))</x:f>
        <x:v>#NAME?</x:v>
      </x:c>
      <x:c r="AH93" s="97" t="e">
        <x:f>I93*INDEX(Régions!$AE$2:$AE$6,MATCH($B93,Régions!$A$2:$A$6,0))</x:f>
        <x:v>#NAME?</x:v>
      </x:c>
      <x:c r="AI93" s="97" t="e">
        <x:f>D93*INDEX(Régions!$AF$2:$AF$6,MATCH($B93,Régions!$A$2:$A$6,0))</x:f>
        <x:v>#NAME?</x:v>
      </x:c>
      <x:c r="AJ93" s="97" t="e">
        <x:f>E93*INDEX(Régions!$AG$2:$AG$6,MATCH($B93,Régions!$A$2:$A$6,0))</x:f>
        <x:v>#NAME?</x:v>
      </x:c>
      <x:c r="AK93" s="97" t="e">
        <x:f>F93*INDEX(Régions!$AH$2:$AH$6,MATCH($B93,Régions!$A$2:$A$6,0))</x:f>
        <x:v>#NAME?</x:v>
      </x:c>
      <x:c r="AL93" s="97" t="e">
        <x:f>G93*INDEX(Régions!$AI$2:$AI$6,MATCH($B93,Régions!$A$2:$A$6,0))</x:f>
        <x:v>#NAME?</x:v>
      </x:c>
      <x:c r="AM93" s="97" t="e">
        <x:f>H93*INDEX(Régions!$AJ$2:$AJ$6,MATCH($B93,Régions!$A$2:$A$6,0))</x:f>
        <x:v>#NAME?</x:v>
      </x:c>
      <x:c r="AN93" s="97" t="e">
        <x:f>I93*INDEX(Régions!$AK$2:$AK$6,MATCH($B93,Régions!$A$2:$A$6,0))</x:f>
        <x:v>#NAME?</x:v>
      </x:c>
      <x:c r="AO93" s="99" t="str">
        <x:f>INDEX({"CAQ","PLQ","QS","PQ","PCQ","Autre"},MATCH(MAX(Q93:V93),Q93:V93,0))</x:f>
        <x:v>CAQ</x:v>
      </x:c>
      <x:c r="AP93" s="99" t="str">
        <x:f>INDEX({"CAQ","PLQ","QS","PQ","PCQ","Autre"},MATCH(MAX(W93:AB93),W93:AB93,0))</x:f>
        <x:v>CAQ</x:v>
      </x:c>
      <x:c r="AQ93" s="99" t="str">
        <x:f>INDEX({"CAQ","PLQ","QS","PQ","PCQ","Autre"},MATCH(MAX(AC93:AH93),AC93:AH93,0))</x:f>
        <x:v>CAQ</x:v>
      </x:c>
      <x:c r="AR93" s="99" t="str">
        <x:f>INDEX({"CAQ","PLQ","QS","PQ","PCQ","Autre"},MATCH(MAX(AI93:AN93),AI93:AN93,0))</x:f>
        <x:v>CAQ</x:v>
      </x:c>
      <x:c r="AS93" s="100" t="n">
        <x:f>(MAX(K93:P93)-LARGE(K93:P93,2))*100</x:f>
        <x:v>37.75441503961884</x:v>
      </x:c>
      <x:c r="AT93" s="101" t="str">
        <x:f>IF(AS93&lt;5,"Oui","Non")</x:f>
        <x:v>Non</x:v>
      </x:c>
      <x:c r="AU93" s="102" t="n">
        <x:v>19.258</x:v>
      </x:c>
      <x:c r="AV93" s="102" t="n">
        <x:v>1.551</x:v>
      </x:c>
      <x:c r="AW93" s="102" t="n">
        <x:v>-1.667</x:v>
      </x:c>
      <x:c r="AX93" s="102" t="n">
        <x:v>-17.069</x:v>
      </x:c>
      <x:c r="AY93" s="96" t="n">
        <x:v>6432</x:v>
      </x:c>
      <x:c r="AZ93" s="96" t="n">
        <x:v>2440</x:v>
      </x:c>
      <x:c r="BA93" s="96" t="n">
        <x:v>1948</x:v>
      </x:c>
      <x:c r="BB93" s="96" t="n">
        <x:v>8055</x:v>
      </x:c>
      <x:c r="BC93" s="96" t="n">
        <x:v>204</x:v>
      </x:c>
      <x:c r="BD93" s="97" t="e">
        <x:f>AY93*INDEX(Régions!$AQ$2:$AQ$6,MATCH($B93,Régions!$A$2:$A$6,0))</x:f>
        <x:v>#NAME?</x:v>
      </x:c>
      <x:c r="BE93" s="97" t="e">
        <x:f>AZ93*INDEX(Régions!$AR$2:$AR$6,MATCH($B93,Régions!$A$2:$A$6,0))</x:f>
        <x:v>#NAME?</x:v>
      </x:c>
      <x:c r="BF93" s="97" t="e">
        <x:f>BA93*INDEX(Régions!$AS$2:$AS$6,MATCH($B93,Régions!$A$2:$A$6,0))</x:f>
        <x:v>#NAME?</x:v>
      </x:c>
      <x:c r="BG93" s="97" t="e">
        <x:f>BB93*INDEX(Régions!$AT$2:$AT$6,MATCH($B93,Régions!$A$2:$A$6,0))</x:f>
        <x:v>#NAME?</x:v>
      </x:c>
      <x:c r="BH93" s="97" t="e">
        <x:f>U93</x:f>
        <x:v>#NAME?</x:v>
      </x:c>
      <x:c r="BI93" s="97" t="e">
        <x:f>BC93*INDEX(Régions!$AU$2:$AU$6,MATCH($B93,Régions!$A$2:$A$6,0))</x:f>
        <x:v>#NAME?</x:v>
      </x:c>
      <x:c r="BJ93" s="97" t="str">
        <x:f>INDEX({"CAQ","PLQ","QS","PQ","PCQ","Autre"},MATCH(MAX(BD93:BI93),BD93:BI93,0))</x:f>
        <x:v>CAQ</x:v>
      </x:c>
    </x:row>
    <x:row r="94" s="60" customFormat="1" ht="15" customHeight="1">
      <x:c r="A94" s="94" t="inlineStr">
        <x:is>
          <x:t xml:space="preserve">Repentigny</x:t>
        </x:is>
      </x:c>
      <x:c r="B94" s="94" t="inlineStr">
        <x:is>
          <x:t xml:space="preserve">Banlieue de Montréal</x:t>
        </x:is>
      </x:c>
      <x:c r="C94" s="95" t="inlineStr">
        <x:is>
          <x:t xml:space="preserve">CAQ</x:t>
        </x:is>
      </x:c>
      <x:c r="D94" s="96" t="n">
        <x:v>20731</x:v>
      </x:c>
      <x:c r="E94" s="96" t="n">
        <x:v>3753</x:v>
      </x:c>
      <x:c r="F94" s="96" t="n">
        <x:v>5026</x:v>
      </x:c>
      <x:c r="G94" s="96" t="n">
        <x:v>6804</x:v>
      </x:c>
      <x:c r="H94" s="96" t="n">
        <x:v>2555</x:v>
      </x:c>
      <x:c r="I94" s="96" t="n">
        <x:v>303</x:v>
      </x:c>
      <x:c r="J94" s="97" t="n">
        <x:f>SUM(D94:I94)</x:f>
        <x:v>39172</x:v>
      </x:c>
      <x:c r="K94" s="98" t="n">
        <x:f>IFERROR(D94/J94,0)</x:f>
        <x:v>0.5292300622893904</x:v>
      </x:c>
      <x:c r="L94" s="98" t="n">
        <x:f>IFERROR(E94/J94,0)</x:f>
        <x:v>0.09580823036863065</x:v>
      </x:c>
      <x:c r="M94" s="98" t="n">
        <x:f>IFERROR(F94/J94,0)</x:f>
        <x:v>0.1283059328091494</x:v>
      </x:c>
      <x:c r="N94" s="98" t="n">
        <x:f>IFERROR(G94/J94,0)</x:f>
        <x:v>0.17369549678341673</x:v>
      </x:c>
      <x:c r="O94" s="98" t="n">
        <x:f>IFERROR(H94/J94,0)</x:f>
        <x:v>0.06522516082916369</x:v>
      </x:c>
      <x:c r="P94" s="98" t="n">
        <x:f>IFERROR(I94/J94,0)</x:f>
        <x:v>0.0077351169202491575</x:v>
      </x:c>
      <x:c r="Q94" s="97" t="e">
        <x:f>D94*INDEX(Régions!$T$2:$T$6,MATCH($B94,Régions!$A$2:$A$6,0))</x:f>
        <x:v>#NAME?</x:v>
      </x:c>
      <x:c r="R94" s="97" t="e">
        <x:f>E94*INDEX(Régions!$U$2:$U$6,MATCH($B94,Régions!$A$2:$A$6,0))</x:f>
        <x:v>#NAME?</x:v>
      </x:c>
      <x:c r="S94" s="97" t="e">
        <x:f>F94*INDEX(Régions!$V$2:$V$6,MATCH($B94,Régions!$A$2:$A$6,0))</x:f>
        <x:v>#NAME?</x:v>
      </x:c>
      <x:c r="T94" s="97" t="e">
        <x:f>G94*INDEX(Régions!$W$2:$W$6,MATCH($B94,Régions!$A$2:$A$6,0))</x:f>
        <x:v>#NAME?</x:v>
      </x:c>
      <x:c r="U94" s="97" t="e">
        <x:f>H94*INDEX(Régions!$X$2:$X$6,MATCH($B94,Régions!$A$2:$A$6,0))</x:f>
        <x:v>#NAME?</x:v>
      </x:c>
      <x:c r="V94" s="97" t="e">
        <x:f>I94*INDEX(Régions!$Y$2:$Y$6,MATCH($B94,Régions!$A$2:$A$6,0))</x:f>
        <x:v>#NAME?</x:v>
      </x:c>
      <x:c r="W94" s="97" t="e">
        <x:f>Q94+(AU94/100)*J94*Régions!$O$2</x:f>
        <x:v>#NAME?</x:v>
      </x:c>
      <x:c r="X94" s="97" t="e">
        <x:f>R94+(AV94/100)*J94*Régions!$O$2</x:f>
        <x:v>#NAME?</x:v>
      </x:c>
      <x:c r="Y94" s="97" t="e">
        <x:f>S94+(AW94/100)*J94*Régions!$O$2</x:f>
        <x:v>#NAME?</x:v>
      </x:c>
      <x:c r="Z94" s="97" t="e">
        <x:f>T94+(AX94/100)*J94*Régions!$O$2</x:f>
        <x:v>#NAME?</x:v>
      </x:c>
      <x:c r="AA94" s="97" t="e">
        <x:f>U94</x:f>
        <x:v>#NAME?</x:v>
      </x:c>
      <x:c r="AB94" s="97" t="e">
        <x:f>V94</x:f>
        <x:v>#NAME?</x:v>
      </x:c>
      <x:c r="AC94" s="97" t="e">
        <x:f>D94*INDEX(Régions!$Z$2:$Z$6,MATCH($B94,Régions!$A$2:$A$6,0))</x:f>
        <x:v>#NAME?</x:v>
      </x:c>
      <x:c r="AD94" s="97" t="e">
        <x:f>E94*INDEX(Régions!$AA$2:$AA$6,MATCH($B94,Régions!$A$2:$A$6,0))</x:f>
        <x:v>#NAME?</x:v>
      </x:c>
      <x:c r="AE94" s="97" t="e">
        <x:f>F94*INDEX(Régions!$AB$2:$AB$6,MATCH($B94,Régions!$A$2:$A$6,0))</x:f>
        <x:v>#NAME?</x:v>
      </x:c>
      <x:c r="AF94" s="97" t="e">
        <x:f>G94*INDEX(Régions!$AC$2:$AC$6,MATCH($B94,Régions!$A$2:$A$6,0))</x:f>
        <x:v>#NAME?</x:v>
      </x:c>
      <x:c r="AG94" s="97" t="e">
        <x:f>H94*INDEX(Régions!$AD$2:$AD$6,MATCH($B94,Régions!$A$2:$A$6,0))</x:f>
        <x:v>#NAME?</x:v>
      </x:c>
      <x:c r="AH94" s="97" t="e">
        <x:f>I94*INDEX(Régions!$AE$2:$AE$6,MATCH($B94,Régions!$A$2:$A$6,0))</x:f>
        <x:v>#NAME?</x:v>
      </x:c>
      <x:c r="AI94" s="97" t="e">
        <x:f>D94*INDEX(Régions!$AF$2:$AF$6,MATCH($B94,Régions!$A$2:$A$6,0))</x:f>
        <x:v>#NAME?</x:v>
      </x:c>
      <x:c r="AJ94" s="97" t="e">
        <x:f>E94*INDEX(Régions!$AG$2:$AG$6,MATCH($B94,Régions!$A$2:$A$6,0))</x:f>
        <x:v>#NAME?</x:v>
      </x:c>
      <x:c r="AK94" s="97" t="e">
        <x:f>F94*INDEX(Régions!$AH$2:$AH$6,MATCH($B94,Régions!$A$2:$A$6,0))</x:f>
        <x:v>#NAME?</x:v>
      </x:c>
      <x:c r="AL94" s="97" t="e">
        <x:f>G94*INDEX(Régions!$AI$2:$AI$6,MATCH($B94,Régions!$A$2:$A$6,0))</x:f>
        <x:v>#NAME?</x:v>
      </x:c>
      <x:c r="AM94" s="97" t="e">
        <x:f>H94*INDEX(Régions!$AJ$2:$AJ$6,MATCH($B94,Régions!$A$2:$A$6,0))</x:f>
        <x:v>#NAME?</x:v>
      </x:c>
      <x:c r="AN94" s="97" t="e">
        <x:f>I94*INDEX(Régions!$AK$2:$AK$6,MATCH($B94,Régions!$A$2:$A$6,0))</x:f>
        <x:v>#NAME?</x:v>
      </x:c>
      <x:c r="AO94" s="99" t="str">
        <x:f>INDEX({"CAQ","PLQ","QS","PQ","PCQ","Autre"},MATCH(MAX(Q94:V94),Q94:V94,0))</x:f>
        <x:v>CAQ</x:v>
      </x:c>
      <x:c r="AP94" s="99" t="str">
        <x:f>INDEX({"CAQ","PLQ","QS","PQ","PCQ","Autre"},MATCH(MAX(W94:AB94),W94:AB94,0))</x:f>
        <x:v>CAQ</x:v>
      </x:c>
      <x:c r="AQ94" s="99" t="str">
        <x:f>INDEX({"CAQ","PLQ","QS","PQ","PCQ","Autre"},MATCH(MAX(AC94:AH94),AC94:AH94,0))</x:f>
        <x:v>CAQ</x:v>
      </x:c>
      <x:c r="AR94" s="99" t="str">
        <x:f>INDEX({"CAQ","PLQ","QS","PQ","PCQ","Autre"},MATCH(MAX(AI94:AN94),AI94:AN94,0))</x:f>
        <x:v>CAQ</x:v>
      </x:c>
      <x:c r="AS94" s="100" t="n">
        <x:f>(MAX(K94:P94)-LARGE(K94:P94,2))*100</x:f>
        <x:v>35.55345655059737</x:v>
      </x:c>
      <x:c r="AT94" s="101" t="str">
        <x:f>IF(AS94&lt;5,"Oui","Non")</x:f>
        <x:v>Non</x:v>
      </x:c>
      <x:c r="AU94" s="102" t="n">
        <x:v>-0.605</x:v>
      </x:c>
      <x:c r="AV94" s="102" t="n">
        <x:v>3.329</x:v>
      </x:c>
      <x:c r="AW94" s="102" t="n">
        <x:v>-1.54</x:v>
      </x:c>
      <x:c r="AX94" s="102" t="n">
        <x:v>1.976</x:v>
      </x:c>
      <x:c r="AY94" s="96" t="n">
        <x:v>19793</x:v>
      </x:c>
      <x:c r="AZ94" s="96" t="n">
        <x:v>5166</x:v>
      </x:c>
      <x:c r="BA94" s="96" t="n">
        <x:v>5916</x:v>
      </x:c>
      <x:c r="BB94" s="96" t="n">
        <x:v>7224</x:v>
      </x:c>
      <x:c r="BC94" s="96" t="n">
        <x:v>1172</x:v>
      </x:c>
      <x:c r="BD94" s="97" t="e">
        <x:f>AY94*INDEX(Régions!$AQ$2:$AQ$6,MATCH($B94,Régions!$A$2:$A$6,0))</x:f>
        <x:v>#NAME?</x:v>
      </x:c>
      <x:c r="BE94" s="97" t="e">
        <x:f>AZ94*INDEX(Régions!$AR$2:$AR$6,MATCH($B94,Régions!$A$2:$A$6,0))</x:f>
        <x:v>#NAME?</x:v>
      </x:c>
      <x:c r="BF94" s="97" t="e">
        <x:f>BA94*INDEX(Régions!$AS$2:$AS$6,MATCH($B94,Régions!$A$2:$A$6,0))</x:f>
        <x:v>#NAME?</x:v>
      </x:c>
      <x:c r="BG94" s="97" t="e">
        <x:f>BB94*INDEX(Régions!$AT$2:$AT$6,MATCH($B94,Régions!$A$2:$A$6,0))</x:f>
        <x:v>#NAME?</x:v>
      </x:c>
      <x:c r="BH94" s="97" t="e">
        <x:f>U94</x:f>
        <x:v>#NAME?</x:v>
      </x:c>
      <x:c r="BI94" s="97" t="e">
        <x:f>BC94*INDEX(Régions!$AU$2:$AU$6,MATCH($B94,Régions!$A$2:$A$6,0))</x:f>
        <x:v>#NAME?</x:v>
      </x:c>
      <x:c r="BJ94" s="97" t="str">
        <x:f>INDEX({"CAQ","PLQ","QS","PQ","PCQ","Autre"},MATCH(MAX(BD94:BI94),BD94:BI94,0))</x:f>
        <x:v>CAQ</x:v>
      </x:c>
    </x:row>
    <x:row r="95" s="60" customFormat="1" ht="15" customHeight="1">
      <x:c r="A95" s="94" t="inlineStr">
        <x:is>
          <x:t xml:space="preserve">Richelieu</x:t>
        </x:is>
      </x:c>
      <x:c r="B95" s="94" t="inlineStr">
        <x:is>
          <x:t xml:space="preserve">Banlieue de Montréal</x:t>
        </x:is>
      </x:c>
      <x:c r="C95" s="95" t="inlineStr">
        <x:is>
          <x:t xml:space="preserve">CAQ</x:t>
        </x:is>
      </x:c>
      <x:c r="D95" s="96" t="n">
        <x:v>19945</x:v>
      </x:c>
      <x:c r="E95" s="96" t="n">
        <x:v>1555</x:v>
      </x:c>
      <x:c r="F95" s="96" t="n">
        <x:v>3886</x:v>
      </x:c>
      <x:c r="G95" s="96" t="n">
        <x:v>7354</x:v>
      </x:c>
      <x:c r="H95" s="96" t="n">
        <x:v>3090</x:v>
      </x:c>
      <x:c r="I95" s="96" t="n">
        <x:v>314</x:v>
      </x:c>
      <x:c r="J95" s="97" t="n">
        <x:f>SUM(D95:I95)</x:f>
        <x:v>36144</x:v>
      </x:c>
      <x:c r="K95" s="98" t="n">
        <x:f>IFERROR(D95/J95,0)</x:f>
        <x:v>0.5518204957945994</x:v>
      </x:c>
      <x:c r="L95" s="98" t="n">
        <x:f>IFERROR(E95/J95,0)</x:f>
        <x:v>0.04302235502434706</x:v>
      </x:c>
      <x:c r="M95" s="98" t="n">
        <x:f>IFERROR(F95/J95,0)</x:f>
        <x:v>0.10751438689685702</x:v>
      </x:c>
      <x:c r="N95" s="98" t="n">
        <x:f>IFERROR(G95/J95,0)</x:f>
        <x:v>0.2034639220894201</x:v>
      </x:c>
      <x:c r="O95" s="98" t="n">
        <x:f>IFERROR(H95/J95,0)</x:f>
        <x:v>0.08549136786188578</x:v>
      </x:c>
      <x:c r="P95" s="98" t="n">
        <x:f>IFERROR(I95/J95,0)</x:f>
        <x:v>0.00868747233289066</x:v>
      </x:c>
      <x:c r="Q95" s="97" t="e">
        <x:f>D95*INDEX(Régions!$T$2:$T$6,MATCH($B95,Régions!$A$2:$A$6,0))</x:f>
        <x:v>#NAME?</x:v>
      </x:c>
      <x:c r="R95" s="97" t="e">
        <x:f>E95*INDEX(Régions!$U$2:$U$6,MATCH($B95,Régions!$A$2:$A$6,0))</x:f>
        <x:v>#NAME?</x:v>
      </x:c>
      <x:c r="S95" s="97" t="e">
        <x:f>F95*INDEX(Régions!$V$2:$V$6,MATCH($B95,Régions!$A$2:$A$6,0))</x:f>
        <x:v>#NAME?</x:v>
      </x:c>
      <x:c r="T95" s="97" t="e">
        <x:f>G95*INDEX(Régions!$W$2:$W$6,MATCH($B95,Régions!$A$2:$A$6,0))</x:f>
        <x:v>#NAME?</x:v>
      </x:c>
      <x:c r="U95" s="97" t="e">
        <x:f>H95*INDEX(Régions!$X$2:$X$6,MATCH($B95,Régions!$A$2:$A$6,0))</x:f>
        <x:v>#NAME?</x:v>
      </x:c>
      <x:c r="V95" s="97" t="e">
        <x:f>I95*INDEX(Régions!$Y$2:$Y$6,MATCH($B95,Régions!$A$2:$A$6,0))</x:f>
        <x:v>#NAME?</x:v>
      </x:c>
      <x:c r="W95" s="97" t="e">
        <x:f>Q95+(AU95/100)*J95*Régions!$O$2</x:f>
        <x:v>#NAME?</x:v>
      </x:c>
      <x:c r="X95" s="97" t="e">
        <x:f>R95+(AV95/100)*J95*Régions!$O$2</x:f>
        <x:v>#NAME?</x:v>
      </x:c>
      <x:c r="Y95" s="97" t="e">
        <x:f>S95+(AW95/100)*J95*Régions!$O$2</x:f>
        <x:v>#NAME?</x:v>
      </x:c>
      <x:c r="Z95" s="97" t="e">
        <x:f>T95+(AX95/100)*J95*Régions!$O$2</x:f>
        <x:v>#NAME?</x:v>
      </x:c>
      <x:c r="AA95" s="97" t="e">
        <x:f>U95</x:f>
        <x:v>#NAME?</x:v>
      </x:c>
      <x:c r="AB95" s="97" t="e">
        <x:f>V95</x:f>
        <x:v>#NAME?</x:v>
      </x:c>
      <x:c r="AC95" s="97" t="e">
        <x:f>D95*INDEX(Régions!$Z$2:$Z$6,MATCH($B95,Régions!$A$2:$A$6,0))</x:f>
        <x:v>#NAME?</x:v>
      </x:c>
      <x:c r="AD95" s="97" t="e">
        <x:f>E95*INDEX(Régions!$AA$2:$AA$6,MATCH($B95,Régions!$A$2:$A$6,0))</x:f>
        <x:v>#NAME?</x:v>
      </x:c>
      <x:c r="AE95" s="97" t="e">
        <x:f>F95*INDEX(Régions!$AB$2:$AB$6,MATCH($B95,Régions!$A$2:$A$6,0))</x:f>
        <x:v>#NAME?</x:v>
      </x:c>
      <x:c r="AF95" s="97" t="e">
        <x:f>G95*INDEX(Régions!$AC$2:$AC$6,MATCH($B95,Régions!$A$2:$A$6,0))</x:f>
        <x:v>#NAME?</x:v>
      </x:c>
      <x:c r="AG95" s="97" t="e">
        <x:f>H95*INDEX(Régions!$AD$2:$AD$6,MATCH($B95,Régions!$A$2:$A$6,0))</x:f>
        <x:v>#NAME?</x:v>
      </x:c>
      <x:c r="AH95" s="97" t="e">
        <x:f>I95*INDEX(Régions!$AE$2:$AE$6,MATCH($B95,Régions!$A$2:$A$6,0))</x:f>
        <x:v>#NAME?</x:v>
      </x:c>
      <x:c r="AI95" s="97" t="e">
        <x:f>D95*INDEX(Régions!$AF$2:$AF$6,MATCH($B95,Régions!$A$2:$A$6,0))</x:f>
        <x:v>#NAME?</x:v>
      </x:c>
      <x:c r="AJ95" s="97" t="e">
        <x:f>E95*INDEX(Régions!$AG$2:$AG$6,MATCH($B95,Régions!$A$2:$A$6,0))</x:f>
        <x:v>#NAME?</x:v>
      </x:c>
      <x:c r="AK95" s="97" t="e">
        <x:f>F95*INDEX(Régions!$AH$2:$AH$6,MATCH($B95,Régions!$A$2:$A$6,0))</x:f>
        <x:v>#NAME?</x:v>
      </x:c>
      <x:c r="AL95" s="97" t="e">
        <x:f>G95*INDEX(Régions!$AI$2:$AI$6,MATCH($B95,Régions!$A$2:$A$6,0))</x:f>
        <x:v>#NAME?</x:v>
      </x:c>
      <x:c r="AM95" s="97" t="e">
        <x:f>H95*INDEX(Régions!$AJ$2:$AJ$6,MATCH($B95,Régions!$A$2:$A$6,0))</x:f>
        <x:v>#NAME?</x:v>
      </x:c>
      <x:c r="AN95" s="97" t="e">
        <x:f>I95*INDEX(Régions!$AK$2:$AK$6,MATCH($B95,Régions!$A$2:$A$6,0))</x:f>
        <x:v>#NAME?</x:v>
      </x:c>
      <x:c r="AO95" s="99" t="str">
        <x:f>INDEX({"CAQ","PLQ","QS","PQ","PCQ","Autre"},MATCH(MAX(Q95:V95),Q95:V95,0))</x:f>
        <x:v>CAQ</x:v>
      </x:c>
      <x:c r="AP95" s="99" t="str">
        <x:f>INDEX({"CAQ","PLQ","QS","PQ","PCQ","Autre"},MATCH(MAX(W95:AB95),W95:AB95,0))</x:f>
        <x:v>CAQ</x:v>
      </x:c>
      <x:c r="AQ95" s="99" t="str">
        <x:f>INDEX({"CAQ","PLQ","QS","PQ","PCQ","Autre"},MATCH(MAX(AC95:AH95),AC95:AH95,0))</x:f>
        <x:v>CAQ</x:v>
      </x:c>
      <x:c r="AR95" s="99" t="str">
        <x:f>INDEX({"CAQ","PLQ","QS","PQ","PCQ","Autre"},MATCH(MAX(AI95:AN95),AI95:AN95,0))</x:f>
        <x:v>CAQ</x:v>
      </x:c>
      <x:c r="AS95" s="100" t="n">
        <x:f>(MAX(K95:P95)-LARGE(K95:P95,2))*100</x:f>
        <x:v>34.83565737051792</x:v>
      </x:c>
      <x:c r="AT95" s="101" t="str">
        <x:f>IF(AS95&lt;5,"Oui","Non")</x:f>
        <x:v>Non</x:v>
      </x:c>
      <x:c r="AU95" s="102" t="n">
        <x:v>4.13</x:v>
      </x:c>
      <x:c r="AV95" s="102" t="n">
        <x:v>0.301</x:v>
      </x:c>
      <x:c r="AW95" s="102" t="n">
        <x:v>-2.147</x:v>
      </x:c>
      <x:c r="AX95" s="102" t="n">
        <x:v>-1.615</x:v>
      </x:c>
      <x:c r="AY95" s="96" t="n">
        <x:v>17312</x:v>
      </x:c>
      <x:c r="AZ95" s="96" t="n">
        <x:v>3939</x:v>
      </x:c>
      <x:c r="BA95" s="96" t="n">
        <x:v>4910</x:v>
      </x:c>
      <x:c r="BB95" s="96" t="n">
        <x:v>9017</x:v>
      </x:c>
      <x:c r="BC95" s="96" t="n">
        <x:v>945</x:v>
      </x:c>
      <x:c r="BD95" s="97" t="e">
        <x:f>AY95*INDEX(Régions!$AQ$2:$AQ$6,MATCH($B95,Régions!$A$2:$A$6,0))</x:f>
        <x:v>#NAME?</x:v>
      </x:c>
      <x:c r="BE95" s="97" t="e">
        <x:f>AZ95*INDEX(Régions!$AR$2:$AR$6,MATCH($B95,Régions!$A$2:$A$6,0))</x:f>
        <x:v>#NAME?</x:v>
      </x:c>
      <x:c r="BF95" s="97" t="e">
        <x:f>BA95*INDEX(Régions!$AS$2:$AS$6,MATCH($B95,Régions!$A$2:$A$6,0))</x:f>
        <x:v>#NAME?</x:v>
      </x:c>
      <x:c r="BG95" s="97" t="e">
        <x:f>BB95*INDEX(Régions!$AT$2:$AT$6,MATCH($B95,Régions!$A$2:$A$6,0))</x:f>
        <x:v>#NAME?</x:v>
      </x:c>
      <x:c r="BH95" s="97" t="e">
        <x:f>U95</x:f>
        <x:v>#NAME?</x:v>
      </x:c>
      <x:c r="BI95" s="97" t="e">
        <x:f>BC95*INDEX(Régions!$AU$2:$AU$6,MATCH($B95,Régions!$A$2:$A$6,0))</x:f>
        <x:v>#NAME?</x:v>
      </x:c>
      <x:c r="BJ95" s="97" t="str">
        <x:f>INDEX({"CAQ","PLQ","QS","PQ","PCQ","Autre"},MATCH(MAX(BD95:BI95),BD95:BI95,0))</x:f>
        <x:v>CAQ</x:v>
      </x:c>
    </x:row>
    <x:row r="96" s="60" customFormat="1" ht="15" customHeight="1">
      <x:c r="A96" s="94" t="inlineStr">
        <x:is>
          <x:t xml:space="preserve">Richmond</x:t>
        </x:is>
      </x:c>
      <x:c r="B96" s="94" t="inlineStr">
        <x:is>
          <x:t xml:space="preserve">Reste du Québec</x:t>
        </x:is>
      </x:c>
      <x:c r="C96" s="95" t="inlineStr">
        <x:is>
          <x:t xml:space="preserve">CAQ</x:t>
        </x:is>
      </x:c>
      <x:c r="D96" s="96" t="n">
        <x:v>18491</x:v>
      </x:c>
      <x:c r="E96" s="96" t="n">
        <x:v>2273</x:v>
      </x:c>
      <x:c r="F96" s="96" t="n">
        <x:v>8135</x:v>
      </x:c>
      <x:c r="G96" s="96" t="n">
        <x:v>4956</x:v>
      </x:c>
      <x:c r="H96" s="96" t="n">
        <x:v>5878</x:v>
      </x:c>
      <x:c r="I96" s="96" t="n">
        <x:v>194</x:v>
      </x:c>
      <x:c r="J96" s="97" t="n">
        <x:f>SUM(D96:I96)</x:f>
        <x:v>39927</x:v>
      </x:c>
      <x:c r="K96" s="98" t="n">
        <x:f>IFERROR(D96/J96,0)</x:f>
        <x:v>0.4631201943546973</x:v>
      </x:c>
      <x:c r="L96" s="98" t="n">
        <x:f>IFERROR(E96/J96,0)</x:f>
        <x:v>0.05692889523380169</x:v>
      </x:c>
      <x:c r="M96" s="98" t="n">
        <x:f>IFERROR(F96/J96,0)</x:f>
        <x:v>0.20374683797931226</x:v>
      </x:c>
      <x:c r="N96" s="98" t="n">
        <x:f>IFERROR(G96/J96,0)</x:f>
        <x:v>0.12412653091892704</x:v>
      </x:c>
      <x:c r="O96" s="98" t="n">
        <x:f>IFERROR(H96/J96,0)</x:f>
        <x:v>0.14721867408019637</x:v>
      </x:c>
      <x:c r="P96" s="98" t="n">
        <x:f>IFERROR(I96/J96,0)</x:f>
        <x:v>0.004858867433065344</x:v>
      </x:c>
      <x:c r="Q96" s="97" t="e">
        <x:f>D96*INDEX(Régions!$T$2:$T$6,MATCH($B96,Régions!$A$2:$A$6,0))</x:f>
        <x:v>#NAME?</x:v>
      </x:c>
      <x:c r="R96" s="97" t="e">
        <x:f>E96*INDEX(Régions!$U$2:$U$6,MATCH($B96,Régions!$A$2:$A$6,0))</x:f>
        <x:v>#NAME?</x:v>
      </x:c>
      <x:c r="S96" s="97" t="e">
        <x:f>F96*INDEX(Régions!$V$2:$V$6,MATCH($B96,Régions!$A$2:$A$6,0))</x:f>
        <x:v>#NAME?</x:v>
      </x:c>
      <x:c r="T96" s="97" t="e">
        <x:f>G96*INDEX(Régions!$W$2:$W$6,MATCH($B96,Régions!$A$2:$A$6,0))</x:f>
        <x:v>#NAME?</x:v>
      </x:c>
      <x:c r="U96" s="97" t="e">
        <x:f>H96*INDEX(Régions!$X$2:$X$6,MATCH($B96,Régions!$A$2:$A$6,0))</x:f>
        <x:v>#NAME?</x:v>
      </x:c>
      <x:c r="V96" s="97" t="e">
        <x:f>I96*INDEX(Régions!$Y$2:$Y$6,MATCH($B96,Régions!$A$2:$A$6,0))</x:f>
        <x:v>#NAME?</x:v>
      </x:c>
      <x:c r="W96" s="97" t="e">
        <x:f>Q96+(AU96/100)*J96*Régions!$O$2</x:f>
        <x:v>#NAME?</x:v>
      </x:c>
      <x:c r="X96" s="97" t="e">
        <x:f>R96+(AV96/100)*J96*Régions!$O$2</x:f>
        <x:v>#NAME?</x:v>
      </x:c>
      <x:c r="Y96" s="97" t="e">
        <x:f>S96+(AW96/100)*J96*Régions!$O$2</x:f>
        <x:v>#NAME?</x:v>
      </x:c>
      <x:c r="Z96" s="97" t="e">
        <x:f>T96+(AX96/100)*J96*Régions!$O$2</x:f>
        <x:v>#NAME?</x:v>
      </x:c>
      <x:c r="AA96" s="97" t="e">
        <x:f>U96</x:f>
        <x:v>#NAME?</x:v>
      </x:c>
      <x:c r="AB96" s="97" t="e">
        <x:f>V96</x:f>
        <x:v>#NAME?</x:v>
      </x:c>
      <x:c r="AC96" s="97" t="e">
        <x:f>D96*INDEX(Régions!$Z$2:$Z$6,MATCH($B96,Régions!$A$2:$A$6,0))</x:f>
        <x:v>#NAME?</x:v>
      </x:c>
      <x:c r="AD96" s="97" t="e">
        <x:f>E96*INDEX(Régions!$AA$2:$AA$6,MATCH($B96,Régions!$A$2:$A$6,0))</x:f>
        <x:v>#NAME?</x:v>
      </x:c>
      <x:c r="AE96" s="97" t="e">
        <x:f>F96*INDEX(Régions!$AB$2:$AB$6,MATCH($B96,Régions!$A$2:$A$6,0))</x:f>
        <x:v>#NAME?</x:v>
      </x:c>
      <x:c r="AF96" s="97" t="e">
        <x:f>G96*INDEX(Régions!$AC$2:$AC$6,MATCH($B96,Régions!$A$2:$A$6,0))</x:f>
        <x:v>#NAME?</x:v>
      </x:c>
      <x:c r="AG96" s="97" t="e">
        <x:f>H96*INDEX(Régions!$AD$2:$AD$6,MATCH($B96,Régions!$A$2:$A$6,0))</x:f>
        <x:v>#NAME?</x:v>
      </x:c>
      <x:c r="AH96" s="97" t="e">
        <x:f>I96*INDEX(Régions!$AE$2:$AE$6,MATCH($B96,Régions!$A$2:$A$6,0))</x:f>
        <x:v>#NAME?</x:v>
      </x:c>
      <x:c r="AI96" s="97" t="e">
        <x:f>D96*INDEX(Régions!$AF$2:$AF$6,MATCH($B96,Régions!$A$2:$A$6,0))</x:f>
        <x:v>#NAME?</x:v>
      </x:c>
      <x:c r="AJ96" s="97" t="e">
        <x:f>E96*INDEX(Régions!$AG$2:$AG$6,MATCH($B96,Régions!$A$2:$A$6,0))</x:f>
        <x:v>#NAME?</x:v>
      </x:c>
      <x:c r="AK96" s="97" t="e">
        <x:f>F96*INDEX(Régions!$AH$2:$AH$6,MATCH($B96,Régions!$A$2:$A$6,0))</x:f>
        <x:v>#NAME?</x:v>
      </x:c>
      <x:c r="AL96" s="97" t="e">
        <x:f>G96*INDEX(Régions!$AI$2:$AI$6,MATCH($B96,Régions!$A$2:$A$6,0))</x:f>
        <x:v>#NAME?</x:v>
      </x:c>
      <x:c r="AM96" s="97" t="e">
        <x:f>H96*INDEX(Régions!$AJ$2:$AJ$6,MATCH($B96,Régions!$A$2:$A$6,0))</x:f>
        <x:v>#NAME?</x:v>
      </x:c>
      <x:c r="AN96" s="97" t="e">
        <x:f>I96*INDEX(Régions!$AK$2:$AK$6,MATCH($B96,Régions!$A$2:$A$6,0))</x:f>
        <x:v>#NAME?</x:v>
      </x:c>
      <x:c r="AO96" s="99" t="str">
        <x:f>INDEX({"CAQ","PLQ","QS","PQ","PCQ","Autre"},MATCH(MAX(Q96:V96),Q96:V96,0))</x:f>
        <x:v>CAQ</x:v>
      </x:c>
      <x:c r="AP96" s="99" t="str">
        <x:f>INDEX({"CAQ","PLQ","QS","PQ","PCQ","Autre"},MATCH(MAX(W96:AB96),W96:AB96,0))</x:f>
        <x:v>CAQ</x:v>
      </x:c>
      <x:c r="AQ96" s="99" t="str">
        <x:f>INDEX({"CAQ","PLQ","QS","PQ","PCQ","Autre"},MATCH(MAX(AC96:AH96),AC96:AH96,0))</x:f>
        <x:v>CAQ</x:v>
      </x:c>
      <x:c r="AR96" s="99" t="str">
        <x:f>INDEX({"CAQ","PLQ","QS","PQ","PCQ","Autre"},MATCH(MAX(AI96:AN96),AI96:AN96,0))</x:f>
        <x:v>CAQ</x:v>
      </x:c>
      <x:c r="AS96" s="100" t="n">
        <x:f>(MAX(K96:P96)-LARGE(K96:P96,2))*100</x:f>
        <x:v>25.937335637538506</x:v>
      </x:c>
      <x:c r="AT96" s="101" t="str">
        <x:f>IF(AS96&lt;5,"Oui","Non")</x:f>
        <x:v>Non</x:v>
      </x:c>
      <x:c r="AU96" s="102" t="n">
        <x:v>0.873</x:v>
      </x:c>
      <x:c r="AV96" s="102" t="n">
        <x:v>-1.711</x:v>
      </x:c>
      <x:c r="AW96" s="102" t="n">
        <x:v>2.216</x:v>
      </x:c>
      <x:c r="AX96" s="102" t="n">
        <x:v>-1.064</x:v>
      </x:c>
      <x:c r="AY96" s="96" t="n">
        <x:v>14898</x:v>
      </x:c>
      <x:c r="AZ96" s="96" t="n">
        <x:v>7604</x:v>
      </x:c>
      <x:c r="BA96" s="96" t="n">
        <x:v>7224</x:v>
      </x:c>
      <x:c r="BB96" s="96" t="n">
        <x:v>6588</x:v>
      </x:c>
      <x:c r="BC96" s="96" t="n">
        <x:v>1415</x:v>
      </x:c>
      <x:c r="BD96" s="97" t="e">
        <x:f>AY96*INDEX(Régions!$AQ$2:$AQ$6,MATCH($B96,Régions!$A$2:$A$6,0))</x:f>
        <x:v>#NAME?</x:v>
      </x:c>
      <x:c r="BE96" s="97" t="e">
        <x:f>AZ96*INDEX(Régions!$AR$2:$AR$6,MATCH($B96,Régions!$A$2:$A$6,0))</x:f>
        <x:v>#NAME?</x:v>
      </x:c>
      <x:c r="BF96" s="97" t="e">
        <x:f>BA96*INDEX(Régions!$AS$2:$AS$6,MATCH($B96,Régions!$A$2:$A$6,0))</x:f>
        <x:v>#NAME?</x:v>
      </x:c>
      <x:c r="BG96" s="97" t="e">
        <x:f>BB96*INDEX(Régions!$AT$2:$AT$6,MATCH($B96,Régions!$A$2:$A$6,0))</x:f>
        <x:v>#NAME?</x:v>
      </x:c>
      <x:c r="BH96" s="97" t="e">
        <x:f>U96</x:f>
        <x:v>#NAME?</x:v>
      </x:c>
      <x:c r="BI96" s="97" t="e">
        <x:f>BC96*INDEX(Régions!$AU$2:$AU$6,MATCH($B96,Régions!$A$2:$A$6,0))</x:f>
        <x:v>#NAME?</x:v>
      </x:c>
      <x:c r="BJ96" s="97" t="str">
        <x:f>INDEX({"CAQ","PLQ","QS","PQ","PCQ","Autre"},MATCH(MAX(BD96:BI96),BD96:BI96,0))</x:f>
        <x:v>CAQ</x:v>
      </x:c>
    </x:row>
    <x:row r="97" s="60" customFormat="1" ht="15" customHeight="1">
      <x:c r="A97" s="94" t="inlineStr">
        <x:is>
          <x:t xml:space="preserve">Rimouski</x:t>
        </x:is>
      </x:c>
      <x:c r="B97" s="94" t="inlineStr">
        <x:is>
          <x:t xml:space="preserve">Reste du Québec</x:t>
        </x:is>
      </x:c>
      <x:c r="C97" s="95" t="inlineStr">
        <x:is>
          <x:t xml:space="preserve">CAQ</x:t>
        </x:is>
      </x:c>
      <x:c r="D97" s="96" t="n">
        <x:v>13761</x:v>
      </x:c>
      <x:c r="E97" s="96" t="n">
        <x:v>992</x:v>
      </x:c>
      <x:c r="F97" s="96" t="n">
        <x:v>7042</x:v>
      </x:c>
      <x:c r="G97" s="96" t="n">
        <x:v>9440</x:v>
      </x:c>
      <x:c r="H97" s="96" t="n">
        <x:v>1566</x:v>
      </x:c>
      <x:c r="I97" s="96" t="n">
        <x:v>159</x:v>
      </x:c>
      <x:c r="J97" s="97" t="n">
        <x:f>SUM(D97:I97)</x:f>
        <x:v>32960</x:v>
      </x:c>
      <x:c r="K97" s="98" t="n">
        <x:f>IFERROR(D97/J97,0)</x:f>
        <x:v>0.4175060679611651</x:v>
      </x:c>
      <x:c r="L97" s="98" t="n">
        <x:f>IFERROR(E97/J97,0)</x:f>
        <x:v>0.030097087378640777</x:v>
      </x:c>
      <x:c r="M97" s="98" t="n">
        <x:f>IFERROR(F97/J97,0)</x:f>
        <x:v>0.21365291262135921</x:v>
      </x:c>
      <x:c r="N97" s="98" t="n">
        <x:f>IFERROR(G97/J97,0)</x:f>
        <x:v>0.28640776699029125</x:v>
      </x:c>
      <x:c r="O97" s="98" t="n">
        <x:f>IFERROR(H97/J97,0)</x:f>
        <x:v>0.0475121359223301</x:v>
      </x:c>
      <x:c r="P97" s="98" t="n">
        <x:f>IFERROR(I97/J97,0)</x:f>
        <x:v>0.004824029126213592</x:v>
      </x:c>
      <x:c r="Q97" s="97" t="e">
        <x:f>D97*INDEX(Régions!$T$2:$T$6,MATCH($B97,Régions!$A$2:$A$6,0))</x:f>
        <x:v>#NAME?</x:v>
      </x:c>
      <x:c r="R97" s="97" t="e">
        <x:f>E97*INDEX(Régions!$U$2:$U$6,MATCH($B97,Régions!$A$2:$A$6,0))</x:f>
        <x:v>#NAME?</x:v>
      </x:c>
      <x:c r="S97" s="97" t="e">
        <x:f>F97*INDEX(Régions!$V$2:$V$6,MATCH($B97,Régions!$A$2:$A$6,0))</x:f>
        <x:v>#NAME?</x:v>
      </x:c>
      <x:c r="T97" s="97" t="e">
        <x:f>G97*INDEX(Régions!$W$2:$W$6,MATCH($B97,Régions!$A$2:$A$6,0))</x:f>
        <x:v>#NAME?</x:v>
      </x:c>
      <x:c r="U97" s="97" t="e">
        <x:f>H97*INDEX(Régions!$X$2:$X$6,MATCH($B97,Régions!$A$2:$A$6,0))</x:f>
        <x:v>#NAME?</x:v>
      </x:c>
      <x:c r="V97" s="97" t="e">
        <x:f>I97*INDEX(Régions!$Y$2:$Y$6,MATCH($B97,Régions!$A$2:$A$6,0))</x:f>
        <x:v>#NAME?</x:v>
      </x:c>
      <x:c r="W97" s="97" t="e">
        <x:f>Q97+(AU97/100)*J97*Régions!$O$2</x:f>
        <x:v>#NAME?</x:v>
      </x:c>
      <x:c r="X97" s="97" t="e">
        <x:f>R97+(AV97/100)*J97*Régions!$O$2</x:f>
        <x:v>#NAME?</x:v>
      </x:c>
      <x:c r="Y97" s="97" t="e">
        <x:f>S97+(AW97/100)*J97*Régions!$O$2</x:f>
        <x:v>#NAME?</x:v>
      </x:c>
      <x:c r="Z97" s="97" t="e">
        <x:f>T97+(AX97/100)*J97*Régions!$O$2</x:f>
        <x:v>#NAME?</x:v>
      </x:c>
      <x:c r="AA97" s="97" t="e">
        <x:f>U97</x:f>
        <x:v>#NAME?</x:v>
      </x:c>
      <x:c r="AB97" s="97" t="e">
        <x:f>V97</x:f>
        <x:v>#NAME?</x:v>
      </x:c>
      <x:c r="AC97" s="97" t="e">
        <x:f>D97*INDEX(Régions!$Z$2:$Z$6,MATCH($B97,Régions!$A$2:$A$6,0))</x:f>
        <x:v>#NAME?</x:v>
      </x:c>
      <x:c r="AD97" s="97" t="e">
        <x:f>E97*INDEX(Régions!$AA$2:$AA$6,MATCH($B97,Régions!$A$2:$A$6,0))</x:f>
        <x:v>#NAME?</x:v>
      </x:c>
      <x:c r="AE97" s="97" t="e">
        <x:f>F97*INDEX(Régions!$AB$2:$AB$6,MATCH($B97,Régions!$A$2:$A$6,0))</x:f>
        <x:v>#NAME?</x:v>
      </x:c>
      <x:c r="AF97" s="97" t="e">
        <x:f>G97*INDEX(Régions!$AC$2:$AC$6,MATCH($B97,Régions!$A$2:$A$6,0))</x:f>
        <x:v>#NAME?</x:v>
      </x:c>
      <x:c r="AG97" s="97" t="e">
        <x:f>H97*INDEX(Régions!$AD$2:$AD$6,MATCH($B97,Régions!$A$2:$A$6,0))</x:f>
        <x:v>#NAME?</x:v>
      </x:c>
      <x:c r="AH97" s="97" t="e">
        <x:f>I97*INDEX(Régions!$AE$2:$AE$6,MATCH($B97,Régions!$A$2:$A$6,0))</x:f>
        <x:v>#NAME?</x:v>
      </x:c>
      <x:c r="AI97" s="97" t="e">
        <x:f>D97*INDEX(Régions!$AF$2:$AF$6,MATCH($B97,Régions!$A$2:$A$6,0))</x:f>
        <x:v>#NAME?</x:v>
      </x:c>
      <x:c r="AJ97" s="97" t="e">
        <x:f>E97*INDEX(Régions!$AG$2:$AG$6,MATCH($B97,Régions!$A$2:$A$6,0))</x:f>
        <x:v>#NAME?</x:v>
      </x:c>
      <x:c r="AK97" s="97" t="e">
        <x:f>F97*INDEX(Régions!$AH$2:$AH$6,MATCH($B97,Régions!$A$2:$A$6,0))</x:f>
        <x:v>#NAME?</x:v>
      </x:c>
      <x:c r="AL97" s="97" t="e">
        <x:f>G97*INDEX(Régions!$AI$2:$AI$6,MATCH($B97,Régions!$A$2:$A$6,0))</x:f>
        <x:v>#NAME?</x:v>
      </x:c>
      <x:c r="AM97" s="97" t="e">
        <x:f>H97*INDEX(Régions!$AJ$2:$AJ$6,MATCH($B97,Régions!$A$2:$A$6,0))</x:f>
        <x:v>#NAME?</x:v>
      </x:c>
      <x:c r="AN97" s="97" t="e">
        <x:f>I97*INDEX(Régions!$AK$2:$AK$6,MATCH($B97,Régions!$A$2:$A$6,0))</x:f>
        <x:v>#NAME?</x:v>
      </x:c>
      <x:c r="AO97" s="99" t="str">
        <x:f>INDEX({"CAQ","PLQ","QS","PQ","PCQ","Autre"},MATCH(MAX(Q97:V97),Q97:V97,0))</x:f>
        <x:v>CAQ</x:v>
      </x:c>
      <x:c r="AP97" s="99" t="str">
        <x:f>INDEX({"CAQ","PLQ","QS","PQ","PCQ","Autre"},MATCH(MAX(W97:AB97),W97:AB97,0))</x:f>
        <x:v>CAQ</x:v>
      </x:c>
      <x:c r="AQ97" s="99" t="str">
        <x:f>INDEX({"CAQ","PLQ","QS","PQ","PCQ","Autre"},MATCH(MAX(AC97:AH97),AC97:AH97,0))</x:f>
        <x:v>CAQ</x:v>
      </x:c>
      <x:c r="AR97" s="99" t="str">
        <x:f>INDEX({"CAQ","PLQ","QS","PQ","PCQ","Autre"},MATCH(MAX(AI97:AN97),AI97:AN97,0))</x:f>
        <x:v>CAQ</x:v>
      </x:c>
      <x:c r="AS97" s="100" t="n">
        <x:f>(MAX(K97:P97)-LARGE(K97:P97,2))*100</x:f>
        <x:v>13.109830097087382</x:v>
      </x:c>
      <x:c r="AT97" s="101" t="str">
        <x:f>IF(AS97&lt;5,"Oui","Non")</x:f>
        <x:v>Non</x:v>
      </x:c>
      <x:c r="AU97" s="102" t="n">
        <x:v>10.899</x:v>
      </x:c>
      <x:c r="AV97" s="102" t="n">
        <x:v>3.427</x:v>
      </x:c>
      <x:c r="AW97" s="102" t="n">
        <x:v>4.925</x:v>
      </x:c>
      <x:c r="AX97" s="102" t="n">
        <x:v>-11.299</x:v>
      </x:c>
      <x:c r="AY97" s="96" t="n">
        <x:v>7903</x:v>
      </x:c>
      <x:c r="AZ97" s="96" t="n">
        <x:v>3914</x:v>
      </x:c>
      <x:c r="BA97" s="96" t="n">
        <x:v>5531</x:v>
      </x:c>
      <x:c r="BB97" s="96" t="n">
        <x:v>13940</x:v>
      </x:c>
      <x:c r="BC97" s="96" t="n">
        <x:v>449</x:v>
      </x:c>
      <x:c r="BD97" s="97" t="e">
        <x:f>AY97*INDEX(Régions!$AQ$2:$AQ$6,MATCH($B97,Régions!$A$2:$A$6,0))</x:f>
        <x:v>#NAME?</x:v>
      </x:c>
      <x:c r="BE97" s="97" t="e">
        <x:f>AZ97*INDEX(Régions!$AR$2:$AR$6,MATCH($B97,Régions!$A$2:$A$6,0))</x:f>
        <x:v>#NAME?</x:v>
      </x:c>
      <x:c r="BF97" s="97" t="e">
        <x:f>BA97*INDEX(Régions!$AS$2:$AS$6,MATCH($B97,Régions!$A$2:$A$6,0))</x:f>
        <x:v>#NAME?</x:v>
      </x:c>
      <x:c r="BG97" s="97" t="e">
        <x:f>BB97*INDEX(Régions!$AT$2:$AT$6,MATCH($B97,Régions!$A$2:$A$6,0))</x:f>
        <x:v>#NAME?</x:v>
      </x:c>
      <x:c r="BH97" s="97" t="e">
        <x:f>U97</x:f>
        <x:v>#NAME?</x:v>
      </x:c>
      <x:c r="BI97" s="97" t="e">
        <x:f>BC97*INDEX(Régions!$AU$2:$AU$6,MATCH($B97,Régions!$A$2:$A$6,0))</x:f>
        <x:v>#NAME?</x:v>
      </x:c>
      <x:c r="BJ97" s="97" t="str">
        <x:f>INDEX({"CAQ","PLQ","QS","PQ","PCQ","Autre"},MATCH(MAX(BD97:BI97),BD97:BI97,0))</x:f>
        <x:v>CAQ</x:v>
      </x:c>
    </x:row>
    <x:row r="98" s="60" customFormat="1" ht="15" customHeight="1">
      <x:c r="A98" s="94" t="inlineStr">
        <x:is>
          <x:t xml:space="preserve">Rivière-du-Loup–Témiscouata–Les Basques</x:t>
        </x:is>
      </x:c>
      <x:c r="B98" s="94" t="inlineStr">
        <x:is>
          <x:t xml:space="preserve">Reste du Québec</x:t>
        </x:is>
      </x:c>
      <x:c r="C98" s="95" t="inlineStr">
        <x:is>
          <x:t xml:space="preserve">CAQ</x:t>
        </x:is>
      </x:c>
      <x:c r="D98" s="96" t="n">
        <x:v>18183</x:v>
      </x:c>
      <x:c r="E98" s="96" t="n">
        <x:v>1388</x:v>
      </x:c>
      <x:c r="F98" s="96" t="n">
        <x:v>5102</x:v>
      </x:c>
      <x:c r="G98" s="96" t="n">
        <x:v>6141</x:v>
      </x:c>
      <x:c r="H98" s="96" t="n">
        <x:v>3937</x:v>
      </x:c>
      <x:c r="I98" s="96" t="n">
        <x:v>174</x:v>
      </x:c>
      <x:c r="J98" s="97" t="n">
        <x:f>SUM(D98:I98)</x:f>
        <x:v>34925</x:v>
      </x:c>
      <x:c r="K98" s="98" t="n">
        <x:f>IFERROR(D98/J98,0)</x:f>
        <x:v>0.5206299212598425</x:v>
      </x:c>
      <x:c r="L98" s="98" t="n">
        <x:f>IFERROR(E98/J98,0)</x:f>
        <x:v>0.039742304939155336</x:v>
      </x:c>
      <x:c r="M98" s="98" t="n">
        <x:f>IFERROR(F98/J98,0)</x:f>
        <x:v>0.14608446671438796</x:v>
      </x:c>
      <x:c r="N98" s="98" t="n">
        <x:f>IFERROR(G98/J98,0)</x:f>
        <x:v>0.17583392984967788</x:v>
      </x:c>
      <x:c r="O98" s="98" t="n">
        <x:f>IFERROR(H98/J98,0)</x:f>
        <x:v>0.11272727272727273</x:v>
      </x:c>
      <x:c r="P98" s="98" t="n">
        <x:f>IFERROR(I98/J98,0)</x:f>
        <x:v>0.004982104509663565</x:v>
      </x:c>
      <x:c r="Q98" s="97" t="e">
        <x:f>D98*INDEX(Régions!$T$2:$T$6,MATCH($B98,Régions!$A$2:$A$6,0))</x:f>
        <x:v>#NAME?</x:v>
      </x:c>
      <x:c r="R98" s="97" t="e">
        <x:f>E98*INDEX(Régions!$U$2:$U$6,MATCH($B98,Régions!$A$2:$A$6,0))</x:f>
        <x:v>#NAME?</x:v>
      </x:c>
      <x:c r="S98" s="97" t="e">
        <x:f>F98*INDEX(Régions!$V$2:$V$6,MATCH($B98,Régions!$A$2:$A$6,0))</x:f>
        <x:v>#NAME?</x:v>
      </x:c>
      <x:c r="T98" s="97" t="e">
        <x:f>G98*INDEX(Régions!$W$2:$W$6,MATCH($B98,Régions!$A$2:$A$6,0))</x:f>
        <x:v>#NAME?</x:v>
      </x:c>
      <x:c r="U98" s="97" t="e">
        <x:f>H98*INDEX(Régions!$X$2:$X$6,MATCH($B98,Régions!$A$2:$A$6,0))</x:f>
        <x:v>#NAME?</x:v>
      </x:c>
      <x:c r="V98" s="97" t="e">
        <x:f>I98*INDEX(Régions!$Y$2:$Y$6,MATCH($B98,Régions!$A$2:$A$6,0))</x:f>
        <x:v>#NAME?</x:v>
      </x:c>
      <x:c r="W98" s="97" t="e">
        <x:f>Q98+(AU98/100)*J98*Régions!$O$2</x:f>
        <x:v>#NAME?</x:v>
      </x:c>
      <x:c r="X98" s="97" t="e">
        <x:f>R98+(AV98/100)*J98*Régions!$O$2</x:f>
        <x:v>#NAME?</x:v>
      </x:c>
      <x:c r="Y98" s="97" t="e">
        <x:f>S98+(AW98/100)*J98*Régions!$O$2</x:f>
        <x:v>#NAME?</x:v>
      </x:c>
      <x:c r="Z98" s="97" t="e">
        <x:f>T98+(AX98/100)*J98*Régions!$O$2</x:f>
        <x:v>#NAME?</x:v>
      </x:c>
      <x:c r="AA98" s="97" t="e">
        <x:f>U98</x:f>
        <x:v>#NAME?</x:v>
      </x:c>
      <x:c r="AB98" s="97" t="e">
        <x:f>V98</x:f>
        <x:v>#NAME?</x:v>
      </x:c>
      <x:c r="AC98" s="97" t="e">
        <x:f>D98*INDEX(Régions!$Z$2:$Z$6,MATCH($B98,Régions!$A$2:$A$6,0))</x:f>
        <x:v>#NAME?</x:v>
      </x:c>
      <x:c r="AD98" s="97" t="e">
        <x:f>E98*INDEX(Régions!$AA$2:$AA$6,MATCH($B98,Régions!$A$2:$A$6,0))</x:f>
        <x:v>#NAME?</x:v>
      </x:c>
      <x:c r="AE98" s="97" t="e">
        <x:f>F98*INDEX(Régions!$AB$2:$AB$6,MATCH($B98,Régions!$A$2:$A$6,0))</x:f>
        <x:v>#NAME?</x:v>
      </x:c>
      <x:c r="AF98" s="97" t="e">
        <x:f>G98*INDEX(Régions!$AC$2:$AC$6,MATCH($B98,Régions!$A$2:$A$6,0))</x:f>
        <x:v>#NAME?</x:v>
      </x:c>
      <x:c r="AG98" s="97" t="e">
        <x:f>H98*INDEX(Régions!$AD$2:$AD$6,MATCH($B98,Régions!$A$2:$A$6,0))</x:f>
        <x:v>#NAME?</x:v>
      </x:c>
      <x:c r="AH98" s="97" t="e">
        <x:f>I98*INDEX(Régions!$AE$2:$AE$6,MATCH($B98,Régions!$A$2:$A$6,0))</x:f>
        <x:v>#NAME?</x:v>
      </x:c>
      <x:c r="AI98" s="97" t="e">
        <x:f>D98*INDEX(Régions!$AF$2:$AF$6,MATCH($B98,Régions!$A$2:$A$6,0))</x:f>
        <x:v>#NAME?</x:v>
      </x:c>
      <x:c r="AJ98" s="97" t="e">
        <x:f>E98*INDEX(Régions!$AG$2:$AG$6,MATCH($B98,Régions!$A$2:$A$6,0))</x:f>
        <x:v>#NAME?</x:v>
      </x:c>
      <x:c r="AK98" s="97" t="e">
        <x:f>F98*INDEX(Régions!$AH$2:$AH$6,MATCH($B98,Régions!$A$2:$A$6,0))</x:f>
        <x:v>#NAME?</x:v>
      </x:c>
      <x:c r="AL98" s="97" t="e">
        <x:f>G98*INDEX(Régions!$AI$2:$AI$6,MATCH($B98,Régions!$A$2:$A$6,0))</x:f>
        <x:v>#NAME?</x:v>
      </x:c>
      <x:c r="AM98" s="97" t="e">
        <x:f>H98*INDEX(Régions!$AJ$2:$AJ$6,MATCH($B98,Régions!$A$2:$A$6,0))</x:f>
        <x:v>#NAME?</x:v>
      </x:c>
      <x:c r="AN98" s="97" t="e">
        <x:f>I98*INDEX(Régions!$AK$2:$AK$6,MATCH($B98,Régions!$A$2:$A$6,0))</x:f>
        <x:v>#NAME?</x:v>
      </x:c>
      <x:c r="AO98" s="99" t="str">
        <x:f>INDEX({"CAQ","PLQ","QS","PQ","PCQ","Autre"},MATCH(MAX(Q98:V98),Q98:V98,0))</x:f>
        <x:v>CAQ</x:v>
      </x:c>
      <x:c r="AP98" s="99" t="str">
        <x:f>INDEX({"CAQ","PLQ","QS","PQ","PCQ","Autre"},MATCH(MAX(W98:AB98),W98:AB98,0))</x:f>
        <x:v>CAQ</x:v>
      </x:c>
      <x:c r="AQ98" s="99" t="str">
        <x:f>INDEX({"CAQ","PLQ","QS","PQ","PCQ","Autre"},MATCH(MAX(AC98:AH98),AC98:AH98,0))</x:f>
        <x:v>CAQ</x:v>
      </x:c>
      <x:c r="AR98" s="99" t="str">
        <x:f>INDEX({"CAQ","PLQ","QS","PQ","PCQ","Autre"},MATCH(MAX(AI98:AN98),AI98:AN98,0))</x:f>
        <x:v>CAQ</x:v>
      </x:c>
      <x:c r="AS98" s="100" t="n">
        <x:f>(MAX(K98:P98)-LARGE(K98:P98,2))*100</x:f>
        <x:v>34.479599141016465</x:v>
      </x:c>
      <x:c r="AT98" s="101" t="str">
        <x:f>IF(AS98&lt;5,"Oui","Non")</x:f>
        <x:v>Non</x:v>
      </x:c>
      <x:c r="AU98" s="102" t="n">
        <x:v>6.935</x:v>
      </x:c>
      <x:c r="AV98" s="102" t="n">
        <x:v>-16.734</x:v>
      </x:c>
      <x:c r="AW98" s="102" t="n">
        <x:v>4.567</x:v>
      </x:c>
      <x:c r="AX98" s="102" t="n">
        <x:v>6.321</x:v>
      </x:c>
      <x:c r="AY98" s="96" t="n">
        <x:v>13439</x:v>
      </x:c>
      <x:c r="AZ98" s="96" t="n">
        <x:v>11477</x:v>
      </x:c>
      <x:c r="BA98" s="96" t="n">
        <x:v>3783</x:v>
      </x:c>
      <x:c r="BB98" s="96" t="n">
        <x:v>5230</x:v>
      </x:c>
      <x:c r="BC98" s="96" t="n">
        <x:v>373</x:v>
      </x:c>
      <x:c r="BD98" s="97" t="e">
        <x:f>AY98*INDEX(Régions!$AQ$2:$AQ$6,MATCH($B98,Régions!$A$2:$A$6,0))</x:f>
        <x:v>#NAME?</x:v>
      </x:c>
      <x:c r="BE98" s="97" t="e">
        <x:f>AZ98*INDEX(Régions!$AR$2:$AR$6,MATCH($B98,Régions!$A$2:$A$6,0))</x:f>
        <x:v>#NAME?</x:v>
      </x:c>
      <x:c r="BF98" s="97" t="e">
        <x:f>BA98*INDEX(Régions!$AS$2:$AS$6,MATCH($B98,Régions!$A$2:$A$6,0))</x:f>
        <x:v>#NAME?</x:v>
      </x:c>
      <x:c r="BG98" s="97" t="e">
        <x:f>BB98*INDEX(Régions!$AT$2:$AT$6,MATCH($B98,Régions!$A$2:$A$6,0))</x:f>
        <x:v>#NAME?</x:v>
      </x:c>
      <x:c r="BH98" s="97" t="e">
        <x:f>U98</x:f>
        <x:v>#NAME?</x:v>
      </x:c>
      <x:c r="BI98" s="97" t="e">
        <x:f>BC98*INDEX(Régions!$AU$2:$AU$6,MATCH($B98,Régions!$A$2:$A$6,0))</x:f>
        <x:v>#NAME?</x:v>
      </x:c>
      <x:c r="BJ98" s="97" t="str">
        <x:f>INDEX({"CAQ","PLQ","QS","PQ","PCQ","Autre"},MATCH(MAX(BD98:BI98),BD98:BI98,0))</x:f>
        <x:v>CAQ</x:v>
      </x:c>
    </x:row>
    <x:row r="99" s="60" customFormat="1" ht="15" customHeight="1">
      <x:c r="A99" s="94" t="inlineStr">
        <x:is>
          <x:t xml:space="preserve">Robert-Baldwin</x:t>
        </x:is>
      </x:c>
      <x:c r="B99" s="94" t="inlineStr">
        <x:is>
          <x:t xml:space="preserve">Île de Montréal</x:t>
        </x:is>
      </x:c>
      <x:c r="C99" s="95" t="inlineStr">
        <x:is>
          <x:t xml:space="preserve">PLQ</x:t>
        </x:is>
      </x:c>
      <x:c r="D99" s="96" t="n">
        <x:v>2909</x:v>
      </x:c>
      <x:c r="E99" s="96" t="n">
        <x:v>17229</x:v>
      </x:c>
      <x:c r="F99" s="96" t="n">
        <x:v>1498</x:v>
      </x:c>
      <x:c r="G99" s="96" t="n">
        <x:v>776</x:v>
      </x:c>
      <x:c r="H99" s="96" t="n">
        <x:v>6010</x:v>
      </x:c>
      <x:c r="I99" s="96" t="n">
        <x:v>1406</x:v>
      </x:c>
      <x:c r="J99" s="97" t="n">
        <x:f>SUM(D99:I99)</x:f>
        <x:v>29828</x:v>
      </x:c>
      <x:c r="K99" s="98" t="n">
        <x:f>IFERROR(D99/J99,0)</x:f>
        <x:v>0.09752581467077913</x:v>
      </x:c>
      <x:c r="L99" s="98" t="n">
        <x:f>IFERROR(E99/J99,0)</x:f>
        <x:v>0.5776116400697331</x:v>
      </x:c>
      <x:c r="M99" s="98" t="n">
        <x:f>IFERROR(F99/J99,0)</x:f>
        <x:v>0.05022126860667829</x:v>
      </x:c>
      <x:c r="N99" s="98" t="n">
        <x:f>IFERROR(G99/J99,0)</x:f>
        <x:v>0.026015824057932145</x:v>
      </x:c>
      <x:c r="O99" s="98" t="n">
        <x:f>IFERROR(H99/J99,0)</x:f>
        <x:v>0.20148853426310848</x:v>
      </x:c>
      <x:c r="P99" s="98" t="n">
        <x:f>IFERROR(I99/J99,0)</x:f>
        <x:v>0.04713691833176881</x:v>
      </x:c>
      <x:c r="Q99" s="97" t="e">
        <x:f>D99*INDEX(Régions!$T$2:$T$6,MATCH($B99,Régions!$A$2:$A$6,0))</x:f>
        <x:v>#NAME?</x:v>
      </x:c>
      <x:c r="R99" s="97" t="e">
        <x:f>E99*INDEX(Régions!$U$2:$U$6,MATCH($B99,Régions!$A$2:$A$6,0))</x:f>
        <x:v>#NAME?</x:v>
      </x:c>
      <x:c r="S99" s="97" t="e">
        <x:f>F99*INDEX(Régions!$V$2:$V$6,MATCH($B99,Régions!$A$2:$A$6,0))</x:f>
        <x:v>#NAME?</x:v>
      </x:c>
      <x:c r="T99" s="97" t="e">
        <x:f>G99*INDEX(Régions!$W$2:$W$6,MATCH($B99,Régions!$A$2:$A$6,0))</x:f>
        <x:v>#NAME?</x:v>
      </x:c>
      <x:c r="U99" s="97" t="e">
        <x:f>H99*INDEX(Régions!$X$2:$X$6,MATCH($B99,Régions!$A$2:$A$6,0))</x:f>
        <x:v>#NAME?</x:v>
      </x:c>
      <x:c r="V99" s="97" t="e">
        <x:f>I99*INDEX(Régions!$Y$2:$Y$6,MATCH($B99,Régions!$A$2:$A$6,0))</x:f>
        <x:v>#NAME?</x:v>
      </x:c>
      <x:c r="W99" s="97" t="e">
        <x:f>Q99+(AU99/100)*J99*Régions!$O$2</x:f>
        <x:v>#NAME?</x:v>
      </x:c>
      <x:c r="X99" s="97" t="e">
        <x:f>R99+(AV99/100)*J99*Régions!$O$2</x:f>
        <x:v>#NAME?</x:v>
      </x:c>
      <x:c r="Y99" s="97" t="e">
        <x:f>S99+(AW99/100)*J99*Régions!$O$2</x:f>
        <x:v>#NAME?</x:v>
      </x:c>
      <x:c r="Z99" s="97" t="e">
        <x:f>T99+(AX99/100)*J99*Régions!$O$2</x:f>
        <x:v>#NAME?</x:v>
      </x:c>
      <x:c r="AA99" s="97" t="e">
        <x:f>U99</x:f>
        <x:v>#NAME?</x:v>
      </x:c>
      <x:c r="AB99" s="97" t="e">
        <x:f>V99</x:f>
        <x:v>#NAME?</x:v>
      </x:c>
      <x:c r="AC99" s="97" t="e">
        <x:f>D99*INDEX(Régions!$Z$2:$Z$6,MATCH($B99,Régions!$A$2:$A$6,0))</x:f>
        <x:v>#NAME?</x:v>
      </x:c>
      <x:c r="AD99" s="97" t="e">
        <x:f>E99*INDEX(Régions!$AA$2:$AA$6,MATCH($B99,Régions!$A$2:$A$6,0))</x:f>
        <x:v>#NAME?</x:v>
      </x:c>
      <x:c r="AE99" s="97" t="e">
        <x:f>F99*INDEX(Régions!$AB$2:$AB$6,MATCH($B99,Régions!$A$2:$A$6,0))</x:f>
        <x:v>#NAME?</x:v>
      </x:c>
      <x:c r="AF99" s="97" t="e">
        <x:f>G99*INDEX(Régions!$AC$2:$AC$6,MATCH($B99,Régions!$A$2:$A$6,0))</x:f>
        <x:v>#NAME?</x:v>
      </x:c>
      <x:c r="AG99" s="97" t="e">
        <x:f>H99*INDEX(Régions!$AD$2:$AD$6,MATCH($B99,Régions!$A$2:$A$6,0))</x:f>
        <x:v>#NAME?</x:v>
      </x:c>
      <x:c r="AH99" s="97" t="e">
        <x:f>I99*INDEX(Régions!$AE$2:$AE$6,MATCH($B99,Régions!$A$2:$A$6,0))</x:f>
        <x:v>#NAME?</x:v>
      </x:c>
      <x:c r="AI99" s="97" t="e">
        <x:f>D99*INDEX(Régions!$AF$2:$AF$6,MATCH($B99,Régions!$A$2:$A$6,0))</x:f>
        <x:v>#NAME?</x:v>
      </x:c>
      <x:c r="AJ99" s="97" t="e">
        <x:f>E99*INDEX(Régions!$AG$2:$AG$6,MATCH($B99,Régions!$A$2:$A$6,0))</x:f>
        <x:v>#NAME?</x:v>
      </x:c>
      <x:c r="AK99" s="97" t="e">
        <x:f>F99*INDEX(Régions!$AH$2:$AH$6,MATCH($B99,Régions!$A$2:$A$6,0))</x:f>
        <x:v>#NAME?</x:v>
      </x:c>
      <x:c r="AL99" s="97" t="e">
        <x:f>G99*INDEX(Régions!$AI$2:$AI$6,MATCH($B99,Régions!$A$2:$A$6,0))</x:f>
        <x:v>#NAME?</x:v>
      </x:c>
      <x:c r="AM99" s="97" t="e">
        <x:f>H99*INDEX(Régions!$AJ$2:$AJ$6,MATCH($B99,Régions!$A$2:$A$6,0))</x:f>
        <x:v>#NAME?</x:v>
      </x:c>
      <x:c r="AN99" s="97" t="e">
        <x:f>I99*INDEX(Régions!$AK$2:$AK$6,MATCH($B99,Régions!$A$2:$A$6,0))</x:f>
        <x:v>#NAME?</x:v>
      </x:c>
      <x:c r="AO99" s="99" t="str">
        <x:f>INDEX({"CAQ","PLQ","QS","PQ","PCQ","Autre"},MATCH(MAX(Q99:V99),Q99:V99,0))</x:f>
        <x:v>CAQ</x:v>
      </x:c>
      <x:c r="AP99" s="99" t="str">
        <x:f>INDEX({"CAQ","PLQ","QS","PQ","PCQ","Autre"},MATCH(MAX(W99:AB99),W99:AB99,0))</x:f>
        <x:v>CAQ</x:v>
      </x:c>
      <x:c r="AQ99" s="99" t="str">
        <x:f>INDEX({"CAQ","PLQ","QS","PQ","PCQ","Autre"},MATCH(MAX(AC99:AH99),AC99:AH99,0))</x:f>
        <x:v>CAQ</x:v>
      </x:c>
      <x:c r="AR99" s="99" t="str">
        <x:f>INDEX({"CAQ","PLQ","QS","PQ","PCQ","Autre"},MATCH(MAX(AI99:AN99),AI99:AN99,0))</x:f>
        <x:v>CAQ</x:v>
      </x:c>
      <x:c r="AS99" s="100" t="n">
        <x:f>(MAX(K99:P99)-LARGE(K99:P99,2))*100</x:f>
        <x:v>37.61231058066246</x:v>
      </x:c>
      <x:c r="AT99" s="101" t="str">
        <x:f>IF(AS99&lt;5,"Oui","Non")</x:f>
        <x:v>Non</x:v>
      </x:c>
      <x:c r="AU99" s="102" t="n">
        <x:v>-3.677</x:v>
      </x:c>
      <x:c r="AV99" s="102" t="n">
        <x:v>-7.26</x:v>
      </x:c>
      <x:c r="AW99" s="102" t="n">
        <x:v>-0.059</x:v>
      </x:c>
      <x:c r="AX99" s="102" t="n">
        <x:v>0.483</x:v>
      </x:c>
      <x:c r="AY99" s="96" t="n">
        <x:v>3438</x:v>
      </x:c>
      <x:c r="AZ99" s="96" t="n">
        <x:v>22427</x:v>
      </x:c>
      <x:c r="BA99" s="96" t="n">
        <x:v>1317</x:v>
      </x:c>
      <x:c r="BB99" s="96" t="n">
        <x:v>994</x:v>
      </x:c>
      <x:c r="BC99" s="96" t="n">
        <x:v>2190</x:v>
      </x:c>
      <x:c r="BD99" s="97" t="e">
        <x:f>AY99*INDEX(Régions!$AQ$2:$AQ$6,MATCH($B99,Régions!$A$2:$A$6,0))</x:f>
        <x:v>#NAME?</x:v>
      </x:c>
      <x:c r="BE99" s="97" t="e">
        <x:f>AZ99*INDEX(Régions!$AR$2:$AR$6,MATCH($B99,Régions!$A$2:$A$6,0))</x:f>
        <x:v>#NAME?</x:v>
      </x:c>
      <x:c r="BF99" s="97" t="e">
        <x:f>BA99*INDEX(Régions!$AS$2:$AS$6,MATCH($B99,Régions!$A$2:$A$6,0))</x:f>
        <x:v>#NAME?</x:v>
      </x:c>
      <x:c r="BG99" s="97" t="e">
        <x:f>BB99*INDEX(Régions!$AT$2:$AT$6,MATCH($B99,Régions!$A$2:$A$6,0))</x:f>
        <x:v>#NAME?</x:v>
      </x:c>
      <x:c r="BH99" s="97" t="e">
        <x:f>U99</x:f>
        <x:v>#NAME?</x:v>
      </x:c>
      <x:c r="BI99" s="97" t="e">
        <x:f>BC99*INDEX(Régions!$AU$2:$AU$6,MATCH($B99,Régions!$A$2:$A$6,0))</x:f>
        <x:v>#NAME?</x:v>
      </x:c>
      <x:c r="BJ99" s="97" t="str">
        <x:f>INDEX({"CAQ","PLQ","QS","PQ","PCQ","Autre"},MATCH(MAX(BD99:BI99),BD99:BI99,0))</x:f>
        <x:v>CAQ</x:v>
      </x:c>
    </x:row>
    <x:row r="100" s="60" customFormat="1" ht="15" customHeight="1">
      <x:c r="A100" s="94" t="inlineStr">
        <x:is>
          <x:t xml:space="preserve">Roberval</x:t>
        </x:is>
      </x:c>
      <x:c r="B100" s="94" t="inlineStr">
        <x:is>
          <x:t xml:space="preserve">Reste du Québec</x:t>
        </x:is>
      </x:c>
      <x:c r="C100" s="95" t="inlineStr">
        <x:is>
          <x:t xml:space="preserve">CAQ</x:t>
        </x:is>
      </x:c>
      <x:c r="D100" s="96" t="n">
        <x:v>15017</x:v>
      </x:c>
      <x:c r="E100" s="96" t="n">
        <x:v>1217</x:v>
      </x:c>
      <x:c r="F100" s="96" t="n">
        <x:v>1826</x:v>
      </x:c>
      <x:c r="G100" s="96" t="n">
        <x:v>5488</x:v>
      </x:c>
      <x:c r="H100" s="96" t="n">
        <x:v>3038</x:v>
      </x:c>
      <x:c r="I100" s="96" t="n">
        <x:v>141</x:v>
      </x:c>
      <x:c r="J100" s="97" t="n">
        <x:f>SUM(D100:I100)</x:f>
        <x:v>26727</x:v>
      </x:c>
      <x:c r="K100" s="98" t="n">
        <x:f>IFERROR(D100/J100,0)</x:f>
        <x:v>0.5618662775470498</x:v>
      </x:c>
      <x:c r="L100" s="98" t="n">
        <x:f>IFERROR(E100/J100,0)</x:f>
        <x:v>0.04553447824297527</x:v>
      </x:c>
      <x:c r="M100" s="98" t="n">
        <x:f>IFERROR(F100/J100,0)</x:f>
        <x:v>0.06832042503835073</x:v>
      </x:c>
      <x:c r="N100" s="98" t="n">
        <x:f>IFERROR(G100/J100,0)</x:f>
        <x:v>0.20533542859280876</x:v>
      </x:c>
      <x:c r="O100" s="98" t="n">
        <x:f>IFERROR(H100/J100,0)</x:f>
        <x:v>0.11366782654244771</x:v>
      </x:c>
      <x:c r="P100" s="98" t="n">
        <x:f>IFERROR(I100/J100,0)</x:f>
        <x:v>0.005275564036367718</x:v>
      </x:c>
      <x:c r="Q100" s="97" t="e">
        <x:f>D100*INDEX(Régions!$T$2:$T$6,MATCH($B100,Régions!$A$2:$A$6,0))</x:f>
        <x:v>#NAME?</x:v>
      </x:c>
      <x:c r="R100" s="97" t="e">
        <x:f>E100*INDEX(Régions!$U$2:$U$6,MATCH($B100,Régions!$A$2:$A$6,0))</x:f>
        <x:v>#NAME?</x:v>
      </x:c>
      <x:c r="S100" s="97" t="e">
        <x:f>F100*INDEX(Régions!$V$2:$V$6,MATCH($B100,Régions!$A$2:$A$6,0))</x:f>
        <x:v>#NAME?</x:v>
      </x:c>
      <x:c r="T100" s="97" t="e">
        <x:f>G100*INDEX(Régions!$W$2:$W$6,MATCH($B100,Régions!$A$2:$A$6,0))</x:f>
        <x:v>#NAME?</x:v>
      </x:c>
      <x:c r="U100" s="97" t="e">
        <x:f>H100*INDEX(Régions!$X$2:$X$6,MATCH($B100,Régions!$A$2:$A$6,0))</x:f>
        <x:v>#NAME?</x:v>
      </x:c>
      <x:c r="V100" s="97" t="e">
        <x:f>I100*INDEX(Régions!$Y$2:$Y$6,MATCH($B100,Régions!$A$2:$A$6,0))</x:f>
        <x:v>#NAME?</x:v>
      </x:c>
      <x:c r="W100" s="97" t="e">
        <x:f>Q100+(AU100/100)*J100*Régions!$O$2</x:f>
        <x:v>#NAME?</x:v>
      </x:c>
      <x:c r="X100" s="97" t="e">
        <x:f>R100+(AV100/100)*J100*Régions!$O$2</x:f>
        <x:v>#NAME?</x:v>
      </x:c>
      <x:c r="Y100" s="97" t="e">
        <x:f>S100+(AW100/100)*J100*Régions!$O$2</x:f>
        <x:v>#NAME?</x:v>
      </x:c>
      <x:c r="Z100" s="97" t="e">
        <x:f>T100+(AX100/100)*J100*Régions!$O$2</x:f>
        <x:v>#NAME?</x:v>
      </x:c>
      <x:c r="AA100" s="97" t="e">
        <x:f>U100</x:f>
        <x:v>#NAME?</x:v>
      </x:c>
      <x:c r="AB100" s="97" t="e">
        <x:f>V100</x:f>
        <x:v>#NAME?</x:v>
      </x:c>
      <x:c r="AC100" s="97" t="e">
        <x:f>D100*INDEX(Régions!$Z$2:$Z$6,MATCH($B100,Régions!$A$2:$A$6,0))</x:f>
        <x:v>#NAME?</x:v>
      </x:c>
      <x:c r="AD100" s="97" t="e">
        <x:f>E100*INDEX(Régions!$AA$2:$AA$6,MATCH($B100,Régions!$A$2:$A$6,0))</x:f>
        <x:v>#NAME?</x:v>
      </x:c>
      <x:c r="AE100" s="97" t="e">
        <x:f>F100*INDEX(Régions!$AB$2:$AB$6,MATCH($B100,Régions!$A$2:$A$6,0))</x:f>
        <x:v>#NAME?</x:v>
      </x:c>
      <x:c r="AF100" s="97" t="e">
        <x:f>G100*INDEX(Régions!$AC$2:$AC$6,MATCH($B100,Régions!$A$2:$A$6,0))</x:f>
        <x:v>#NAME?</x:v>
      </x:c>
      <x:c r="AG100" s="97" t="e">
        <x:f>H100*INDEX(Régions!$AD$2:$AD$6,MATCH($B100,Régions!$A$2:$A$6,0))</x:f>
        <x:v>#NAME?</x:v>
      </x:c>
      <x:c r="AH100" s="97" t="e">
        <x:f>I100*INDEX(Régions!$AE$2:$AE$6,MATCH($B100,Régions!$A$2:$A$6,0))</x:f>
        <x:v>#NAME?</x:v>
      </x:c>
      <x:c r="AI100" s="97" t="e">
        <x:f>D100*INDEX(Régions!$AF$2:$AF$6,MATCH($B100,Régions!$A$2:$A$6,0))</x:f>
        <x:v>#NAME?</x:v>
      </x:c>
      <x:c r="AJ100" s="97" t="e">
        <x:f>E100*INDEX(Régions!$AG$2:$AG$6,MATCH($B100,Régions!$A$2:$A$6,0))</x:f>
        <x:v>#NAME?</x:v>
      </x:c>
      <x:c r="AK100" s="97" t="e">
        <x:f>F100*INDEX(Régions!$AH$2:$AH$6,MATCH($B100,Régions!$A$2:$A$6,0))</x:f>
        <x:v>#NAME?</x:v>
      </x:c>
      <x:c r="AL100" s="97" t="e">
        <x:f>G100*INDEX(Régions!$AI$2:$AI$6,MATCH($B100,Régions!$A$2:$A$6,0))</x:f>
        <x:v>#NAME?</x:v>
      </x:c>
      <x:c r="AM100" s="97" t="e">
        <x:f>H100*INDEX(Régions!$AJ$2:$AJ$6,MATCH($B100,Régions!$A$2:$A$6,0))</x:f>
        <x:v>#NAME?</x:v>
      </x:c>
      <x:c r="AN100" s="97" t="e">
        <x:f>I100*INDEX(Régions!$AK$2:$AK$6,MATCH($B100,Régions!$A$2:$A$6,0))</x:f>
        <x:v>#NAME?</x:v>
      </x:c>
      <x:c r="AO100" s="99" t="str">
        <x:f>INDEX({"CAQ","PLQ","QS","PQ","PCQ","Autre"},MATCH(MAX(Q100:V100),Q100:V100,0))</x:f>
        <x:v>CAQ</x:v>
      </x:c>
      <x:c r="AP100" s="99" t="str">
        <x:f>INDEX({"CAQ","PLQ","QS","PQ","PCQ","Autre"},MATCH(MAX(W100:AB100),W100:AB100,0))</x:f>
        <x:v>CAQ</x:v>
      </x:c>
      <x:c r="AQ100" s="99" t="str">
        <x:f>INDEX({"CAQ","PLQ","QS","PQ","PCQ","Autre"},MATCH(MAX(AC100:AH100),AC100:AH100,0))</x:f>
        <x:v>CAQ</x:v>
      </x:c>
      <x:c r="AR100" s="99" t="str">
        <x:f>INDEX({"CAQ","PLQ","QS","PQ","PCQ","Autre"},MATCH(MAX(AI100:AN100),AI100:AN100,0))</x:f>
        <x:v>CAQ</x:v>
      </x:c>
      <x:c r="AS100" s="100" t="n">
        <x:f>(MAX(K100:P100)-LARGE(K100:P100,2))*100</x:f>
        <x:v>35.6530848954241</x:v>
      </x:c>
      <x:c r="AT100" s="101" t="str">
        <x:f>IF(AS100&lt;5,"Oui","Non")</x:f>
        <x:v>Non</x:v>
      </x:c>
      <x:c r="AU100" s="102" t="n">
        <x:v>26.076</x:v>
      </x:c>
      <x:c r="AV100" s="102" t="n">
        <x:v>-25.152</x:v>
      </x:c>
      <x:c r="AW100" s="102" t="n">
        <x:v>-2.878</x:v>
      </x:c>
      <x:c r="AX100" s="102" t="n">
        <x:v>5.496</x:v>
      </x:c>
      <x:c r="AY100" s="96" t="n">
        <x:v>6719</x:v>
      </x:c>
      <x:c r="AZ100" s="96" t="n">
        <x:v>11807</x:v>
      </x:c>
      <x:c r="BA100" s="96" t="n">
        <x:v>2975</x:v>
      </x:c>
      <x:c r="BB100" s="96" t="n">
        <x:v>5290</x:v>
      </x:c>
      <x:c r="BC100" s="96" t="n">
        <x:v>1019</x:v>
      </x:c>
      <x:c r="BD100" s="97" t="e">
        <x:f>AY100*INDEX(Régions!$AQ$2:$AQ$6,MATCH($B100,Régions!$A$2:$A$6,0))</x:f>
        <x:v>#NAME?</x:v>
      </x:c>
      <x:c r="BE100" s="97" t="e">
        <x:f>AZ100*INDEX(Régions!$AR$2:$AR$6,MATCH($B100,Régions!$A$2:$A$6,0))</x:f>
        <x:v>#NAME?</x:v>
      </x:c>
      <x:c r="BF100" s="97" t="e">
        <x:f>BA100*INDEX(Régions!$AS$2:$AS$6,MATCH($B100,Régions!$A$2:$A$6,0))</x:f>
        <x:v>#NAME?</x:v>
      </x:c>
      <x:c r="BG100" s="97" t="e">
        <x:f>BB100*INDEX(Régions!$AT$2:$AT$6,MATCH($B100,Régions!$A$2:$A$6,0))</x:f>
        <x:v>#NAME?</x:v>
      </x:c>
      <x:c r="BH100" s="97" t="e">
        <x:f>U100</x:f>
        <x:v>#NAME?</x:v>
      </x:c>
      <x:c r="BI100" s="97" t="e">
        <x:f>BC100*INDEX(Régions!$AU$2:$AU$6,MATCH($B100,Régions!$A$2:$A$6,0))</x:f>
        <x:v>#NAME?</x:v>
      </x:c>
      <x:c r="BJ100" s="97" t="str">
        <x:f>INDEX({"CAQ","PLQ","QS","PQ","PCQ","Autre"},MATCH(MAX(BD100:BI100),BD100:BI100,0))</x:f>
        <x:v>CAQ</x:v>
      </x:c>
    </x:row>
    <x:row r="101" s="60" customFormat="1" ht="15" customHeight="1">
      <x:c r="A101" s="94" t="inlineStr">
        <x:is>
          <x:t xml:space="preserve">Rosemont</x:t>
        </x:is>
      </x:c>
      <x:c r="B101" s="94" t="inlineStr">
        <x:is>
          <x:t xml:space="preserve">Île de Montréal</x:t>
        </x:is>
      </x:c>
      <x:c r="C101" s="95" t="inlineStr">
        <x:is>
          <x:t xml:space="preserve">QS</x:t>
        </x:is>
      </x:c>
      <x:c r="D101" s="96" t="n">
        <x:v>8157</x:v>
      </x:c>
      <x:c r="E101" s="96" t="n">
        <x:v>4170</x:v>
      </x:c>
      <x:c r="F101" s="96" t="n">
        <x:v>13311</x:v>
      </x:c>
      <x:c r="G101" s="96" t="n">
        <x:v>7527</x:v>
      </x:c>
      <x:c r="H101" s="96" t="n">
        <x:v>1605</x:v>
      </x:c>
      <x:c r="I101" s="96" t="n">
        <x:v>610</x:v>
      </x:c>
      <x:c r="J101" s="97" t="n">
        <x:f>SUM(D101:I101)</x:f>
        <x:v>35380</x:v>
      </x:c>
      <x:c r="K101" s="98" t="n">
        <x:f>IFERROR(D101/J101,0)</x:f>
        <x:v>0.23055398530243076</x:v>
      </x:c>
      <x:c r="L101" s="98" t="n">
        <x:f>IFERROR(E101/J101,0)</x:f>
        <x:v>0.1178631995477671</x:v>
      </x:c>
      <x:c r="M101" s="98" t="n">
        <x:f>IFERROR(F101/J101,0)</x:f>
        <x:v>0.3762295081967213</x:v>
      </x:c>
      <x:c r="N101" s="98" t="n">
        <x:f>IFERROR(G101/J101,0)</x:f>
        <x:v>0.2127473148671566</x:v>
      </x:c>
      <x:c r="O101" s="98" t="n">
        <x:f>IFERROR(H101/J101,0)</x:f>
        <x:v>0.045364612775579426</x:v>
      </x:c>
      <x:c r="P101" s="98" t="n">
        <x:f>IFERROR(I101/J101,0)</x:f>
        <x:v>0.017241379310344827</x:v>
      </x:c>
      <x:c r="Q101" s="97" t="e">
        <x:f>D101*INDEX(Régions!$T$2:$T$6,MATCH($B101,Régions!$A$2:$A$6,0))</x:f>
        <x:v>#NAME?</x:v>
      </x:c>
      <x:c r="R101" s="97" t="e">
        <x:f>E101*INDEX(Régions!$U$2:$U$6,MATCH($B101,Régions!$A$2:$A$6,0))</x:f>
        <x:v>#NAME?</x:v>
      </x:c>
      <x:c r="S101" s="97" t="e">
        <x:f>F101*INDEX(Régions!$V$2:$V$6,MATCH($B101,Régions!$A$2:$A$6,0))</x:f>
        <x:v>#NAME?</x:v>
      </x:c>
      <x:c r="T101" s="97" t="e">
        <x:f>G101*INDEX(Régions!$W$2:$W$6,MATCH($B101,Régions!$A$2:$A$6,0))</x:f>
        <x:v>#NAME?</x:v>
      </x:c>
      <x:c r="U101" s="97" t="e">
        <x:f>H101*INDEX(Régions!$X$2:$X$6,MATCH($B101,Régions!$A$2:$A$6,0))</x:f>
        <x:v>#NAME?</x:v>
      </x:c>
      <x:c r="V101" s="97" t="e">
        <x:f>I101*INDEX(Régions!$Y$2:$Y$6,MATCH($B101,Régions!$A$2:$A$6,0))</x:f>
        <x:v>#NAME?</x:v>
      </x:c>
      <x:c r="W101" s="97" t="e">
        <x:f>Q101+(AU101/100)*J101*Régions!$O$2</x:f>
        <x:v>#NAME?</x:v>
      </x:c>
      <x:c r="X101" s="97" t="e">
        <x:f>R101+(AV101/100)*J101*Régions!$O$2</x:f>
        <x:v>#NAME?</x:v>
      </x:c>
      <x:c r="Y101" s="97" t="e">
        <x:f>S101+(AW101/100)*J101*Régions!$O$2</x:f>
        <x:v>#NAME?</x:v>
      </x:c>
      <x:c r="Z101" s="97" t="e">
        <x:f>T101+(AX101/100)*J101*Régions!$O$2</x:f>
        <x:v>#NAME?</x:v>
      </x:c>
      <x:c r="AA101" s="97" t="e">
        <x:f>U101</x:f>
        <x:v>#NAME?</x:v>
      </x:c>
      <x:c r="AB101" s="97" t="e">
        <x:f>V101</x:f>
        <x:v>#NAME?</x:v>
      </x:c>
      <x:c r="AC101" s="97" t="e">
        <x:f>D101*INDEX(Régions!$Z$2:$Z$6,MATCH($B101,Régions!$A$2:$A$6,0))</x:f>
        <x:v>#NAME?</x:v>
      </x:c>
      <x:c r="AD101" s="97" t="e">
        <x:f>E101*INDEX(Régions!$AA$2:$AA$6,MATCH($B101,Régions!$A$2:$A$6,0))</x:f>
        <x:v>#NAME?</x:v>
      </x:c>
      <x:c r="AE101" s="97" t="e">
        <x:f>F101*INDEX(Régions!$AB$2:$AB$6,MATCH($B101,Régions!$A$2:$A$6,0))</x:f>
        <x:v>#NAME?</x:v>
      </x:c>
      <x:c r="AF101" s="97" t="e">
        <x:f>G101*INDEX(Régions!$AC$2:$AC$6,MATCH($B101,Régions!$A$2:$A$6,0))</x:f>
        <x:v>#NAME?</x:v>
      </x:c>
      <x:c r="AG101" s="97" t="e">
        <x:f>H101*INDEX(Régions!$AD$2:$AD$6,MATCH($B101,Régions!$A$2:$A$6,0))</x:f>
        <x:v>#NAME?</x:v>
      </x:c>
      <x:c r="AH101" s="97" t="e">
        <x:f>I101*INDEX(Régions!$AE$2:$AE$6,MATCH($B101,Régions!$A$2:$A$6,0))</x:f>
        <x:v>#NAME?</x:v>
      </x:c>
      <x:c r="AI101" s="97" t="e">
        <x:f>D101*INDEX(Régions!$AF$2:$AF$6,MATCH($B101,Régions!$A$2:$A$6,0))</x:f>
        <x:v>#NAME?</x:v>
      </x:c>
      <x:c r="AJ101" s="97" t="e">
        <x:f>E101*INDEX(Régions!$AG$2:$AG$6,MATCH($B101,Régions!$A$2:$A$6,0))</x:f>
        <x:v>#NAME?</x:v>
      </x:c>
      <x:c r="AK101" s="97" t="e">
        <x:f>F101*INDEX(Régions!$AH$2:$AH$6,MATCH($B101,Régions!$A$2:$A$6,0))</x:f>
        <x:v>#NAME?</x:v>
      </x:c>
      <x:c r="AL101" s="97" t="e">
        <x:f>G101*INDEX(Régions!$AI$2:$AI$6,MATCH($B101,Régions!$A$2:$A$6,0))</x:f>
        <x:v>#NAME?</x:v>
      </x:c>
      <x:c r="AM101" s="97" t="e">
        <x:f>H101*INDEX(Régions!$AJ$2:$AJ$6,MATCH($B101,Régions!$A$2:$A$6,0))</x:f>
        <x:v>#NAME?</x:v>
      </x:c>
      <x:c r="AN101" s="97" t="e">
        <x:f>I101*INDEX(Régions!$AK$2:$AK$6,MATCH($B101,Régions!$A$2:$A$6,0))</x:f>
        <x:v>#NAME?</x:v>
      </x:c>
      <x:c r="AO101" s="99" t="str">
        <x:f>INDEX({"CAQ","PLQ","QS","PQ","PCQ","Autre"},MATCH(MAX(Q101:V101),Q101:V101,0))</x:f>
        <x:v>CAQ</x:v>
      </x:c>
      <x:c r="AP101" s="99" t="str">
        <x:f>INDEX({"CAQ","PLQ","QS","PQ","PCQ","Autre"},MATCH(MAX(W101:AB101),W101:AB101,0))</x:f>
        <x:v>CAQ</x:v>
      </x:c>
      <x:c r="AQ101" s="99" t="str">
        <x:f>INDEX({"CAQ","PLQ","QS","PQ","PCQ","Autre"},MATCH(MAX(AC101:AH101),AC101:AH101,0))</x:f>
        <x:v>CAQ</x:v>
      </x:c>
      <x:c r="AR101" s="99" t="str">
        <x:f>INDEX({"CAQ","PLQ","QS","PQ","PCQ","Autre"},MATCH(MAX(AI101:AN101),AI101:AN101,0))</x:f>
        <x:v>CAQ</x:v>
      </x:c>
      <x:c r="AS101" s="100" t="n">
        <x:f>(MAX(K101:P101)-LARGE(K101:P101,2))*100</x:f>
        <x:v>14.567552289429052</x:v>
      </x:c>
      <x:c r="AT101" s="101" t="str">
        <x:f>IF(AS101&lt;5,"Oui","Non")</x:f>
        <x:v>Non</x:v>
      </x:c>
      <x:c r="AU101" s="102" t="n">
        <x:v>5.388</x:v>
      </x:c>
      <x:c r="AV101" s="102" t="n">
        <x:v>3.848</x:v>
      </x:c>
      <x:c r="AW101" s="102" t="n">
        <x:v>1.629</x:v>
      </x:c>
      <x:c r="AX101" s="102" t="n">
        <x:v>-5.999</x:v>
      </x:c>
      <x:c r="AY101" s="96" t="n">
        <x:v>5703</x:v>
      </x:c>
      <x:c r="AZ101" s="96" t="n">
        <x:v>6148</x:v>
      </x:c>
      <x:c r="BA101" s="96" t="n">
        <x:v>12920</x:v>
      </x:c>
      <x:c r="BB101" s="96" t="n">
        <x:v>10420</x:v>
      </x:c>
      <x:c r="BC101" s="96" t="n">
        <x:v>1462</x:v>
      </x:c>
      <x:c r="BD101" s="97" t="e">
        <x:f>AY101*INDEX(Régions!$AQ$2:$AQ$6,MATCH($B101,Régions!$A$2:$A$6,0))</x:f>
        <x:v>#NAME?</x:v>
      </x:c>
      <x:c r="BE101" s="97" t="e">
        <x:f>AZ101*INDEX(Régions!$AR$2:$AR$6,MATCH($B101,Régions!$A$2:$A$6,0))</x:f>
        <x:v>#NAME?</x:v>
      </x:c>
      <x:c r="BF101" s="97" t="e">
        <x:f>BA101*INDEX(Régions!$AS$2:$AS$6,MATCH($B101,Régions!$A$2:$A$6,0))</x:f>
        <x:v>#NAME?</x:v>
      </x:c>
      <x:c r="BG101" s="97" t="e">
        <x:f>BB101*INDEX(Régions!$AT$2:$AT$6,MATCH($B101,Régions!$A$2:$A$6,0))</x:f>
        <x:v>#NAME?</x:v>
      </x:c>
      <x:c r="BH101" s="97" t="e">
        <x:f>U101</x:f>
        <x:v>#NAME?</x:v>
      </x:c>
      <x:c r="BI101" s="97" t="e">
        <x:f>BC101*INDEX(Régions!$AU$2:$AU$6,MATCH($B101,Régions!$A$2:$A$6,0))</x:f>
        <x:v>#NAME?</x:v>
      </x:c>
      <x:c r="BJ101" s="97" t="str">
        <x:f>INDEX({"CAQ","PLQ","QS","PQ","PCQ","Autre"},MATCH(MAX(BD101:BI101),BD101:BI101,0))</x:f>
        <x:v>CAQ</x:v>
      </x:c>
    </x:row>
    <x:row r="102" s="60" customFormat="1" ht="15" customHeight="1">
      <x:c r="A102" s="94" t="inlineStr">
        <x:is>
          <x:t xml:space="preserve">Rousseau</x:t>
        </x:is>
      </x:c>
      <x:c r="B102" s="94" t="inlineStr">
        <x:is>
          <x:t xml:space="preserve">Banlieue de Montréal</x:t>
        </x:is>
      </x:c>
      <x:c r="C102" s="95" t="inlineStr">
        <x:is>
          <x:t xml:space="preserve">CAQ</x:t>
        </x:is>
      </x:c>
      <x:c r="D102" s="96" t="n">
        <x:v>14122</x:v>
      </x:c>
      <x:c r="E102" s="96" t="n">
        <x:v>964</x:v>
      </x:c>
      <x:c r="F102" s="96" t="n">
        <x:v>3669</x:v>
      </x:c>
      <x:c r="G102" s="96" t="n">
        <x:v>4987</x:v>
      </x:c>
      <x:c r="H102" s="96" t="n">
        <x:v>4180</x:v>
      </x:c>
      <x:c r="I102" s="96" t="n">
        <x:v>0</x:v>
      </x:c>
      <x:c r="J102" s="97" t="n">
        <x:f>SUM(D102:I102)</x:f>
        <x:v>27922</x:v>
      </x:c>
      <x:c r="K102" s="98" t="n">
        <x:f>IFERROR(D102/J102,0)</x:f>
        <x:v>0.5057660626029654</x:v>
      </x:c>
      <x:c r="L102" s="98" t="n">
        <x:f>IFERROR(E102/J102,0)</x:f>
        <x:v>0.034524747510923284</x:v>
      </x:c>
      <x:c r="M102" s="98" t="n">
        <x:f>IFERROR(F102/J102,0)</x:f>
        <x:v>0.13140176205142898</x:v>
      </x:c>
      <x:c r="N102" s="98" t="n">
        <x:f>IFERROR(G102/J102,0)</x:f>
        <x:v>0.17860468447818925</x:v>
      </x:c>
      <x:c r="O102" s="98" t="n">
        <x:f>IFERROR(H102/J102,0)</x:f>
        <x:v>0.14970274335649308</x:v>
      </x:c>
      <x:c r="P102" s="98" t="n">
        <x:f>IFERROR(I102/J102,0)</x:f>
        <x:v>0</x:v>
      </x:c>
      <x:c r="Q102" s="97" t="e">
        <x:f>D102*INDEX(Régions!$T$2:$T$6,MATCH($B102,Régions!$A$2:$A$6,0))</x:f>
        <x:v>#NAME?</x:v>
      </x:c>
      <x:c r="R102" s="97" t="e">
        <x:f>E102*INDEX(Régions!$U$2:$U$6,MATCH($B102,Régions!$A$2:$A$6,0))</x:f>
        <x:v>#NAME?</x:v>
      </x:c>
      <x:c r="S102" s="97" t="e">
        <x:f>F102*INDEX(Régions!$V$2:$V$6,MATCH($B102,Régions!$A$2:$A$6,0))</x:f>
        <x:v>#NAME?</x:v>
      </x:c>
      <x:c r="T102" s="97" t="e">
        <x:f>G102*INDEX(Régions!$W$2:$W$6,MATCH($B102,Régions!$A$2:$A$6,0))</x:f>
        <x:v>#NAME?</x:v>
      </x:c>
      <x:c r="U102" s="97" t="e">
        <x:f>H102*INDEX(Régions!$X$2:$X$6,MATCH($B102,Régions!$A$2:$A$6,0))</x:f>
        <x:v>#NAME?</x:v>
      </x:c>
      <x:c r="V102" s="97" t="e">
        <x:f>I102*INDEX(Régions!$Y$2:$Y$6,MATCH($B102,Régions!$A$2:$A$6,0))</x:f>
        <x:v>#NAME?</x:v>
      </x:c>
      <x:c r="W102" s="97" t="e">
        <x:f>Q102+(AU102/100)*J102*Régions!$O$2</x:f>
        <x:v>#NAME?</x:v>
      </x:c>
      <x:c r="X102" s="97" t="e">
        <x:f>R102+(AV102/100)*J102*Régions!$O$2</x:f>
        <x:v>#NAME?</x:v>
      </x:c>
      <x:c r="Y102" s="97" t="e">
        <x:f>S102+(AW102/100)*J102*Régions!$O$2</x:f>
        <x:v>#NAME?</x:v>
      </x:c>
      <x:c r="Z102" s="97" t="e">
        <x:f>T102+(AX102/100)*J102*Régions!$O$2</x:f>
        <x:v>#NAME?</x:v>
      </x:c>
      <x:c r="AA102" s="97" t="e">
        <x:f>U102</x:f>
        <x:v>#NAME?</x:v>
      </x:c>
      <x:c r="AB102" s="97" t="e">
        <x:f>V102</x:f>
        <x:v>#NAME?</x:v>
      </x:c>
      <x:c r="AC102" s="97" t="e">
        <x:f>D102*INDEX(Régions!$Z$2:$Z$6,MATCH($B102,Régions!$A$2:$A$6,0))</x:f>
        <x:v>#NAME?</x:v>
      </x:c>
      <x:c r="AD102" s="97" t="e">
        <x:f>E102*INDEX(Régions!$AA$2:$AA$6,MATCH($B102,Régions!$A$2:$A$6,0))</x:f>
        <x:v>#NAME?</x:v>
      </x:c>
      <x:c r="AE102" s="97" t="e">
        <x:f>F102*INDEX(Régions!$AB$2:$AB$6,MATCH($B102,Régions!$A$2:$A$6,0))</x:f>
        <x:v>#NAME?</x:v>
      </x:c>
      <x:c r="AF102" s="97" t="e">
        <x:f>G102*INDEX(Régions!$AC$2:$AC$6,MATCH($B102,Régions!$A$2:$A$6,0))</x:f>
        <x:v>#NAME?</x:v>
      </x:c>
      <x:c r="AG102" s="97" t="e">
        <x:f>H102*INDEX(Régions!$AD$2:$AD$6,MATCH($B102,Régions!$A$2:$A$6,0))</x:f>
        <x:v>#NAME?</x:v>
      </x:c>
      <x:c r="AH102" s="97" t="e">
        <x:f>I102*INDEX(Régions!$AE$2:$AE$6,MATCH($B102,Régions!$A$2:$A$6,0))</x:f>
        <x:v>#NAME?</x:v>
      </x:c>
      <x:c r="AI102" s="97" t="e">
        <x:f>D102*INDEX(Régions!$AF$2:$AF$6,MATCH($B102,Régions!$A$2:$A$6,0))</x:f>
        <x:v>#NAME?</x:v>
      </x:c>
      <x:c r="AJ102" s="97" t="e">
        <x:f>E102*INDEX(Régions!$AG$2:$AG$6,MATCH($B102,Régions!$A$2:$A$6,0))</x:f>
        <x:v>#NAME?</x:v>
      </x:c>
      <x:c r="AK102" s="97" t="e">
        <x:f>F102*INDEX(Régions!$AH$2:$AH$6,MATCH($B102,Régions!$A$2:$A$6,0))</x:f>
        <x:v>#NAME?</x:v>
      </x:c>
      <x:c r="AL102" s="97" t="e">
        <x:f>G102*INDEX(Régions!$AI$2:$AI$6,MATCH($B102,Régions!$A$2:$A$6,0))</x:f>
        <x:v>#NAME?</x:v>
      </x:c>
      <x:c r="AM102" s="97" t="e">
        <x:f>H102*INDEX(Régions!$AJ$2:$AJ$6,MATCH($B102,Régions!$A$2:$A$6,0))</x:f>
        <x:v>#NAME?</x:v>
      </x:c>
      <x:c r="AN102" s="97" t="e">
        <x:f>I102*INDEX(Régions!$AK$2:$AK$6,MATCH($B102,Régions!$A$2:$A$6,0))</x:f>
        <x:v>#NAME?</x:v>
      </x:c>
      <x:c r="AO102" s="99" t="str">
        <x:f>INDEX({"CAQ","PLQ","QS","PQ","PCQ","Autre"},MATCH(MAX(Q102:V102),Q102:V102,0))</x:f>
        <x:v>CAQ</x:v>
      </x:c>
      <x:c r="AP102" s="99" t="str">
        <x:f>INDEX({"CAQ","PLQ","QS","PQ","PCQ","Autre"},MATCH(MAX(W102:AB102),W102:AB102,0))</x:f>
        <x:v>CAQ</x:v>
      </x:c>
      <x:c r="AQ102" s="99" t="str">
        <x:f>INDEX({"CAQ","PLQ","QS","PQ","PCQ","Autre"},MATCH(MAX(AC102:AH102),AC102:AH102,0))</x:f>
        <x:v>CAQ</x:v>
      </x:c>
      <x:c r="AR102" s="99" t="str">
        <x:f>INDEX({"CAQ","PLQ","QS","PQ","PCQ","Autre"},MATCH(MAX(AI102:AN102),AI102:AN102,0))</x:f>
        <x:v>CAQ</x:v>
      </x:c>
      <x:c r="AS102" s="100" t="n">
        <x:f>(MAX(K102:P102)-LARGE(K102:P102,2))*100</x:f>
        <x:v>32.71613781247762</x:v>
      </x:c>
      <x:c r="AT102" s="101" t="str">
        <x:f>IF(AS102&lt;5,"Oui","Non")</x:f>
        <x:v>Non</x:v>
      </x:c>
      <x:c r="AU102" s="102" t="n">
        <x:v>-5.785</x:v>
      </x:c>
      <x:c r="AV102" s="102" t="n">
        <x:v>5.126</x:v>
      </x:c>
      <x:c r="AW102" s="102" t="n">
        <x:v>0.835</x:v>
      </x:c>
      <x:c r="AX102" s="102" t="n">
        <x:v>-5.489</x:v>
      </x:c>
      <x:c r="AY102" s="96" t="n">
        <x:v>14468</x:v>
      </x:c>
      <x:c r="AZ102" s="96" t="n">
        <x:v>1421</x:v>
      </x:c>
      <x:c r="BA102" s="96" t="n">
        <x:v>3533</x:v>
      </x:c>
      <x:c r="BB102" s="96" t="n">
        <x:v>7162</x:v>
      </x:c>
      <x:c r="BC102" s="96" t="n">
        <x:v>594</x:v>
      </x:c>
      <x:c r="BD102" s="97" t="e">
        <x:f>AY102*INDEX(Régions!$AQ$2:$AQ$6,MATCH($B102,Régions!$A$2:$A$6,0))</x:f>
        <x:v>#NAME?</x:v>
      </x:c>
      <x:c r="BE102" s="97" t="e">
        <x:f>AZ102*INDEX(Régions!$AR$2:$AR$6,MATCH($B102,Régions!$A$2:$A$6,0))</x:f>
        <x:v>#NAME?</x:v>
      </x:c>
      <x:c r="BF102" s="97" t="e">
        <x:f>BA102*INDEX(Régions!$AS$2:$AS$6,MATCH($B102,Régions!$A$2:$A$6,0))</x:f>
        <x:v>#NAME?</x:v>
      </x:c>
      <x:c r="BG102" s="97" t="e">
        <x:f>BB102*INDEX(Régions!$AT$2:$AT$6,MATCH($B102,Régions!$A$2:$A$6,0))</x:f>
        <x:v>#NAME?</x:v>
      </x:c>
      <x:c r="BH102" s="97" t="e">
        <x:f>U102</x:f>
        <x:v>#NAME?</x:v>
      </x:c>
      <x:c r="BI102" s="97" t="e">
        <x:f>BC102*INDEX(Régions!$AU$2:$AU$6,MATCH($B102,Régions!$A$2:$A$6,0))</x:f>
        <x:v>#NAME?</x:v>
      </x:c>
      <x:c r="BJ102" s="97" t="str">
        <x:f>INDEX({"CAQ","PLQ","QS","PQ","PCQ","Autre"},MATCH(MAX(BD102:BI102),BD102:BI102,0))</x:f>
        <x:v>CAQ</x:v>
      </x:c>
    </x:row>
    <x:row r="103" s="60" customFormat="1" ht="15" customHeight="1">
      <x:c r="A103" s="94" t="inlineStr">
        <x:is>
          <x:t xml:space="preserve">Rouyn-Noranda–Témiscamingue</x:t>
        </x:is>
      </x:c>
      <x:c r="B103" s="94" t="inlineStr">
        <x:is>
          <x:t xml:space="preserve">Reste du Québec</x:t>
        </x:is>
      </x:c>
      <x:c r="C103" s="95" t="inlineStr">
        <x:is>
          <x:t xml:space="preserve">CAQ</x:t>
        </x:is>
      </x:c>
      <x:c r="D103" s="96" t="n">
        <x:v>12975</x:v>
      </x:c>
      <x:c r="E103" s="96" t="n">
        <x:v>1255</x:v>
      </x:c>
      <x:c r="F103" s="96" t="n">
        <x:v>8890</x:v>
      </x:c>
      <x:c r="G103" s="96" t="n">
        <x:v>3232</x:v>
      </x:c>
      <x:c r="H103" s="96" t="n">
        <x:v>2202</x:v>
      </x:c>
      <x:c r="I103" s="96" t="n">
        <x:v>178</x:v>
      </x:c>
      <x:c r="J103" s="97" t="n">
        <x:f>SUM(D103:I103)</x:f>
        <x:v>28732</x:v>
      </x:c>
      <x:c r="K103" s="98" t="n">
        <x:f>IFERROR(D103/J103,0)</x:f>
        <x:v>0.4515870806069887</x:v>
      </x:c>
      <x:c r="L103" s="98" t="n">
        <x:f>IFERROR(E103/J103,0)</x:f>
        <x:v>0.04367952109146596</x:v>
      </x:c>
      <x:c r="M103" s="98" t="n">
        <x:f>IFERROR(F103/J103,0)</x:f>
        <x:v>0.30941110956424894</x:v>
      </x:c>
      <x:c r="N103" s="98" t="n">
        <x:f>IFERROR(G103/J103,0)</x:f>
        <x:v>0.11248781846025338</x:v>
      </x:c>
      <x:c r="O103" s="98" t="n">
        <x:f>IFERROR(H103/J103,0)</x:f>
        <x:v>0.07663928720590282</x:v>
      </x:c>
      <x:c r="P103" s="98" t="n">
        <x:f>IFERROR(I103/J103,0)</x:f>
        <x:v>0.006195183071140192</x:v>
      </x:c>
      <x:c r="Q103" s="97" t="e">
        <x:f>D103*INDEX(Régions!$T$2:$T$6,MATCH($B103,Régions!$A$2:$A$6,0))</x:f>
        <x:v>#NAME?</x:v>
      </x:c>
      <x:c r="R103" s="97" t="e">
        <x:f>E103*INDEX(Régions!$U$2:$U$6,MATCH($B103,Régions!$A$2:$A$6,0))</x:f>
        <x:v>#NAME?</x:v>
      </x:c>
      <x:c r="S103" s="97" t="e">
        <x:f>F103*INDEX(Régions!$V$2:$V$6,MATCH($B103,Régions!$A$2:$A$6,0))</x:f>
        <x:v>#NAME?</x:v>
      </x:c>
      <x:c r="T103" s="97" t="e">
        <x:f>G103*INDEX(Régions!$W$2:$W$6,MATCH($B103,Régions!$A$2:$A$6,0))</x:f>
        <x:v>#NAME?</x:v>
      </x:c>
      <x:c r="U103" s="97" t="e">
        <x:f>H103*INDEX(Régions!$X$2:$X$6,MATCH($B103,Régions!$A$2:$A$6,0))</x:f>
        <x:v>#NAME?</x:v>
      </x:c>
      <x:c r="V103" s="97" t="e">
        <x:f>I103*INDEX(Régions!$Y$2:$Y$6,MATCH($B103,Régions!$A$2:$A$6,0))</x:f>
        <x:v>#NAME?</x:v>
      </x:c>
      <x:c r="W103" s="97" t="e">
        <x:f>Q103+(AU103/100)*J103*Régions!$O$2</x:f>
        <x:v>#NAME?</x:v>
      </x:c>
      <x:c r="X103" s="97" t="e">
        <x:f>R103+(AV103/100)*J103*Régions!$O$2</x:f>
        <x:v>#NAME?</x:v>
      </x:c>
      <x:c r="Y103" s="97" t="e">
        <x:f>S103+(AW103/100)*J103*Régions!$O$2</x:f>
        <x:v>#NAME?</x:v>
      </x:c>
      <x:c r="Z103" s="97" t="e">
        <x:f>T103+(AX103/100)*J103*Régions!$O$2</x:f>
        <x:v>#NAME?</x:v>
      </x:c>
      <x:c r="AA103" s="97" t="e">
        <x:f>U103</x:f>
        <x:v>#NAME?</x:v>
      </x:c>
      <x:c r="AB103" s="97" t="e">
        <x:f>V103</x:f>
        <x:v>#NAME?</x:v>
      </x:c>
      <x:c r="AC103" s="97" t="e">
        <x:f>D103*INDEX(Régions!$Z$2:$Z$6,MATCH($B103,Régions!$A$2:$A$6,0))</x:f>
        <x:v>#NAME?</x:v>
      </x:c>
      <x:c r="AD103" s="97" t="e">
        <x:f>E103*INDEX(Régions!$AA$2:$AA$6,MATCH($B103,Régions!$A$2:$A$6,0))</x:f>
        <x:v>#NAME?</x:v>
      </x:c>
      <x:c r="AE103" s="97" t="e">
        <x:f>F103*INDEX(Régions!$AB$2:$AB$6,MATCH($B103,Régions!$A$2:$A$6,0))</x:f>
        <x:v>#NAME?</x:v>
      </x:c>
      <x:c r="AF103" s="97" t="e">
        <x:f>G103*INDEX(Régions!$AC$2:$AC$6,MATCH($B103,Régions!$A$2:$A$6,0))</x:f>
        <x:v>#NAME?</x:v>
      </x:c>
      <x:c r="AG103" s="97" t="e">
        <x:f>H103*INDEX(Régions!$AD$2:$AD$6,MATCH($B103,Régions!$A$2:$A$6,0))</x:f>
        <x:v>#NAME?</x:v>
      </x:c>
      <x:c r="AH103" s="97" t="e">
        <x:f>I103*INDEX(Régions!$AE$2:$AE$6,MATCH($B103,Régions!$A$2:$A$6,0))</x:f>
        <x:v>#NAME?</x:v>
      </x:c>
      <x:c r="AI103" s="97" t="e">
        <x:f>D103*INDEX(Régions!$AF$2:$AF$6,MATCH($B103,Régions!$A$2:$A$6,0))</x:f>
        <x:v>#NAME?</x:v>
      </x:c>
      <x:c r="AJ103" s="97" t="e">
        <x:f>E103*INDEX(Régions!$AG$2:$AG$6,MATCH($B103,Régions!$A$2:$A$6,0))</x:f>
        <x:v>#NAME?</x:v>
      </x:c>
      <x:c r="AK103" s="97" t="e">
        <x:f>F103*INDEX(Régions!$AH$2:$AH$6,MATCH($B103,Régions!$A$2:$A$6,0))</x:f>
        <x:v>#NAME?</x:v>
      </x:c>
      <x:c r="AL103" s="97" t="e">
        <x:f>G103*INDEX(Régions!$AI$2:$AI$6,MATCH($B103,Régions!$A$2:$A$6,0))</x:f>
        <x:v>#NAME?</x:v>
      </x:c>
      <x:c r="AM103" s="97" t="e">
        <x:f>H103*INDEX(Régions!$AJ$2:$AJ$6,MATCH($B103,Régions!$A$2:$A$6,0))</x:f>
        <x:v>#NAME?</x:v>
      </x:c>
      <x:c r="AN103" s="97" t="e">
        <x:f>I103*INDEX(Régions!$AK$2:$AK$6,MATCH($B103,Régions!$A$2:$A$6,0))</x:f>
        <x:v>#NAME?</x:v>
      </x:c>
      <x:c r="AO103" s="99" t="str">
        <x:f>INDEX({"CAQ","PLQ","QS","PQ","PCQ","Autre"},MATCH(MAX(Q103:V103),Q103:V103,0))</x:f>
        <x:v>CAQ</x:v>
      </x:c>
      <x:c r="AP103" s="99" t="str">
        <x:f>INDEX({"CAQ","PLQ","QS","PQ","PCQ","Autre"},MATCH(MAX(W103:AB103),W103:AB103,0))</x:f>
        <x:v>CAQ</x:v>
      </x:c>
      <x:c r="AQ103" s="99" t="str">
        <x:f>INDEX({"CAQ","PLQ","QS","PQ","PCQ","Autre"},MATCH(MAX(AC103:AH103),AC103:AH103,0))</x:f>
        <x:v>CAQ</x:v>
      </x:c>
      <x:c r="AR103" s="99" t="str">
        <x:f>INDEX({"CAQ","PLQ","QS","PQ","PCQ","Autre"},MATCH(MAX(AI103:AN103),AI103:AN103,0))</x:f>
        <x:v>CAQ</x:v>
      </x:c>
      <x:c r="AS103" s="100" t="n">
        <x:f>(MAX(K103:P103)-LARGE(K103:P103,2))*100</x:f>
        <x:v>14.217597104273977</x:v>
      </x:c>
      <x:c r="AT103" s="101" t="str">
        <x:f>IF(AS103&lt;5,"Oui","Non")</x:f>
        <x:v>Non</x:v>
      </x:c>
      <x:c r="AU103" s="102" t="n">
        <x:v>8.874000000000001</x:v>
      </x:c>
      <x:c r="AV103" s="102" t="n">
        <x:v>0.73</x:v>
      </x:c>
      <x:c r="AW103" s="102" t="n">
        <x:v>-0.151</x:v>
      </x:c>
      <x:c r="AX103" s="102" t="n">
        <x:v>-3.079</x:v>
      </x:c>
      <x:c r="AY103" s="96" t="n">
        <x:v>8798</x:v>
      </x:c>
      <x:c r="AZ103" s="96" t="n">
        <x:v>4753</x:v>
      </x:c>
      <x:c r="BA103" s="96" t="n">
        <x:v>9304</x:v>
      </x:c>
      <x:c r="BB103" s="96" t="n">
        <x:v>5311</x:v>
      </x:c>
      <x:c r="BC103" s="96" t="n">
        <x:v>837</x:v>
      </x:c>
      <x:c r="BD103" s="97" t="e">
        <x:f>AY103*INDEX(Régions!$AQ$2:$AQ$6,MATCH($B103,Régions!$A$2:$A$6,0))</x:f>
        <x:v>#NAME?</x:v>
      </x:c>
      <x:c r="BE103" s="97" t="e">
        <x:f>AZ103*INDEX(Régions!$AR$2:$AR$6,MATCH($B103,Régions!$A$2:$A$6,0))</x:f>
        <x:v>#NAME?</x:v>
      </x:c>
      <x:c r="BF103" s="97" t="e">
        <x:f>BA103*INDEX(Régions!$AS$2:$AS$6,MATCH($B103,Régions!$A$2:$A$6,0))</x:f>
        <x:v>#NAME?</x:v>
      </x:c>
      <x:c r="BG103" s="97" t="e">
        <x:f>BB103*INDEX(Régions!$AT$2:$AT$6,MATCH($B103,Régions!$A$2:$A$6,0))</x:f>
        <x:v>#NAME?</x:v>
      </x:c>
      <x:c r="BH103" s="97" t="e">
        <x:f>U103</x:f>
        <x:v>#NAME?</x:v>
      </x:c>
      <x:c r="BI103" s="97" t="e">
        <x:f>BC103*INDEX(Régions!$AU$2:$AU$6,MATCH($B103,Régions!$A$2:$A$6,0))</x:f>
        <x:v>#NAME?</x:v>
      </x:c>
      <x:c r="BJ103" s="97" t="str">
        <x:f>INDEX({"CAQ","PLQ","QS","PQ","PCQ","Autre"},MATCH(MAX(BD103:BI103),BD103:BI103,0))</x:f>
        <x:v>CAQ</x:v>
      </x:c>
    </x:row>
    <x:row r="104" s="60" customFormat="1" ht="15" customHeight="1">
      <x:c r="A104" s="94" t="inlineStr">
        <x:is>
          <x:t xml:space="preserve">Saint-François</x:t>
        </x:is>
      </x:c>
      <x:c r="B104" s="94" t="inlineStr">
        <x:is>
          <x:t xml:space="preserve">Reste du Québec</x:t>
        </x:is>
      </x:c>
      <x:c r="C104" s="95" t="inlineStr">
        <x:is>
          <x:t xml:space="preserve">CAQ</x:t>
        </x:is>
      </x:c>
      <x:c r="D104" s="96" t="n">
        <x:v>15653</x:v>
      </x:c>
      <x:c r="E104" s="96" t="n">
        <x:v>2917</x:v>
      </x:c>
      <x:c r="F104" s="96" t="n">
        <x:v>10409</x:v>
      </x:c>
      <x:c r="G104" s="96" t="n">
        <x:v>3363</x:v>
      </x:c>
      <x:c r="H104" s="96" t="n">
        <x:v>4319</x:v>
      </x:c>
      <x:c r="I104" s="96" t="n">
        <x:v>233</x:v>
      </x:c>
      <x:c r="J104" s="97" t="n">
        <x:f>SUM(D104:I104)</x:f>
        <x:v>36894</x:v>
      </x:c>
      <x:c r="K104" s="98" t="n">
        <x:f>IFERROR(D104/J104,0)</x:f>
        <x:v>0.4242695289206917</x:v>
      </x:c>
      <x:c r="L104" s="98" t="n">
        <x:f>IFERROR(E104/J104,0)</x:f>
        <x:v>0.07906434650620697</x:v>
      </x:c>
      <x:c r="M104" s="98" t="n">
        <x:f>IFERROR(F104/J104,0)</x:f>
        <x:v>0.28213259608608443</x:v>
      </x:c>
      <x:c r="N104" s="98" t="n">
        <x:f>IFERROR(G104/J104,0)</x:f>
        <x:v>0.09115303301349813</x:v>
      </x:c>
      <x:c r="O104" s="98" t="n">
        <x:f>IFERROR(H104/J104,0)</x:f>
        <x:v>0.11706510543719846</x:v>
      </x:c>
      <x:c r="P104" s="98" t="n">
        <x:f>IFERROR(I104/J104,0)</x:f>
        <x:v>0.0063153900363202686</x:v>
      </x:c>
      <x:c r="Q104" s="97" t="e">
        <x:f>D104*INDEX(Régions!$T$2:$T$6,MATCH($B104,Régions!$A$2:$A$6,0))</x:f>
        <x:v>#NAME?</x:v>
      </x:c>
      <x:c r="R104" s="97" t="e">
        <x:f>E104*INDEX(Régions!$U$2:$U$6,MATCH($B104,Régions!$A$2:$A$6,0))</x:f>
        <x:v>#NAME?</x:v>
      </x:c>
      <x:c r="S104" s="97" t="e">
        <x:f>F104*INDEX(Régions!$V$2:$V$6,MATCH($B104,Régions!$A$2:$A$6,0))</x:f>
        <x:v>#NAME?</x:v>
      </x:c>
      <x:c r="T104" s="97" t="e">
        <x:f>G104*INDEX(Régions!$W$2:$W$6,MATCH($B104,Régions!$A$2:$A$6,0))</x:f>
        <x:v>#NAME?</x:v>
      </x:c>
      <x:c r="U104" s="97" t="e">
        <x:f>H104*INDEX(Régions!$X$2:$X$6,MATCH($B104,Régions!$A$2:$A$6,0))</x:f>
        <x:v>#NAME?</x:v>
      </x:c>
      <x:c r="V104" s="97" t="e">
        <x:f>I104*INDEX(Régions!$Y$2:$Y$6,MATCH($B104,Régions!$A$2:$A$6,0))</x:f>
        <x:v>#NAME?</x:v>
      </x:c>
      <x:c r="W104" s="97" t="e">
        <x:f>Q104+(AU104/100)*J104*Régions!$O$2</x:f>
        <x:v>#NAME?</x:v>
      </x:c>
      <x:c r="X104" s="97" t="e">
        <x:f>R104+(AV104/100)*J104*Régions!$O$2</x:f>
        <x:v>#NAME?</x:v>
      </x:c>
      <x:c r="Y104" s="97" t="e">
        <x:f>S104+(AW104/100)*J104*Régions!$O$2</x:f>
        <x:v>#NAME?</x:v>
      </x:c>
      <x:c r="Z104" s="97" t="e">
        <x:f>T104+(AX104/100)*J104*Régions!$O$2</x:f>
        <x:v>#NAME?</x:v>
      </x:c>
      <x:c r="AA104" s="97" t="e">
        <x:f>U104</x:f>
        <x:v>#NAME?</x:v>
      </x:c>
      <x:c r="AB104" s="97" t="e">
        <x:f>V104</x:f>
        <x:v>#NAME?</x:v>
      </x:c>
      <x:c r="AC104" s="97" t="e">
        <x:f>D104*INDEX(Régions!$Z$2:$Z$6,MATCH($B104,Régions!$A$2:$A$6,0))</x:f>
        <x:v>#NAME?</x:v>
      </x:c>
      <x:c r="AD104" s="97" t="e">
        <x:f>E104*INDEX(Régions!$AA$2:$AA$6,MATCH($B104,Régions!$A$2:$A$6,0))</x:f>
        <x:v>#NAME?</x:v>
      </x:c>
      <x:c r="AE104" s="97" t="e">
        <x:f>F104*INDEX(Régions!$AB$2:$AB$6,MATCH($B104,Régions!$A$2:$A$6,0))</x:f>
        <x:v>#NAME?</x:v>
      </x:c>
      <x:c r="AF104" s="97" t="e">
        <x:f>G104*INDEX(Régions!$AC$2:$AC$6,MATCH($B104,Régions!$A$2:$A$6,0))</x:f>
        <x:v>#NAME?</x:v>
      </x:c>
      <x:c r="AG104" s="97" t="e">
        <x:f>H104*INDEX(Régions!$AD$2:$AD$6,MATCH($B104,Régions!$A$2:$A$6,0))</x:f>
        <x:v>#NAME?</x:v>
      </x:c>
      <x:c r="AH104" s="97" t="e">
        <x:f>I104*INDEX(Régions!$AE$2:$AE$6,MATCH($B104,Régions!$A$2:$A$6,0))</x:f>
        <x:v>#NAME?</x:v>
      </x:c>
      <x:c r="AI104" s="97" t="e">
        <x:f>D104*INDEX(Régions!$AF$2:$AF$6,MATCH($B104,Régions!$A$2:$A$6,0))</x:f>
        <x:v>#NAME?</x:v>
      </x:c>
      <x:c r="AJ104" s="97" t="e">
        <x:f>E104*INDEX(Régions!$AG$2:$AG$6,MATCH($B104,Régions!$A$2:$A$6,0))</x:f>
        <x:v>#NAME?</x:v>
      </x:c>
      <x:c r="AK104" s="97" t="e">
        <x:f>F104*INDEX(Régions!$AH$2:$AH$6,MATCH($B104,Régions!$A$2:$A$6,0))</x:f>
        <x:v>#NAME?</x:v>
      </x:c>
      <x:c r="AL104" s="97" t="e">
        <x:f>G104*INDEX(Régions!$AI$2:$AI$6,MATCH($B104,Régions!$A$2:$A$6,0))</x:f>
        <x:v>#NAME?</x:v>
      </x:c>
      <x:c r="AM104" s="97" t="e">
        <x:f>H104*INDEX(Régions!$AJ$2:$AJ$6,MATCH($B104,Régions!$A$2:$A$6,0))</x:f>
        <x:v>#NAME?</x:v>
      </x:c>
      <x:c r="AN104" s="97" t="e">
        <x:f>I104*INDEX(Régions!$AK$2:$AK$6,MATCH($B104,Régions!$A$2:$A$6,0))</x:f>
        <x:v>#NAME?</x:v>
      </x:c>
      <x:c r="AO104" s="99" t="str">
        <x:f>INDEX({"CAQ","PLQ","QS","PQ","PCQ","Autre"},MATCH(MAX(Q104:V104),Q104:V104,0))</x:f>
        <x:v>CAQ</x:v>
      </x:c>
      <x:c r="AP104" s="99" t="str">
        <x:f>INDEX({"CAQ","PLQ","QS","PQ","PCQ","Autre"},MATCH(MAX(W104:AB104),W104:AB104,0))</x:f>
        <x:v>CAQ</x:v>
      </x:c>
      <x:c r="AQ104" s="99" t="str">
        <x:f>INDEX({"CAQ","PLQ","QS","PQ","PCQ","Autre"},MATCH(MAX(AC104:AH104),AC104:AH104,0))</x:f>
        <x:v>CAQ</x:v>
      </x:c>
      <x:c r="AR104" s="99" t="str">
        <x:f>INDEX({"CAQ","PLQ","QS","PQ","PCQ","Autre"},MATCH(MAX(AI104:AN104),AI104:AN104,0))</x:f>
        <x:v>CAQ</x:v>
      </x:c>
      <x:c r="AS104" s="100" t="n">
        <x:f>(MAX(K104:P104)-LARGE(K104:P104,2))*100</x:f>
        <x:v>14.213693283460726</x:v>
      </x:c>
      <x:c r="AT104" s="101" t="str">
        <x:f>IF(AS104&lt;5,"Oui","Non")</x:f>
        <x:v>Non</x:v>
      </x:c>
      <x:c r="AU104" s="102" t="n">
        <x:v>1.747</x:v>
      </x:c>
      <x:c r="AV104" s="102" t="n">
        <x:v>-2.646</x:v>
      </x:c>
      <x:c r="AW104" s="102" t="n">
        <x:v>6.518</x:v>
      </x:c>
      <x:c r="AX104" s="102" t="n">
        <x:v>-3.091</x:v>
      </x:c>
      <x:c r="AY104" s="96" t="n">
        <x:v>12251</x:v>
      </x:c>
      <x:c r="AZ104" s="96" t="n">
        <x:v>8220</x:v>
      </x:c>
      <x:c r="BA104" s="96" t="n">
        <x:v>8001</x:v>
      </x:c>
      <x:c r="BB104" s="96" t="n">
        <x:v>5710</x:v>
      </x:c>
      <x:c r="BC104" s="96" t="n">
        <x:v>1092</x:v>
      </x:c>
      <x:c r="BD104" s="97" t="e">
        <x:f>AY104*INDEX(Régions!$AQ$2:$AQ$6,MATCH($B104,Régions!$A$2:$A$6,0))</x:f>
        <x:v>#NAME?</x:v>
      </x:c>
      <x:c r="BE104" s="97" t="e">
        <x:f>AZ104*INDEX(Régions!$AR$2:$AR$6,MATCH($B104,Régions!$A$2:$A$6,0))</x:f>
        <x:v>#NAME?</x:v>
      </x:c>
      <x:c r="BF104" s="97" t="e">
        <x:f>BA104*INDEX(Régions!$AS$2:$AS$6,MATCH($B104,Régions!$A$2:$A$6,0))</x:f>
        <x:v>#NAME?</x:v>
      </x:c>
      <x:c r="BG104" s="97" t="e">
        <x:f>BB104*INDEX(Régions!$AT$2:$AT$6,MATCH($B104,Régions!$A$2:$A$6,0))</x:f>
        <x:v>#NAME?</x:v>
      </x:c>
      <x:c r="BH104" s="97" t="e">
        <x:f>U104</x:f>
        <x:v>#NAME?</x:v>
      </x:c>
      <x:c r="BI104" s="97" t="e">
        <x:f>BC104*INDEX(Régions!$AU$2:$AU$6,MATCH($B104,Régions!$A$2:$A$6,0))</x:f>
        <x:v>#NAME?</x:v>
      </x:c>
      <x:c r="BJ104" s="97" t="str">
        <x:f>INDEX({"CAQ","PLQ","QS","PQ","PCQ","Autre"},MATCH(MAX(BD104:BI104),BD104:BI104,0))</x:f>
        <x:v>CAQ</x:v>
      </x:c>
    </x:row>
    <x:row r="105" s="60" customFormat="1" ht="15" customHeight="1">
      <x:c r="A105" s="94" t="inlineStr">
        <x:is>
          <x:t xml:space="preserve">Saint-Henri–Sainte-Anne</x:t>
        </x:is>
      </x:c>
      <x:c r="B105" s="94" t="inlineStr">
        <x:is>
          <x:t xml:space="preserve">Île de Montréal</x:t>
        </x:is>
      </x:c>
      <x:c r="C105" s="95" t="inlineStr">
        <x:is>
          <x:t xml:space="preserve">PLQ</x:t>
        </x:is>
      </x:c>
      <x:c r="D105" s="96" t="n">
        <x:v>5751</x:v>
      </x:c>
      <x:c r="E105" s="96" t="n">
        <x:v>11728</x:v>
      </x:c>
      <x:c r="F105" s="96" t="n">
        <x:v>8992</x:v>
      </x:c>
      <x:c r="G105" s="96" t="n">
        <x:v>2683</x:v>
      </x:c>
      <x:c r="H105" s="96" t="n">
        <x:v>2063</x:v>
      </x:c>
      <x:c r="I105" s="96" t="n">
        <x:v>1223</x:v>
      </x:c>
      <x:c r="J105" s="97" t="n">
        <x:f>SUM(D105:I105)</x:f>
        <x:v>32440</x:v>
      </x:c>
      <x:c r="K105" s="98" t="n">
        <x:f>IFERROR(D105/J105,0)</x:f>
        <x:v>0.17728113440197288</x:v>
      </x:c>
      <x:c r="L105" s="98" t="n">
        <x:f>IFERROR(E105/J105,0)</x:f>
        <x:v>0.3615289765721332</x:v>
      </x:c>
      <x:c r="M105" s="98" t="n">
        <x:f>IFERROR(F105/J105,0)</x:f>
        <x:v>0.27718865598027126</x:v>
      </x:c>
      <x:c r="N105" s="98" t="n">
        <x:f>IFERROR(G105/J105,0)</x:f>
        <x:v>0.08270653514180025</x:v>
      </x:c>
      <x:c r="O105" s="98" t="n">
        <x:f>IFERROR(H105/J105,0)</x:f>
        <x:v>0.06359432799013563</x:v>
      </x:c>
      <x:c r="P105" s="98" t="n">
        <x:f>IFERROR(I105/J105,0)</x:f>
        <x:v>0.037700369913686804</x:v>
      </x:c>
      <x:c r="Q105" s="97" t="e">
        <x:f>D105*INDEX(Régions!$T$2:$T$6,MATCH($B105,Régions!$A$2:$A$6,0))</x:f>
        <x:v>#NAME?</x:v>
      </x:c>
      <x:c r="R105" s="97" t="e">
        <x:f>E105*INDEX(Régions!$U$2:$U$6,MATCH($B105,Régions!$A$2:$A$6,0))</x:f>
        <x:v>#NAME?</x:v>
      </x:c>
      <x:c r="S105" s="97" t="e">
        <x:f>F105*INDEX(Régions!$V$2:$V$6,MATCH($B105,Régions!$A$2:$A$6,0))</x:f>
        <x:v>#NAME?</x:v>
      </x:c>
      <x:c r="T105" s="97" t="e">
        <x:f>G105*INDEX(Régions!$W$2:$W$6,MATCH($B105,Régions!$A$2:$A$6,0))</x:f>
        <x:v>#NAME?</x:v>
      </x:c>
      <x:c r="U105" s="97" t="e">
        <x:f>H105*INDEX(Régions!$X$2:$X$6,MATCH($B105,Régions!$A$2:$A$6,0))</x:f>
        <x:v>#NAME?</x:v>
      </x:c>
      <x:c r="V105" s="97" t="e">
        <x:f>I105*INDEX(Régions!$Y$2:$Y$6,MATCH($B105,Régions!$A$2:$A$6,0))</x:f>
        <x:v>#NAME?</x:v>
      </x:c>
      <x:c r="W105" s="97" t="e">
        <x:f>Q105+(AU105/100)*J105*Régions!$O$2</x:f>
        <x:v>#NAME?</x:v>
      </x:c>
      <x:c r="X105" s="97" t="e">
        <x:f>R105+(AV105/100)*J105*Régions!$O$2</x:f>
        <x:v>#NAME?</x:v>
      </x:c>
      <x:c r="Y105" s="97" t="e">
        <x:f>S105+(AW105/100)*J105*Régions!$O$2</x:f>
        <x:v>#NAME?</x:v>
      </x:c>
      <x:c r="Z105" s="97" t="e">
        <x:f>T105+(AX105/100)*J105*Régions!$O$2</x:f>
        <x:v>#NAME?</x:v>
      </x:c>
      <x:c r="AA105" s="97" t="e">
        <x:f>U105</x:f>
        <x:v>#NAME?</x:v>
      </x:c>
      <x:c r="AB105" s="97" t="e">
        <x:f>V105</x:f>
        <x:v>#NAME?</x:v>
      </x:c>
      <x:c r="AC105" s="97" t="e">
        <x:f>D105*INDEX(Régions!$Z$2:$Z$6,MATCH($B105,Régions!$A$2:$A$6,0))</x:f>
        <x:v>#NAME?</x:v>
      </x:c>
      <x:c r="AD105" s="97" t="e">
        <x:f>E105*INDEX(Régions!$AA$2:$AA$6,MATCH($B105,Régions!$A$2:$A$6,0))</x:f>
        <x:v>#NAME?</x:v>
      </x:c>
      <x:c r="AE105" s="97" t="e">
        <x:f>F105*INDEX(Régions!$AB$2:$AB$6,MATCH($B105,Régions!$A$2:$A$6,0))</x:f>
        <x:v>#NAME?</x:v>
      </x:c>
      <x:c r="AF105" s="97" t="e">
        <x:f>G105*INDEX(Régions!$AC$2:$AC$6,MATCH($B105,Régions!$A$2:$A$6,0))</x:f>
        <x:v>#NAME?</x:v>
      </x:c>
      <x:c r="AG105" s="97" t="e">
        <x:f>H105*INDEX(Régions!$AD$2:$AD$6,MATCH($B105,Régions!$A$2:$A$6,0))</x:f>
        <x:v>#NAME?</x:v>
      </x:c>
      <x:c r="AH105" s="97" t="e">
        <x:f>I105*INDEX(Régions!$AE$2:$AE$6,MATCH($B105,Régions!$A$2:$A$6,0))</x:f>
        <x:v>#NAME?</x:v>
      </x:c>
      <x:c r="AI105" s="97" t="e">
        <x:f>D105*INDEX(Régions!$AF$2:$AF$6,MATCH($B105,Régions!$A$2:$A$6,0))</x:f>
        <x:v>#NAME?</x:v>
      </x:c>
      <x:c r="AJ105" s="97" t="e">
        <x:f>E105*INDEX(Régions!$AG$2:$AG$6,MATCH($B105,Régions!$A$2:$A$6,0))</x:f>
        <x:v>#NAME?</x:v>
      </x:c>
      <x:c r="AK105" s="97" t="e">
        <x:f>F105*INDEX(Régions!$AH$2:$AH$6,MATCH($B105,Régions!$A$2:$A$6,0))</x:f>
        <x:v>#NAME?</x:v>
      </x:c>
      <x:c r="AL105" s="97" t="e">
        <x:f>G105*INDEX(Régions!$AI$2:$AI$6,MATCH($B105,Régions!$A$2:$A$6,0))</x:f>
        <x:v>#NAME?</x:v>
      </x:c>
      <x:c r="AM105" s="97" t="e">
        <x:f>H105*INDEX(Régions!$AJ$2:$AJ$6,MATCH($B105,Régions!$A$2:$A$6,0))</x:f>
        <x:v>#NAME?</x:v>
      </x:c>
      <x:c r="AN105" s="97" t="e">
        <x:f>I105*INDEX(Régions!$AK$2:$AK$6,MATCH($B105,Régions!$A$2:$A$6,0))</x:f>
        <x:v>#NAME?</x:v>
      </x:c>
      <x:c r="AO105" s="99" t="str">
        <x:f>INDEX({"CAQ","PLQ","QS","PQ","PCQ","Autre"},MATCH(MAX(Q105:V105),Q105:V105,0))</x:f>
        <x:v>CAQ</x:v>
      </x:c>
      <x:c r="AP105" s="99" t="str">
        <x:f>INDEX({"CAQ","PLQ","QS","PQ","PCQ","Autre"},MATCH(MAX(W105:AB105),W105:AB105,0))</x:f>
        <x:v>CAQ</x:v>
      </x:c>
      <x:c r="AQ105" s="99" t="str">
        <x:f>INDEX({"CAQ","PLQ","QS","PQ","PCQ","Autre"},MATCH(MAX(AC105:AH105),AC105:AH105,0))</x:f>
        <x:v>CAQ</x:v>
      </x:c>
      <x:c r="AR105" s="99" t="str">
        <x:f>INDEX({"CAQ","PLQ","QS","PQ","PCQ","Autre"},MATCH(MAX(AI105:AN105),AI105:AN105,0))</x:f>
        <x:v>CAQ</x:v>
      </x:c>
      <x:c r="AS105" s="100" t="n">
        <x:f>(MAX(K105:P105)-LARGE(K105:P105,2))*100</x:f>
        <x:v>8.434032059186192</x:v>
      </x:c>
      <x:c r="AT105" s="101" t="str">
        <x:f>IF(AS105&lt;5,"Oui","Non")</x:f>
        <x:v>Non</x:v>
      </x:c>
      <x:c r="AU105" s="102" t="n">
        <x:v>-3.057</x:v>
      </x:c>
      <x:c r="AV105" s="102" t="n">
        <x:v>6.929</x:v>
      </x:c>
      <x:c r="AW105" s="102" t="n">
        <x:v>3.14</x:v>
      </x:c>
      <x:c r="AX105" s="102" t="n">
        <x:v>-2.047</x:v>
      </x:c>
      <x:c r="AY105" s="96" t="n">
        <x:v>5809</x:v>
      </x:c>
      <x:c r="AZ105" s="96" t="n">
        <x:v>11837</x:v>
      </x:c>
      <x:c r="BA105" s="96" t="n">
        <x:v>7413</x:v>
      </x:c>
      <x:c r="BB105" s="96" t="n">
        <x:v>3568</x:v>
      </x:c>
      <x:c r="BC105" s="96" t="n">
        <x:v>2475</x:v>
      </x:c>
      <x:c r="BD105" s="97" t="e">
        <x:f>AY105*INDEX(Régions!$AQ$2:$AQ$6,MATCH($B105,Régions!$A$2:$A$6,0))</x:f>
        <x:v>#NAME?</x:v>
      </x:c>
      <x:c r="BE105" s="97" t="e">
        <x:f>AZ105*INDEX(Régions!$AR$2:$AR$6,MATCH($B105,Régions!$A$2:$A$6,0))</x:f>
        <x:v>#NAME?</x:v>
      </x:c>
      <x:c r="BF105" s="97" t="e">
        <x:f>BA105*INDEX(Régions!$AS$2:$AS$6,MATCH($B105,Régions!$A$2:$A$6,0))</x:f>
        <x:v>#NAME?</x:v>
      </x:c>
      <x:c r="BG105" s="97" t="e">
        <x:f>BB105*INDEX(Régions!$AT$2:$AT$6,MATCH($B105,Régions!$A$2:$A$6,0))</x:f>
        <x:v>#NAME?</x:v>
      </x:c>
      <x:c r="BH105" s="97" t="e">
        <x:f>U105</x:f>
        <x:v>#NAME?</x:v>
      </x:c>
      <x:c r="BI105" s="97" t="e">
        <x:f>BC105*INDEX(Régions!$AU$2:$AU$6,MATCH($B105,Régions!$A$2:$A$6,0))</x:f>
        <x:v>#NAME?</x:v>
      </x:c>
      <x:c r="BJ105" s="97" t="str">
        <x:f>INDEX({"CAQ","PLQ","QS","PQ","PCQ","Autre"},MATCH(MAX(BD105:BI105),BD105:BI105,0))</x:f>
        <x:v>CAQ</x:v>
      </x:c>
    </x:row>
    <x:row r="106" s="60" customFormat="1" ht="15" customHeight="1">
      <x:c r="A106" s="94" t="inlineStr">
        <x:is>
          <x:t xml:space="preserve">Saint-Hyacinthe</x:t>
        </x:is>
      </x:c>
      <x:c r="B106" s="94" t="inlineStr">
        <x:is>
          <x:t xml:space="preserve">Reste du Québec</x:t>
        </x:is>
      </x:c>
      <x:c r="C106" s="95" t="inlineStr">
        <x:is>
          <x:t xml:space="preserve">CAQ</x:t>
        </x:is>
      </x:c>
      <x:c r="D106" s="96" t="n">
        <x:v>20566</x:v>
      </x:c>
      <x:c r="E106" s="96" t="n">
        <x:v>1599</x:v>
      </x:c>
      <x:c r="F106" s="96" t="n">
        <x:v>5222</x:v>
      </x:c>
      <x:c r="G106" s="96" t="n">
        <x:v>6420</x:v>
      </x:c>
      <x:c r="H106" s="96" t="n">
        <x:v>3669</x:v>
      </x:c>
      <x:c r="I106" s="96" t="n">
        <x:v>487</x:v>
      </x:c>
      <x:c r="J106" s="97" t="n">
        <x:f>SUM(D106:I106)</x:f>
        <x:v>37963</x:v>
      </x:c>
      <x:c r="K106" s="98" t="n">
        <x:f>IFERROR(D106/J106,0)</x:f>
        <x:v>0.5417380080604799</x:v>
      </x:c>
      <x:c r="L106" s="98" t="n">
        <x:f>IFERROR(E106/J106,0)</x:f>
        <x:v>0.04211995890735716</x:v>
      </x:c>
      <x:c r="M106" s="98" t="n">
        <x:f>IFERROR(F106/J106,0)</x:f>
        <x:v>0.13755498775123146</x:v>
      </x:c>
      <x:c r="N106" s="98" t="n">
        <x:f>IFERROR(G106/J106,0)</x:f>
        <x:v>0.16911203013460474</x:v>
      </x:c>
      <x:c r="O106" s="98" t="n">
        <x:f>IFERROR(H106/J106,0)</x:f>
        <x:v>0.09664673497879514</x:v>
      </x:c>
      <x:c r="P106" s="98" t="n">
        <x:f>IFERROR(I106/J106,0)</x:f>
        <x:v>0.012828280167531543</x:v>
      </x:c>
      <x:c r="Q106" s="97" t="e">
        <x:f>D106*INDEX(Régions!$T$2:$T$6,MATCH($B106,Régions!$A$2:$A$6,0))</x:f>
        <x:v>#NAME?</x:v>
      </x:c>
      <x:c r="R106" s="97" t="e">
        <x:f>E106*INDEX(Régions!$U$2:$U$6,MATCH($B106,Régions!$A$2:$A$6,0))</x:f>
        <x:v>#NAME?</x:v>
      </x:c>
      <x:c r="S106" s="97" t="e">
        <x:f>F106*INDEX(Régions!$V$2:$V$6,MATCH($B106,Régions!$A$2:$A$6,0))</x:f>
        <x:v>#NAME?</x:v>
      </x:c>
      <x:c r="T106" s="97" t="e">
        <x:f>G106*INDEX(Régions!$W$2:$W$6,MATCH($B106,Régions!$A$2:$A$6,0))</x:f>
        <x:v>#NAME?</x:v>
      </x:c>
      <x:c r="U106" s="97" t="e">
        <x:f>H106*INDEX(Régions!$X$2:$X$6,MATCH($B106,Régions!$A$2:$A$6,0))</x:f>
        <x:v>#NAME?</x:v>
      </x:c>
      <x:c r="V106" s="97" t="e">
        <x:f>I106*INDEX(Régions!$Y$2:$Y$6,MATCH($B106,Régions!$A$2:$A$6,0))</x:f>
        <x:v>#NAME?</x:v>
      </x:c>
      <x:c r="W106" s="97" t="e">
        <x:f>Q106+(AU106/100)*J106*Régions!$O$2</x:f>
        <x:v>#NAME?</x:v>
      </x:c>
      <x:c r="X106" s="97" t="e">
        <x:f>R106+(AV106/100)*J106*Régions!$O$2</x:f>
        <x:v>#NAME?</x:v>
      </x:c>
      <x:c r="Y106" s="97" t="e">
        <x:f>S106+(AW106/100)*J106*Régions!$O$2</x:f>
        <x:v>#NAME?</x:v>
      </x:c>
      <x:c r="Z106" s="97" t="e">
        <x:f>T106+(AX106/100)*J106*Régions!$O$2</x:f>
        <x:v>#NAME?</x:v>
      </x:c>
      <x:c r="AA106" s="97" t="e">
        <x:f>U106</x:f>
        <x:v>#NAME?</x:v>
      </x:c>
      <x:c r="AB106" s="97" t="e">
        <x:f>V106</x:f>
        <x:v>#NAME?</x:v>
      </x:c>
      <x:c r="AC106" s="97" t="e">
        <x:f>D106*INDEX(Régions!$Z$2:$Z$6,MATCH($B106,Régions!$A$2:$A$6,0))</x:f>
        <x:v>#NAME?</x:v>
      </x:c>
      <x:c r="AD106" s="97" t="e">
        <x:f>E106*INDEX(Régions!$AA$2:$AA$6,MATCH($B106,Régions!$A$2:$A$6,0))</x:f>
        <x:v>#NAME?</x:v>
      </x:c>
      <x:c r="AE106" s="97" t="e">
        <x:f>F106*INDEX(Régions!$AB$2:$AB$6,MATCH($B106,Régions!$A$2:$A$6,0))</x:f>
        <x:v>#NAME?</x:v>
      </x:c>
      <x:c r="AF106" s="97" t="e">
        <x:f>G106*INDEX(Régions!$AC$2:$AC$6,MATCH($B106,Régions!$A$2:$A$6,0))</x:f>
        <x:v>#NAME?</x:v>
      </x:c>
      <x:c r="AG106" s="97" t="e">
        <x:f>H106*INDEX(Régions!$AD$2:$AD$6,MATCH($B106,Régions!$A$2:$A$6,0))</x:f>
        <x:v>#NAME?</x:v>
      </x:c>
      <x:c r="AH106" s="97" t="e">
        <x:f>I106*INDEX(Régions!$AE$2:$AE$6,MATCH($B106,Régions!$A$2:$A$6,0))</x:f>
        <x:v>#NAME?</x:v>
      </x:c>
      <x:c r="AI106" s="97" t="e">
        <x:f>D106*INDEX(Régions!$AF$2:$AF$6,MATCH($B106,Régions!$A$2:$A$6,0))</x:f>
        <x:v>#NAME?</x:v>
      </x:c>
      <x:c r="AJ106" s="97" t="e">
        <x:f>E106*INDEX(Régions!$AG$2:$AG$6,MATCH($B106,Régions!$A$2:$A$6,0))</x:f>
        <x:v>#NAME?</x:v>
      </x:c>
      <x:c r="AK106" s="97" t="e">
        <x:f>F106*INDEX(Régions!$AH$2:$AH$6,MATCH($B106,Régions!$A$2:$A$6,0))</x:f>
        <x:v>#NAME?</x:v>
      </x:c>
      <x:c r="AL106" s="97" t="e">
        <x:f>G106*INDEX(Régions!$AI$2:$AI$6,MATCH($B106,Régions!$A$2:$A$6,0))</x:f>
        <x:v>#NAME?</x:v>
      </x:c>
      <x:c r="AM106" s="97" t="e">
        <x:f>H106*INDEX(Régions!$AJ$2:$AJ$6,MATCH($B106,Régions!$A$2:$A$6,0))</x:f>
        <x:v>#NAME?</x:v>
      </x:c>
      <x:c r="AN106" s="97" t="e">
        <x:f>I106*INDEX(Régions!$AK$2:$AK$6,MATCH($B106,Régions!$A$2:$A$6,0))</x:f>
        <x:v>#NAME?</x:v>
      </x:c>
      <x:c r="AO106" s="99" t="str">
        <x:f>INDEX({"CAQ","PLQ","QS","PQ","PCQ","Autre"},MATCH(MAX(Q106:V106),Q106:V106,0))</x:f>
        <x:v>CAQ</x:v>
      </x:c>
      <x:c r="AP106" s="99" t="str">
        <x:f>INDEX({"CAQ","PLQ","QS","PQ","PCQ","Autre"},MATCH(MAX(W106:AB106),W106:AB106,0))</x:f>
        <x:v>CAQ</x:v>
      </x:c>
      <x:c r="AQ106" s="99" t="str">
        <x:f>INDEX({"CAQ","PLQ","QS","PQ","PCQ","Autre"},MATCH(MAX(AC106:AH106),AC106:AH106,0))</x:f>
        <x:v>CAQ</x:v>
      </x:c>
      <x:c r="AR106" s="99" t="str">
        <x:f>INDEX({"CAQ","PLQ","QS","PQ","PCQ","Autre"},MATCH(MAX(AI106:AN106),AI106:AN106,0))</x:f>
        <x:v>CAQ</x:v>
      </x:c>
      <x:c r="AS106" s="100" t="n">
        <x:f>(MAX(K106:P106)-LARGE(K106:P106,2))*100</x:f>
        <x:v>37.26259779258751</x:v>
      </x:c>
      <x:c r="AT106" s="101" t="str">
        <x:f>IF(AS106&lt;5,"Oui","Non")</x:f>
        <x:v>Non</x:v>
      </x:c>
      <x:c r="AU106" s="102" t="n">
        <x:v>-3.453</x:v>
      </x:c>
      <x:c r="AV106" s="102" t="n">
        <x:v>3.057</x:v>
      </x:c>
      <x:c r="AW106" s="102" t="n">
        <x:v>-1.897</x:v>
      </x:c>
      <x:c r="AX106" s="102" t="n">
        <x:v>4.498</x:v>
      </x:c>
      <x:c r="AY106" s="96" t="n">
        <x:v>19372</x:v>
      </x:c>
      <x:c r="AZ106" s="96" t="n">
        <x:v>5213</x:v>
      </x:c>
      <x:c r="BA106" s="96" t="n">
        <x:v>6238</x:v>
      </x:c>
      <x:c r="BB106" s="96" t="n">
        <x:v>6147</x:v>
      </x:c>
      <x:c r="BC106" s="96" t="n">
        <x:v>518</x:v>
      </x:c>
      <x:c r="BD106" s="97" t="e">
        <x:f>AY106*INDEX(Régions!$AQ$2:$AQ$6,MATCH($B106,Régions!$A$2:$A$6,0))</x:f>
        <x:v>#NAME?</x:v>
      </x:c>
      <x:c r="BE106" s="97" t="e">
        <x:f>AZ106*INDEX(Régions!$AR$2:$AR$6,MATCH($B106,Régions!$A$2:$A$6,0))</x:f>
        <x:v>#NAME?</x:v>
      </x:c>
      <x:c r="BF106" s="97" t="e">
        <x:f>BA106*INDEX(Régions!$AS$2:$AS$6,MATCH($B106,Régions!$A$2:$A$6,0))</x:f>
        <x:v>#NAME?</x:v>
      </x:c>
      <x:c r="BG106" s="97" t="e">
        <x:f>BB106*INDEX(Régions!$AT$2:$AT$6,MATCH($B106,Régions!$A$2:$A$6,0))</x:f>
        <x:v>#NAME?</x:v>
      </x:c>
      <x:c r="BH106" s="97" t="e">
        <x:f>U106</x:f>
        <x:v>#NAME?</x:v>
      </x:c>
      <x:c r="BI106" s="97" t="e">
        <x:f>BC106*INDEX(Régions!$AU$2:$AU$6,MATCH($B106,Régions!$A$2:$A$6,0))</x:f>
        <x:v>#NAME?</x:v>
      </x:c>
      <x:c r="BJ106" s="97" t="str">
        <x:f>INDEX({"CAQ","PLQ","QS","PQ","PCQ","Autre"},MATCH(MAX(BD106:BI106),BD106:BI106,0))</x:f>
        <x:v>CAQ</x:v>
      </x:c>
    </x:row>
    <x:row r="107" s="60" customFormat="1" ht="15" customHeight="1">
      <x:c r="A107" s="94" t="inlineStr">
        <x:is>
          <x:t xml:space="preserve">Saint-Jean</x:t>
        </x:is>
      </x:c>
      <x:c r="B107" s="94" t="inlineStr">
        <x:is>
          <x:t xml:space="preserve">Banlieue de Montréal</x:t>
        </x:is>
      </x:c>
      <x:c r="C107" s="95" t="inlineStr">
        <x:is>
          <x:t xml:space="preserve">CAQ</x:t>
        </x:is>
      </x:c>
      <x:c r="D107" s="96" t="n">
        <x:v>21146</x:v>
      </x:c>
      <x:c r="E107" s="96" t="n">
        <x:v>2496</x:v>
      </x:c>
      <x:c r="F107" s="96" t="n">
        <x:v>6163</x:v>
      </x:c>
      <x:c r="G107" s="96" t="n">
        <x:v>8025</x:v>
      </x:c>
      <x:c r="H107" s="96" t="n">
        <x:v>3506</x:v>
      </x:c>
      <x:c r="I107" s="96" t="n">
        <x:v>412</x:v>
      </x:c>
      <x:c r="J107" s="97" t="n">
        <x:f>SUM(D107:I107)</x:f>
        <x:v>41748</x:v>
      </x:c>
      <x:c r="K107" s="98" t="n">
        <x:f>IFERROR(D107/J107,0)</x:f>
        <x:v>0.5065152821692057</x:v>
      </x:c>
      <x:c r="L107" s="98" t="n">
        <x:f>IFERROR(E107/J107,0)</x:f>
        <x:v>0.05978729519977005</x:v>
      </x:c>
      <x:c r="M107" s="98" t="n">
        <x:f>IFERROR(F107/J107,0)</x:f>
        <x:v>0.14762383826770145</x:v>
      </x:c>
      <x:c r="N107" s="98" t="n">
        <x:f>IFERROR(G107/J107,0)</x:f>
        <x:v>0.1922247772348376</x:v>
      </x:c>
      <x:c r="O107" s="98" t="n">
        <x:f>IFERROR(H107/J107,0)</x:f>
        <x:v>0.08398007090160008</x:v>
      </x:c>
      <x:c r="P107" s="98" t="n">
        <x:f>IFERROR(I107/J107,0)</x:f>
        <x:v>0.00986873622688512</x:v>
      </x:c>
      <x:c r="Q107" s="97" t="e">
        <x:f>D107*INDEX(Régions!$T$2:$T$6,MATCH($B107,Régions!$A$2:$A$6,0))</x:f>
        <x:v>#NAME?</x:v>
      </x:c>
      <x:c r="R107" s="97" t="e">
        <x:f>E107*INDEX(Régions!$U$2:$U$6,MATCH($B107,Régions!$A$2:$A$6,0))</x:f>
        <x:v>#NAME?</x:v>
      </x:c>
      <x:c r="S107" s="97" t="e">
        <x:f>F107*INDEX(Régions!$V$2:$V$6,MATCH($B107,Régions!$A$2:$A$6,0))</x:f>
        <x:v>#NAME?</x:v>
      </x:c>
      <x:c r="T107" s="97" t="e">
        <x:f>G107*INDEX(Régions!$W$2:$W$6,MATCH($B107,Régions!$A$2:$A$6,0))</x:f>
        <x:v>#NAME?</x:v>
      </x:c>
      <x:c r="U107" s="97" t="e">
        <x:f>H107*INDEX(Régions!$X$2:$X$6,MATCH($B107,Régions!$A$2:$A$6,0))</x:f>
        <x:v>#NAME?</x:v>
      </x:c>
      <x:c r="V107" s="97" t="e">
        <x:f>I107*INDEX(Régions!$Y$2:$Y$6,MATCH($B107,Régions!$A$2:$A$6,0))</x:f>
        <x:v>#NAME?</x:v>
      </x:c>
      <x:c r="W107" s="97" t="e">
        <x:f>Q107+(AU107/100)*J107*Régions!$O$2</x:f>
        <x:v>#NAME?</x:v>
      </x:c>
      <x:c r="X107" s="97" t="e">
        <x:f>R107+(AV107/100)*J107*Régions!$O$2</x:f>
        <x:v>#NAME?</x:v>
      </x:c>
      <x:c r="Y107" s="97" t="e">
        <x:f>S107+(AW107/100)*J107*Régions!$O$2</x:f>
        <x:v>#NAME?</x:v>
      </x:c>
      <x:c r="Z107" s="97" t="e">
        <x:f>T107+(AX107/100)*J107*Régions!$O$2</x:f>
        <x:v>#NAME?</x:v>
      </x:c>
      <x:c r="AA107" s="97" t="e">
        <x:f>U107</x:f>
        <x:v>#NAME?</x:v>
      </x:c>
      <x:c r="AB107" s="97" t="e">
        <x:f>V107</x:f>
        <x:v>#NAME?</x:v>
      </x:c>
      <x:c r="AC107" s="97" t="e">
        <x:f>D107*INDEX(Régions!$Z$2:$Z$6,MATCH($B107,Régions!$A$2:$A$6,0))</x:f>
        <x:v>#NAME?</x:v>
      </x:c>
      <x:c r="AD107" s="97" t="e">
        <x:f>E107*INDEX(Régions!$AA$2:$AA$6,MATCH($B107,Régions!$A$2:$A$6,0))</x:f>
        <x:v>#NAME?</x:v>
      </x:c>
      <x:c r="AE107" s="97" t="e">
        <x:f>F107*INDEX(Régions!$AB$2:$AB$6,MATCH($B107,Régions!$A$2:$A$6,0))</x:f>
        <x:v>#NAME?</x:v>
      </x:c>
      <x:c r="AF107" s="97" t="e">
        <x:f>G107*INDEX(Régions!$AC$2:$AC$6,MATCH($B107,Régions!$A$2:$A$6,0))</x:f>
        <x:v>#NAME?</x:v>
      </x:c>
      <x:c r="AG107" s="97" t="e">
        <x:f>H107*INDEX(Régions!$AD$2:$AD$6,MATCH($B107,Régions!$A$2:$A$6,0))</x:f>
        <x:v>#NAME?</x:v>
      </x:c>
      <x:c r="AH107" s="97" t="e">
        <x:f>I107*INDEX(Régions!$AE$2:$AE$6,MATCH($B107,Régions!$A$2:$A$6,0))</x:f>
        <x:v>#NAME?</x:v>
      </x:c>
      <x:c r="AI107" s="97" t="e">
        <x:f>D107*INDEX(Régions!$AF$2:$AF$6,MATCH($B107,Régions!$A$2:$A$6,0))</x:f>
        <x:v>#NAME?</x:v>
      </x:c>
      <x:c r="AJ107" s="97" t="e">
        <x:f>E107*INDEX(Régions!$AG$2:$AG$6,MATCH($B107,Régions!$A$2:$A$6,0))</x:f>
        <x:v>#NAME?</x:v>
      </x:c>
      <x:c r="AK107" s="97" t="e">
        <x:f>F107*INDEX(Régions!$AH$2:$AH$6,MATCH($B107,Régions!$A$2:$A$6,0))</x:f>
        <x:v>#NAME?</x:v>
      </x:c>
      <x:c r="AL107" s="97" t="e">
        <x:f>G107*INDEX(Régions!$AI$2:$AI$6,MATCH($B107,Régions!$A$2:$A$6,0))</x:f>
        <x:v>#NAME?</x:v>
      </x:c>
      <x:c r="AM107" s="97" t="e">
        <x:f>H107*INDEX(Régions!$AJ$2:$AJ$6,MATCH($B107,Régions!$A$2:$A$6,0))</x:f>
        <x:v>#NAME?</x:v>
      </x:c>
      <x:c r="AN107" s="97" t="e">
        <x:f>I107*INDEX(Régions!$AK$2:$AK$6,MATCH($B107,Régions!$A$2:$A$6,0))</x:f>
        <x:v>#NAME?</x:v>
      </x:c>
      <x:c r="AO107" s="99" t="str">
        <x:f>INDEX({"CAQ","PLQ","QS","PQ","PCQ","Autre"},MATCH(MAX(Q107:V107),Q107:V107,0))</x:f>
        <x:v>CAQ</x:v>
      </x:c>
      <x:c r="AP107" s="99" t="str">
        <x:f>INDEX({"CAQ","PLQ","QS","PQ","PCQ","Autre"},MATCH(MAX(W107:AB107),W107:AB107,0))</x:f>
        <x:v>CAQ</x:v>
      </x:c>
      <x:c r="AQ107" s="99" t="str">
        <x:f>INDEX({"CAQ","PLQ","QS","PQ","PCQ","Autre"},MATCH(MAX(AC107:AH107),AC107:AH107,0))</x:f>
        <x:v>CAQ</x:v>
      </x:c>
      <x:c r="AR107" s="99" t="str">
        <x:f>INDEX({"CAQ","PLQ","QS","PQ","PCQ","Autre"},MATCH(MAX(AI107:AN107),AI107:AN107,0))</x:f>
        <x:v>CAQ</x:v>
      </x:c>
      <x:c r="AS107" s="100" t="n">
        <x:f>(MAX(K107:P107)-LARGE(K107:P107,2))*100</x:f>
        <x:v>31.42905049343681</x:v>
      </x:c>
      <x:c r="AT107" s="101" t="str">
        <x:f>IF(AS107&lt;5,"Oui","Non")</x:f>
        <x:v>Non</x:v>
      </x:c>
      <x:c r="AU107" s="102" t="n">
        <x:v>8.026999999999999</x:v>
      </x:c>
      <x:c r="AV107" s="102" t="n">
        <x:v>1.244</x:v>
      </x:c>
      <x:c r="AW107" s="102" t="n">
        <x:v>1.018</x:v>
      </x:c>
      <x:c r="AX107" s="102" t="n">
        <x:v>-8.763</x:v>
      </x:c>
      <x:c r="AY107" s="96" t="n">
        <x:v>16335</x:v>
      </x:c>
      <x:c r="AZ107" s="96" t="n">
        <x:v>4812</x:v>
      </x:c>
      <x:c r="BA107" s="96" t="n">
        <x:v>5971</x:v>
      </x:c>
      <x:c r="BB107" s="96" t="n">
        <x:v>12815</x:v>
      </x:c>
      <x:c r="BC107" s="96" t="n">
        <x:v>1421</x:v>
      </x:c>
      <x:c r="BD107" s="97" t="e">
        <x:f>AY107*INDEX(Régions!$AQ$2:$AQ$6,MATCH($B107,Régions!$A$2:$A$6,0))</x:f>
        <x:v>#NAME?</x:v>
      </x:c>
      <x:c r="BE107" s="97" t="e">
        <x:f>AZ107*INDEX(Régions!$AR$2:$AR$6,MATCH($B107,Régions!$A$2:$A$6,0))</x:f>
        <x:v>#NAME?</x:v>
      </x:c>
      <x:c r="BF107" s="97" t="e">
        <x:f>BA107*INDEX(Régions!$AS$2:$AS$6,MATCH($B107,Régions!$A$2:$A$6,0))</x:f>
        <x:v>#NAME?</x:v>
      </x:c>
      <x:c r="BG107" s="97" t="e">
        <x:f>BB107*INDEX(Régions!$AT$2:$AT$6,MATCH($B107,Régions!$A$2:$A$6,0))</x:f>
        <x:v>#NAME?</x:v>
      </x:c>
      <x:c r="BH107" s="97" t="e">
        <x:f>U107</x:f>
        <x:v>#NAME?</x:v>
      </x:c>
      <x:c r="BI107" s="97" t="e">
        <x:f>BC107*INDEX(Régions!$AU$2:$AU$6,MATCH($B107,Régions!$A$2:$A$6,0))</x:f>
        <x:v>#NAME?</x:v>
      </x:c>
      <x:c r="BJ107" s="97" t="str">
        <x:f>INDEX({"CAQ","PLQ","QS","PQ","PCQ","Autre"},MATCH(MAX(BD107:BI107),BD107:BI107,0))</x:f>
        <x:v>CAQ</x:v>
      </x:c>
    </x:row>
    <x:row r="108" s="60" customFormat="1" ht="15" customHeight="1">
      <x:c r="A108" s="94" t="inlineStr">
        <x:is>
          <x:t xml:space="preserve">Saint-Jérôme</x:t>
        </x:is>
      </x:c>
      <x:c r="B108" s="94" t="inlineStr">
        <x:is>
          <x:t xml:space="preserve">Reste du Québec</x:t>
        </x:is>
      </x:c>
      <x:c r="C108" s="95" t="inlineStr">
        <x:is>
          <x:t xml:space="preserve">CAQ</x:t>
        </x:is>
      </x:c>
      <x:c r="D108" s="96" t="n">
        <x:v>14458</x:v>
      </x:c>
      <x:c r="E108" s="96" t="n">
        <x:v>1309</x:v>
      </x:c>
      <x:c r="F108" s="96" t="n">
        <x:v>4516</x:v>
      </x:c>
      <x:c r="G108" s="96" t="n">
        <x:v>5443</x:v>
      </x:c>
      <x:c r="H108" s="96" t="n">
        <x:v>2816</x:v>
      </x:c>
      <x:c r="I108" s="96" t="n">
        <x:v>364</x:v>
      </x:c>
      <x:c r="J108" s="97" t="n">
        <x:f>SUM(D108:I108)</x:f>
        <x:v>28906</x:v>
      </x:c>
      <x:c r="K108" s="98" t="n">
        <x:f>IFERROR(D108/J108,0)</x:f>
        <x:v>0.5001729744689684</x:v>
      </x:c>
      <x:c r="L108" s="98" t="n">
        <x:f>IFERROR(E108/J108,0)</x:f>
        <x:v>0.04528471597592195</x:v>
      </x:c>
      <x:c r="M108" s="98" t="n">
        <x:f>IFERROR(F108/J108,0)</x:f>
        <x:v>0.15623054037224104</x:v>
      </x:c>
      <x:c r="N108" s="98" t="n">
        <x:f>IFERROR(G108/J108,0)</x:f>
        <x:v>0.18830000691897875</x:v>
      </x:c>
      <x:c r="O108" s="98" t="n">
        <x:f>IFERROR(H108/J108,0)</x:f>
        <x:v>0.09741922092299177</x:v>
      </x:c>
      <x:c r="P108" s="98" t="n">
        <x:f>IFERROR(I108/J108,0)</x:f>
        <x:v>0.012592541340898083</x:v>
      </x:c>
      <x:c r="Q108" s="97" t="e">
        <x:f>D108*INDEX(Régions!$T$2:$T$6,MATCH($B108,Régions!$A$2:$A$6,0))</x:f>
        <x:v>#NAME?</x:v>
      </x:c>
      <x:c r="R108" s="97" t="e">
        <x:f>E108*INDEX(Régions!$U$2:$U$6,MATCH($B108,Régions!$A$2:$A$6,0))</x:f>
        <x:v>#NAME?</x:v>
      </x:c>
      <x:c r="S108" s="97" t="e">
        <x:f>F108*INDEX(Régions!$V$2:$V$6,MATCH($B108,Régions!$A$2:$A$6,0))</x:f>
        <x:v>#NAME?</x:v>
      </x:c>
      <x:c r="T108" s="97" t="e">
        <x:f>G108*INDEX(Régions!$W$2:$W$6,MATCH($B108,Régions!$A$2:$A$6,0))</x:f>
        <x:v>#NAME?</x:v>
      </x:c>
      <x:c r="U108" s="97" t="e">
        <x:f>H108*INDEX(Régions!$X$2:$X$6,MATCH($B108,Régions!$A$2:$A$6,0))</x:f>
        <x:v>#NAME?</x:v>
      </x:c>
      <x:c r="V108" s="97" t="e">
        <x:f>I108*INDEX(Régions!$Y$2:$Y$6,MATCH($B108,Régions!$A$2:$A$6,0))</x:f>
        <x:v>#NAME?</x:v>
      </x:c>
      <x:c r="W108" s="97" t="e">
        <x:f>Q108+(AU108/100)*J108*Régions!$O$2</x:f>
        <x:v>#NAME?</x:v>
      </x:c>
      <x:c r="X108" s="97" t="e">
        <x:f>R108+(AV108/100)*J108*Régions!$O$2</x:f>
        <x:v>#NAME?</x:v>
      </x:c>
      <x:c r="Y108" s="97" t="e">
        <x:f>S108+(AW108/100)*J108*Régions!$O$2</x:f>
        <x:v>#NAME?</x:v>
      </x:c>
      <x:c r="Z108" s="97" t="e">
        <x:f>T108+(AX108/100)*J108*Régions!$O$2</x:f>
        <x:v>#NAME?</x:v>
      </x:c>
      <x:c r="AA108" s="97" t="e">
        <x:f>U108</x:f>
        <x:v>#NAME?</x:v>
      </x:c>
      <x:c r="AB108" s="97" t="e">
        <x:f>V108</x:f>
        <x:v>#NAME?</x:v>
      </x:c>
      <x:c r="AC108" s="97" t="e">
        <x:f>D108*INDEX(Régions!$Z$2:$Z$6,MATCH($B108,Régions!$A$2:$A$6,0))</x:f>
        <x:v>#NAME?</x:v>
      </x:c>
      <x:c r="AD108" s="97" t="e">
        <x:f>E108*INDEX(Régions!$AA$2:$AA$6,MATCH($B108,Régions!$A$2:$A$6,0))</x:f>
        <x:v>#NAME?</x:v>
      </x:c>
      <x:c r="AE108" s="97" t="e">
        <x:f>F108*INDEX(Régions!$AB$2:$AB$6,MATCH($B108,Régions!$A$2:$A$6,0))</x:f>
        <x:v>#NAME?</x:v>
      </x:c>
      <x:c r="AF108" s="97" t="e">
        <x:f>G108*INDEX(Régions!$AC$2:$AC$6,MATCH($B108,Régions!$A$2:$A$6,0))</x:f>
        <x:v>#NAME?</x:v>
      </x:c>
      <x:c r="AG108" s="97" t="e">
        <x:f>H108*INDEX(Régions!$AD$2:$AD$6,MATCH($B108,Régions!$A$2:$A$6,0))</x:f>
        <x:v>#NAME?</x:v>
      </x:c>
      <x:c r="AH108" s="97" t="e">
        <x:f>I108*INDEX(Régions!$AE$2:$AE$6,MATCH($B108,Régions!$A$2:$A$6,0))</x:f>
        <x:v>#NAME?</x:v>
      </x:c>
      <x:c r="AI108" s="97" t="e">
        <x:f>D108*INDEX(Régions!$AF$2:$AF$6,MATCH($B108,Régions!$A$2:$A$6,0))</x:f>
        <x:v>#NAME?</x:v>
      </x:c>
      <x:c r="AJ108" s="97" t="e">
        <x:f>E108*INDEX(Régions!$AG$2:$AG$6,MATCH($B108,Régions!$A$2:$A$6,0))</x:f>
        <x:v>#NAME?</x:v>
      </x:c>
      <x:c r="AK108" s="97" t="e">
        <x:f>F108*INDEX(Régions!$AH$2:$AH$6,MATCH($B108,Régions!$A$2:$A$6,0))</x:f>
        <x:v>#NAME?</x:v>
      </x:c>
      <x:c r="AL108" s="97" t="e">
        <x:f>G108*INDEX(Régions!$AI$2:$AI$6,MATCH($B108,Régions!$A$2:$A$6,0))</x:f>
        <x:v>#NAME?</x:v>
      </x:c>
      <x:c r="AM108" s="97" t="e">
        <x:f>H108*INDEX(Régions!$AJ$2:$AJ$6,MATCH($B108,Régions!$A$2:$A$6,0))</x:f>
        <x:v>#NAME?</x:v>
      </x:c>
      <x:c r="AN108" s="97" t="e">
        <x:f>I108*INDEX(Régions!$AK$2:$AK$6,MATCH($B108,Régions!$A$2:$A$6,0))</x:f>
        <x:v>#NAME?</x:v>
      </x:c>
      <x:c r="AO108" s="99" t="str">
        <x:f>INDEX({"CAQ","PLQ","QS","PQ","PCQ","Autre"},MATCH(MAX(Q108:V108),Q108:V108,0))</x:f>
        <x:v>CAQ</x:v>
      </x:c>
      <x:c r="AP108" s="99" t="str">
        <x:f>INDEX({"CAQ","PLQ","QS","PQ","PCQ","Autre"},MATCH(MAX(W108:AB108),W108:AB108,0))</x:f>
        <x:v>CAQ</x:v>
      </x:c>
      <x:c r="AQ108" s="99" t="str">
        <x:f>INDEX({"CAQ","PLQ","QS","PQ","PCQ","Autre"},MATCH(MAX(AC108:AH108),AC108:AH108,0))</x:f>
        <x:v>CAQ</x:v>
      </x:c>
      <x:c r="AR108" s="99" t="str">
        <x:f>INDEX({"CAQ","PLQ","QS","PQ","PCQ","Autre"},MATCH(MAX(AI108:AN108),AI108:AN108,0))</x:f>
        <x:v>CAQ</x:v>
      </x:c>
      <x:c r="AS108" s="100" t="n">
        <x:f>(MAX(K108:P108)-LARGE(K108:P108,2))*100</x:f>
        <x:v>31.18729675499896</x:v>
      </x:c>
      <x:c r="AT108" s="101" t="str">
        <x:f>IF(AS108&lt;5,"Oui","Non")</x:f>
        <x:v>Non</x:v>
      </x:c>
      <x:c r="AU108" s="102" t="n">
        <x:v>0.331</x:v>
      </x:c>
      <x:c r="AV108" s="102" t="n">
        <x:v>8.304</x:v>
      </x:c>
      <x:c r="AW108" s="102" t="n">
        <x:v>0.757</x:v>
      </x:c>
      <x:c r="AX108" s="102" t="n">
        <x:v>-4.61</x:v>
      </x:c>
      <x:c r="AY108" s="96" t="n">
        <x:v>12132</x:v>
      </x:c>
      <x:c r="AZ108" s="96" t="n">
        <x:v>2489</x:v>
      </x:c>
      <x:c r="BA108" s="96" t="n">
        <x:v>4397</x:v>
      </x:c>
      <x:c r="BB108" s="96" t="n">
        <x:v>7607</x:v>
      </x:c>
      <x:c r="BC108" s="96" t="n">
        <x:v>1113</x:v>
      </x:c>
      <x:c r="BD108" s="97" t="e">
        <x:f>AY108*INDEX(Régions!$AQ$2:$AQ$6,MATCH($B108,Régions!$A$2:$A$6,0))</x:f>
        <x:v>#NAME?</x:v>
      </x:c>
      <x:c r="BE108" s="97" t="e">
        <x:f>AZ108*INDEX(Régions!$AR$2:$AR$6,MATCH($B108,Régions!$A$2:$A$6,0))</x:f>
        <x:v>#NAME?</x:v>
      </x:c>
      <x:c r="BF108" s="97" t="e">
        <x:f>BA108*INDEX(Régions!$AS$2:$AS$6,MATCH($B108,Régions!$A$2:$A$6,0))</x:f>
        <x:v>#NAME?</x:v>
      </x:c>
      <x:c r="BG108" s="97" t="e">
        <x:f>BB108*INDEX(Régions!$AT$2:$AT$6,MATCH($B108,Régions!$A$2:$A$6,0))</x:f>
        <x:v>#NAME?</x:v>
      </x:c>
      <x:c r="BH108" s="97" t="e">
        <x:f>U108</x:f>
        <x:v>#NAME?</x:v>
      </x:c>
      <x:c r="BI108" s="97" t="e">
        <x:f>BC108*INDEX(Régions!$AU$2:$AU$6,MATCH($B108,Régions!$A$2:$A$6,0))</x:f>
        <x:v>#NAME?</x:v>
      </x:c>
      <x:c r="BJ108" s="97" t="str">
        <x:f>INDEX({"CAQ","PLQ","QS","PQ","PCQ","Autre"},MATCH(MAX(BD108:BI108),BD108:BI108,0))</x:f>
        <x:v>CAQ</x:v>
      </x:c>
    </x:row>
    <x:row r="109" s="60" customFormat="1" ht="15" customHeight="1">
      <x:c r="A109" s="94" t="inlineStr">
        <x:is>
          <x:t xml:space="preserve">Saint-Laurent</x:t>
        </x:is>
      </x:c>
      <x:c r="B109" s="94" t="inlineStr">
        <x:is>
          <x:t xml:space="preserve">Île de Montréal</x:t>
        </x:is>
      </x:c>
      <x:c r="C109" s="95" t="inlineStr">
        <x:is>
          <x:t xml:space="preserve">PLQ</x:t>
        </x:is>
      </x:c>
      <x:c r="D109" s="96" t="n">
        <x:v>4091</x:v>
      </x:c>
      <x:c r="E109" s="96" t="n">
        <x:v>14304</x:v>
      </x:c>
      <x:c r="F109" s="96" t="n">
        <x:v>2840</x:v>
      </x:c>
      <x:c r="G109" s="96" t="n">
        <x:v>1696</x:v>
      </x:c>
      <x:c r="H109" s="96" t="n">
        <x:v>4506</x:v>
      </x:c>
      <x:c r="I109" s="96" t="n">
        <x:v>1191</x:v>
      </x:c>
      <x:c r="J109" s="97" t="n">
        <x:f>SUM(D109:I109)</x:f>
        <x:v>28628</x:v>
      </x:c>
      <x:c r="K109" s="98" t="n">
        <x:f>IFERROR(D109/J109,0)</x:f>
        <x:v>0.14290205393321223</x:v>
      </x:c>
      <x:c r="L109" s="98" t="n">
        <x:f>IFERROR(E109/J109,0)</x:f>
        <x:v>0.49965069163057146</x:v>
      </x:c>
      <x:c r="M109" s="98" t="n">
        <x:f>IFERROR(F109/J109,0)</x:f>
        <x:v>0.09920357691770294</x:v>
      </x:c>
      <x:c r="N109" s="98" t="n">
        <x:f>IFERROR(G109/J109,0)</x:f>
        <x:v>0.05924269945507894</x:v>
      </x:c>
      <x:c r="O109" s="98" t="n">
        <x:f>IFERROR(H109/J109,0)</x:f>
        <x:v>0.1573983512644963</x:v>
      </x:c>
      <x:c r="P109" s="98" t="n">
        <x:f>IFERROR(I109/J109,0)</x:f>
        <x:v>0.0416026267989381</x:v>
      </x:c>
      <x:c r="Q109" s="97" t="e">
        <x:f>D109*INDEX(Régions!$T$2:$T$6,MATCH($B109,Régions!$A$2:$A$6,0))</x:f>
        <x:v>#NAME?</x:v>
      </x:c>
      <x:c r="R109" s="97" t="e">
        <x:f>E109*INDEX(Régions!$U$2:$U$6,MATCH($B109,Régions!$A$2:$A$6,0))</x:f>
        <x:v>#NAME?</x:v>
      </x:c>
      <x:c r="S109" s="97" t="e">
        <x:f>F109*INDEX(Régions!$V$2:$V$6,MATCH($B109,Régions!$A$2:$A$6,0))</x:f>
        <x:v>#NAME?</x:v>
      </x:c>
      <x:c r="T109" s="97" t="e">
        <x:f>G109*INDEX(Régions!$W$2:$W$6,MATCH($B109,Régions!$A$2:$A$6,0))</x:f>
        <x:v>#NAME?</x:v>
      </x:c>
      <x:c r="U109" s="97" t="e">
        <x:f>H109*INDEX(Régions!$X$2:$X$6,MATCH($B109,Régions!$A$2:$A$6,0))</x:f>
        <x:v>#NAME?</x:v>
      </x:c>
      <x:c r="V109" s="97" t="e">
        <x:f>I109*INDEX(Régions!$Y$2:$Y$6,MATCH($B109,Régions!$A$2:$A$6,0))</x:f>
        <x:v>#NAME?</x:v>
      </x:c>
      <x:c r="W109" s="97" t="e">
        <x:f>Q109+(AU109/100)*J109*Régions!$O$2</x:f>
        <x:v>#NAME?</x:v>
      </x:c>
      <x:c r="X109" s="97" t="e">
        <x:f>R109+(AV109/100)*J109*Régions!$O$2</x:f>
        <x:v>#NAME?</x:v>
      </x:c>
      <x:c r="Y109" s="97" t="e">
        <x:f>S109+(AW109/100)*J109*Régions!$O$2</x:f>
        <x:v>#NAME?</x:v>
      </x:c>
      <x:c r="Z109" s="97" t="e">
        <x:f>T109+(AX109/100)*J109*Régions!$O$2</x:f>
        <x:v>#NAME?</x:v>
      </x:c>
      <x:c r="AA109" s="97" t="e">
        <x:f>U109</x:f>
        <x:v>#NAME?</x:v>
      </x:c>
      <x:c r="AB109" s="97" t="e">
        <x:f>V109</x:f>
        <x:v>#NAME?</x:v>
      </x:c>
      <x:c r="AC109" s="97" t="e">
        <x:f>D109*INDEX(Régions!$Z$2:$Z$6,MATCH($B109,Régions!$A$2:$A$6,0))</x:f>
        <x:v>#NAME?</x:v>
      </x:c>
      <x:c r="AD109" s="97" t="e">
        <x:f>E109*INDEX(Régions!$AA$2:$AA$6,MATCH($B109,Régions!$A$2:$A$6,0))</x:f>
        <x:v>#NAME?</x:v>
      </x:c>
      <x:c r="AE109" s="97" t="e">
        <x:f>F109*INDEX(Régions!$AB$2:$AB$6,MATCH($B109,Régions!$A$2:$A$6,0))</x:f>
        <x:v>#NAME?</x:v>
      </x:c>
      <x:c r="AF109" s="97" t="e">
        <x:f>G109*INDEX(Régions!$AC$2:$AC$6,MATCH($B109,Régions!$A$2:$A$6,0))</x:f>
        <x:v>#NAME?</x:v>
      </x:c>
      <x:c r="AG109" s="97" t="e">
        <x:f>H109*INDEX(Régions!$AD$2:$AD$6,MATCH($B109,Régions!$A$2:$A$6,0))</x:f>
        <x:v>#NAME?</x:v>
      </x:c>
      <x:c r="AH109" s="97" t="e">
        <x:f>I109*INDEX(Régions!$AE$2:$AE$6,MATCH($B109,Régions!$A$2:$A$6,0))</x:f>
        <x:v>#NAME?</x:v>
      </x:c>
      <x:c r="AI109" s="97" t="e">
        <x:f>D109*INDEX(Régions!$AF$2:$AF$6,MATCH($B109,Régions!$A$2:$A$6,0))</x:f>
        <x:v>#NAME?</x:v>
      </x:c>
      <x:c r="AJ109" s="97" t="e">
        <x:f>E109*INDEX(Régions!$AG$2:$AG$6,MATCH($B109,Régions!$A$2:$A$6,0))</x:f>
        <x:v>#NAME?</x:v>
      </x:c>
      <x:c r="AK109" s="97" t="e">
        <x:f>F109*INDEX(Régions!$AH$2:$AH$6,MATCH($B109,Régions!$A$2:$A$6,0))</x:f>
        <x:v>#NAME?</x:v>
      </x:c>
      <x:c r="AL109" s="97" t="e">
        <x:f>G109*INDEX(Régions!$AI$2:$AI$6,MATCH($B109,Régions!$A$2:$A$6,0))</x:f>
        <x:v>#NAME?</x:v>
      </x:c>
      <x:c r="AM109" s="97" t="e">
        <x:f>H109*INDEX(Régions!$AJ$2:$AJ$6,MATCH($B109,Régions!$A$2:$A$6,0))</x:f>
        <x:v>#NAME?</x:v>
      </x:c>
      <x:c r="AN109" s="97" t="e">
        <x:f>I109*INDEX(Régions!$AK$2:$AK$6,MATCH($B109,Régions!$A$2:$A$6,0))</x:f>
        <x:v>#NAME?</x:v>
      </x:c>
      <x:c r="AO109" s="99" t="str">
        <x:f>INDEX({"CAQ","PLQ","QS","PQ","PCQ","Autre"},MATCH(MAX(Q109:V109),Q109:V109,0))</x:f>
        <x:v>CAQ</x:v>
      </x:c>
      <x:c r="AP109" s="99" t="str">
        <x:f>INDEX({"CAQ","PLQ","QS","PQ","PCQ","Autre"},MATCH(MAX(W109:AB109),W109:AB109,0))</x:f>
        <x:v>CAQ</x:v>
      </x:c>
      <x:c r="AQ109" s="99" t="str">
        <x:f>INDEX({"CAQ","PLQ","QS","PQ","PCQ","Autre"},MATCH(MAX(AC109:AH109),AC109:AH109,0))</x:f>
        <x:v>CAQ</x:v>
      </x:c>
      <x:c r="AR109" s="99" t="str">
        <x:f>INDEX({"CAQ","PLQ","QS","PQ","PCQ","Autre"},MATCH(MAX(AI109:AN109),AI109:AN109,0))</x:f>
        <x:v>CAQ</x:v>
      </x:c>
      <x:c r="AS109" s="100" t="n">
        <x:f>(MAX(K109:P109)-LARGE(K109:P109,2))*100</x:f>
        <x:v>34.22523403660752</x:v>
      </x:c>
      <x:c r="AT109" s="101" t="str">
        <x:f>IF(AS109&lt;5,"Oui","Non")</x:f>
        <x:v>Non</x:v>
      </x:c>
      <x:c r="AU109" s="102" t="n">
        <x:v>-2.975</x:v>
      </x:c>
      <x:c r="AV109" s="102" t="n">
        <x:v>-3.166</x:v>
      </x:c>
      <x:c r="AW109" s="102" t="n">
        <x:v>0.556</x:v>
      </x:c>
      <x:c r="AX109" s="102" t="n">
        <x:v>0.605</x:v>
      </x:c>
      <x:c r="AY109" s="96" t="n">
        <x:v>4322</x:v>
      </x:c>
      <x:c r="AZ109" s="96" t="n">
        <x:v>17669</x:v>
      </x:c>
      <x:c r="BA109" s="96" t="n">
        <x:v>2458</x:v>
      </x:c>
      <x:c r="BB109" s="96" t="n">
        <x:v>1846</x:v>
      </x:c>
      <x:c r="BC109" s="96" t="n">
        <x:v>2219</x:v>
      </x:c>
      <x:c r="BD109" s="97" t="e">
        <x:f>AY109*INDEX(Régions!$AQ$2:$AQ$6,MATCH($B109,Régions!$A$2:$A$6,0))</x:f>
        <x:v>#NAME?</x:v>
      </x:c>
      <x:c r="BE109" s="97" t="e">
        <x:f>AZ109*INDEX(Régions!$AR$2:$AR$6,MATCH($B109,Régions!$A$2:$A$6,0))</x:f>
        <x:v>#NAME?</x:v>
      </x:c>
      <x:c r="BF109" s="97" t="e">
        <x:f>BA109*INDEX(Régions!$AS$2:$AS$6,MATCH($B109,Régions!$A$2:$A$6,0))</x:f>
        <x:v>#NAME?</x:v>
      </x:c>
      <x:c r="BG109" s="97" t="e">
        <x:f>BB109*INDEX(Régions!$AT$2:$AT$6,MATCH($B109,Régions!$A$2:$A$6,0))</x:f>
        <x:v>#NAME?</x:v>
      </x:c>
      <x:c r="BH109" s="97" t="e">
        <x:f>U109</x:f>
        <x:v>#NAME?</x:v>
      </x:c>
      <x:c r="BI109" s="97" t="e">
        <x:f>BC109*INDEX(Régions!$AU$2:$AU$6,MATCH($B109,Régions!$A$2:$A$6,0))</x:f>
        <x:v>#NAME?</x:v>
      </x:c>
      <x:c r="BJ109" s="97" t="str">
        <x:f>INDEX({"CAQ","PLQ","QS","PQ","PCQ","Autre"},MATCH(MAX(BD109:BI109),BD109:BI109,0))</x:f>
        <x:v>CAQ</x:v>
      </x:c>
    </x:row>
    <x:row r="110" s="60" customFormat="1" ht="15" customHeight="1">
      <x:c r="A110" s="94" t="inlineStr">
        <x:is>
          <x:t xml:space="preserve">Sainte-Marie–Saint-Jacques</x:t>
        </x:is>
      </x:c>
      <x:c r="B110" s="94" t="inlineStr">
        <x:is>
          <x:t xml:space="preserve">Île de Montréal</x:t>
        </x:is>
      </x:c>
      <x:c r="C110" s="95" t="inlineStr">
        <x:is>
          <x:t xml:space="preserve">QS</x:t>
        </x:is>
      </x:c>
      <x:c r="D110" s="96" t="n">
        <x:v>3269</x:v>
      </x:c>
      <x:c r="E110" s="96" t="n">
        <x:v>3621</x:v>
      </x:c>
      <x:c r="F110" s="96" t="n">
        <x:v>10894</x:v>
      </x:c>
      <x:c r="G110" s="96" t="n">
        <x:v>3363</x:v>
      </x:c>
      <x:c r="H110" s="96" t="n">
        <x:v>1138</x:v>
      </x:c>
      <x:c r="I110" s="96" t="n">
        <x:v>560</x:v>
      </x:c>
      <x:c r="J110" s="97" t="n">
        <x:f>SUM(D110:I110)</x:f>
        <x:v>22845</x:v>
      </x:c>
      <x:c r="K110" s="98" t="n">
        <x:f>IFERROR(D110/J110,0)</x:f>
        <x:v>0.1430947690960823</x:v>
      </x:c>
      <x:c r="L110" s="98" t="n">
        <x:f>IFERROR(E110/J110,0)</x:f>
        <x:v>0.15850295469468154</x:v>
      </x:c>
      <x:c r="M110" s="98" t="n">
        <x:f>IFERROR(F110/J110,0)</x:f>
        <x:v>0.47686583497483037</x:v>
      </x:c>
      <x:c r="N110" s="98" t="n">
        <x:f>IFERROR(G110/J110,0)</x:f>
        <x:v>0.14720945502298097</x:v>
      </x:c>
      <x:c r="O110" s="98" t="n">
        <x:f>IFERROR(H110/J110,0)</x:f>
        <x:v>0.04981396366819873</x:v>
      </x:c>
      <x:c r="P110" s="98" t="n">
        <x:f>IFERROR(I110/J110,0)</x:f>
        <x:v>0.024513022543226088</x:v>
      </x:c>
      <x:c r="Q110" s="97" t="e">
        <x:f>D110*INDEX(Régions!$T$2:$T$6,MATCH($B110,Régions!$A$2:$A$6,0))</x:f>
        <x:v>#NAME?</x:v>
      </x:c>
      <x:c r="R110" s="97" t="e">
        <x:f>E110*INDEX(Régions!$U$2:$U$6,MATCH($B110,Régions!$A$2:$A$6,0))</x:f>
        <x:v>#NAME?</x:v>
      </x:c>
      <x:c r="S110" s="97" t="e">
        <x:f>F110*INDEX(Régions!$V$2:$V$6,MATCH($B110,Régions!$A$2:$A$6,0))</x:f>
        <x:v>#NAME?</x:v>
      </x:c>
      <x:c r="T110" s="97" t="e">
        <x:f>G110*INDEX(Régions!$W$2:$W$6,MATCH($B110,Régions!$A$2:$A$6,0))</x:f>
        <x:v>#NAME?</x:v>
      </x:c>
      <x:c r="U110" s="97" t="e">
        <x:f>H110*INDEX(Régions!$X$2:$X$6,MATCH($B110,Régions!$A$2:$A$6,0))</x:f>
        <x:v>#NAME?</x:v>
      </x:c>
      <x:c r="V110" s="97" t="e">
        <x:f>I110*INDEX(Régions!$Y$2:$Y$6,MATCH($B110,Régions!$A$2:$A$6,0))</x:f>
        <x:v>#NAME?</x:v>
      </x:c>
      <x:c r="W110" s="97" t="e">
        <x:f>Q110+(AU110/100)*J110*Régions!$O$2</x:f>
        <x:v>#NAME?</x:v>
      </x:c>
      <x:c r="X110" s="97" t="e">
        <x:f>R110+(AV110/100)*J110*Régions!$O$2</x:f>
        <x:v>#NAME?</x:v>
      </x:c>
      <x:c r="Y110" s="97" t="e">
        <x:f>S110+(AW110/100)*J110*Régions!$O$2</x:f>
        <x:v>#NAME?</x:v>
      </x:c>
      <x:c r="Z110" s="97" t="e">
        <x:f>T110+(AX110/100)*J110*Régions!$O$2</x:f>
        <x:v>#NAME?</x:v>
      </x:c>
      <x:c r="AA110" s="97" t="e">
        <x:f>U110</x:f>
        <x:v>#NAME?</x:v>
      </x:c>
      <x:c r="AB110" s="97" t="e">
        <x:f>V110</x:f>
        <x:v>#NAME?</x:v>
      </x:c>
      <x:c r="AC110" s="97" t="e">
        <x:f>D110*INDEX(Régions!$Z$2:$Z$6,MATCH($B110,Régions!$A$2:$A$6,0))</x:f>
        <x:v>#NAME?</x:v>
      </x:c>
      <x:c r="AD110" s="97" t="e">
        <x:f>E110*INDEX(Régions!$AA$2:$AA$6,MATCH($B110,Régions!$A$2:$A$6,0))</x:f>
        <x:v>#NAME?</x:v>
      </x:c>
      <x:c r="AE110" s="97" t="e">
        <x:f>F110*INDEX(Régions!$AB$2:$AB$6,MATCH($B110,Régions!$A$2:$A$6,0))</x:f>
        <x:v>#NAME?</x:v>
      </x:c>
      <x:c r="AF110" s="97" t="e">
        <x:f>G110*INDEX(Régions!$AC$2:$AC$6,MATCH($B110,Régions!$A$2:$A$6,0))</x:f>
        <x:v>#NAME?</x:v>
      </x:c>
      <x:c r="AG110" s="97" t="e">
        <x:f>H110*INDEX(Régions!$AD$2:$AD$6,MATCH($B110,Régions!$A$2:$A$6,0))</x:f>
        <x:v>#NAME?</x:v>
      </x:c>
      <x:c r="AH110" s="97" t="e">
        <x:f>I110*INDEX(Régions!$AE$2:$AE$6,MATCH($B110,Régions!$A$2:$A$6,0))</x:f>
        <x:v>#NAME?</x:v>
      </x:c>
      <x:c r="AI110" s="97" t="e">
        <x:f>D110*INDEX(Régions!$AF$2:$AF$6,MATCH($B110,Régions!$A$2:$A$6,0))</x:f>
        <x:v>#NAME?</x:v>
      </x:c>
      <x:c r="AJ110" s="97" t="e">
        <x:f>E110*INDEX(Régions!$AG$2:$AG$6,MATCH($B110,Régions!$A$2:$A$6,0))</x:f>
        <x:v>#NAME?</x:v>
      </x:c>
      <x:c r="AK110" s="97" t="e">
        <x:f>F110*INDEX(Régions!$AH$2:$AH$6,MATCH($B110,Régions!$A$2:$A$6,0))</x:f>
        <x:v>#NAME?</x:v>
      </x:c>
      <x:c r="AL110" s="97" t="e">
        <x:f>G110*INDEX(Régions!$AI$2:$AI$6,MATCH($B110,Régions!$A$2:$A$6,0))</x:f>
        <x:v>#NAME?</x:v>
      </x:c>
      <x:c r="AM110" s="97" t="e">
        <x:f>H110*INDEX(Régions!$AJ$2:$AJ$6,MATCH($B110,Régions!$A$2:$A$6,0))</x:f>
        <x:v>#NAME?</x:v>
      </x:c>
      <x:c r="AN110" s="97" t="e">
        <x:f>I110*INDEX(Régions!$AK$2:$AK$6,MATCH($B110,Régions!$A$2:$A$6,0))</x:f>
        <x:v>#NAME?</x:v>
      </x:c>
      <x:c r="AO110" s="99" t="str">
        <x:f>INDEX({"CAQ","PLQ","QS","PQ","PCQ","Autre"},MATCH(MAX(Q110:V110),Q110:V110,0))</x:f>
        <x:v>CAQ</x:v>
      </x:c>
      <x:c r="AP110" s="99" t="str">
        <x:f>INDEX({"CAQ","PLQ","QS","PQ","PCQ","Autre"},MATCH(MAX(W110:AB110),W110:AB110,0))</x:f>
        <x:v>CAQ</x:v>
      </x:c>
      <x:c r="AQ110" s="99" t="str">
        <x:f>INDEX({"CAQ","PLQ","QS","PQ","PCQ","Autre"},MATCH(MAX(AC110:AH110),AC110:AH110,0))</x:f>
        <x:v>CAQ</x:v>
      </x:c>
      <x:c r="AR110" s="99" t="str">
        <x:f>INDEX({"CAQ","PLQ","QS","PQ","PCQ","Autre"},MATCH(MAX(AI110:AN110),AI110:AN110,0))</x:f>
        <x:v>CAQ</x:v>
      </x:c>
      <x:c r="AS110" s="100" t="n">
        <x:f>(MAX(K110:P110)-LARGE(K110:P110,2))*100</x:f>
        <x:v>31.83628802801488</x:v>
      </x:c>
      <x:c r="AT110" s="101" t="str">
        <x:f>IF(AS110&lt;5,"Oui","Non")</x:f>
        <x:v>Non</x:v>
      </x:c>
      <x:c r="AU110" s="102" t="n">
        <x:v>1.206</x:v>
      </x:c>
      <x:c r="AV110" s="102" t="n">
        <x:v>3.536</x:v>
      </x:c>
      <x:c r="AW110" s="102" t="n">
        <x:v>-2.338</x:v>
      </x:c>
      <x:c r="AX110" s="102" t="n">
        <x:v>1.884</x:v>
      </x:c>
      <x:c r="AY110" s="96" t="n">
        <x:v>2773</x:v>
      </x:c>
      <x:c r="AZ110" s="96" t="n">
        <x:v>5335</x:v>
      </x:c>
      <x:c r="BA110" s="96" t="n">
        <x:v>12431</x:v>
      </x:c>
      <x:c r="BB110" s="96" t="n">
        <x:v>3529</x:v>
      </x:c>
      <x:c r="BC110" s="96" t="n">
        <x:v>1156</x:v>
      </x:c>
      <x:c r="BD110" s="97" t="e">
        <x:f>AY110*INDEX(Régions!$AQ$2:$AQ$6,MATCH($B110,Régions!$A$2:$A$6,0))</x:f>
        <x:v>#NAME?</x:v>
      </x:c>
      <x:c r="BE110" s="97" t="e">
        <x:f>AZ110*INDEX(Régions!$AR$2:$AR$6,MATCH($B110,Régions!$A$2:$A$6,0))</x:f>
        <x:v>#NAME?</x:v>
      </x:c>
      <x:c r="BF110" s="97" t="e">
        <x:f>BA110*INDEX(Régions!$AS$2:$AS$6,MATCH($B110,Régions!$A$2:$A$6,0))</x:f>
        <x:v>#NAME?</x:v>
      </x:c>
      <x:c r="BG110" s="97" t="e">
        <x:f>BB110*INDEX(Régions!$AT$2:$AT$6,MATCH($B110,Régions!$A$2:$A$6,0))</x:f>
        <x:v>#NAME?</x:v>
      </x:c>
      <x:c r="BH110" s="97" t="e">
        <x:f>U110</x:f>
        <x:v>#NAME?</x:v>
      </x:c>
      <x:c r="BI110" s="97" t="e">
        <x:f>BC110*INDEX(Régions!$AU$2:$AU$6,MATCH($B110,Régions!$A$2:$A$6,0))</x:f>
        <x:v>#NAME?</x:v>
      </x:c>
      <x:c r="BJ110" s="97" t="str">
        <x:f>INDEX({"CAQ","PLQ","QS","PQ","PCQ","Autre"},MATCH(MAX(BD110:BI110),BD110:BI110,0))</x:f>
        <x:v>CAQ</x:v>
      </x:c>
    </x:row>
    <x:row r="111" s="60" customFormat="1" ht="15" customHeight="1">
      <x:c r="A111" s="94" t="inlineStr">
        <x:is>
          <x:t xml:space="preserve">Sainte-Rose</x:t>
        </x:is>
      </x:c>
      <x:c r="B111" s="94" t="inlineStr">
        <x:is>
          <x:t xml:space="preserve">Banlieue de Montréal</x:t>
        </x:is>
      </x:c>
      <x:c r="C111" s="95" t="inlineStr">
        <x:is>
          <x:t xml:space="preserve">CAQ</x:t>
        </x:is>
      </x:c>
      <x:c r="D111" s="96" t="n">
        <x:v>14091</x:v>
      </x:c>
      <x:c r="E111" s="96" t="n">
        <x:v>8778</x:v>
      </x:c>
      <x:c r="F111" s="96" t="n">
        <x:v>5243</x:v>
      </x:c>
      <x:c r="G111" s="96" t="n">
        <x:v>4536</x:v>
      </x:c>
      <x:c r="H111" s="96" t="n">
        <x:v>3429</x:v>
      </x:c>
      <x:c r="I111" s="96" t="n">
        <x:v>523</x:v>
      </x:c>
      <x:c r="J111" s="97" t="n">
        <x:f>SUM(D111:I111)</x:f>
        <x:v>36600</x:v>
      </x:c>
      <x:c r="K111" s="98" t="n">
        <x:f>IFERROR(D111/J111,0)</x:f>
        <x:v>0.385</x:v>
      </x:c>
      <x:c r="L111" s="98" t="n">
        <x:f>IFERROR(E111/J111,0)</x:f>
        <x:v>0.2398360655737705</x:v>
      </x:c>
      <x:c r="M111" s="98" t="n">
        <x:f>IFERROR(F111/J111,0)</x:f>
        <x:v>0.14325136612021858</x:v>
      </x:c>
      <x:c r="N111" s="98" t="n">
        <x:f>IFERROR(G111/J111,0)</x:f>
        <x:v>0.12393442622950819</x:v>
      </x:c>
      <x:c r="O111" s="98" t="n">
        <x:f>IFERROR(H111/J111,0)</x:f>
        <x:v>0.09368852459016394</x:v>
      </x:c>
      <x:c r="P111" s="98" t="n">
        <x:f>IFERROR(I111/J111,0)</x:f>
        <x:v>0.014289617486338798</x:v>
      </x:c>
      <x:c r="Q111" s="97" t="e">
        <x:f>D111*INDEX(Régions!$T$2:$T$6,MATCH($B111,Régions!$A$2:$A$6,0))</x:f>
        <x:v>#NAME?</x:v>
      </x:c>
      <x:c r="R111" s="97" t="e">
        <x:f>E111*INDEX(Régions!$U$2:$U$6,MATCH($B111,Régions!$A$2:$A$6,0))</x:f>
        <x:v>#NAME?</x:v>
      </x:c>
      <x:c r="S111" s="97" t="e">
        <x:f>F111*INDEX(Régions!$V$2:$V$6,MATCH($B111,Régions!$A$2:$A$6,0))</x:f>
        <x:v>#NAME?</x:v>
      </x:c>
      <x:c r="T111" s="97" t="e">
        <x:f>G111*INDEX(Régions!$W$2:$W$6,MATCH($B111,Régions!$A$2:$A$6,0))</x:f>
        <x:v>#NAME?</x:v>
      </x:c>
      <x:c r="U111" s="97" t="e">
        <x:f>H111*INDEX(Régions!$X$2:$X$6,MATCH($B111,Régions!$A$2:$A$6,0))</x:f>
        <x:v>#NAME?</x:v>
      </x:c>
      <x:c r="V111" s="97" t="e">
        <x:f>I111*INDEX(Régions!$Y$2:$Y$6,MATCH($B111,Régions!$A$2:$A$6,0))</x:f>
        <x:v>#NAME?</x:v>
      </x:c>
      <x:c r="W111" s="97" t="e">
        <x:f>Q111+(AU111/100)*J111*Régions!$O$2</x:f>
        <x:v>#NAME?</x:v>
      </x:c>
      <x:c r="X111" s="97" t="e">
        <x:f>R111+(AV111/100)*J111*Régions!$O$2</x:f>
        <x:v>#NAME?</x:v>
      </x:c>
      <x:c r="Y111" s="97" t="e">
        <x:f>S111+(AW111/100)*J111*Régions!$O$2</x:f>
        <x:v>#NAME?</x:v>
      </x:c>
      <x:c r="Z111" s="97" t="e">
        <x:f>T111+(AX111/100)*J111*Régions!$O$2</x:f>
        <x:v>#NAME?</x:v>
      </x:c>
      <x:c r="AA111" s="97" t="e">
        <x:f>U111</x:f>
        <x:v>#NAME?</x:v>
      </x:c>
      <x:c r="AB111" s="97" t="e">
        <x:f>V111</x:f>
        <x:v>#NAME?</x:v>
      </x:c>
      <x:c r="AC111" s="97" t="e">
        <x:f>D111*INDEX(Régions!$Z$2:$Z$6,MATCH($B111,Régions!$A$2:$A$6,0))</x:f>
        <x:v>#NAME?</x:v>
      </x:c>
      <x:c r="AD111" s="97" t="e">
        <x:f>E111*INDEX(Régions!$AA$2:$AA$6,MATCH($B111,Régions!$A$2:$A$6,0))</x:f>
        <x:v>#NAME?</x:v>
      </x:c>
      <x:c r="AE111" s="97" t="e">
        <x:f>F111*INDEX(Régions!$AB$2:$AB$6,MATCH($B111,Régions!$A$2:$A$6,0))</x:f>
        <x:v>#NAME?</x:v>
      </x:c>
      <x:c r="AF111" s="97" t="e">
        <x:f>G111*INDEX(Régions!$AC$2:$AC$6,MATCH($B111,Régions!$A$2:$A$6,0))</x:f>
        <x:v>#NAME?</x:v>
      </x:c>
      <x:c r="AG111" s="97" t="e">
        <x:f>H111*INDEX(Régions!$AD$2:$AD$6,MATCH($B111,Régions!$A$2:$A$6,0))</x:f>
        <x:v>#NAME?</x:v>
      </x:c>
      <x:c r="AH111" s="97" t="e">
        <x:f>I111*INDEX(Régions!$AE$2:$AE$6,MATCH($B111,Régions!$A$2:$A$6,0))</x:f>
        <x:v>#NAME?</x:v>
      </x:c>
      <x:c r="AI111" s="97" t="e">
        <x:f>D111*INDEX(Régions!$AF$2:$AF$6,MATCH($B111,Régions!$A$2:$A$6,0))</x:f>
        <x:v>#NAME?</x:v>
      </x:c>
      <x:c r="AJ111" s="97" t="e">
        <x:f>E111*INDEX(Régions!$AG$2:$AG$6,MATCH($B111,Régions!$A$2:$A$6,0))</x:f>
        <x:v>#NAME?</x:v>
      </x:c>
      <x:c r="AK111" s="97" t="e">
        <x:f>F111*INDEX(Régions!$AH$2:$AH$6,MATCH($B111,Régions!$A$2:$A$6,0))</x:f>
        <x:v>#NAME?</x:v>
      </x:c>
      <x:c r="AL111" s="97" t="e">
        <x:f>G111*INDEX(Régions!$AI$2:$AI$6,MATCH($B111,Régions!$A$2:$A$6,0))</x:f>
        <x:v>#NAME?</x:v>
      </x:c>
      <x:c r="AM111" s="97" t="e">
        <x:f>H111*INDEX(Régions!$AJ$2:$AJ$6,MATCH($B111,Régions!$A$2:$A$6,0))</x:f>
        <x:v>#NAME?</x:v>
      </x:c>
      <x:c r="AN111" s="97" t="e">
        <x:f>I111*INDEX(Régions!$AK$2:$AK$6,MATCH($B111,Régions!$A$2:$A$6,0))</x:f>
        <x:v>#NAME?</x:v>
      </x:c>
      <x:c r="AO111" s="99" t="str">
        <x:f>INDEX({"CAQ","PLQ","QS","PQ","PCQ","Autre"},MATCH(MAX(Q111:V111),Q111:V111,0))</x:f>
        <x:v>CAQ</x:v>
      </x:c>
      <x:c r="AP111" s="99" t="str">
        <x:f>INDEX({"CAQ","PLQ","QS","PQ","PCQ","Autre"},MATCH(MAX(W111:AB111),W111:AB111,0))</x:f>
        <x:v>CAQ</x:v>
      </x:c>
      <x:c r="AQ111" s="99" t="str">
        <x:f>INDEX({"CAQ","PLQ","QS","PQ","PCQ","Autre"},MATCH(MAX(AC111:AH111),AC111:AH111,0))</x:f>
        <x:v>CAQ</x:v>
      </x:c>
      <x:c r="AR111" s="99" t="str">
        <x:f>INDEX({"CAQ","PLQ","QS","PQ","PCQ","Autre"},MATCH(MAX(AI111:AN111),AI111:AN111,0))</x:f>
        <x:v>CAQ</x:v>
      </x:c>
      <x:c r="AS111" s="100" t="n">
        <x:f>(MAX(K111:P111)-LARGE(K111:P111,2))*100</x:f>
        <x:v>14.516393442622952</x:v>
      </x:c>
      <x:c r="AT111" s="101" t="str">
        <x:f>IF(AS111&lt;5,"Oui","Non")</x:f>
        <x:v>Non</x:v>
      </x:c>
      <x:c r="AU111" s="102" t="n">
        <x:v>-1.47</x:v>
      </x:c>
      <x:c r="AV111" s="102" t="n">
        <x:v>0.767</x:v>
      </x:c>
      <x:c r="AW111" s="102" t="n">
        <x:v>1.141</x:v>
      </x:c>
      <x:c r="AX111" s="102" t="n">
        <x:v>0.896</x:v>
      </x:c>
      <x:c r="AY111" s="96" t="n">
        <x:v>13491</x:v>
      </x:c>
      <x:c r="AZ111" s="96" t="n">
        <x:v>11029</x:v>
      </x:c>
      <x:c r="BA111" s="96" t="n">
        <x:v>5082</x:v>
      </x:c>
      <x:c r="BB111" s="96" t="n">
        <x:v>5309</x:v>
      </x:c>
      <x:c r="BC111" s="96" t="n">
        <x:v>1706</x:v>
      </x:c>
      <x:c r="BD111" s="97" t="e">
        <x:f>AY111*INDEX(Régions!$AQ$2:$AQ$6,MATCH($B111,Régions!$A$2:$A$6,0))</x:f>
        <x:v>#NAME?</x:v>
      </x:c>
      <x:c r="BE111" s="97" t="e">
        <x:f>AZ111*INDEX(Régions!$AR$2:$AR$6,MATCH($B111,Régions!$A$2:$A$6,0))</x:f>
        <x:v>#NAME?</x:v>
      </x:c>
      <x:c r="BF111" s="97" t="e">
        <x:f>BA111*INDEX(Régions!$AS$2:$AS$6,MATCH($B111,Régions!$A$2:$A$6,0))</x:f>
        <x:v>#NAME?</x:v>
      </x:c>
      <x:c r="BG111" s="97" t="e">
        <x:f>BB111*INDEX(Régions!$AT$2:$AT$6,MATCH($B111,Régions!$A$2:$A$6,0))</x:f>
        <x:v>#NAME?</x:v>
      </x:c>
      <x:c r="BH111" s="97" t="e">
        <x:f>U111</x:f>
        <x:v>#NAME?</x:v>
      </x:c>
      <x:c r="BI111" s="97" t="e">
        <x:f>BC111*INDEX(Régions!$AU$2:$AU$6,MATCH($B111,Régions!$A$2:$A$6,0))</x:f>
        <x:v>#NAME?</x:v>
      </x:c>
      <x:c r="BJ111" s="97" t="str">
        <x:f>INDEX({"CAQ","PLQ","QS","PQ","PCQ","Autre"},MATCH(MAX(BD111:BI111),BD111:BI111,0))</x:f>
        <x:v>CAQ</x:v>
      </x:c>
    </x:row>
    <x:row r="112" s="60" customFormat="1" ht="15" customHeight="1">
      <x:c r="A112" s="94" t="inlineStr">
        <x:is>
          <x:t xml:space="preserve">Sanguinet</x:t>
        </x:is>
      </x:c>
      <x:c r="B112" s="94" t="inlineStr">
        <x:is>
          <x:t xml:space="preserve">Banlieue de Montréal</x:t>
        </x:is>
      </x:c>
      <x:c r="C112" s="95" t="inlineStr">
        <x:is>
          <x:t xml:space="preserve">CAQ</x:t>
        </x:is>
      </x:c>
      <x:c r="D112" s="96" t="n">
        <x:v>14616</x:v>
      </x:c>
      <x:c r="E112" s="96" t="n">
        <x:v>2955</x:v>
      </x:c>
      <x:c r="F112" s="96" t="n">
        <x:v>3927</x:v>
      </x:c>
      <x:c r="G112" s="96" t="n">
        <x:v>4883</x:v>
      </x:c>
      <x:c r="H112" s="96" t="n">
        <x:v>3165</x:v>
      </x:c>
      <x:c r="I112" s="96" t="n">
        <x:v>414</x:v>
      </x:c>
      <x:c r="J112" s="97" t="n">
        <x:f>SUM(D112:I112)</x:f>
        <x:v>29960</x:v>
      </x:c>
      <x:c r="K112" s="98" t="n">
        <x:f>IFERROR(D112/J112,0)</x:f>
        <x:v>0.48785046728971965</x:v>
      </x:c>
      <x:c r="L112" s="98" t="n">
        <x:f>IFERROR(E112/J112,0)</x:f>
        <x:v>0.09863150867823765</x:v>
      </x:c>
      <x:c r="M112" s="98" t="n">
        <x:f>IFERROR(F112/J112,0)</x:f>
        <x:v>0.13107476635514018</x:v>
      </x:c>
      <x:c r="N112" s="98" t="n">
        <x:f>IFERROR(G112/J112,0)</x:f>
        <x:v>0.16298397863818426</x:v>
      </x:c>
      <x:c r="O112" s="98" t="n">
        <x:f>IFERROR(H112/J112,0)</x:f>
        <x:v>0.10564085447263018</x:v>
      </x:c>
      <x:c r="P112" s="98" t="n">
        <x:f>IFERROR(I112/J112,0)</x:f>
        <x:v>0.013818424566088117</x:v>
      </x:c>
      <x:c r="Q112" s="97" t="e">
        <x:f>D112*INDEX(Régions!$T$2:$T$6,MATCH($B112,Régions!$A$2:$A$6,0))</x:f>
        <x:v>#NAME?</x:v>
      </x:c>
      <x:c r="R112" s="97" t="e">
        <x:f>E112*INDEX(Régions!$U$2:$U$6,MATCH($B112,Régions!$A$2:$A$6,0))</x:f>
        <x:v>#NAME?</x:v>
      </x:c>
      <x:c r="S112" s="97" t="e">
        <x:f>F112*INDEX(Régions!$V$2:$V$6,MATCH($B112,Régions!$A$2:$A$6,0))</x:f>
        <x:v>#NAME?</x:v>
      </x:c>
      <x:c r="T112" s="97" t="e">
        <x:f>G112*INDEX(Régions!$W$2:$W$6,MATCH($B112,Régions!$A$2:$A$6,0))</x:f>
        <x:v>#NAME?</x:v>
      </x:c>
      <x:c r="U112" s="97" t="e">
        <x:f>H112*INDEX(Régions!$X$2:$X$6,MATCH($B112,Régions!$A$2:$A$6,0))</x:f>
        <x:v>#NAME?</x:v>
      </x:c>
      <x:c r="V112" s="97" t="e">
        <x:f>I112*INDEX(Régions!$Y$2:$Y$6,MATCH($B112,Régions!$A$2:$A$6,0))</x:f>
        <x:v>#NAME?</x:v>
      </x:c>
      <x:c r="W112" s="97" t="e">
        <x:f>Q112+(AU112/100)*J112*Régions!$O$2</x:f>
        <x:v>#NAME?</x:v>
      </x:c>
      <x:c r="X112" s="97" t="e">
        <x:f>R112+(AV112/100)*J112*Régions!$O$2</x:f>
        <x:v>#NAME?</x:v>
      </x:c>
      <x:c r="Y112" s="97" t="e">
        <x:f>S112+(AW112/100)*J112*Régions!$O$2</x:f>
        <x:v>#NAME?</x:v>
      </x:c>
      <x:c r="Z112" s="97" t="e">
        <x:f>T112+(AX112/100)*J112*Régions!$O$2</x:f>
        <x:v>#NAME?</x:v>
      </x:c>
      <x:c r="AA112" s="97" t="e">
        <x:f>U112</x:f>
        <x:v>#NAME?</x:v>
      </x:c>
      <x:c r="AB112" s="97" t="e">
        <x:f>V112</x:f>
        <x:v>#NAME?</x:v>
      </x:c>
      <x:c r="AC112" s="97" t="e">
        <x:f>D112*INDEX(Régions!$Z$2:$Z$6,MATCH($B112,Régions!$A$2:$A$6,0))</x:f>
        <x:v>#NAME?</x:v>
      </x:c>
      <x:c r="AD112" s="97" t="e">
        <x:f>E112*INDEX(Régions!$AA$2:$AA$6,MATCH($B112,Régions!$A$2:$A$6,0))</x:f>
        <x:v>#NAME?</x:v>
      </x:c>
      <x:c r="AE112" s="97" t="e">
        <x:f>F112*INDEX(Régions!$AB$2:$AB$6,MATCH($B112,Régions!$A$2:$A$6,0))</x:f>
        <x:v>#NAME?</x:v>
      </x:c>
      <x:c r="AF112" s="97" t="e">
        <x:f>G112*INDEX(Régions!$AC$2:$AC$6,MATCH($B112,Régions!$A$2:$A$6,0))</x:f>
        <x:v>#NAME?</x:v>
      </x:c>
      <x:c r="AG112" s="97" t="e">
        <x:f>H112*INDEX(Régions!$AD$2:$AD$6,MATCH($B112,Régions!$A$2:$A$6,0))</x:f>
        <x:v>#NAME?</x:v>
      </x:c>
      <x:c r="AH112" s="97" t="e">
        <x:f>I112*INDEX(Régions!$AE$2:$AE$6,MATCH($B112,Régions!$A$2:$A$6,0))</x:f>
        <x:v>#NAME?</x:v>
      </x:c>
      <x:c r="AI112" s="97" t="e">
        <x:f>D112*INDEX(Régions!$AF$2:$AF$6,MATCH($B112,Régions!$A$2:$A$6,0))</x:f>
        <x:v>#NAME?</x:v>
      </x:c>
      <x:c r="AJ112" s="97" t="e">
        <x:f>E112*INDEX(Régions!$AG$2:$AG$6,MATCH($B112,Régions!$A$2:$A$6,0))</x:f>
        <x:v>#NAME?</x:v>
      </x:c>
      <x:c r="AK112" s="97" t="e">
        <x:f>F112*INDEX(Régions!$AH$2:$AH$6,MATCH($B112,Régions!$A$2:$A$6,0))</x:f>
        <x:v>#NAME?</x:v>
      </x:c>
      <x:c r="AL112" s="97" t="e">
        <x:f>G112*INDEX(Régions!$AI$2:$AI$6,MATCH($B112,Régions!$A$2:$A$6,0))</x:f>
        <x:v>#NAME?</x:v>
      </x:c>
      <x:c r="AM112" s="97" t="e">
        <x:f>H112*INDEX(Régions!$AJ$2:$AJ$6,MATCH($B112,Régions!$A$2:$A$6,0))</x:f>
        <x:v>#NAME?</x:v>
      </x:c>
      <x:c r="AN112" s="97" t="e">
        <x:f>I112*INDEX(Régions!$AK$2:$AK$6,MATCH($B112,Régions!$A$2:$A$6,0))</x:f>
        <x:v>#NAME?</x:v>
      </x:c>
      <x:c r="AO112" s="99" t="str">
        <x:f>INDEX({"CAQ","PLQ","QS","PQ","PCQ","Autre"},MATCH(MAX(Q112:V112),Q112:V112,0))</x:f>
        <x:v>CAQ</x:v>
      </x:c>
      <x:c r="AP112" s="99" t="str">
        <x:f>INDEX({"CAQ","PLQ","QS","PQ","PCQ","Autre"},MATCH(MAX(W112:AB112),W112:AB112,0))</x:f>
        <x:v>CAQ</x:v>
      </x:c>
      <x:c r="AQ112" s="99" t="str">
        <x:f>INDEX({"CAQ","PLQ","QS","PQ","PCQ","Autre"},MATCH(MAX(AC112:AH112),AC112:AH112,0))</x:f>
        <x:v>CAQ</x:v>
      </x:c>
      <x:c r="AR112" s="99" t="str">
        <x:f>INDEX({"CAQ","PLQ","QS","PQ","PCQ","Autre"},MATCH(MAX(AI112:AN112),AI112:AN112,0))</x:f>
        <x:v>CAQ</x:v>
      </x:c>
      <x:c r="AS112" s="100" t="n">
        <x:f>(MAX(K112:P112)-LARGE(K112:P112,2))*100</x:f>
        <x:v>32.48664886515354</x:v>
      </x:c>
      <x:c r="AT112" s="101" t="str">
        <x:f>IF(AS112&lt;5,"Oui","Non")</x:f>
        <x:v>Non</x:v>
      </x:c>
      <x:c r="AU112" s="102" t="n">
        <x:v>2.121</x:v>
      </x:c>
      <x:c r="AV112" s="102" t="n">
        <x:v>2.774</x:v>
      </x:c>
      <x:c r="AW112" s="102" t="n">
        <x:v>-0.914</x:v>
      </x:c>
      <x:c r="AX112" s="102" t="n">
        <x:v>-5.462</x:v>
      </x:c>
      <x:c r="AY112" s="96" t="n">
        <x:v>12993</x:v>
      </x:c>
      <x:c r="AZ112" s="96" t="n">
        <x:v>4176</x:v>
      </x:c>
      <x:c r="BA112" s="96" t="n">
        <x:v>4392</x:v>
      </x:c>
      <x:c r="BB112" s="96" t="n">
        <x:v>7389</x:v>
      </x:c>
      <x:c r="BC112" s="96" t="n">
        <x:v>893</x:v>
      </x:c>
      <x:c r="BD112" s="97" t="e">
        <x:f>AY112*INDEX(Régions!$AQ$2:$AQ$6,MATCH($B112,Régions!$A$2:$A$6,0))</x:f>
        <x:v>#NAME?</x:v>
      </x:c>
      <x:c r="BE112" s="97" t="e">
        <x:f>AZ112*INDEX(Régions!$AR$2:$AR$6,MATCH($B112,Régions!$A$2:$A$6,0))</x:f>
        <x:v>#NAME?</x:v>
      </x:c>
      <x:c r="BF112" s="97" t="e">
        <x:f>BA112*INDEX(Régions!$AS$2:$AS$6,MATCH($B112,Régions!$A$2:$A$6,0))</x:f>
        <x:v>#NAME?</x:v>
      </x:c>
      <x:c r="BG112" s="97" t="e">
        <x:f>BB112*INDEX(Régions!$AT$2:$AT$6,MATCH($B112,Régions!$A$2:$A$6,0))</x:f>
        <x:v>#NAME?</x:v>
      </x:c>
      <x:c r="BH112" s="97" t="e">
        <x:f>U112</x:f>
        <x:v>#NAME?</x:v>
      </x:c>
      <x:c r="BI112" s="97" t="e">
        <x:f>BC112*INDEX(Régions!$AU$2:$AU$6,MATCH($B112,Régions!$A$2:$A$6,0))</x:f>
        <x:v>#NAME?</x:v>
      </x:c>
      <x:c r="BJ112" s="97" t="str">
        <x:f>INDEX({"CAQ","PLQ","QS","PQ","PCQ","Autre"},MATCH(MAX(BD112:BI112),BD112:BI112,0))</x:f>
        <x:v>CAQ</x:v>
      </x:c>
    </x:row>
    <x:row r="113" s="60" customFormat="1" ht="15" customHeight="1">
      <x:c r="A113" s="94" t="inlineStr">
        <x:is>
          <x:t xml:space="preserve">Sherbrooke</x:t>
        </x:is>
      </x:c>
      <x:c r="B113" s="94" t="inlineStr">
        <x:is>
          <x:t xml:space="preserve">Reste du Québec</x:t>
        </x:is>
      </x:c>
      <x:c r="C113" s="95" t="inlineStr">
        <x:is>
          <x:t xml:space="preserve">QS</x:t>
        </x:is>
      </x:c>
      <x:c r="D113" s="96" t="n">
        <x:v>13076</x:v>
      </x:c>
      <x:c r="E113" s="96" t="n">
        <x:v>2166</x:v>
      </x:c>
      <x:c r="F113" s="96" t="n">
        <x:v>15548</x:v>
      </x:c>
      <x:c r="G113" s="96" t="n">
        <x:v>3373</x:v>
      </x:c>
      <x:c r="H113" s="96" t="n">
        <x:v>2501</x:v>
      </x:c>
      <x:c r="I113" s="96" t="n">
        <x:v>434</x:v>
      </x:c>
      <x:c r="J113" s="97" t="n">
        <x:f>SUM(D113:I113)</x:f>
        <x:v>37098</x:v>
      </x:c>
      <x:c r="K113" s="98" t="n">
        <x:f>IFERROR(D113/J113,0)</x:f>
        <x:v>0.35247183136557225</x:v>
      </x:c>
      <x:c r="L113" s="98" t="n">
        <x:f>IFERROR(E113/J113,0)</x:f>
        <x:v>0.058385896813844415</x:v>
      </x:c>
      <x:c r="M113" s="98" t="n">
        <x:f>IFERROR(F113/J113,0)</x:f>
        <x:v>0.41910615127500134</x:v>
      </x:c>
      <x:c r="N113" s="98" t="n">
        <x:f>IFERROR(G113/J113,0)</x:f>
        <x:v>0.0909213434686506</x:v>
      </x:c>
      <x:c r="O113" s="98" t="n">
        <x:f>IFERROR(H113/J113,0)</x:f>
        <x:v>0.06741603320933744</x:v>
      </x:c>
      <x:c r="P113" s="98" t="n">
        <x:f>IFERROR(I113/J113,0)</x:f>
        <x:v>0.01169874386759394</x:v>
      </x:c>
      <x:c r="Q113" s="97" t="e">
        <x:f>D113*INDEX(Régions!$T$2:$T$6,MATCH($B113,Régions!$A$2:$A$6,0))</x:f>
        <x:v>#NAME?</x:v>
      </x:c>
      <x:c r="R113" s="97" t="e">
        <x:f>E113*INDEX(Régions!$U$2:$U$6,MATCH($B113,Régions!$A$2:$A$6,0))</x:f>
        <x:v>#NAME?</x:v>
      </x:c>
      <x:c r="S113" s="97" t="e">
        <x:f>F113*INDEX(Régions!$V$2:$V$6,MATCH($B113,Régions!$A$2:$A$6,0))</x:f>
        <x:v>#NAME?</x:v>
      </x:c>
      <x:c r="T113" s="97" t="e">
        <x:f>G113*INDEX(Régions!$W$2:$W$6,MATCH($B113,Régions!$A$2:$A$6,0))</x:f>
        <x:v>#NAME?</x:v>
      </x:c>
      <x:c r="U113" s="97" t="e">
        <x:f>H113*INDEX(Régions!$X$2:$X$6,MATCH($B113,Régions!$A$2:$A$6,0))</x:f>
        <x:v>#NAME?</x:v>
      </x:c>
      <x:c r="V113" s="97" t="e">
        <x:f>I113*INDEX(Régions!$Y$2:$Y$6,MATCH($B113,Régions!$A$2:$A$6,0))</x:f>
        <x:v>#NAME?</x:v>
      </x:c>
      <x:c r="W113" s="97" t="e">
        <x:f>Q113+(AU113/100)*J113*Régions!$O$2</x:f>
        <x:v>#NAME?</x:v>
      </x:c>
      <x:c r="X113" s="97" t="e">
        <x:f>R113+(AV113/100)*J113*Régions!$O$2</x:f>
        <x:v>#NAME?</x:v>
      </x:c>
      <x:c r="Y113" s="97" t="e">
        <x:f>S113+(AW113/100)*J113*Régions!$O$2</x:f>
        <x:v>#NAME?</x:v>
      </x:c>
      <x:c r="Z113" s="97" t="e">
        <x:f>T113+(AX113/100)*J113*Régions!$O$2</x:f>
        <x:v>#NAME?</x:v>
      </x:c>
      <x:c r="AA113" s="97" t="e">
        <x:f>U113</x:f>
        <x:v>#NAME?</x:v>
      </x:c>
      <x:c r="AB113" s="97" t="e">
        <x:f>V113</x:f>
        <x:v>#NAME?</x:v>
      </x:c>
      <x:c r="AC113" s="97" t="e">
        <x:f>D113*INDEX(Régions!$Z$2:$Z$6,MATCH($B113,Régions!$A$2:$A$6,0))</x:f>
        <x:v>#NAME?</x:v>
      </x:c>
      <x:c r="AD113" s="97" t="e">
        <x:f>E113*INDEX(Régions!$AA$2:$AA$6,MATCH($B113,Régions!$A$2:$A$6,0))</x:f>
        <x:v>#NAME?</x:v>
      </x:c>
      <x:c r="AE113" s="97" t="e">
        <x:f>F113*INDEX(Régions!$AB$2:$AB$6,MATCH($B113,Régions!$A$2:$A$6,0))</x:f>
        <x:v>#NAME?</x:v>
      </x:c>
      <x:c r="AF113" s="97" t="e">
        <x:f>G113*INDEX(Régions!$AC$2:$AC$6,MATCH($B113,Régions!$A$2:$A$6,0))</x:f>
        <x:v>#NAME?</x:v>
      </x:c>
      <x:c r="AG113" s="97" t="e">
        <x:f>H113*INDEX(Régions!$AD$2:$AD$6,MATCH($B113,Régions!$A$2:$A$6,0))</x:f>
        <x:v>#NAME?</x:v>
      </x:c>
      <x:c r="AH113" s="97" t="e">
        <x:f>I113*INDEX(Régions!$AE$2:$AE$6,MATCH($B113,Régions!$A$2:$A$6,0))</x:f>
        <x:v>#NAME?</x:v>
      </x:c>
      <x:c r="AI113" s="97" t="e">
        <x:f>D113*INDEX(Régions!$AF$2:$AF$6,MATCH($B113,Régions!$A$2:$A$6,0))</x:f>
        <x:v>#NAME?</x:v>
      </x:c>
      <x:c r="AJ113" s="97" t="e">
        <x:f>E113*INDEX(Régions!$AG$2:$AG$6,MATCH($B113,Régions!$A$2:$A$6,0))</x:f>
        <x:v>#NAME?</x:v>
      </x:c>
      <x:c r="AK113" s="97" t="e">
        <x:f>F113*INDEX(Régions!$AH$2:$AH$6,MATCH($B113,Régions!$A$2:$A$6,0))</x:f>
        <x:v>#NAME?</x:v>
      </x:c>
      <x:c r="AL113" s="97" t="e">
        <x:f>G113*INDEX(Régions!$AI$2:$AI$6,MATCH($B113,Régions!$A$2:$A$6,0))</x:f>
        <x:v>#NAME?</x:v>
      </x:c>
      <x:c r="AM113" s="97" t="e">
        <x:f>H113*INDEX(Régions!$AJ$2:$AJ$6,MATCH($B113,Régions!$A$2:$A$6,0))</x:f>
        <x:v>#NAME?</x:v>
      </x:c>
      <x:c r="AN113" s="97" t="e">
        <x:f>I113*INDEX(Régions!$AK$2:$AK$6,MATCH($B113,Régions!$A$2:$A$6,0))</x:f>
        <x:v>#NAME?</x:v>
      </x:c>
      <x:c r="AO113" s="99" t="str">
        <x:f>INDEX({"CAQ","PLQ","QS","PQ","PCQ","Autre"},MATCH(MAX(Q113:V113),Q113:V113,0))</x:f>
        <x:v>CAQ</x:v>
      </x:c>
      <x:c r="AP113" s="99" t="str">
        <x:f>INDEX({"CAQ","PLQ","QS","PQ","PCQ","Autre"},MATCH(MAX(W113:AB113),W113:AB113,0))</x:f>
        <x:v>CAQ</x:v>
      </x:c>
      <x:c r="AQ113" s="99" t="str">
        <x:f>INDEX({"CAQ","PLQ","QS","PQ","PCQ","Autre"},MATCH(MAX(AC113:AH113),AC113:AH113,0))</x:f>
        <x:v>CAQ</x:v>
      </x:c>
      <x:c r="AR113" s="99" t="str">
        <x:f>INDEX({"CAQ","PLQ","QS","PQ","PCQ","Autre"},MATCH(MAX(AI113:AN113),AI113:AN113,0))</x:f>
        <x:v>CAQ</x:v>
      </x:c>
      <x:c r="AS113" s="100" t="n">
        <x:f>(MAX(K113:P113)-LARGE(K113:P113,2))*100</x:f>
        <x:v>6.663431990942908</x:v>
      </x:c>
      <x:c r="AT113" s="101" t="str">
        <x:f>IF(AS113&lt;5,"Oui","Non")</x:f>
        <x:v>Non</x:v>
      </x:c>
      <x:c r="AU113" s="102" t="n">
        <x:v>5.911</x:v>
      </x:c>
      <x:c r="AV113" s="102" t="n">
        <x:v>-6.083</x:v>
      </x:c>
      <x:c r="AW113" s="102" t="n">
        <x:v>8.625</x:v>
      </x:c>
      <x:c r="AX113" s="102" t="n">
        <x:v>-1.518</x:v>
      </x:c>
      <x:c r="AY113" s="96" t="n">
        <x:v>8403</x:v>
      </x:c>
      <x:c r="AZ113" s="96" t="n">
        <x:v>8865</x:v>
      </x:c>
      <x:c r="BA113" s="96" t="n">
        <x:v>12315</x:v>
      </x:c>
      <x:c r="BB113" s="96" t="n">
        <x:v>5244</x:v>
      </x:c>
      <x:c r="BC113" s="96" t="n">
        <x:v>1105</x:v>
      </x:c>
      <x:c r="BD113" s="97" t="e">
        <x:f>AY113*INDEX(Régions!$AQ$2:$AQ$6,MATCH($B113,Régions!$A$2:$A$6,0))</x:f>
        <x:v>#NAME?</x:v>
      </x:c>
      <x:c r="BE113" s="97" t="e">
        <x:f>AZ113*INDEX(Régions!$AR$2:$AR$6,MATCH($B113,Régions!$A$2:$A$6,0))</x:f>
        <x:v>#NAME?</x:v>
      </x:c>
      <x:c r="BF113" s="97" t="e">
        <x:f>BA113*INDEX(Régions!$AS$2:$AS$6,MATCH($B113,Régions!$A$2:$A$6,0))</x:f>
        <x:v>#NAME?</x:v>
      </x:c>
      <x:c r="BG113" s="97" t="e">
        <x:f>BB113*INDEX(Régions!$AT$2:$AT$6,MATCH($B113,Régions!$A$2:$A$6,0))</x:f>
        <x:v>#NAME?</x:v>
      </x:c>
      <x:c r="BH113" s="97" t="e">
        <x:f>U113</x:f>
        <x:v>#NAME?</x:v>
      </x:c>
      <x:c r="BI113" s="97" t="e">
        <x:f>BC113*INDEX(Régions!$AU$2:$AU$6,MATCH($B113,Régions!$A$2:$A$6,0))</x:f>
        <x:v>#NAME?</x:v>
      </x:c>
      <x:c r="BJ113" s="97" t="str">
        <x:f>INDEX({"CAQ","PLQ","QS","PQ","PCQ","Autre"},MATCH(MAX(BD113:BI113),BD113:BI113,0))</x:f>
        <x:v>CAQ</x:v>
      </x:c>
    </x:row>
    <x:row r="114" s="60" customFormat="1" ht="15" customHeight="1">
      <x:c r="A114" s="94" t="inlineStr">
        <x:is>
          <x:t xml:space="preserve">Soulanges</x:t>
        </x:is>
      </x:c>
      <x:c r="B114" s="94" t="inlineStr">
        <x:is>
          <x:t xml:space="preserve">Banlieue de Montréal</x:t>
        </x:is>
      </x:c>
      <x:c r="C114" s="95" t="inlineStr">
        <x:is>
          <x:t xml:space="preserve">CAQ</x:t>
        </x:is>
      </x:c>
      <x:c r="D114" s="96" t="n">
        <x:v>15875</x:v>
      </x:c>
      <x:c r="E114" s="96" t="n">
        <x:v>8357</x:v>
      </x:c>
      <x:c r="F114" s="96" t="n">
        <x:v>4050</x:v>
      </x:c>
      <x:c r="G114" s="96" t="n">
        <x:v>3823</x:v>
      </x:c>
      <x:c r="H114" s="96" t="n">
        <x:v>4695</x:v>
      </x:c>
      <x:c r="I114" s="96" t="n">
        <x:v>752</x:v>
      </x:c>
      <x:c r="J114" s="97" t="n">
        <x:f>SUM(D114:I114)</x:f>
        <x:v>37552</x:v>
      </x:c>
      <x:c r="K114" s="98" t="n">
        <x:f>IFERROR(D114/J114,0)</x:f>
        <x:v>0.42274712398806985</x:v>
      </x:c>
      <x:c r="L114" s="98" t="n">
        <x:f>IFERROR(E114/J114,0)</x:f>
        <x:v>0.22254473796335747</x:v>
      </x:c>
      <x:c r="M114" s="98" t="n">
        <x:f>IFERROR(F114/J114,0)</x:f>
        <x:v>0.10785044737963358</x:v>
      </x:c>
      <x:c r="N114" s="98" t="n">
        <x:f>IFERROR(G114/J114,0)</x:f>
        <x:v>0.10180549637835534</x:v>
      </x:c>
      <x:c r="O114" s="98" t="n">
        <x:f>IFERROR(H114/J114,0)</x:f>
        <x:v>0.12502662974009374</x:v>
      </x:c>
      <x:c r="P114" s="98" t="n">
        <x:f>IFERROR(I114/J114,0)</x:f>
        <x:v>0.020025564550489986</x:v>
      </x:c>
      <x:c r="Q114" s="97" t="e">
        <x:f>D114*INDEX(Régions!$T$2:$T$6,MATCH($B114,Régions!$A$2:$A$6,0))</x:f>
        <x:v>#NAME?</x:v>
      </x:c>
      <x:c r="R114" s="97" t="e">
        <x:f>E114*INDEX(Régions!$U$2:$U$6,MATCH($B114,Régions!$A$2:$A$6,0))</x:f>
        <x:v>#NAME?</x:v>
      </x:c>
      <x:c r="S114" s="97" t="e">
        <x:f>F114*INDEX(Régions!$V$2:$V$6,MATCH($B114,Régions!$A$2:$A$6,0))</x:f>
        <x:v>#NAME?</x:v>
      </x:c>
      <x:c r="T114" s="97" t="e">
        <x:f>G114*INDEX(Régions!$W$2:$W$6,MATCH($B114,Régions!$A$2:$A$6,0))</x:f>
        <x:v>#NAME?</x:v>
      </x:c>
      <x:c r="U114" s="97" t="e">
        <x:f>H114*INDEX(Régions!$X$2:$X$6,MATCH($B114,Régions!$A$2:$A$6,0))</x:f>
        <x:v>#NAME?</x:v>
      </x:c>
      <x:c r="V114" s="97" t="e">
        <x:f>I114*INDEX(Régions!$Y$2:$Y$6,MATCH($B114,Régions!$A$2:$A$6,0))</x:f>
        <x:v>#NAME?</x:v>
      </x:c>
      <x:c r="W114" s="97" t="e">
        <x:f>Q114+(AU114/100)*J114*Régions!$O$2</x:f>
        <x:v>#NAME?</x:v>
      </x:c>
      <x:c r="X114" s="97" t="e">
        <x:f>R114+(AV114/100)*J114*Régions!$O$2</x:f>
        <x:v>#NAME?</x:v>
      </x:c>
      <x:c r="Y114" s="97" t="e">
        <x:f>S114+(AW114/100)*J114*Régions!$O$2</x:f>
        <x:v>#NAME?</x:v>
      </x:c>
      <x:c r="Z114" s="97" t="e">
        <x:f>T114+(AX114/100)*J114*Régions!$O$2</x:f>
        <x:v>#NAME?</x:v>
      </x:c>
      <x:c r="AA114" s="97" t="e">
        <x:f>U114</x:f>
        <x:v>#NAME?</x:v>
      </x:c>
      <x:c r="AB114" s="97" t="e">
        <x:f>V114</x:f>
        <x:v>#NAME?</x:v>
      </x:c>
      <x:c r="AC114" s="97" t="e">
        <x:f>D114*INDEX(Régions!$Z$2:$Z$6,MATCH($B114,Régions!$A$2:$A$6,0))</x:f>
        <x:v>#NAME?</x:v>
      </x:c>
      <x:c r="AD114" s="97" t="e">
        <x:f>E114*INDEX(Régions!$AA$2:$AA$6,MATCH($B114,Régions!$A$2:$A$6,0))</x:f>
        <x:v>#NAME?</x:v>
      </x:c>
      <x:c r="AE114" s="97" t="e">
        <x:f>F114*INDEX(Régions!$AB$2:$AB$6,MATCH($B114,Régions!$A$2:$A$6,0))</x:f>
        <x:v>#NAME?</x:v>
      </x:c>
      <x:c r="AF114" s="97" t="e">
        <x:f>G114*INDEX(Régions!$AC$2:$AC$6,MATCH($B114,Régions!$A$2:$A$6,0))</x:f>
        <x:v>#NAME?</x:v>
      </x:c>
      <x:c r="AG114" s="97" t="e">
        <x:f>H114*INDEX(Régions!$AD$2:$AD$6,MATCH($B114,Régions!$A$2:$A$6,0))</x:f>
        <x:v>#NAME?</x:v>
      </x:c>
      <x:c r="AH114" s="97" t="e">
        <x:f>I114*INDEX(Régions!$AE$2:$AE$6,MATCH($B114,Régions!$A$2:$A$6,0))</x:f>
        <x:v>#NAME?</x:v>
      </x:c>
      <x:c r="AI114" s="97" t="e">
        <x:f>D114*INDEX(Régions!$AF$2:$AF$6,MATCH($B114,Régions!$A$2:$A$6,0))</x:f>
        <x:v>#NAME?</x:v>
      </x:c>
      <x:c r="AJ114" s="97" t="e">
        <x:f>E114*INDEX(Régions!$AG$2:$AG$6,MATCH($B114,Régions!$A$2:$A$6,0))</x:f>
        <x:v>#NAME?</x:v>
      </x:c>
      <x:c r="AK114" s="97" t="e">
        <x:f>F114*INDEX(Régions!$AH$2:$AH$6,MATCH($B114,Régions!$A$2:$A$6,0))</x:f>
        <x:v>#NAME?</x:v>
      </x:c>
      <x:c r="AL114" s="97" t="e">
        <x:f>G114*INDEX(Régions!$AI$2:$AI$6,MATCH($B114,Régions!$A$2:$A$6,0))</x:f>
        <x:v>#NAME?</x:v>
      </x:c>
      <x:c r="AM114" s="97" t="e">
        <x:f>H114*INDEX(Régions!$AJ$2:$AJ$6,MATCH($B114,Régions!$A$2:$A$6,0))</x:f>
        <x:v>#NAME?</x:v>
      </x:c>
      <x:c r="AN114" s="97" t="e">
        <x:f>I114*INDEX(Régions!$AK$2:$AK$6,MATCH($B114,Régions!$A$2:$A$6,0))</x:f>
        <x:v>#NAME?</x:v>
      </x:c>
      <x:c r="AO114" s="99" t="str">
        <x:f>INDEX({"CAQ","PLQ","QS","PQ","PCQ","Autre"},MATCH(MAX(Q114:V114),Q114:V114,0))</x:f>
        <x:v>CAQ</x:v>
      </x:c>
      <x:c r="AP114" s="99" t="str">
        <x:f>INDEX({"CAQ","PLQ","QS","PQ","PCQ","Autre"},MATCH(MAX(W114:AB114),W114:AB114,0))</x:f>
        <x:v>CAQ</x:v>
      </x:c>
      <x:c r="AQ114" s="99" t="str">
        <x:f>INDEX({"CAQ","PLQ","QS","PQ","PCQ","Autre"},MATCH(MAX(AC114:AH114),AC114:AH114,0))</x:f>
        <x:v>CAQ</x:v>
      </x:c>
      <x:c r="AR114" s="99" t="str">
        <x:f>INDEX({"CAQ","PLQ","QS","PQ","PCQ","Autre"},MATCH(MAX(AI114:AN114),AI114:AN114,0))</x:f>
        <x:v>CAQ</x:v>
      </x:c>
      <x:c r="AS114" s="100" t="n">
        <x:f>(MAX(K114:P114)-LARGE(K114:P114,2))*100</x:f>
        <x:v>20.020238602471238</x:v>
      </x:c>
      <x:c r="AT114" s="101" t="str">
        <x:f>IF(AS114&lt;5,"Oui","Non")</x:f>
        <x:v>Non</x:v>
      </x:c>
      <x:c r="AU114" s="102" t="n">
        <x:v>0.146</x:v>
      </x:c>
      <x:c r="AV114" s="102" t="n">
        <x:v>-4.796</x:v>
      </x:c>
      <x:c r="AW114" s="102" t="n">
        <x:v>-0.022</x:v>
      </x:c>
      <x:c r="AX114" s="102" t="n">
        <x:v>2.934</x:v>
      </x:c>
      <x:c r="AY114" s="96" t="n">
        <x:v>14222</x:v>
      </x:c>
      <x:c r="AZ114" s="96" t="n">
        <x:v>12381</x:v>
      </x:c>
      <x:c r="BA114" s="96" t="n">
        <x:v>4194</x:v>
      </x:c>
      <x:c r="BB114" s="96" t="n">
        <x:v>3737</x:v>
      </x:c>
      <x:c r="BC114" s="96" t="n">
        <x:v>1930</x:v>
      </x:c>
      <x:c r="BD114" s="97" t="e">
        <x:f>AY114*INDEX(Régions!$AQ$2:$AQ$6,MATCH($B114,Régions!$A$2:$A$6,0))</x:f>
        <x:v>#NAME?</x:v>
      </x:c>
      <x:c r="BE114" s="97" t="e">
        <x:f>AZ114*INDEX(Régions!$AR$2:$AR$6,MATCH($B114,Régions!$A$2:$A$6,0))</x:f>
        <x:v>#NAME?</x:v>
      </x:c>
      <x:c r="BF114" s="97" t="e">
        <x:f>BA114*INDEX(Régions!$AS$2:$AS$6,MATCH($B114,Régions!$A$2:$A$6,0))</x:f>
        <x:v>#NAME?</x:v>
      </x:c>
      <x:c r="BG114" s="97" t="e">
        <x:f>BB114*INDEX(Régions!$AT$2:$AT$6,MATCH($B114,Régions!$A$2:$A$6,0))</x:f>
        <x:v>#NAME?</x:v>
      </x:c>
      <x:c r="BH114" s="97" t="e">
        <x:f>U114</x:f>
        <x:v>#NAME?</x:v>
      </x:c>
      <x:c r="BI114" s="97" t="e">
        <x:f>BC114*INDEX(Régions!$AU$2:$AU$6,MATCH($B114,Régions!$A$2:$A$6,0))</x:f>
        <x:v>#NAME?</x:v>
      </x:c>
      <x:c r="BJ114" s="97" t="str">
        <x:f>INDEX({"CAQ","PLQ","QS","PQ","PCQ","Autre"},MATCH(MAX(BD114:BI114),BD114:BI114,0))</x:f>
        <x:v>CAQ</x:v>
      </x:c>
    </x:row>
    <x:row r="115" s="60" customFormat="1" ht="15" customHeight="1">
      <x:c r="A115" s="94" t="inlineStr">
        <x:is>
          <x:t xml:space="preserve">Taillon</x:t>
        </x:is>
      </x:c>
      <x:c r="B115" s="94" t="inlineStr">
        <x:is>
          <x:t xml:space="preserve">Banlieue de Montréal</x:t>
        </x:is>
      </x:c>
      <x:c r="C115" s="95" t="inlineStr">
        <x:is>
          <x:t xml:space="preserve">CAQ</x:t>
        </x:is>
      </x:c>
      <x:c r="D115" s="96" t="n">
        <x:v>14635</x:v>
      </x:c>
      <x:c r="E115" s="96" t="n">
        <x:v>4096</x:v>
      </x:c>
      <x:c r="F115" s="96" t="n">
        <x:v>6663</x:v>
      </x:c>
      <x:c r="G115" s="96" t="n">
        <x:v>7160</x:v>
      </x:c>
      <x:c r="H115" s="96" t="n">
        <x:v>2280</x:v>
      </x:c>
      <x:c r="I115" s="96" t="n">
        <x:v>422</x:v>
      </x:c>
      <x:c r="J115" s="97" t="n">
        <x:f>SUM(D115:I115)</x:f>
        <x:v>35256</x:v>
      </x:c>
      <x:c r="K115" s="98" t="n">
        <x:f>IFERROR(D115/J115,0)</x:f>
        <x:v>0.41510664851372814</x:v>
      </x:c>
      <x:c r="L115" s="98" t="n">
        <x:f>IFERROR(E115/J115,0)</x:f>
        <x:v>0.11617880644429317</x:v>
      </x:c>
      <x:c r="M115" s="98" t="n">
        <x:f>IFERROR(F115/J115,0)</x:f>
        <x:v>0.18898910823689585</x:v>
      </x:c>
      <x:c r="N115" s="98" t="n">
        <x:f>IFERROR(G115/J115,0)</x:f>
        <x:v>0.20308599954617654</x:v>
      </x:c>
      <x:c r="O115" s="98" t="n">
        <x:f>IFERROR(H115/J115,0)</x:f>
        <x:v>0.06466984343090537</x:v>
      </x:c>
      <x:c r="P115" s="98" t="n">
        <x:f>IFERROR(I115/J115,0)</x:f>
        <x:v>0.011969593828000908</x:v>
      </x:c>
      <x:c r="Q115" s="97" t="e">
        <x:f>D115*INDEX(Régions!$T$2:$T$6,MATCH($B115,Régions!$A$2:$A$6,0))</x:f>
        <x:v>#NAME?</x:v>
      </x:c>
      <x:c r="R115" s="97" t="e">
        <x:f>E115*INDEX(Régions!$U$2:$U$6,MATCH($B115,Régions!$A$2:$A$6,0))</x:f>
        <x:v>#NAME?</x:v>
      </x:c>
      <x:c r="S115" s="97" t="e">
        <x:f>F115*INDEX(Régions!$V$2:$V$6,MATCH($B115,Régions!$A$2:$A$6,0))</x:f>
        <x:v>#NAME?</x:v>
      </x:c>
      <x:c r="T115" s="97" t="e">
        <x:f>G115*INDEX(Régions!$W$2:$W$6,MATCH($B115,Régions!$A$2:$A$6,0))</x:f>
        <x:v>#NAME?</x:v>
      </x:c>
      <x:c r="U115" s="97" t="e">
        <x:f>H115*INDEX(Régions!$X$2:$X$6,MATCH($B115,Régions!$A$2:$A$6,0))</x:f>
        <x:v>#NAME?</x:v>
      </x:c>
      <x:c r="V115" s="97" t="e">
        <x:f>I115*INDEX(Régions!$Y$2:$Y$6,MATCH($B115,Régions!$A$2:$A$6,0))</x:f>
        <x:v>#NAME?</x:v>
      </x:c>
      <x:c r="W115" s="97" t="e">
        <x:f>Q115+(AU115/100)*J115*Régions!$O$2</x:f>
        <x:v>#NAME?</x:v>
      </x:c>
      <x:c r="X115" s="97" t="e">
        <x:f>R115+(AV115/100)*J115*Régions!$O$2</x:f>
        <x:v>#NAME?</x:v>
      </x:c>
      <x:c r="Y115" s="97" t="e">
        <x:f>S115+(AW115/100)*J115*Régions!$O$2</x:f>
        <x:v>#NAME?</x:v>
      </x:c>
      <x:c r="Z115" s="97" t="e">
        <x:f>T115+(AX115/100)*J115*Régions!$O$2</x:f>
        <x:v>#NAME?</x:v>
      </x:c>
      <x:c r="AA115" s="97" t="e">
        <x:f>U115</x:f>
        <x:v>#NAME?</x:v>
      </x:c>
      <x:c r="AB115" s="97" t="e">
        <x:f>V115</x:f>
        <x:v>#NAME?</x:v>
      </x:c>
      <x:c r="AC115" s="97" t="e">
        <x:f>D115*INDEX(Régions!$Z$2:$Z$6,MATCH($B115,Régions!$A$2:$A$6,0))</x:f>
        <x:v>#NAME?</x:v>
      </x:c>
      <x:c r="AD115" s="97" t="e">
        <x:f>E115*INDEX(Régions!$AA$2:$AA$6,MATCH($B115,Régions!$A$2:$A$6,0))</x:f>
        <x:v>#NAME?</x:v>
      </x:c>
      <x:c r="AE115" s="97" t="e">
        <x:f>F115*INDEX(Régions!$AB$2:$AB$6,MATCH($B115,Régions!$A$2:$A$6,0))</x:f>
        <x:v>#NAME?</x:v>
      </x:c>
      <x:c r="AF115" s="97" t="e">
        <x:f>G115*INDEX(Régions!$AC$2:$AC$6,MATCH($B115,Régions!$A$2:$A$6,0))</x:f>
        <x:v>#NAME?</x:v>
      </x:c>
      <x:c r="AG115" s="97" t="e">
        <x:f>H115*INDEX(Régions!$AD$2:$AD$6,MATCH($B115,Régions!$A$2:$A$6,0))</x:f>
        <x:v>#NAME?</x:v>
      </x:c>
      <x:c r="AH115" s="97" t="e">
        <x:f>I115*INDEX(Régions!$AE$2:$AE$6,MATCH($B115,Régions!$A$2:$A$6,0))</x:f>
        <x:v>#NAME?</x:v>
      </x:c>
      <x:c r="AI115" s="97" t="e">
        <x:f>D115*INDEX(Régions!$AF$2:$AF$6,MATCH($B115,Régions!$A$2:$A$6,0))</x:f>
        <x:v>#NAME?</x:v>
      </x:c>
      <x:c r="AJ115" s="97" t="e">
        <x:f>E115*INDEX(Régions!$AG$2:$AG$6,MATCH($B115,Régions!$A$2:$A$6,0))</x:f>
        <x:v>#NAME?</x:v>
      </x:c>
      <x:c r="AK115" s="97" t="e">
        <x:f>F115*INDEX(Régions!$AH$2:$AH$6,MATCH($B115,Régions!$A$2:$A$6,0))</x:f>
        <x:v>#NAME?</x:v>
      </x:c>
      <x:c r="AL115" s="97" t="e">
        <x:f>G115*INDEX(Régions!$AI$2:$AI$6,MATCH($B115,Régions!$A$2:$A$6,0))</x:f>
        <x:v>#NAME?</x:v>
      </x:c>
      <x:c r="AM115" s="97" t="e">
        <x:f>H115*INDEX(Régions!$AJ$2:$AJ$6,MATCH($B115,Régions!$A$2:$A$6,0))</x:f>
        <x:v>#NAME?</x:v>
      </x:c>
      <x:c r="AN115" s="97" t="e">
        <x:f>I115*INDEX(Régions!$AK$2:$AK$6,MATCH($B115,Régions!$A$2:$A$6,0))</x:f>
        <x:v>#NAME?</x:v>
      </x:c>
      <x:c r="AO115" s="99" t="str">
        <x:f>INDEX({"CAQ","PLQ","QS","PQ","PCQ","Autre"},MATCH(MAX(Q115:V115),Q115:V115,0))</x:f>
        <x:v>CAQ</x:v>
      </x:c>
      <x:c r="AP115" s="99" t="str">
        <x:f>INDEX({"CAQ","PLQ","QS","PQ","PCQ","Autre"},MATCH(MAX(W115:AB115),W115:AB115,0))</x:f>
        <x:v>CAQ</x:v>
      </x:c>
      <x:c r="AQ115" s="99" t="str">
        <x:f>INDEX({"CAQ","PLQ","QS","PQ","PCQ","Autre"},MATCH(MAX(AC115:AH115),AC115:AH115,0))</x:f>
        <x:v>CAQ</x:v>
      </x:c>
      <x:c r="AR115" s="99" t="str">
        <x:f>INDEX({"CAQ","PLQ","QS","PQ","PCQ","Autre"},MATCH(MAX(AI115:AN115),AI115:AN115,0))</x:f>
        <x:v>CAQ</x:v>
      </x:c>
      <x:c r="AS115" s="100" t="n">
        <x:f>(MAX(K115:P115)-LARGE(K115:P115,2))*100</x:f>
        <x:v>21.20206489675516</x:v>
      </x:c>
      <x:c r="AT115" s="101" t="str">
        <x:f>IF(AS115&lt;5,"Oui","Non")</x:f>
        <x:v>Non</x:v>
      </x:c>
      <x:c r="AU115" s="102" t="n">
        <x:v>4.626</x:v>
      </x:c>
      <x:c r="AV115" s="102" t="n">
        <x:v>1.783</x:v>
      </x:c>
      <x:c r="AW115" s="102" t="n">
        <x:v>1.914</x:v>
      </x:c>
      <x:c r="AX115" s="102" t="n">
        <x:v>-4.774</x:v>
      </x:c>
      <x:c r="AY115" s="96" t="n">
        <x:v>12186</x:v>
      </x:c>
      <x:c r="AZ115" s="96" t="n">
        <x:v>6042</x:v>
      </x:c>
      <x:c r="BA115" s="96" t="n">
        <x:v>6382</x:v>
      </x:c>
      <x:c r="BB115" s="96" t="n">
        <x:v>10138</x:v>
      </x:c>
      <x:c r="BC115" s="96" t="n">
        <x:v>1350</x:v>
      </x:c>
      <x:c r="BD115" s="97" t="e">
        <x:f>AY115*INDEX(Régions!$AQ$2:$AQ$6,MATCH($B115,Régions!$A$2:$A$6,0))</x:f>
        <x:v>#NAME?</x:v>
      </x:c>
      <x:c r="BE115" s="97" t="e">
        <x:f>AZ115*INDEX(Régions!$AR$2:$AR$6,MATCH($B115,Régions!$A$2:$A$6,0))</x:f>
        <x:v>#NAME?</x:v>
      </x:c>
      <x:c r="BF115" s="97" t="e">
        <x:f>BA115*INDEX(Régions!$AS$2:$AS$6,MATCH($B115,Régions!$A$2:$A$6,0))</x:f>
        <x:v>#NAME?</x:v>
      </x:c>
      <x:c r="BG115" s="97" t="e">
        <x:f>BB115*INDEX(Régions!$AT$2:$AT$6,MATCH($B115,Régions!$A$2:$A$6,0))</x:f>
        <x:v>#NAME?</x:v>
      </x:c>
      <x:c r="BH115" s="97" t="e">
        <x:f>U115</x:f>
        <x:v>#NAME?</x:v>
      </x:c>
      <x:c r="BI115" s="97" t="e">
        <x:f>BC115*INDEX(Régions!$AU$2:$AU$6,MATCH($B115,Régions!$A$2:$A$6,0))</x:f>
        <x:v>#NAME?</x:v>
      </x:c>
      <x:c r="BJ115" s="97" t="str">
        <x:f>INDEX({"CAQ","PLQ","QS","PQ","PCQ","Autre"},MATCH(MAX(BD115:BI115),BD115:BI115,0))</x:f>
        <x:v>CAQ</x:v>
      </x:c>
    </x:row>
    <x:row r="116" s="60" customFormat="1" ht="15" customHeight="1">
      <x:c r="A116" s="94" t="inlineStr">
        <x:is>
          <x:t xml:space="preserve">Taschereau</x:t>
        </x:is>
      </x:c>
      <x:c r="B116" s="94" t="inlineStr">
        <x:is>
          <x:t xml:space="preserve">Québec RMR</x:t>
        </x:is>
      </x:c>
      <x:c r="C116" s="95" t="inlineStr">
        <x:is>
          <x:t xml:space="preserve">QS</x:t>
        </x:is>
      </x:c>
      <x:c r="D116" s="96" t="n">
        <x:v>7537</x:v>
      </x:c>
      <x:c r="E116" s="96" t="n">
        <x:v>2025</x:v>
      </x:c>
      <x:c r="F116" s="96" t="n">
        <x:v>13588</x:v>
      </x:c>
      <x:c r="G116" s="96" t="n">
        <x:v>7757</x:v>
      </x:c>
      <x:c r="H116" s="96" t="n">
        <x:v>3012</x:v>
      </x:c>
      <x:c r="I116" s="96" t="n">
        <x:v>451</x:v>
      </x:c>
      <x:c r="J116" s="97" t="n">
        <x:f>SUM(D116:I116)</x:f>
        <x:v>34370</x:v>
      </x:c>
      <x:c r="K116" s="98" t="n">
        <x:f>IFERROR(D116/J116,0)</x:f>
        <x:v>0.219290078556881</x:v>
      </x:c>
      <x:c r="L116" s="98" t="n">
        <x:f>IFERROR(E116/J116,0)</x:f>
        <x:v>0.05891766075065464</x:v>
      </x:c>
      <x:c r="M116" s="98" t="n">
        <x:f>IFERROR(F116/J116,0)</x:f>
        <x:v>0.3953447774221705</x:v>
      </x:c>
      <x:c r="N116" s="98" t="n">
        <x:f>IFERROR(G116/J116,0)</x:f>
        <x:v>0.22569100960139657</x:v>
      </x:c>
      <x:c r="O116" s="98" t="n">
        <x:f>IFERROR(H116/J116,0)</x:f>
        <x:v>0.08763456502764039</x:v>
      </x:c>
      <x:c r="P116" s="98" t="n">
        <x:f>IFERROR(I116/J116,0)</x:f>
        <x:v>0.01312190864125691</x:v>
      </x:c>
      <x:c r="Q116" s="97" t="e">
        <x:f>D116*INDEX(Régions!$T$2:$T$6,MATCH($B116,Régions!$A$2:$A$6,0))</x:f>
        <x:v>#NAME?</x:v>
      </x:c>
      <x:c r="R116" s="97" t="e">
        <x:f>E116*INDEX(Régions!$U$2:$U$6,MATCH($B116,Régions!$A$2:$A$6,0))</x:f>
        <x:v>#NAME?</x:v>
      </x:c>
      <x:c r="S116" s="97" t="e">
        <x:f>F116*INDEX(Régions!$V$2:$V$6,MATCH($B116,Régions!$A$2:$A$6,0))</x:f>
        <x:v>#NAME?</x:v>
      </x:c>
      <x:c r="T116" s="97" t="e">
        <x:f>G116*INDEX(Régions!$W$2:$W$6,MATCH($B116,Régions!$A$2:$A$6,0))</x:f>
        <x:v>#NAME?</x:v>
      </x:c>
      <x:c r="U116" s="97" t="e">
        <x:f>H116*INDEX(Régions!$X$2:$X$6,MATCH($B116,Régions!$A$2:$A$6,0))</x:f>
        <x:v>#NAME?</x:v>
      </x:c>
      <x:c r="V116" s="97" t="e">
        <x:f>I116*INDEX(Régions!$Y$2:$Y$6,MATCH($B116,Régions!$A$2:$A$6,0))</x:f>
        <x:v>#NAME?</x:v>
      </x:c>
      <x:c r="W116" s="97" t="e">
        <x:f>Q116+(AU116/100)*J116*Régions!$O$2</x:f>
        <x:v>#NAME?</x:v>
      </x:c>
      <x:c r="X116" s="97" t="e">
        <x:f>R116+(AV116/100)*J116*Régions!$O$2</x:f>
        <x:v>#NAME?</x:v>
      </x:c>
      <x:c r="Y116" s="97" t="e">
        <x:f>S116+(AW116/100)*J116*Régions!$O$2</x:f>
        <x:v>#NAME?</x:v>
      </x:c>
      <x:c r="Z116" s="97" t="e">
        <x:f>T116+(AX116/100)*J116*Régions!$O$2</x:f>
        <x:v>#NAME?</x:v>
      </x:c>
      <x:c r="AA116" s="97" t="e">
        <x:f>U116</x:f>
        <x:v>#NAME?</x:v>
      </x:c>
      <x:c r="AB116" s="97" t="e">
        <x:f>V116</x:f>
        <x:v>#NAME?</x:v>
      </x:c>
      <x:c r="AC116" s="97" t="e">
        <x:f>D116*INDEX(Régions!$Z$2:$Z$6,MATCH($B116,Régions!$A$2:$A$6,0))</x:f>
        <x:v>#NAME?</x:v>
      </x:c>
      <x:c r="AD116" s="97" t="e">
        <x:f>E116*INDEX(Régions!$AA$2:$AA$6,MATCH($B116,Régions!$A$2:$A$6,0))</x:f>
        <x:v>#NAME?</x:v>
      </x:c>
      <x:c r="AE116" s="97" t="e">
        <x:f>F116*INDEX(Régions!$AB$2:$AB$6,MATCH($B116,Régions!$A$2:$A$6,0))</x:f>
        <x:v>#NAME?</x:v>
      </x:c>
      <x:c r="AF116" s="97" t="e">
        <x:f>G116*INDEX(Régions!$AC$2:$AC$6,MATCH($B116,Régions!$A$2:$A$6,0))</x:f>
        <x:v>#NAME?</x:v>
      </x:c>
      <x:c r="AG116" s="97" t="e">
        <x:f>H116*INDEX(Régions!$AD$2:$AD$6,MATCH($B116,Régions!$A$2:$A$6,0))</x:f>
        <x:v>#NAME?</x:v>
      </x:c>
      <x:c r="AH116" s="97" t="e">
        <x:f>I116*INDEX(Régions!$AE$2:$AE$6,MATCH($B116,Régions!$A$2:$A$6,0))</x:f>
        <x:v>#NAME?</x:v>
      </x:c>
      <x:c r="AI116" s="97" t="e">
        <x:f>D116*INDEX(Régions!$AF$2:$AF$6,MATCH($B116,Régions!$A$2:$A$6,0))</x:f>
        <x:v>#NAME?</x:v>
      </x:c>
      <x:c r="AJ116" s="97" t="e">
        <x:f>E116*INDEX(Régions!$AG$2:$AG$6,MATCH($B116,Régions!$A$2:$A$6,0))</x:f>
        <x:v>#NAME?</x:v>
      </x:c>
      <x:c r="AK116" s="97" t="e">
        <x:f>F116*INDEX(Régions!$AH$2:$AH$6,MATCH($B116,Régions!$A$2:$A$6,0))</x:f>
        <x:v>#NAME?</x:v>
      </x:c>
      <x:c r="AL116" s="97" t="e">
        <x:f>G116*INDEX(Régions!$AI$2:$AI$6,MATCH($B116,Régions!$A$2:$A$6,0))</x:f>
        <x:v>#NAME?</x:v>
      </x:c>
      <x:c r="AM116" s="97" t="e">
        <x:f>H116*INDEX(Régions!$AJ$2:$AJ$6,MATCH($B116,Régions!$A$2:$A$6,0))</x:f>
        <x:v>#NAME?</x:v>
      </x:c>
      <x:c r="AN116" s="97" t="e">
        <x:f>I116*INDEX(Régions!$AK$2:$AK$6,MATCH($B116,Régions!$A$2:$A$6,0))</x:f>
        <x:v>#NAME?</x:v>
      </x:c>
      <x:c r="AO116" s="99" t="str">
        <x:f>INDEX({"CAQ","PLQ","QS","PQ","PCQ","Autre"},MATCH(MAX(Q116:V116),Q116:V116,0))</x:f>
        <x:v>CAQ</x:v>
      </x:c>
      <x:c r="AP116" s="99" t="str">
        <x:f>INDEX({"CAQ","PLQ","QS","PQ","PCQ","Autre"},MATCH(MAX(W116:AB116),W116:AB116,0))</x:f>
        <x:v>CAQ</x:v>
      </x:c>
      <x:c r="AQ116" s="99" t="str">
        <x:f>INDEX({"CAQ","PLQ","QS","PQ","PCQ","Autre"},MATCH(MAX(AC116:AH116),AC116:AH116,0))</x:f>
        <x:v>CAQ</x:v>
      </x:c>
      <x:c r="AR116" s="99" t="str">
        <x:f>INDEX({"CAQ","PLQ","QS","PQ","PCQ","Autre"},MATCH(MAX(AI116:AN116),AI116:AN116,0))</x:f>
        <x:v>CAQ</x:v>
      </x:c>
      <x:c r="AS116" s="100" t="n">
        <x:f>(MAX(K116:P116)-LARGE(K116:P116,2))*100</x:f>
        <x:v>16.965376782077392</x:v>
      </x:c>
      <x:c r="AT116" s="101" t="str">
        <x:f>IF(AS116&lt;5,"Oui","Non")</x:f>
        <x:v>Non</x:v>
      </x:c>
      <x:c r="AU116" s="102" t="n">
        <x:v>6.052</x:v>
      </x:c>
      <x:c r="AV116" s="102" t="n">
        <x:v>3.092</x:v>
      </x:c>
      <x:c r="AW116" s="102" t="n">
        <x:v>-2.544</x:v>
      </x:c>
      <x:c r="AX116" s="102" t="n">
        <x:v>2.978</x:v>
      </x:c>
      <x:c r="AY116" s="96" t="n">
        <x:v>6862</x:v>
      </x:c>
      <x:c r="AZ116" s="96" t="n">
        <x:v>6387</x:v>
      </x:c>
      <x:c r="BA116" s="96" t="n">
        <x:v>15373</x:v>
      </x:c>
      <x:c r="BB116" s="96" t="n">
        <x:v>6379</x:v>
      </x:c>
      <x:c r="BC116" s="96" t="n">
        <x:v>1156</x:v>
      </x:c>
      <x:c r="BD116" s="97" t="e">
        <x:f>AY116*INDEX(Régions!$AQ$2:$AQ$6,MATCH($B116,Régions!$A$2:$A$6,0))</x:f>
        <x:v>#NAME?</x:v>
      </x:c>
      <x:c r="BE116" s="97" t="e">
        <x:f>AZ116*INDEX(Régions!$AR$2:$AR$6,MATCH($B116,Régions!$A$2:$A$6,0))</x:f>
        <x:v>#NAME?</x:v>
      </x:c>
      <x:c r="BF116" s="97" t="e">
        <x:f>BA116*INDEX(Régions!$AS$2:$AS$6,MATCH($B116,Régions!$A$2:$A$6,0))</x:f>
        <x:v>#NAME?</x:v>
      </x:c>
      <x:c r="BG116" s="97" t="e">
        <x:f>BB116*INDEX(Régions!$AT$2:$AT$6,MATCH($B116,Régions!$A$2:$A$6,0))</x:f>
        <x:v>#NAME?</x:v>
      </x:c>
      <x:c r="BH116" s="97" t="e">
        <x:f>U116</x:f>
        <x:v>#NAME?</x:v>
      </x:c>
      <x:c r="BI116" s="97" t="e">
        <x:f>BC116*INDEX(Régions!$AU$2:$AU$6,MATCH($B116,Régions!$A$2:$A$6,0))</x:f>
        <x:v>#NAME?</x:v>
      </x:c>
      <x:c r="BJ116" s="97" t="str">
        <x:f>INDEX({"CAQ","PLQ","QS","PQ","PCQ","Autre"},MATCH(MAX(BD116:BI116),BD116:BI116,0))</x:f>
        <x:v>CAQ</x:v>
      </x:c>
    </x:row>
    <x:row r="117" s="60" customFormat="1" ht="15" customHeight="1">
      <x:c r="A117" s="94" t="inlineStr">
        <x:is>
          <x:t xml:space="preserve">Terrebonne</x:t>
        </x:is>
      </x:c>
      <x:c r="B117" s="94" t="inlineStr">
        <x:is>
          <x:t xml:space="preserve">Banlieue de Montréal</x:t>
        </x:is>
      </x:c>
      <x:c r="C117" s="95" t="inlineStr">
        <x:is>
          <x:t xml:space="preserve">CAQ</x:t>
        </x:is>
      </x:c>
      <x:c r="D117" s="96" t="n">
        <x:v>18543</x:v>
      </x:c>
      <x:c r="E117" s="96" t="n">
        <x:v>3814</x:v>
      </x:c>
      <x:c r="F117" s="96" t="n">
        <x:v>4746</x:v>
      </x:c>
      <x:c r="G117" s="96" t="n">
        <x:v>7082</x:v>
      </x:c>
      <x:c r="H117" s="96" t="n">
        <x:v>2977</x:v>
      </x:c>
      <x:c r="I117" s="96" t="n">
        <x:v>344</x:v>
      </x:c>
      <x:c r="J117" s="97" t="n">
        <x:f>SUM(D117:I117)</x:f>
        <x:v>37506</x:v>
      </x:c>
      <x:c r="K117" s="98" t="n">
        <x:f>IFERROR(D117/J117,0)</x:f>
        <x:v>0.4944008958566629</x:v>
      </x:c>
      <x:c r="L117" s="98" t="n">
        <x:f>IFERROR(E117/J117,0)</x:f>
        <x:v>0.10169039620327414</x:v>
      </x:c>
      <x:c r="M117" s="98" t="n">
        <x:f>IFERROR(F117/J117,0)</x:f>
        <x:v>0.1265397536394177</x:v>
      </x:c>
      <x:c r="N117" s="98" t="n">
        <x:f>IFERROR(G117/J117,0)</x:f>
        <x:v>0.1888231216338719</x:v>
      </x:c>
      <x:c r="O117" s="98" t="n">
        <x:f>IFERROR(H117/J117,0)</x:f>
        <x:v>0.07937396683197355</x:v>
      </x:c>
      <x:c r="P117" s="98" t="n">
        <x:f>IFERROR(I117/J117,0)</x:f>
        <x:v>0.009171865834799765</x:v>
      </x:c>
      <x:c r="Q117" s="97" t="e">
        <x:f>D117*INDEX(Régions!$T$2:$T$6,MATCH($B117,Régions!$A$2:$A$6,0))</x:f>
        <x:v>#NAME?</x:v>
      </x:c>
      <x:c r="R117" s="97" t="e">
        <x:f>E117*INDEX(Régions!$U$2:$U$6,MATCH($B117,Régions!$A$2:$A$6,0))</x:f>
        <x:v>#NAME?</x:v>
      </x:c>
      <x:c r="S117" s="97" t="e">
        <x:f>F117*INDEX(Régions!$V$2:$V$6,MATCH($B117,Régions!$A$2:$A$6,0))</x:f>
        <x:v>#NAME?</x:v>
      </x:c>
      <x:c r="T117" s="97" t="e">
        <x:f>G117*INDEX(Régions!$W$2:$W$6,MATCH($B117,Régions!$A$2:$A$6,0))</x:f>
        <x:v>#NAME?</x:v>
      </x:c>
      <x:c r="U117" s="97" t="e">
        <x:f>H117*INDEX(Régions!$X$2:$X$6,MATCH($B117,Régions!$A$2:$A$6,0))</x:f>
        <x:v>#NAME?</x:v>
      </x:c>
      <x:c r="V117" s="97" t="e">
        <x:f>I117*INDEX(Régions!$Y$2:$Y$6,MATCH($B117,Régions!$A$2:$A$6,0))</x:f>
        <x:v>#NAME?</x:v>
      </x:c>
      <x:c r="W117" s="97" t="e">
        <x:f>Q117+(AU117/100)*J117*Régions!$O$2</x:f>
        <x:v>#NAME?</x:v>
      </x:c>
      <x:c r="X117" s="97" t="e">
        <x:f>R117+(AV117/100)*J117*Régions!$O$2</x:f>
        <x:v>#NAME?</x:v>
      </x:c>
      <x:c r="Y117" s="97" t="e">
        <x:f>S117+(AW117/100)*J117*Régions!$O$2</x:f>
        <x:v>#NAME?</x:v>
      </x:c>
      <x:c r="Z117" s="97" t="e">
        <x:f>T117+(AX117/100)*J117*Régions!$O$2</x:f>
        <x:v>#NAME?</x:v>
      </x:c>
      <x:c r="AA117" s="97" t="e">
        <x:f>U117</x:f>
        <x:v>#NAME?</x:v>
      </x:c>
      <x:c r="AB117" s="97" t="e">
        <x:f>V117</x:f>
        <x:v>#NAME?</x:v>
      </x:c>
      <x:c r="AC117" s="97" t="e">
        <x:f>D117*INDEX(Régions!$Z$2:$Z$6,MATCH($B117,Régions!$A$2:$A$6,0))</x:f>
        <x:v>#NAME?</x:v>
      </x:c>
      <x:c r="AD117" s="97" t="e">
        <x:f>E117*INDEX(Régions!$AA$2:$AA$6,MATCH($B117,Régions!$A$2:$A$6,0))</x:f>
        <x:v>#NAME?</x:v>
      </x:c>
      <x:c r="AE117" s="97" t="e">
        <x:f>F117*INDEX(Régions!$AB$2:$AB$6,MATCH($B117,Régions!$A$2:$A$6,0))</x:f>
        <x:v>#NAME?</x:v>
      </x:c>
      <x:c r="AF117" s="97" t="e">
        <x:f>G117*INDEX(Régions!$AC$2:$AC$6,MATCH($B117,Régions!$A$2:$A$6,0))</x:f>
        <x:v>#NAME?</x:v>
      </x:c>
      <x:c r="AG117" s="97" t="e">
        <x:f>H117*INDEX(Régions!$AD$2:$AD$6,MATCH($B117,Régions!$A$2:$A$6,0))</x:f>
        <x:v>#NAME?</x:v>
      </x:c>
      <x:c r="AH117" s="97" t="e">
        <x:f>I117*INDEX(Régions!$AE$2:$AE$6,MATCH($B117,Régions!$A$2:$A$6,0))</x:f>
        <x:v>#NAME?</x:v>
      </x:c>
      <x:c r="AI117" s="97" t="e">
        <x:f>D117*INDEX(Régions!$AF$2:$AF$6,MATCH($B117,Régions!$A$2:$A$6,0))</x:f>
        <x:v>#NAME?</x:v>
      </x:c>
      <x:c r="AJ117" s="97" t="e">
        <x:f>E117*INDEX(Régions!$AG$2:$AG$6,MATCH($B117,Régions!$A$2:$A$6,0))</x:f>
        <x:v>#NAME?</x:v>
      </x:c>
      <x:c r="AK117" s="97" t="e">
        <x:f>F117*INDEX(Régions!$AH$2:$AH$6,MATCH($B117,Régions!$A$2:$A$6,0))</x:f>
        <x:v>#NAME?</x:v>
      </x:c>
      <x:c r="AL117" s="97" t="e">
        <x:f>G117*INDEX(Régions!$AI$2:$AI$6,MATCH($B117,Régions!$A$2:$A$6,0))</x:f>
        <x:v>#NAME?</x:v>
      </x:c>
      <x:c r="AM117" s="97" t="e">
        <x:f>H117*INDEX(Régions!$AJ$2:$AJ$6,MATCH($B117,Régions!$A$2:$A$6,0))</x:f>
        <x:v>#NAME?</x:v>
      </x:c>
      <x:c r="AN117" s="97" t="e">
        <x:f>I117*INDEX(Régions!$AK$2:$AK$6,MATCH($B117,Régions!$A$2:$A$6,0))</x:f>
        <x:v>#NAME?</x:v>
      </x:c>
      <x:c r="AO117" s="99" t="str">
        <x:f>INDEX({"CAQ","PLQ","QS","PQ","PCQ","Autre"},MATCH(MAX(Q117:V117),Q117:V117,0))</x:f>
        <x:v>CAQ</x:v>
      </x:c>
      <x:c r="AP117" s="99" t="str">
        <x:f>INDEX({"CAQ","PLQ","QS","PQ","PCQ","Autre"},MATCH(MAX(W117:AB117),W117:AB117,0))</x:f>
        <x:v>CAQ</x:v>
      </x:c>
      <x:c r="AQ117" s="99" t="str">
        <x:f>INDEX({"CAQ","PLQ","QS","PQ","PCQ","Autre"},MATCH(MAX(AC117:AH117),AC117:AH117,0))</x:f>
        <x:v>CAQ</x:v>
      </x:c>
      <x:c r="AR117" s="99" t="str">
        <x:f>INDEX({"CAQ","PLQ","QS","PQ","PCQ","Autre"},MATCH(MAX(AI117:AN117),AI117:AN117,0))</x:f>
        <x:v>CAQ</x:v>
      </x:c>
      <x:c r="AS117" s="100" t="n">
        <x:f>(MAX(K117:P117)-LARGE(K117:P117,2))*100</x:f>
        <x:v>30.5577774222791</x:v>
      </x:c>
      <x:c r="AT117" s="101" t="str">
        <x:f>IF(AS117&lt;5,"Oui","Non")</x:f>
        <x:v>Non</x:v>
      </x:c>
      <x:c r="AU117" s="102" t="n">
        <x:v>3.348</x:v>
      </x:c>
      <x:c r="AV117" s="102" t="n">
        <x:v>4.951</x:v>
      </x:c>
      <x:c r="AW117" s="102" t="n">
        <x:v>0.49</x:v>
      </x:c>
      <x:c r="AX117" s="102" t="n">
        <x:v>-7.606</x:v>
      </x:c>
      <x:c r="AY117" s="96" t="n">
        <x:v>15641</x:v>
      </x:c>
      <x:c r="AZ117" s="96" t="n">
        <x:v>4412</x:v>
      </x:c>
      <x:c r="BA117" s="96" t="n">
        <x:v>4681</x:v>
      </x:c>
      <x:c r="BB117" s="96" t="n">
        <x:v>10735</x:v>
      </x:c>
      <x:c r="BC117" s="96" t="n">
        <x:v>934</x:v>
      </x:c>
      <x:c r="BD117" s="97" t="e">
        <x:f>AY117*INDEX(Régions!$AQ$2:$AQ$6,MATCH($B117,Régions!$A$2:$A$6,0))</x:f>
        <x:v>#NAME?</x:v>
      </x:c>
      <x:c r="BE117" s="97" t="e">
        <x:f>AZ117*INDEX(Régions!$AR$2:$AR$6,MATCH($B117,Régions!$A$2:$A$6,0))</x:f>
        <x:v>#NAME?</x:v>
      </x:c>
      <x:c r="BF117" s="97" t="e">
        <x:f>BA117*INDEX(Régions!$AS$2:$AS$6,MATCH($B117,Régions!$A$2:$A$6,0))</x:f>
        <x:v>#NAME?</x:v>
      </x:c>
      <x:c r="BG117" s="97" t="e">
        <x:f>BB117*INDEX(Régions!$AT$2:$AT$6,MATCH($B117,Régions!$A$2:$A$6,0))</x:f>
        <x:v>#NAME?</x:v>
      </x:c>
      <x:c r="BH117" s="97" t="e">
        <x:f>U117</x:f>
        <x:v>#NAME?</x:v>
      </x:c>
      <x:c r="BI117" s="97" t="e">
        <x:f>BC117*INDEX(Régions!$AU$2:$AU$6,MATCH($B117,Régions!$A$2:$A$6,0))</x:f>
        <x:v>#NAME?</x:v>
      </x:c>
      <x:c r="BJ117" s="97" t="str">
        <x:f>INDEX({"CAQ","PLQ","QS","PQ","PCQ","Autre"},MATCH(MAX(BD117:BI117),BD117:BI117,0))</x:f>
        <x:v>CAQ</x:v>
      </x:c>
    </x:row>
    <x:row r="118" s="60" customFormat="1" ht="15" customHeight="1">
      <x:c r="A118" s="94" t="inlineStr">
        <x:is>
          <x:t xml:space="preserve">Trois-Rivières</x:t>
        </x:is>
      </x:c>
      <x:c r="B118" s="94" t="inlineStr">
        <x:is>
          <x:t xml:space="preserve">Reste du Québec</x:t>
        </x:is>
      </x:c>
      <x:c r="C118" s="95" t="inlineStr">
        <x:is>
          <x:t xml:space="preserve">CAQ</x:t>
        </x:is>
      </x:c>
      <x:c r="D118" s="96" t="n">
        <x:v>18859</x:v>
      </x:c>
      <x:c r="E118" s="96" t="n">
        <x:v>2056</x:v>
      </x:c>
      <x:c r="F118" s="96" t="n">
        <x:v>6069</x:v>
      </x:c>
      <x:c r="G118" s="96" t="n">
        <x:v>5323</x:v>
      </x:c>
      <x:c r="H118" s="96" t="n">
        <x:v>4552</x:v>
      </x:c>
      <x:c r="I118" s="96" t="n">
        <x:v>256</x:v>
      </x:c>
      <x:c r="J118" s="97" t="n">
        <x:f>SUM(D118:I118)</x:f>
        <x:v>37115</x:v>
      </x:c>
      <x:c r="K118" s="98" t="n">
        <x:f>IFERROR(D118/J118,0)</x:f>
        <x:v>0.5081234002424896</x:v>
      </x:c>
      <x:c r="L118" s="98" t="n">
        <x:f>IFERROR(E118/J118,0)</x:f>
        <x:v>0.05539539269836993</x:v>
      </x:c>
      <x:c r="M118" s="98" t="n">
        <x:f>IFERROR(F118/J118,0)</x:f>
        <x:v>0.1635187929408595</x:v>
      </x:c>
      <x:c r="N118" s="98" t="n">
        <x:f>IFERROR(G118/J118,0)</x:f>
        <x:v>0.14341910278862993</x:v>
      </x:c>
      <x:c r="O118" s="98" t="n">
        <x:f>IFERROR(H118/J118,0)</x:f>
        <x:v>0.1226458305267412</x:v>
      </x:c>
      <x:c r="P118" s="98" t="n">
        <x:f>IFERROR(I118/J118,0)</x:f>
        <x:v>0.006897480802909875</x:v>
      </x:c>
      <x:c r="Q118" s="97" t="e">
        <x:f>D118*INDEX(Régions!$T$2:$T$6,MATCH($B118,Régions!$A$2:$A$6,0))</x:f>
        <x:v>#NAME?</x:v>
      </x:c>
      <x:c r="R118" s="97" t="e">
        <x:f>E118*INDEX(Régions!$U$2:$U$6,MATCH($B118,Régions!$A$2:$A$6,0))</x:f>
        <x:v>#NAME?</x:v>
      </x:c>
      <x:c r="S118" s="97" t="e">
        <x:f>F118*INDEX(Régions!$V$2:$V$6,MATCH($B118,Régions!$A$2:$A$6,0))</x:f>
        <x:v>#NAME?</x:v>
      </x:c>
      <x:c r="T118" s="97" t="e">
        <x:f>G118*INDEX(Régions!$W$2:$W$6,MATCH($B118,Régions!$A$2:$A$6,0))</x:f>
        <x:v>#NAME?</x:v>
      </x:c>
      <x:c r="U118" s="97" t="e">
        <x:f>H118*INDEX(Régions!$X$2:$X$6,MATCH($B118,Régions!$A$2:$A$6,0))</x:f>
        <x:v>#NAME?</x:v>
      </x:c>
      <x:c r="V118" s="97" t="e">
        <x:f>I118*INDEX(Régions!$Y$2:$Y$6,MATCH($B118,Régions!$A$2:$A$6,0))</x:f>
        <x:v>#NAME?</x:v>
      </x:c>
      <x:c r="W118" s="97" t="e">
        <x:f>Q118+(AU118/100)*J118*Régions!$O$2</x:f>
        <x:v>#NAME?</x:v>
      </x:c>
      <x:c r="X118" s="97" t="e">
        <x:f>R118+(AV118/100)*J118*Régions!$O$2</x:f>
        <x:v>#NAME?</x:v>
      </x:c>
      <x:c r="Y118" s="97" t="e">
        <x:f>S118+(AW118/100)*J118*Régions!$O$2</x:f>
        <x:v>#NAME?</x:v>
      </x:c>
      <x:c r="Z118" s="97" t="e">
        <x:f>T118+(AX118/100)*J118*Régions!$O$2</x:f>
        <x:v>#NAME?</x:v>
      </x:c>
      <x:c r="AA118" s="97" t="e">
        <x:f>U118</x:f>
        <x:v>#NAME?</x:v>
      </x:c>
      <x:c r="AB118" s="97" t="e">
        <x:f>V118</x:f>
        <x:v>#NAME?</x:v>
      </x:c>
      <x:c r="AC118" s="97" t="e">
        <x:f>D118*INDEX(Régions!$Z$2:$Z$6,MATCH($B118,Régions!$A$2:$A$6,0))</x:f>
        <x:v>#NAME?</x:v>
      </x:c>
      <x:c r="AD118" s="97" t="e">
        <x:f>E118*INDEX(Régions!$AA$2:$AA$6,MATCH($B118,Régions!$A$2:$A$6,0))</x:f>
        <x:v>#NAME?</x:v>
      </x:c>
      <x:c r="AE118" s="97" t="e">
        <x:f>F118*INDEX(Régions!$AB$2:$AB$6,MATCH($B118,Régions!$A$2:$A$6,0))</x:f>
        <x:v>#NAME?</x:v>
      </x:c>
      <x:c r="AF118" s="97" t="e">
        <x:f>G118*INDEX(Régions!$AC$2:$AC$6,MATCH($B118,Régions!$A$2:$A$6,0))</x:f>
        <x:v>#NAME?</x:v>
      </x:c>
      <x:c r="AG118" s="97" t="e">
        <x:f>H118*INDEX(Régions!$AD$2:$AD$6,MATCH($B118,Régions!$A$2:$A$6,0))</x:f>
        <x:v>#NAME?</x:v>
      </x:c>
      <x:c r="AH118" s="97" t="e">
        <x:f>I118*INDEX(Régions!$AE$2:$AE$6,MATCH($B118,Régions!$A$2:$A$6,0))</x:f>
        <x:v>#NAME?</x:v>
      </x:c>
      <x:c r="AI118" s="97" t="e">
        <x:f>D118*INDEX(Régions!$AF$2:$AF$6,MATCH($B118,Régions!$A$2:$A$6,0))</x:f>
        <x:v>#NAME?</x:v>
      </x:c>
      <x:c r="AJ118" s="97" t="e">
        <x:f>E118*INDEX(Régions!$AG$2:$AG$6,MATCH($B118,Régions!$A$2:$A$6,0))</x:f>
        <x:v>#NAME?</x:v>
      </x:c>
      <x:c r="AK118" s="97" t="e">
        <x:f>F118*INDEX(Régions!$AH$2:$AH$6,MATCH($B118,Régions!$A$2:$A$6,0))</x:f>
        <x:v>#NAME?</x:v>
      </x:c>
      <x:c r="AL118" s="97" t="e">
        <x:f>G118*INDEX(Régions!$AI$2:$AI$6,MATCH($B118,Régions!$A$2:$A$6,0))</x:f>
        <x:v>#NAME?</x:v>
      </x:c>
      <x:c r="AM118" s="97" t="e">
        <x:f>H118*INDEX(Régions!$AJ$2:$AJ$6,MATCH($B118,Régions!$A$2:$A$6,0))</x:f>
        <x:v>#NAME?</x:v>
      </x:c>
      <x:c r="AN118" s="97" t="e">
        <x:f>I118*INDEX(Régions!$AK$2:$AK$6,MATCH($B118,Régions!$A$2:$A$6,0))</x:f>
        <x:v>#NAME?</x:v>
      </x:c>
      <x:c r="AO118" s="99" t="str">
        <x:f>INDEX({"CAQ","PLQ","QS","PQ","PCQ","Autre"},MATCH(MAX(Q118:V118),Q118:V118,0))</x:f>
        <x:v>CAQ</x:v>
      </x:c>
      <x:c r="AP118" s="99" t="str">
        <x:f>INDEX({"CAQ","PLQ","QS","PQ","PCQ","Autre"},MATCH(MAX(W118:AB118),W118:AB118,0))</x:f>
        <x:v>CAQ</x:v>
      </x:c>
      <x:c r="AQ118" s="99" t="str">
        <x:f>INDEX({"CAQ","PLQ","QS","PQ","PCQ","Autre"},MATCH(MAX(AC118:AH118),AC118:AH118,0))</x:f>
        <x:v>CAQ</x:v>
      </x:c>
      <x:c r="AR118" s="99" t="str">
        <x:f>INDEX({"CAQ","PLQ","QS","PQ","PCQ","Autre"},MATCH(MAX(AI118:AN118),AI118:AN118,0))</x:f>
        <x:v>CAQ</x:v>
      </x:c>
      <x:c r="AS118" s="100" t="n">
        <x:f>(MAX(K118:P118)-LARGE(K118:P118,2))*100</x:f>
        <x:v>34.460460730163014</x:v>
      </x:c>
      <x:c r="AT118" s="101" t="str">
        <x:f>IF(AS118&lt;5,"Oui","Non")</x:f>
        <x:v>Non</x:v>
      </x:c>
      <x:c r="AU118" s="102" t="n">
        <x:v>3.789</x:v>
      </x:c>
      <x:c r="AV118" s="102" t="n">
        <x:v>-4.554</x:v>
      </x:c>
      <x:c r="AW118" s="102" t="n">
        <x:v>0.154</x:v>
      </x:c>
      <x:c r="AX118" s="102" t="n">
        <x:v>2.891</x:v>
      </x:c>
      <x:c r="AY118" s="96" t="n">
        <x:v>15323</x:v>
      </x:c>
      <x:c r="AZ118" s="96" t="n">
        <x:v>8522</x:v>
      </x:c>
      <x:c r="BA118" s="96" t="n">
        <x:v>6411</x:v>
      </x:c>
      <x:c r="BB118" s="96" t="n">
        <x:v>5758</x:v>
      </x:c>
      <x:c r="BC118" s="96" t="n">
        <x:v>1292</x:v>
      </x:c>
      <x:c r="BD118" s="97" t="e">
        <x:f>AY118*INDEX(Régions!$AQ$2:$AQ$6,MATCH($B118,Régions!$A$2:$A$6,0))</x:f>
        <x:v>#NAME?</x:v>
      </x:c>
      <x:c r="BE118" s="97" t="e">
        <x:f>AZ118*INDEX(Régions!$AR$2:$AR$6,MATCH($B118,Régions!$A$2:$A$6,0))</x:f>
        <x:v>#NAME?</x:v>
      </x:c>
      <x:c r="BF118" s="97" t="e">
        <x:f>BA118*INDEX(Régions!$AS$2:$AS$6,MATCH($B118,Régions!$A$2:$A$6,0))</x:f>
        <x:v>#NAME?</x:v>
      </x:c>
      <x:c r="BG118" s="97" t="e">
        <x:f>BB118*INDEX(Régions!$AT$2:$AT$6,MATCH($B118,Régions!$A$2:$A$6,0))</x:f>
        <x:v>#NAME?</x:v>
      </x:c>
      <x:c r="BH118" s="97" t="e">
        <x:f>U118</x:f>
        <x:v>#NAME?</x:v>
      </x:c>
      <x:c r="BI118" s="97" t="e">
        <x:f>BC118*INDEX(Régions!$AU$2:$AU$6,MATCH($B118,Régions!$A$2:$A$6,0))</x:f>
        <x:v>#NAME?</x:v>
      </x:c>
      <x:c r="BJ118" s="97" t="str">
        <x:f>INDEX({"CAQ","PLQ","QS","PQ","PCQ","Autre"},MATCH(MAX(BD118:BI118),BD118:BI118,0))</x:f>
        <x:v>CAQ</x:v>
      </x:c>
    </x:row>
    <x:row r="119" s="60" customFormat="1" ht="15" customHeight="1">
      <x:c r="A119" s="94" t="inlineStr">
        <x:is>
          <x:t xml:space="preserve">Ungava</x:t>
        </x:is>
      </x:c>
      <x:c r="B119" s="94" t="inlineStr">
        <x:is>
          <x:t xml:space="preserve">Reste du Québec</x:t>
        </x:is>
      </x:c>
      <x:c r="C119" s="95" t="inlineStr">
        <x:is>
          <x:t xml:space="preserve">CAQ</x:t>
        </x:is>
      </x:c>
      <x:c r="D119" s="96" t="n">
        <x:v>3132</x:v>
      </x:c>
      <x:c r="E119" s="96" t="n">
        <x:v>1571</x:v>
      </x:c>
      <x:c r="F119" s="96" t="n">
        <x:v>2092</x:v>
      </x:c>
      <x:c r="G119" s="96" t="n">
        <x:v>1084</x:v>
      </x:c>
      <x:c r="H119" s="96" t="n">
        <x:v>756</x:v>
      </x:c>
      <x:c r="I119" s="96" t="n">
        <x:v>0</x:v>
      </x:c>
      <x:c r="J119" s="97" t="n">
        <x:f>SUM(D119:I119)</x:f>
        <x:v>8635</x:v>
      </x:c>
      <x:c r="K119" s="98" t="n">
        <x:f>IFERROR(D119/J119,0)</x:f>
        <x:v>0.36270990156340477</x:v>
      </x:c>
      <x:c r="L119" s="98" t="n">
        <x:f>IFERROR(E119/J119,0)</x:f>
        <x:v>0.18193398957730167</x:v>
      </x:c>
      <x:c r="M119" s="98" t="n">
        <x:f>IFERROR(F119/J119,0)</x:f>
        <x:v>0.24226983207874928</x:v>
      </x:c>
      <x:c r="N119" s="98" t="n">
        <x:f>IFERROR(G119/J119,0)</x:f>
        <x:v>0.12553561088592935</x:v>
      </x:c>
      <x:c r="O119" s="98" t="n">
        <x:f>IFERROR(H119/J119,0)</x:f>
        <x:v>0.08755066589461494</x:v>
      </x:c>
      <x:c r="P119" s="98" t="n">
        <x:f>IFERROR(I119/J119,0)</x:f>
        <x:v>0</x:v>
      </x:c>
      <x:c r="Q119" s="97" t="e">
        <x:f>D119*INDEX(Régions!$T$2:$T$6,MATCH($B119,Régions!$A$2:$A$6,0))</x:f>
        <x:v>#NAME?</x:v>
      </x:c>
      <x:c r="R119" s="97" t="e">
        <x:f>E119*INDEX(Régions!$U$2:$U$6,MATCH($B119,Régions!$A$2:$A$6,0))</x:f>
        <x:v>#NAME?</x:v>
      </x:c>
      <x:c r="S119" s="97" t="e">
        <x:f>F119*INDEX(Régions!$V$2:$V$6,MATCH($B119,Régions!$A$2:$A$6,0))</x:f>
        <x:v>#NAME?</x:v>
      </x:c>
      <x:c r="T119" s="97" t="e">
        <x:f>G119*INDEX(Régions!$W$2:$W$6,MATCH($B119,Régions!$A$2:$A$6,0))</x:f>
        <x:v>#NAME?</x:v>
      </x:c>
      <x:c r="U119" s="97" t="e">
        <x:f>H119*INDEX(Régions!$X$2:$X$6,MATCH($B119,Régions!$A$2:$A$6,0))</x:f>
        <x:v>#NAME?</x:v>
      </x:c>
      <x:c r="V119" s="97" t="e">
        <x:f>I119*INDEX(Régions!$Y$2:$Y$6,MATCH($B119,Régions!$A$2:$A$6,0))</x:f>
        <x:v>#NAME?</x:v>
      </x:c>
      <x:c r="W119" s="97" t="e">
        <x:f>Q119+(AU119/100)*J119*Régions!$O$2</x:f>
        <x:v>#NAME?</x:v>
      </x:c>
      <x:c r="X119" s="97" t="e">
        <x:f>R119+(AV119/100)*J119*Régions!$O$2</x:f>
        <x:v>#NAME?</x:v>
      </x:c>
      <x:c r="Y119" s="97" t="e">
        <x:f>S119+(AW119/100)*J119*Régions!$O$2</x:f>
        <x:v>#NAME?</x:v>
      </x:c>
      <x:c r="Z119" s="97" t="e">
        <x:f>T119+(AX119/100)*J119*Régions!$O$2</x:f>
        <x:v>#NAME?</x:v>
      </x:c>
      <x:c r="AA119" s="97" t="e">
        <x:f>U119</x:f>
        <x:v>#NAME?</x:v>
      </x:c>
      <x:c r="AB119" s="97" t="e">
        <x:f>V119</x:f>
        <x:v>#NAME?</x:v>
      </x:c>
      <x:c r="AC119" s="97" t="e">
        <x:f>D119*INDEX(Régions!$Z$2:$Z$6,MATCH($B119,Régions!$A$2:$A$6,0))</x:f>
        <x:v>#NAME?</x:v>
      </x:c>
      <x:c r="AD119" s="97" t="e">
        <x:f>E119*INDEX(Régions!$AA$2:$AA$6,MATCH($B119,Régions!$A$2:$A$6,0))</x:f>
        <x:v>#NAME?</x:v>
      </x:c>
      <x:c r="AE119" s="97" t="e">
        <x:f>F119*INDEX(Régions!$AB$2:$AB$6,MATCH($B119,Régions!$A$2:$A$6,0))</x:f>
        <x:v>#NAME?</x:v>
      </x:c>
      <x:c r="AF119" s="97" t="e">
        <x:f>G119*INDEX(Régions!$AC$2:$AC$6,MATCH($B119,Régions!$A$2:$A$6,0))</x:f>
        <x:v>#NAME?</x:v>
      </x:c>
      <x:c r="AG119" s="97" t="e">
        <x:f>H119*INDEX(Régions!$AD$2:$AD$6,MATCH($B119,Régions!$A$2:$A$6,0))</x:f>
        <x:v>#NAME?</x:v>
      </x:c>
      <x:c r="AH119" s="97" t="e">
        <x:f>I119*INDEX(Régions!$AE$2:$AE$6,MATCH($B119,Régions!$A$2:$A$6,0))</x:f>
        <x:v>#NAME?</x:v>
      </x:c>
      <x:c r="AI119" s="97" t="e">
        <x:f>D119*INDEX(Régions!$AF$2:$AF$6,MATCH($B119,Régions!$A$2:$A$6,0))</x:f>
        <x:v>#NAME?</x:v>
      </x:c>
      <x:c r="AJ119" s="97" t="e">
        <x:f>E119*INDEX(Régions!$AG$2:$AG$6,MATCH($B119,Régions!$A$2:$A$6,0))</x:f>
        <x:v>#NAME?</x:v>
      </x:c>
      <x:c r="AK119" s="97" t="e">
        <x:f>F119*INDEX(Régions!$AH$2:$AH$6,MATCH($B119,Régions!$A$2:$A$6,0))</x:f>
        <x:v>#NAME?</x:v>
      </x:c>
      <x:c r="AL119" s="97" t="e">
        <x:f>G119*INDEX(Régions!$AI$2:$AI$6,MATCH($B119,Régions!$A$2:$A$6,0))</x:f>
        <x:v>#NAME?</x:v>
      </x:c>
      <x:c r="AM119" s="97" t="e">
        <x:f>H119*INDEX(Régions!$AJ$2:$AJ$6,MATCH($B119,Régions!$A$2:$A$6,0))</x:f>
        <x:v>#NAME?</x:v>
      </x:c>
      <x:c r="AN119" s="97" t="e">
        <x:f>I119*INDEX(Régions!$AK$2:$AK$6,MATCH($B119,Régions!$A$2:$A$6,0))</x:f>
        <x:v>#NAME?</x:v>
      </x:c>
      <x:c r="AO119" s="99" t="str">
        <x:f>INDEX({"CAQ","PLQ","QS","PQ","PCQ","Autre"},MATCH(MAX(Q119:V119),Q119:V119,0))</x:f>
        <x:v>CAQ</x:v>
      </x:c>
      <x:c r="AP119" s="99" t="str">
        <x:f>INDEX({"CAQ","PLQ","QS","PQ","PCQ","Autre"},MATCH(MAX(W119:AB119),W119:AB119,0))</x:f>
        <x:v>CAQ</x:v>
      </x:c>
      <x:c r="AQ119" s="99" t="str">
        <x:f>INDEX({"CAQ","PLQ","QS","PQ","PCQ","Autre"},MATCH(MAX(AC119:AH119),AC119:AH119,0))</x:f>
        <x:v>CAQ</x:v>
      </x:c>
      <x:c r="AR119" s="99" t="str">
        <x:f>INDEX({"CAQ","PLQ","QS","PQ","PCQ","Autre"},MATCH(MAX(AI119:AN119),AI119:AN119,0))</x:f>
        <x:v>CAQ</x:v>
      </x:c>
      <x:c r="AS119" s="100" t="n">
        <x:f>(MAX(K119:P119)-LARGE(K119:P119,2))*100</x:f>
        <x:v>12.04400694846555</x:v>
      </x:c>
      <x:c r="AT119" s="101" t="str">
        <x:f>IF(AS119&lt;5,"Oui","Non")</x:f>
        <x:v>Non</x:v>
      </x:c>
      <x:c r="AU119" s="102" t="n">
        <x:v>3.815</x:v>
      </x:c>
      <x:c r="AV119" s="102" t="n">
        <x:v>6.025</x:v>
      </x:c>
      <x:c r="AW119" s="102" t="n">
        <x:v>8.68</x:v>
      </x:c>
      <x:c r="AX119" s="102" t="n">
        <x:v>-9.432</x:v>
      </x:c>
      <x:c r="AY119" s="96" t="n">
        <x:v>2270</x:v>
      </x:c>
      <x:c r="AZ119" s="96" t="n">
        <x:v>2134</x:v>
      </x:c>
      <x:c r="BA119" s="96" t="n">
        <x:v>1416</x:v>
      </x:c>
      <x:c r="BB119" s="96" t="n">
        <x:v>2224</x:v>
      </x:c>
      <x:c r="BC119" s="96" t="n">
        <x:v>520</x:v>
      </x:c>
      <x:c r="BD119" s="97" t="e">
        <x:f>AY119*INDEX(Régions!$AQ$2:$AQ$6,MATCH($B119,Régions!$A$2:$A$6,0))</x:f>
        <x:v>#NAME?</x:v>
      </x:c>
      <x:c r="BE119" s="97" t="e">
        <x:f>AZ119*INDEX(Régions!$AR$2:$AR$6,MATCH($B119,Régions!$A$2:$A$6,0))</x:f>
        <x:v>#NAME?</x:v>
      </x:c>
      <x:c r="BF119" s="97" t="e">
        <x:f>BA119*INDEX(Régions!$AS$2:$AS$6,MATCH($B119,Régions!$A$2:$A$6,0))</x:f>
        <x:v>#NAME?</x:v>
      </x:c>
      <x:c r="BG119" s="97" t="e">
        <x:f>BB119*INDEX(Régions!$AT$2:$AT$6,MATCH($B119,Régions!$A$2:$A$6,0))</x:f>
        <x:v>#NAME?</x:v>
      </x:c>
      <x:c r="BH119" s="97" t="e">
        <x:f>U119</x:f>
        <x:v>#NAME?</x:v>
      </x:c>
      <x:c r="BI119" s="97" t="e">
        <x:f>BC119*INDEX(Régions!$AU$2:$AU$6,MATCH($B119,Régions!$A$2:$A$6,0))</x:f>
        <x:v>#NAME?</x:v>
      </x:c>
      <x:c r="BJ119" s="97" t="str">
        <x:f>INDEX({"CAQ","PLQ","QS","PQ","PCQ","Autre"},MATCH(MAX(BD119:BI119),BD119:BI119,0))</x:f>
        <x:v>CAQ</x:v>
      </x:c>
    </x:row>
    <x:row r="120" s="60" customFormat="1" ht="15" customHeight="1">
      <x:c r="A120" s="94" t="inlineStr">
        <x:is>
          <x:t xml:space="preserve">Vachon</x:t>
        </x:is>
      </x:c>
      <x:c r="B120" s="94" t="inlineStr">
        <x:is>
          <x:t xml:space="preserve">Reste du Québec</x:t>
        </x:is>
      </x:c>
      <x:c r="C120" s="95" t="inlineStr">
        <x:is>
          <x:t xml:space="preserve">CAQ</x:t>
        </x:is>
      </x:c>
      <x:c r="D120" s="96" t="n">
        <x:v>15984</x:v>
      </x:c>
      <x:c r="E120" s="96" t="n">
        <x:v>5718</x:v>
      </x:c>
      <x:c r="F120" s="96" t="n">
        <x:v>5343</x:v>
      </x:c>
      <x:c r="G120" s="96" t="n">
        <x:v>4757</x:v>
      </x:c>
      <x:c r="H120" s="96" t="n">
        <x:v>3166</x:v>
      </x:c>
      <x:c r="I120" s="96" t="n">
        <x:v>621</x:v>
      </x:c>
      <x:c r="J120" s="97" t="n">
        <x:f>SUM(D120:I120)</x:f>
        <x:v>35589</x:v>
      </x:c>
      <x:c r="K120" s="98" t="n">
        <x:f>IFERROR(D120/J120,0)</x:f>
        <x:v>0.4491275394082441</x:v>
      </x:c>
      <x:c r="L120" s="98" t="n">
        <x:f>IFERROR(E120/J120,0)</x:f>
        <x:v>0.16066762201803927</x:v>
      </x:c>
      <x:c r="M120" s="98" t="n">
        <x:f>IFERROR(F120/J120,0)</x:f>
        <x:v>0.15013065834949002</x:v>
      </x:c>
      <x:c r="N120" s="98" t="n">
        <x:f>IFERROR(G120/J120,0)</x:f>
        <x:v>0.13366489645677035</x:v>
      </x:c>
      <x:c r="O120" s="98" t="n">
        <x:f>IFERROR(H120/J120,0)</x:f>
        <x:v>0.08896007193233864</x:v>
      </x:c>
      <x:c r="P120" s="98" t="n">
        <x:f>IFERROR(I120/J120,0)</x:f>
        <x:v>0.017449211835117592</x:v>
      </x:c>
      <x:c r="Q120" s="97" t="e">
        <x:f>D120*INDEX(Régions!$T$2:$T$6,MATCH($B120,Régions!$A$2:$A$6,0))</x:f>
        <x:v>#NAME?</x:v>
      </x:c>
      <x:c r="R120" s="97" t="e">
        <x:f>E120*INDEX(Régions!$U$2:$U$6,MATCH($B120,Régions!$A$2:$A$6,0))</x:f>
        <x:v>#NAME?</x:v>
      </x:c>
      <x:c r="S120" s="97" t="e">
        <x:f>F120*INDEX(Régions!$V$2:$V$6,MATCH($B120,Régions!$A$2:$A$6,0))</x:f>
        <x:v>#NAME?</x:v>
      </x:c>
      <x:c r="T120" s="97" t="e">
        <x:f>G120*INDEX(Régions!$W$2:$W$6,MATCH($B120,Régions!$A$2:$A$6,0))</x:f>
        <x:v>#NAME?</x:v>
      </x:c>
      <x:c r="U120" s="97" t="e">
        <x:f>H120*INDEX(Régions!$X$2:$X$6,MATCH($B120,Régions!$A$2:$A$6,0))</x:f>
        <x:v>#NAME?</x:v>
      </x:c>
      <x:c r="V120" s="97" t="e">
        <x:f>I120*INDEX(Régions!$Y$2:$Y$6,MATCH($B120,Régions!$A$2:$A$6,0))</x:f>
        <x:v>#NAME?</x:v>
      </x:c>
      <x:c r="W120" s="97" t="e">
        <x:f>Q120+(AU120/100)*J120*Régions!$O$2</x:f>
        <x:v>#NAME?</x:v>
      </x:c>
      <x:c r="X120" s="97" t="e">
        <x:f>R120+(AV120/100)*J120*Régions!$O$2</x:f>
        <x:v>#NAME?</x:v>
      </x:c>
      <x:c r="Y120" s="97" t="e">
        <x:f>S120+(AW120/100)*J120*Régions!$O$2</x:f>
        <x:v>#NAME?</x:v>
      </x:c>
      <x:c r="Z120" s="97" t="e">
        <x:f>T120+(AX120/100)*J120*Régions!$O$2</x:f>
        <x:v>#NAME?</x:v>
      </x:c>
      <x:c r="AA120" s="97" t="e">
        <x:f>U120</x:f>
        <x:v>#NAME?</x:v>
      </x:c>
      <x:c r="AB120" s="97" t="e">
        <x:f>V120</x:f>
        <x:v>#NAME?</x:v>
      </x:c>
      <x:c r="AC120" s="97" t="e">
        <x:f>D120*INDEX(Régions!$Z$2:$Z$6,MATCH($B120,Régions!$A$2:$A$6,0))</x:f>
        <x:v>#NAME?</x:v>
      </x:c>
      <x:c r="AD120" s="97" t="e">
        <x:f>E120*INDEX(Régions!$AA$2:$AA$6,MATCH($B120,Régions!$A$2:$A$6,0))</x:f>
        <x:v>#NAME?</x:v>
      </x:c>
      <x:c r="AE120" s="97" t="e">
        <x:f>F120*INDEX(Régions!$AB$2:$AB$6,MATCH($B120,Régions!$A$2:$A$6,0))</x:f>
        <x:v>#NAME?</x:v>
      </x:c>
      <x:c r="AF120" s="97" t="e">
        <x:f>G120*INDEX(Régions!$AC$2:$AC$6,MATCH($B120,Régions!$A$2:$A$6,0))</x:f>
        <x:v>#NAME?</x:v>
      </x:c>
      <x:c r="AG120" s="97" t="e">
        <x:f>H120*INDEX(Régions!$AD$2:$AD$6,MATCH($B120,Régions!$A$2:$A$6,0))</x:f>
        <x:v>#NAME?</x:v>
      </x:c>
      <x:c r="AH120" s="97" t="e">
        <x:f>I120*INDEX(Régions!$AE$2:$AE$6,MATCH($B120,Régions!$A$2:$A$6,0))</x:f>
        <x:v>#NAME?</x:v>
      </x:c>
      <x:c r="AI120" s="97" t="e">
        <x:f>D120*INDEX(Régions!$AF$2:$AF$6,MATCH($B120,Régions!$A$2:$A$6,0))</x:f>
        <x:v>#NAME?</x:v>
      </x:c>
      <x:c r="AJ120" s="97" t="e">
        <x:f>E120*INDEX(Régions!$AG$2:$AG$6,MATCH($B120,Régions!$A$2:$A$6,0))</x:f>
        <x:v>#NAME?</x:v>
      </x:c>
      <x:c r="AK120" s="97" t="e">
        <x:f>F120*INDEX(Régions!$AH$2:$AH$6,MATCH($B120,Régions!$A$2:$A$6,0))</x:f>
        <x:v>#NAME?</x:v>
      </x:c>
      <x:c r="AL120" s="97" t="e">
        <x:f>G120*INDEX(Régions!$AI$2:$AI$6,MATCH($B120,Régions!$A$2:$A$6,0))</x:f>
        <x:v>#NAME?</x:v>
      </x:c>
      <x:c r="AM120" s="97" t="e">
        <x:f>H120*INDEX(Régions!$AJ$2:$AJ$6,MATCH($B120,Régions!$A$2:$A$6,0))</x:f>
        <x:v>#NAME?</x:v>
      </x:c>
      <x:c r="AN120" s="97" t="e">
        <x:f>I120*INDEX(Régions!$AK$2:$AK$6,MATCH($B120,Régions!$A$2:$A$6,0))</x:f>
        <x:v>#NAME?</x:v>
      </x:c>
      <x:c r="AO120" s="99" t="str">
        <x:f>INDEX({"CAQ","PLQ","QS","PQ","PCQ","Autre"},MATCH(MAX(Q120:V120),Q120:V120,0))</x:f>
        <x:v>CAQ</x:v>
      </x:c>
      <x:c r="AP120" s="99" t="str">
        <x:f>INDEX({"CAQ","PLQ","QS","PQ","PCQ","Autre"},MATCH(MAX(W120:AB120),W120:AB120,0))</x:f>
        <x:v>CAQ</x:v>
      </x:c>
      <x:c r="AQ120" s="99" t="str">
        <x:f>INDEX({"CAQ","PLQ","QS","PQ","PCQ","Autre"},MATCH(MAX(AC120:AH120),AC120:AH120,0))</x:f>
        <x:v>CAQ</x:v>
      </x:c>
      <x:c r="AR120" s="99" t="str">
        <x:f>INDEX({"CAQ","PLQ","QS","PQ","PCQ","Autre"},MATCH(MAX(AI120:AN120),AI120:AN120,0))</x:f>
        <x:v>CAQ</x:v>
      </x:c>
      <x:c r="AS120" s="100" t="n">
        <x:f>(MAX(K120:P120)-LARGE(K120:P120,2))*100</x:f>
        <x:v>28.845991739020484</x:v>
      </x:c>
      <x:c r="AT120" s="101" t="str">
        <x:f>IF(AS120&lt;5,"Oui","Non")</x:f>
        <x:v>Non</x:v>
      </x:c>
      <x:c r="AU120" s="102" t="n">
        <x:v>-4.648</x:v>
      </x:c>
      <x:c r="AV120" s="102" t="n">
        <x:v>7.783</x:v>
      </x:c>
      <x:c r="AW120" s="102" t="n">
        <x:v>1.503</x:v>
      </x:c>
      <x:c r="AX120" s="102" t="n">
        <x:v>0.308</x:v>
      </x:c>
      <x:c r="AY120" s="96" t="n">
        <x:v>15625</x:v>
      </x:c>
      <x:c r="AZ120" s="96" t="n">
        <x:v>7536</x:v>
      </x:c>
      <x:c r="BA120" s="96" t="n">
        <x:v>5194</x:v>
      </x:c>
      <x:c r="BB120" s="96" t="n">
        <x:v>6106</x:v>
      </x:c>
      <x:c r="BC120" s="96" t="n">
        <x:v>1367</x:v>
      </x:c>
      <x:c r="BD120" s="97" t="e">
        <x:f>AY120*INDEX(Régions!$AQ$2:$AQ$6,MATCH($B120,Régions!$A$2:$A$6,0))</x:f>
        <x:v>#NAME?</x:v>
      </x:c>
      <x:c r="BE120" s="97" t="e">
        <x:f>AZ120*INDEX(Régions!$AR$2:$AR$6,MATCH($B120,Régions!$A$2:$A$6,0))</x:f>
        <x:v>#NAME?</x:v>
      </x:c>
      <x:c r="BF120" s="97" t="e">
        <x:f>BA120*INDEX(Régions!$AS$2:$AS$6,MATCH($B120,Régions!$A$2:$A$6,0))</x:f>
        <x:v>#NAME?</x:v>
      </x:c>
      <x:c r="BG120" s="97" t="e">
        <x:f>BB120*INDEX(Régions!$AT$2:$AT$6,MATCH($B120,Régions!$A$2:$A$6,0))</x:f>
        <x:v>#NAME?</x:v>
      </x:c>
      <x:c r="BH120" s="97" t="e">
        <x:f>U120</x:f>
        <x:v>#NAME?</x:v>
      </x:c>
      <x:c r="BI120" s="97" t="e">
        <x:f>BC120*INDEX(Régions!$AU$2:$AU$6,MATCH($B120,Régions!$A$2:$A$6,0))</x:f>
        <x:v>#NAME?</x:v>
      </x:c>
      <x:c r="BJ120" s="97" t="str">
        <x:f>INDEX({"CAQ","PLQ","QS","PQ","PCQ","Autre"},MATCH(MAX(BD120:BI120),BD120:BI120,0))</x:f>
        <x:v>CAQ</x:v>
      </x:c>
    </x:row>
    <x:row r="121" s="60" customFormat="1" ht="15" customHeight="1">
      <x:c r="A121" s="94" t="inlineStr">
        <x:is>
          <x:t xml:space="preserve">Vanier-Les Rivières</x:t>
        </x:is>
      </x:c>
      <x:c r="B121" s="94" t="inlineStr">
        <x:is>
          <x:t xml:space="preserve">Québec RMR</x:t>
        </x:is>
      </x:c>
      <x:c r="C121" s="95" t="inlineStr">
        <x:is>
          <x:t xml:space="preserve">CAQ</x:t>
        </x:is>
      </x:c>
      <x:c r="D121" s="96" t="n">
        <x:v>19276</x:v>
      </x:c>
      <x:c r="E121" s="96" t="n">
        <x:v>2556</x:v>
      </x:c>
      <x:c r="F121" s="96" t="n">
        <x:v>4943</x:v>
      </x:c>
      <x:c r="G121" s="96" t="n">
        <x:v>5317</x:v>
      </x:c>
      <x:c r="H121" s="96" t="n">
        <x:v>7940</x:v>
      </x:c>
      <x:c r="I121" s="96" t="n">
        <x:v>645</x:v>
      </x:c>
      <x:c r="J121" s="97" t="n">
        <x:f>SUM(D121:I121)</x:f>
        <x:v>40677</x:v>
      </x:c>
      <x:c r="K121" s="98" t="n">
        <x:f>IFERROR(D121/J121,0)</x:f>
        <x:v>0.4738795879735477</x:v>
      </x:c>
      <x:c r="L121" s="98" t="n">
        <x:f>IFERROR(E121/J121,0)</x:f>
        <x:v>0.06283649236669371</x:v>
      </x:c>
      <x:c r="M121" s="98" t="n">
        <x:f>IFERROR(F121/J121,0)</x:f>
        <x:v>0.12151830272635641</x:v>
      </x:c>
      <x:c r="N121" s="98" t="n">
        <x:f>IFERROR(G121/J121,0)</x:f>
        <x:v>0.13071268775966763</x:v>
      </x:c>
      <x:c r="O121" s="98" t="n">
        <x:f>IFERROR(H121/J121,0)</x:f>
        <x:v>0.19519630257885293</x:v>
      </x:c>
      <x:c r="P121" s="98" t="n">
        <x:f>IFERROR(I121/J121,0)</x:f>
        <x:v>0.01585662659488163</x:v>
      </x:c>
      <x:c r="Q121" s="97" t="e">
        <x:f>D121*INDEX(Régions!$T$2:$T$6,MATCH($B121,Régions!$A$2:$A$6,0))</x:f>
        <x:v>#NAME?</x:v>
      </x:c>
      <x:c r="R121" s="97" t="e">
        <x:f>E121*INDEX(Régions!$U$2:$U$6,MATCH($B121,Régions!$A$2:$A$6,0))</x:f>
        <x:v>#NAME?</x:v>
      </x:c>
      <x:c r="S121" s="97" t="e">
        <x:f>F121*INDEX(Régions!$V$2:$V$6,MATCH($B121,Régions!$A$2:$A$6,0))</x:f>
        <x:v>#NAME?</x:v>
      </x:c>
      <x:c r="T121" s="97" t="e">
        <x:f>G121*INDEX(Régions!$W$2:$W$6,MATCH($B121,Régions!$A$2:$A$6,0))</x:f>
        <x:v>#NAME?</x:v>
      </x:c>
      <x:c r="U121" s="97" t="e">
        <x:f>H121*INDEX(Régions!$X$2:$X$6,MATCH($B121,Régions!$A$2:$A$6,0))</x:f>
        <x:v>#NAME?</x:v>
      </x:c>
      <x:c r="V121" s="97" t="e">
        <x:f>I121*INDEX(Régions!$Y$2:$Y$6,MATCH($B121,Régions!$A$2:$A$6,0))</x:f>
        <x:v>#NAME?</x:v>
      </x:c>
      <x:c r="W121" s="97" t="e">
        <x:f>Q121+(AU121/100)*J121*Régions!$O$2</x:f>
        <x:v>#NAME?</x:v>
      </x:c>
      <x:c r="X121" s="97" t="e">
        <x:f>R121+(AV121/100)*J121*Régions!$O$2</x:f>
        <x:v>#NAME?</x:v>
      </x:c>
      <x:c r="Y121" s="97" t="e">
        <x:f>S121+(AW121/100)*J121*Régions!$O$2</x:f>
        <x:v>#NAME?</x:v>
      </x:c>
      <x:c r="Z121" s="97" t="e">
        <x:f>T121+(AX121/100)*J121*Régions!$O$2</x:f>
        <x:v>#NAME?</x:v>
      </x:c>
      <x:c r="AA121" s="97" t="e">
        <x:f>U121</x:f>
        <x:v>#NAME?</x:v>
      </x:c>
      <x:c r="AB121" s="97" t="e">
        <x:f>V121</x:f>
        <x:v>#NAME?</x:v>
      </x:c>
      <x:c r="AC121" s="97" t="e">
        <x:f>D121*INDEX(Régions!$Z$2:$Z$6,MATCH($B121,Régions!$A$2:$A$6,0))</x:f>
        <x:v>#NAME?</x:v>
      </x:c>
      <x:c r="AD121" s="97" t="e">
        <x:f>E121*INDEX(Régions!$AA$2:$AA$6,MATCH($B121,Régions!$A$2:$A$6,0))</x:f>
        <x:v>#NAME?</x:v>
      </x:c>
      <x:c r="AE121" s="97" t="e">
        <x:f>F121*INDEX(Régions!$AB$2:$AB$6,MATCH($B121,Régions!$A$2:$A$6,0))</x:f>
        <x:v>#NAME?</x:v>
      </x:c>
      <x:c r="AF121" s="97" t="e">
        <x:f>G121*INDEX(Régions!$AC$2:$AC$6,MATCH($B121,Régions!$A$2:$A$6,0))</x:f>
        <x:v>#NAME?</x:v>
      </x:c>
      <x:c r="AG121" s="97" t="e">
        <x:f>H121*INDEX(Régions!$AD$2:$AD$6,MATCH($B121,Régions!$A$2:$A$6,0))</x:f>
        <x:v>#NAME?</x:v>
      </x:c>
      <x:c r="AH121" s="97" t="e">
        <x:f>I121*INDEX(Régions!$AE$2:$AE$6,MATCH($B121,Régions!$A$2:$A$6,0))</x:f>
        <x:v>#NAME?</x:v>
      </x:c>
      <x:c r="AI121" s="97" t="e">
        <x:f>D121*INDEX(Régions!$AF$2:$AF$6,MATCH($B121,Régions!$A$2:$A$6,0))</x:f>
        <x:v>#NAME?</x:v>
      </x:c>
      <x:c r="AJ121" s="97" t="e">
        <x:f>E121*INDEX(Régions!$AG$2:$AG$6,MATCH($B121,Régions!$A$2:$A$6,0))</x:f>
        <x:v>#NAME?</x:v>
      </x:c>
      <x:c r="AK121" s="97" t="e">
        <x:f>F121*INDEX(Régions!$AH$2:$AH$6,MATCH($B121,Régions!$A$2:$A$6,0))</x:f>
        <x:v>#NAME?</x:v>
      </x:c>
      <x:c r="AL121" s="97" t="e">
        <x:f>G121*INDEX(Régions!$AI$2:$AI$6,MATCH($B121,Régions!$A$2:$A$6,0))</x:f>
        <x:v>#NAME?</x:v>
      </x:c>
      <x:c r="AM121" s="97" t="e">
        <x:f>H121*INDEX(Régions!$AJ$2:$AJ$6,MATCH($B121,Régions!$A$2:$A$6,0))</x:f>
        <x:v>#NAME?</x:v>
      </x:c>
      <x:c r="AN121" s="97" t="e">
        <x:f>I121*INDEX(Régions!$AK$2:$AK$6,MATCH($B121,Régions!$A$2:$A$6,0))</x:f>
        <x:v>#NAME?</x:v>
      </x:c>
      <x:c r="AO121" s="99" t="str">
        <x:f>INDEX({"CAQ","PLQ","QS","PQ","PCQ","Autre"},MATCH(MAX(Q121:V121),Q121:V121,0))</x:f>
        <x:v>CAQ</x:v>
      </x:c>
      <x:c r="AP121" s="99" t="str">
        <x:f>INDEX({"CAQ","PLQ","QS","PQ","PCQ","Autre"},MATCH(MAX(W121:AB121),W121:AB121,0))</x:f>
        <x:v>CAQ</x:v>
      </x:c>
      <x:c r="AQ121" s="99" t="str">
        <x:f>INDEX({"CAQ","PLQ","QS","PQ","PCQ","Autre"},MATCH(MAX(AC121:AH121),AC121:AH121,0))</x:f>
        <x:v>CAQ</x:v>
      </x:c>
      <x:c r="AR121" s="99" t="str">
        <x:f>INDEX({"CAQ","PLQ","QS","PQ","PCQ","Autre"},MATCH(MAX(AI121:AN121),AI121:AN121,0))</x:f>
        <x:v>CAQ</x:v>
      </x:c>
      <x:c r="AS121" s="100" t="n">
        <x:f>(MAX(K121:P121)-LARGE(K121:P121,2))*100</x:f>
        <x:v>27.868328539469477</x:v>
      </x:c>
      <x:c r="AT121" s="101" t="str">
        <x:f>IF(AS121&lt;5,"Oui","Non")</x:f>
        <x:v>Non</x:v>
      </x:c>
      <x:c r="AU121" s="102" t="n">
        <x:v>5.386</x:v>
      </x:c>
      <x:c r="AV121" s="102" t="n">
        <x:v>-4.408</x:v>
      </x:c>
      <x:c r="AW121" s="102" t="n">
        <x:v>0.379</x:v>
      </x:c>
      <x:c r="AX121" s="102" t="n">
        <x:v>1.177</x:v>
      </x:c>
      <x:c r="AY121" s="96" t="n">
        <x:v>16919</x:v>
      </x:c>
      <x:c r="AZ121" s="96" t="n">
        <x:v>9587</x:v>
      </x:c>
      <x:c r="BA121" s="96" t="n">
        <x:v>4581</x:v>
      </x:c>
      <x:c r="BB121" s="96" t="n">
        <x:v>3731</x:v>
      </x:c>
      <x:c r="BC121" s="96" t="n">
        <x:v>2693</x:v>
      </x:c>
      <x:c r="BD121" s="97" t="e">
        <x:f>AY121*INDEX(Régions!$AQ$2:$AQ$6,MATCH($B121,Régions!$A$2:$A$6,0))</x:f>
        <x:v>#NAME?</x:v>
      </x:c>
      <x:c r="BE121" s="97" t="e">
        <x:f>AZ121*INDEX(Régions!$AR$2:$AR$6,MATCH($B121,Régions!$A$2:$A$6,0))</x:f>
        <x:v>#NAME?</x:v>
      </x:c>
      <x:c r="BF121" s="97" t="e">
        <x:f>BA121*INDEX(Régions!$AS$2:$AS$6,MATCH($B121,Régions!$A$2:$A$6,0))</x:f>
        <x:v>#NAME?</x:v>
      </x:c>
      <x:c r="BG121" s="97" t="e">
        <x:f>BB121*INDEX(Régions!$AT$2:$AT$6,MATCH($B121,Régions!$A$2:$A$6,0))</x:f>
        <x:v>#NAME?</x:v>
      </x:c>
      <x:c r="BH121" s="97" t="e">
        <x:f>U121</x:f>
        <x:v>#NAME?</x:v>
      </x:c>
      <x:c r="BI121" s="97" t="e">
        <x:f>BC121*INDEX(Régions!$AU$2:$AU$6,MATCH($B121,Régions!$A$2:$A$6,0))</x:f>
        <x:v>#NAME?</x:v>
      </x:c>
      <x:c r="BJ121" s="97" t="str">
        <x:f>INDEX({"CAQ","PLQ","QS","PQ","PCQ","Autre"},MATCH(MAX(BD121:BI121),BD121:BI121,0))</x:f>
        <x:v>CAQ</x:v>
      </x:c>
    </x:row>
    <x:row r="122" s="60" customFormat="1" ht="15" customHeight="1">
      <x:c r="A122" s="94" t="inlineStr">
        <x:is>
          <x:t xml:space="preserve">Vaudreuil</x:t>
        </x:is>
      </x:c>
      <x:c r="B122" s="94" t="inlineStr">
        <x:is>
          <x:t xml:space="preserve">Banlieue de Montréal</x:t>
        </x:is>
      </x:c>
      <x:c r="C122" s="95" t="inlineStr">
        <x:is>
          <x:t xml:space="preserve">PLQ</x:t>
        </x:is>
      </x:c>
      <x:c r="D122" s="96" t="n">
        <x:v>12599</x:v>
      </x:c>
      <x:c r="E122" s="96" t="n">
        <x:v>13156</x:v>
      </x:c>
      <x:c r="F122" s="96" t="n">
        <x:v>3549</x:v>
      </x:c>
      <x:c r="G122" s="96" t="n">
        <x:v>2959</x:v>
      </x:c>
      <x:c r="H122" s="96" t="n">
        <x:v>5167</x:v>
      </x:c>
      <x:c r="I122" s="96" t="n">
        <x:v>1013</x:v>
      </x:c>
      <x:c r="J122" s="97" t="n">
        <x:f>SUM(D122:I122)</x:f>
        <x:v>38443</x:v>
      </x:c>
      <x:c r="K122" s="98" t="n">
        <x:f>IFERROR(D122/J122,0)</x:f>
        <x:v>0.32773196680800143</x:v>
      </x:c>
      <x:c r="L122" s="98" t="n">
        <x:f>IFERROR(E122/J122,0)</x:f>
        <x:v>0.3422209504981401</x:v>
      </x:c>
      <x:c r="M122" s="98" t="n">
        <x:f>IFERROR(F122/J122,0)</x:f>
        <x:v>0.09231849751580262</x:v>
      </x:c>
      <x:c r="N122" s="98" t="n">
        <x:f>IFERROR(G122/J122,0)</x:f>
        <x:v>0.07697110007023385</x:v>
      </x:c>
      <x:c r="O122" s="98" t="n">
        <x:f>IFERROR(H122/J122,0)</x:f>
        <x:v>0.1344067840699217</x:v>
      </x:c>
      <x:c r="P122" s="98" t="n">
        <x:f>IFERROR(I122/J122,0)</x:f>
        <x:v>0.026350701037900267</x:v>
      </x:c>
      <x:c r="Q122" s="97" t="e">
        <x:f>D122*INDEX(Régions!$T$2:$T$6,MATCH($B122,Régions!$A$2:$A$6,0))</x:f>
        <x:v>#NAME?</x:v>
      </x:c>
      <x:c r="R122" s="97" t="e">
        <x:f>E122*INDEX(Régions!$U$2:$U$6,MATCH($B122,Régions!$A$2:$A$6,0))</x:f>
        <x:v>#NAME?</x:v>
      </x:c>
      <x:c r="S122" s="97" t="e">
        <x:f>F122*INDEX(Régions!$V$2:$V$6,MATCH($B122,Régions!$A$2:$A$6,0))</x:f>
        <x:v>#NAME?</x:v>
      </x:c>
      <x:c r="T122" s="97" t="e">
        <x:f>G122*INDEX(Régions!$W$2:$W$6,MATCH($B122,Régions!$A$2:$A$6,0))</x:f>
        <x:v>#NAME?</x:v>
      </x:c>
      <x:c r="U122" s="97" t="e">
        <x:f>H122*INDEX(Régions!$X$2:$X$6,MATCH($B122,Régions!$A$2:$A$6,0))</x:f>
        <x:v>#NAME?</x:v>
      </x:c>
      <x:c r="V122" s="97" t="e">
        <x:f>I122*INDEX(Régions!$Y$2:$Y$6,MATCH($B122,Régions!$A$2:$A$6,0))</x:f>
        <x:v>#NAME?</x:v>
      </x:c>
      <x:c r="W122" s="97" t="e">
        <x:f>Q122+(AU122/100)*J122*Régions!$O$2</x:f>
        <x:v>#NAME?</x:v>
      </x:c>
      <x:c r="X122" s="97" t="e">
        <x:f>R122+(AV122/100)*J122*Régions!$O$2</x:f>
        <x:v>#NAME?</x:v>
      </x:c>
      <x:c r="Y122" s="97" t="e">
        <x:f>S122+(AW122/100)*J122*Régions!$O$2</x:f>
        <x:v>#NAME?</x:v>
      </x:c>
      <x:c r="Z122" s="97" t="e">
        <x:f>T122+(AX122/100)*J122*Régions!$O$2</x:f>
        <x:v>#NAME?</x:v>
      </x:c>
      <x:c r="AA122" s="97" t="e">
        <x:f>U122</x:f>
        <x:v>#NAME?</x:v>
      </x:c>
      <x:c r="AB122" s="97" t="e">
        <x:f>V122</x:f>
        <x:v>#NAME?</x:v>
      </x:c>
      <x:c r="AC122" s="97" t="e">
        <x:f>D122*INDEX(Régions!$Z$2:$Z$6,MATCH($B122,Régions!$A$2:$A$6,0))</x:f>
        <x:v>#NAME?</x:v>
      </x:c>
      <x:c r="AD122" s="97" t="e">
        <x:f>E122*INDEX(Régions!$AA$2:$AA$6,MATCH($B122,Régions!$A$2:$A$6,0))</x:f>
        <x:v>#NAME?</x:v>
      </x:c>
      <x:c r="AE122" s="97" t="e">
        <x:f>F122*INDEX(Régions!$AB$2:$AB$6,MATCH($B122,Régions!$A$2:$A$6,0))</x:f>
        <x:v>#NAME?</x:v>
      </x:c>
      <x:c r="AF122" s="97" t="e">
        <x:f>G122*INDEX(Régions!$AC$2:$AC$6,MATCH($B122,Régions!$A$2:$A$6,0))</x:f>
        <x:v>#NAME?</x:v>
      </x:c>
      <x:c r="AG122" s="97" t="e">
        <x:f>H122*INDEX(Régions!$AD$2:$AD$6,MATCH($B122,Régions!$A$2:$A$6,0))</x:f>
        <x:v>#NAME?</x:v>
      </x:c>
      <x:c r="AH122" s="97" t="e">
        <x:f>I122*INDEX(Régions!$AE$2:$AE$6,MATCH($B122,Régions!$A$2:$A$6,0))</x:f>
        <x:v>#NAME?</x:v>
      </x:c>
      <x:c r="AI122" s="97" t="e">
        <x:f>D122*INDEX(Régions!$AF$2:$AF$6,MATCH($B122,Régions!$A$2:$A$6,0))</x:f>
        <x:v>#NAME?</x:v>
      </x:c>
      <x:c r="AJ122" s="97" t="e">
        <x:f>E122*INDEX(Régions!$AG$2:$AG$6,MATCH($B122,Régions!$A$2:$A$6,0))</x:f>
        <x:v>#NAME?</x:v>
      </x:c>
      <x:c r="AK122" s="97" t="e">
        <x:f>F122*INDEX(Régions!$AH$2:$AH$6,MATCH($B122,Régions!$A$2:$A$6,0))</x:f>
        <x:v>#NAME?</x:v>
      </x:c>
      <x:c r="AL122" s="97" t="e">
        <x:f>G122*INDEX(Régions!$AI$2:$AI$6,MATCH($B122,Régions!$A$2:$A$6,0))</x:f>
        <x:v>#NAME?</x:v>
      </x:c>
      <x:c r="AM122" s="97" t="e">
        <x:f>H122*INDEX(Régions!$AJ$2:$AJ$6,MATCH($B122,Régions!$A$2:$A$6,0))</x:f>
        <x:v>#NAME?</x:v>
      </x:c>
      <x:c r="AN122" s="97" t="e">
        <x:f>I122*INDEX(Régions!$AK$2:$AK$6,MATCH($B122,Régions!$A$2:$A$6,0))</x:f>
        <x:v>#NAME?</x:v>
      </x:c>
      <x:c r="AO122" s="99" t="str">
        <x:f>INDEX({"CAQ","PLQ","QS","PQ","PCQ","Autre"},MATCH(MAX(Q122:V122),Q122:V122,0))</x:f>
        <x:v>CAQ</x:v>
      </x:c>
      <x:c r="AP122" s="99" t="str">
        <x:f>INDEX({"CAQ","PLQ","QS","PQ","PCQ","Autre"},MATCH(MAX(W122:AB122),W122:AB122,0))</x:f>
        <x:v>CAQ</x:v>
      </x:c>
      <x:c r="AQ122" s="99" t="str">
        <x:f>INDEX({"CAQ","PLQ","QS","PQ","PCQ","Autre"},MATCH(MAX(AC122:AH122),AC122:AH122,0))</x:f>
        <x:v>CAQ</x:v>
      </x:c>
      <x:c r="AR122" s="99" t="str">
        <x:f>INDEX({"CAQ","PLQ","QS","PQ","PCQ","Autre"},MATCH(MAX(AI122:AN122),AI122:AN122,0))</x:f>
        <x:v>CAQ</x:v>
      </x:c>
      <x:c r="AS122" s="100" t="n">
        <x:f>(MAX(K122:P122)-LARGE(K122:P122,2))*100</x:f>
        <x:v>1.448898369013868</x:v>
      </x:c>
      <x:c r="AT122" s="101" t="str">
        <x:f>IF(AS122&lt;5,"Oui","Non")</x:f>
        <x:v>Oui</x:v>
      </x:c>
      <x:c r="AU122" s="102" t="n">
        <x:v>-2.986</x:v>
      </x:c>
      <x:c r="AV122" s="102" t="n">
        <x:v>1.202</x:v>
      </x:c>
      <x:c r="AW122" s="102" t="n">
        <x:v>-0.12</x:v>
      </x:c>
      <x:c r="AX122" s="102" t="n">
        <x:v>0.647</x:v>
      </x:c>
      <x:c r="AY122" s="96" t="n">
        <x:v>11967</x:v>
      </x:c>
      <x:c r="AZ122" s="96" t="n">
        <x:v>14640</x:v>
      </x:c>
      <x:c r="BA122" s="96" t="n">
        <x:v>3684</x:v>
      </x:c>
      <x:c r="BB122" s="96" t="n">
        <x:v>3686</x:v>
      </x:c>
      <x:c r="BC122" s="96" t="n">
        <x:v>2694</x:v>
      </x:c>
      <x:c r="BD122" s="97" t="e">
        <x:f>AY122*INDEX(Régions!$AQ$2:$AQ$6,MATCH($B122,Régions!$A$2:$A$6,0))</x:f>
        <x:v>#NAME?</x:v>
      </x:c>
      <x:c r="BE122" s="97" t="e">
        <x:f>AZ122*INDEX(Régions!$AR$2:$AR$6,MATCH($B122,Régions!$A$2:$A$6,0))</x:f>
        <x:v>#NAME?</x:v>
      </x:c>
      <x:c r="BF122" s="97" t="e">
        <x:f>BA122*INDEX(Régions!$AS$2:$AS$6,MATCH($B122,Régions!$A$2:$A$6,0))</x:f>
        <x:v>#NAME?</x:v>
      </x:c>
      <x:c r="BG122" s="97" t="e">
        <x:f>BB122*INDEX(Régions!$AT$2:$AT$6,MATCH($B122,Régions!$A$2:$A$6,0))</x:f>
        <x:v>#NAME?</x:v>
      </x:c>
      <x:c r="BH122" s="97" t="e">
        <x:f>U122</x:f>
        <x:v>#NAME?</x:v>
      </x:c>
      <x:c r="BI122" s="97" t="e">
        <x:f>BC122*INDEX(Régions!$AU$2:$AU$6,MATCH($B122,Régions!$A$2:$A$6,0))</x:f>
        <x:v>#NAME?</x:v>
      </x:c>
      <x:c r="BJ122" s="97" t="str">
        <x:f>INDEX({"CAQ","PLQ","QS","PQ","PCQ","Autre"},MATCH(MAX(BD122:BI122),BD122:BI122,0))</x:f>
        <x:v>CAQ</x:v>
      </x:c>
    </x:row>
    <x:row r="123" s="60" customFormat="1" ht="15" customHeight="1">
      <x:c r="A123" s="94" t="inlineStr">
        <x:is>
          <x:t xml:space="preserve">Verchères</x:t>
        </x:is>
      </x:c>
      <x:c r="B123" s="94" t="inlineStr">
        <x:is>
          <x:t xml:space="preserve">Banlieue de Montréal</x:t>
        </x:is>
      </x:c>
      <x:c r="C123" s="95" t="inlineStr">
        <x:is>
          <x:t xml:space="preserve">CAQ</x:t>
        </x:is>
      </x:c>
      <x:c r="D123" s="96" t="n">
        <x:v>20822</x:v>
      </x:c>
      <x:c r="E123" s="96" t="n">
        <x:v>2144</x:v>
      </x:c>
      <x:c r="F123" s="96" t="n">
        <x:v>5863</x:v>
      </x:c>
      <x:c r="G123" s="96" t="n">
        <x:v>8410</x:v>
      </x:c>
      <x:c r="H123" s="96" t="n">
        <x:v>2875</x:v>
      </x:c>
      <x:c r="I123" s="96" t="n">
        <x:v>489</x:v>
      </x:c>
      <x:c r="J123" s="97" t="n">
        <x:f>SUM(D123:I123)</x:f>
        <x:v>40603</x:v>
      </x:c>
      <x:c r="K123" s="98" t="n">
        <x:f>IFERROR(D123/J123,0)</x:f>
        <x:v>0.5128192498091274</x:v>
      </x:c>
      <x:c r="L123" s="98" t="n">
        <x:f>IFERROR(E123/J123,0)</x:f>
        <x:v>0.05280398000147772</x:v>
      </x:c>
      <x:c r="M123" s="98" t="n">
        <x:f>IFERROR(F123/J123,0)</x:f>
        <x:v>0.14439819717754845</x:v>
      </x:c>
      <x:c r="N123" s="98" t="n">
        <x:f>IFERROR(G123/J123,0)</x:f>
        <x:v>0.20712755215131887</x:v>
      </x:c>
      <x:c r="O123" s="98" t="n">
        <x:f>IFERROR(H123/J123,0)</x:f>
        <x:v>0.070807575794892</x:v>
      </x:c>
      <x:c r="P123" s="98" t="n">
        <x:f>IFERROR(I123/J123,0)</x:f>
        <x:v>0.012043445065635544</x:v>
      </x:c>
      <x:c r="Q123" s="97" t="e">
        <x:f>D123*INDEX(Régions!$T$2:$T$6,MATCH($B123,Régions!$A$2:$A$6,0))</x:f>
        <x:v>#NAME?</x:v>
      </x:c>
      <x:c r="R123" s="97" t="e">
        <x:f>E123*INDEX(Régions!$U$2:$U$6,MATCH($B123,Régions!$A$2:$A$6,0))</x:f>
        <x:v>#NAME?</x:v>
      </x:c>
      <x:c r="S123" s="97" t="e">
        <x:f>F123*INDEX(Régions!$V$2:$V$6,MATCH($B123,Régions!$A$2:$A$6,0))</x:f>
        <x:v>#NAME?</x:v>
      </x:c>
      <x:c r="T123" s="97" t="e">
        <x:f>G123*INDEX(Régions!$W$2:$W$6,MATCH($B123,Régions!$A$2:$A$6,0))</x:f>
        <x:v>#NAME?</x:v>
      </x:c>
      <x:c r="U123" s="97" t="e">
        <x:f>H123*INDEX(Régions!$X$2:$X$6,MATCH($B123,Régions!$A$2:$A$6,0))</x:f>
        <x:v>#NAME?</x:v>
      </x:c>
      <x:c r="V123" s="97" t="e">
        <x:f>I123*INDEX(Régions!$Y$2:$Y$6,MATCH($B123,Régions!$A$2:$A$6,0))</x:f>
        <x:v>#NAME?</x:v>
      </x:c>
      <x:c r="W123" s="97" t="e">
        <x:f>Q123+(AU123/100)*J123*Régions!$O$2</x:f>
        <x:v>#NAME?</x:v>
      </x:c>
      <x:c r="X123" s="97" t="e">
        <x:f>R123+(AV123/100)*J123*Régions!$O$2</x:f>
        <x:v>#NAME?</x:v>
      </x:c>
      <x:c r="Y123" s="97" t="e">
        <x:f>S123+(AW123/100)*J123*Régions!$O$2</x:f>
        <x:v>#NAME?</x:v>
      </x:c>
      <x:c r="Z123" s="97" t="e">
        <x:f>T123+(AX123/100)*J123*Régions!$O$2</x:f>
        <x:v>#NAME?</x:v>
      </x:c>
      <x:c r="AA123" s="97" t="e">
        <x:f>U123</x:f>
        <x:v>#NAME?</x:v>
      </x:c>
      <x:c r="AB123" s="97" t="e">
        <x:f>V123</x:f>
        <x:v>#NAME?</x:v>
      </x:c>
      <x:c r="AC123" s="97" t="e">
        <x:f>D123*INDEX(Régions!$Z$2:$Z$6,MATCH($B123,Régions!$A$2:$A$6,0))</x:f>
        <x:v>#NAME?</x:v>
      </x:c>
      <x:c r="AD123" s="97" t="e">
        <x:f>E123*INDEX(Régions!$AA$2:$AA$6,MATCH($B123,Régions!$A$2:$A$6,0))</x:f>
        <x:v>#NAME?</x:v>
      </x:c>
      <x:c r="AE123" s="97" t="e">
        <x:f>F123*INDEX(Régions!$AB$2:$AB$6,MATCH($B123,Régions!$A$2:$A$6,0))</x:f>
        <x:v>#NAME?</x:v>
      </x:c>
      <x:c r="AF123" s="97" t="e">
        <x:f>G123*INDEX(Régions!$AC$2:$AC$6,MATCH($B123,Régions!$A$2:$A$6,0))</x:f>
        <x:v>#NAME?</x:v>
      </x:c>
      <x:c r="AG123" s="97" t="e">
        <x:f>H123*INDEX(Régions!$AD$2:$AD$6,MATCH($B123,Régions!$A$2:$A$6,0))</x:f>
        <x:v>#NAME?</x:v>
      </x:c>
      <x:c r="AH123" s="97" t="e">
        <x:f>I123*INDEX(Régions!$AE$2:$AE$6,MATCH($B123,Régions!$A$2:$A$6,0))</x:f>
        <x:v>#NAME?</x:v>
      </x:c>
      <x:c r="AI123" s="97" t="e">
        <x:f>D123*INDEX(Régions!$AF$2:$AF$6,MATCH($B123,Régions!$A$2:$A$6,0))</x:f>
        <x:v>#NAME?</x:v>
      </x:c>
      <x:c r="AJ123" s="97" t="e">
        <x:f>E123*INDEX(Régions!$AG$2:$AG$6,MATCH($B123,Régions!$A$2:$A$6,0))</x:f>
        <x:v>#NAME?</x:v>
      </x:c>
      <x:c r="AK123" s="97" t="e">
        <x:f>F123*INDEX(Régions!$AH$2:$AH$6,MATCH($B123,Régions!$A$2:$A$6,0))</x:f>
        <x:v>#NAME?</x:v>
      </x:c>
      <x:c r="AL123" s="97" t="e">
        <x:f>G123*INDEX(Régions!$AI$2:$AI$6,MATCH($B123,Régions!$A$2:$A$6,0))</x:f>
        <x:v>#NAME?</x:v>
      </x:c>
      <x:c r="AM123" s="97" t="e">
        <x:f>H123*INDEX(Régions!$AJ$2:$AJ$6,MATCH($B123,Régions!$A$2:$A$6,0))</x:f>
        <x:v>#NAME?</x:v>
      </x:c>
      <x:c r="AN123" s="97" t="e">
        <x:f>I123*INDEX(Régions!$AK$2:$AK$6,MATCH($B123,Régions!$A$2:$A$6,0))</x:f>
        <x:v>#NAME?</x:v>
      </x:c>
      <x:c r="AO123" s="99" t="str">
        <x:f>INDEX({"CAQ","PLQ","QS","PQ","PCQ","Autre"},MATCH(MAX(Q123:V123),Q123:V123,0))</x:f>
        <x:v>CAQ</x:v>
      </x:c>
      <x:c r="AP123" s="99" t="str">
        <x:f>INDEX({"CAQ","PLQ","QS","PQ","PCQ","Autre"},MATCH(MAX(W123:AB123),W123:AB123,0))</x:f>
        <x:v>CAQ</x:v>
      </x:c>
      <x:c r="AQ123" s="99" t="str">
        <x:f>INDEX({"CAQ","PLQ","QS","PQ","PCQ","Autre"},MATCH(MAX(AC123:AH123),AC123:AH123,0))</x:f>
        <x:v>CAQ</x:v>
      </x:c>
      <x:c r="AR123" s="99" t="str">
        <x:f>INDEX({"CAQ","PLQ","QS","PQ","PCQ","Autre"},MATCH(MAX(AI123:AN123),AI123:AN123,0))</x:f>
        <x:v>CAQ</x:v>
      </x:c>
      <x:c r="AS123" s="100" t="n">
        <x:f>(MAX(K123:P123)-LARGE(K123:P123,2))*100</x:f>
        <x:v>30.569169765780856</x:v>
      </x:c>
      <x:c r="AT123" s="101" t="str">
        <x:f>IF(AS123&lt;5,"Oui","Non")</x:f>
        <x:v>Non</x:v>
      </x:c>
      <x:c r="AU123" s="102" t="n">
        <x:v>10.665</x:v>
      </x:c>
      <x:c r="AV123" s="102" t="n">
        <x:v>3.357</x:v>
      </x:c>
      <x:c r="AW123" s="102" t="n">
        <x:v>0.371</x:v>
      </x:c>
      <x:c r="AX123" s="102" t="n">
        <x:v>-11.949</x:v>
      </x:c>
      <x:c r="AY123" s="96" t="n">
        <x:v>15023</x:v>
      </x:c>
      <x:c r="AZ123" s="96" t="n">
        <x:v>3537</x:v>
      </x:c>
      <x:c r="BA123" s="96" t="n">
        <x:v>5916</x:v>
      </x:c>
      <x:c r="BB123" s="96" t="n">
        <x:v>14291</x:v>
      </x:c>
      <x:c r="BC123" s="96" t="n">
        <x:v>1306</x:v>
      </x:c>
      <x:c r="BD123" s="97" t="e">
        <x:f>AY123*INDEX(Régions!$AQ$2:$AQ$6,MATCH($B123,Régions!$A$2:$A$6,0))</x:f>
        <x:v>#NAME?</x:v>
      </x:c>
      <x:c r="BE123" s="97" t="e">
        <x:f>AZ123*INDEX(Régions!$AR$2:$AR$6,MATCH($B123,Régions!$A$2:$A$6,0))</x:f>
        <x:v>#NAME?</x:v>
      </x:c>
      <x:c r="BF123" s="97" t="e">
        <x:f>BA123*INDEX(Régions!$AS$2:$AS$6,MATCH($B123,Régions!$A$2:$A$6,0))</x:f>
        <x:v>#NAME?</x:v>
      </x:c>
      <x:c r="BG123" s="97" t="e">
        <x:f>BB123*INDEX(Régions!$AT$2:$AT$6,MATCH($B123,Régions!$A$2:$A$6,0))</x:f>
        <x:v>#NAME?</x:v>
      </x:c>
      <x:c r="BH123" s="97" t="e">
        <x:f>U123</x:f>
        <x:v>#NAME?</x:v>
      </x:c>
      <x:c r="BI123" s="97" t="e">
        <x:f>BC123*INDEX(Régions!$AU$2:$AU$6,MATCH($B123,Régions!$A$2:$A$6,0))</x:f>
        <x:v>#NAME?</x:v>
      </x:c>
      <x:c r="BJ123" s="97" t="str">
        <x:f>INDEX({"CAQ","PLQ","QS","PQ","PCQ","Autre"},MATCH(MAX(BD123:BI123),BD123:BI123,0))</x:f>
        <x:v>CAQ</x:v>
      </x:c>
    </x:row>
    <x:row r="124" s="60" customFormat="1" ht="15" customHeight="1">
      <x:c r="A124" s="94" t="inlineStr">
        <x:is>
          <x:t xml:space="preserve">Verdun</x:t>
        </x:is>
      </x:c>
      <x:c r="B124" s="94" t="inlineStr">
        <x:is>
          <x:t xml:space="preserve">Île de Montréal</x:t>
        </x:is>
      </x:c>
      <x:c r="C124" s="95" t="inlineStr">
        <x:is>
          <x:t xml:space="preserve">QS</x:t>
        </x:is>
      </x:c>
      <x:c r="D124" s="96" t="n">
        <x:v>7150</x:v>
      </x:c>
      <x:c r="E124" s="96" t="n">
        <x:v>9101</x:v>
      </x:c>
      <x:c r="F124" s="96" t="n">
        <x:v>9562</x:v>
      </x:c>
      <x:c r="G124" s="96" t="n">
        <x:v>2591</x:v>
      </x:c>
      <x:c r="H124" s="96" t="n">
        <x:v>1965</x:v>
      </x:c>
      <x:c r="I124" s="96" t="n">
        <x:v>724</x:v>
      </x:c>
      <x:c r="J124" s="97" t="n">
        <x:f>SUM(D124:I124)</x:f>
        <x:v>31093</x:v>
      </x:c>
      <x:c r="K124" s="98" t="n">
        <x:f>IFERROR(D124/J124,0)</x:f>
        <x:v>0.22995529540411025</x:v>
      </x:c>
      <x:c r="L124" s="98" t="n">
        <x:f>IFERROR(E124/J124,0)</x:f>
        <x:v>0.2927025375486444</x:v>
      </x:c>
      <x:c r="M124" s="98" t="n">
        <x:f>IFERROR(F124/J124,0)</x:f>
        <x:v>0.30752902582574854</x:v>
      </x:c>
      <x:c r="N124" s="98" t="n">
        <x:f>IFERROR(G124/J124,0)</x:f>
        <x:v>0.08333065320168527</x:v>
      </x:c>
      <x:c r="O124" s="98" t="n">
        <x:f>IFERROR(H124/J124,0)</x:f>
        <x:v>0.06319750426140933</x:v>
      </x:c>
      <x:c r="P124" s="98" t="n">
        <x:f>IFERROR(I124/J124,0)</x:f>
        <x:v>0.02328498375840221</x:v>
      </x:c>
      <x:c r="Q124" s="97" t="e">
        <x:f>D124*INDEX(Régions!$T$2:$T$6,MATCH($B124,Régions!$A$2:$A$6,0))</x:f>
        <x:v>#NAME?</x:v>
      </x:c>
      <x:c r="R124" s="97" t="e">
        <x:f>E124*INDEX(Régions!$U$2:$U$6,MATCH($B124,Régions!$A$2:$A$6,0))</x:f>
        <x:v>#NAME?</x:v>
      </x:c>
      <x:c r="S124" s="97" t="e">
        <x:f>F124*INDEX(Régions!$V$2:$V$6,MATCH($B124,Régions!$A$2:$A$6,0))</x:f>
        <x:v>#NAME?</x:v>
      </x:c>
      <x:c r="T124" s="97" t="e">
        <x:f>G124*INDEX(Régions!$W$2:$W$6,MATCH($B124,Régions!$A$2:$A$6,0))</x:f>
        <x:v>#NAME?</x:v>
      </x:c>
      <x:c r="U124" s="97" t="e">
        <x:f>H124*INDEX(Régions!$X$2:$X$6,MATCH($B124,Régions!$A$2:$A$6,0))</x:f>
        <x:v>#NAME?</x:v>
      </x:c>
      <x:c r="V124" s="97" t="e">
        <x:f>I124*INDEX(Régions!$Y$2:$Y$6,MATCH($B124,Régions!$A$2:$A$6,0))</x:f>
        <x:v>#NAME?</x:v>
      </x:c>
      <x:c r="W124" s="97" t="e">
        <x:f>Q124+(AU124/100)*J124*Régions!$O$2</x:f>
        <x:v>#NAME?</x:v>
      </x:c>
      <x:c r="X124" s="97" t="e">
        <x:f>R124+(AV124/100)*J124*Régions!$O$2</x:f>
        <x:v>#NAME?</x:v>
      </x:c>
      <x:c r="Y124" s="97" t="e">
        <x:f>S124+(AW124/100)*J124*Régions!$O$2</x:f>
        <x:v>#NAME?</x:v>
      </x:c>
      <x:c r="Z124" s="97" t="e">
        <x:f>T124+(AX124/100)*J124*Régions!$O$2</x:f>
        <x:v>#NAME?</x:v>
      </x:c>
      <x:c r="AA124" s="97" t="e">
        <x:f>U124</x:f>
        <x:v>#NAME?</x:v>
      </x:c>
      <x:c r="AB124" s="97" t="e">
        <x:f>V124</x:f>
        <x:v>#NAME?</x:v>
      </x:c>
      <x:c r="AC124" s="97" t="e">
        <x:f>D124*INDEX(Régions!$Z$2:$Z$6,MATCH($B124,Régions!$A$2:$A$6,0))</x:f>
        <x:v>#NAME?</x:v>
      </x:c>
      <x:c r="AD124" s="97" t="e">
        <x:f>E124*INDEX(Régions!$AA$2:$AA$6,MATCH($B124,Régions!$A$2:$A$6,0))</x:f>
        <x:v>#NAME?</x:v>
      </x:c>
      <x:c r="AE124" s="97" t="e">
        <x:f>F124*INDEX(Régions!$AB$2:$AB$6,MATCH($B124,Régions!$A$2:$A$6,0))</x:f>
        <x:v>#NAME?</x:v>
      </x:c>
      <x:c r="AF124" s="97" t="e">
        <x:f>G124*INDEX(Régions!$AC$2:$AC$6,MATCH($B124,Régions!$A$2:$A$6,0))</x:f>
        <x:v>#NAME?</x:v>
      </x:c>
      <x:c r="AG124" s="97" t="e">
        <x:f>H124*INDEX(Régions!$AD$2:$AD$6,MATCH($B124,Régions!$A$2:$A$6,0))</x:f>
        <x:v>#NAME?</x:v>
      </x:c>
      <x:c r="AH124" s="97" t="e">
        <x:f>I124*INDEX(Régions!$AE$2:$AE$6,MATCH($B124,Régions!$A$2:$A$6,0))</x:f>
        <x:v>#NAME?</x:v>
      </x:c>
      <x:c r="AI124" s="97" t="e">
        <x:f>D124*INDEX(Régions!$AF$2:$AF$6,MATCH($B124,Régions!$A$2:$A$6,0))</x:f>
        <x:v>#NAME?</x:v>
      </x:c>
      <x:c r="AJ124" s="97" t="e">
        <x:f>E124*INDEX(Régions!$AG$2:$AG$6,MATCH($B124,Régions!$A$2:$A$6,0))</x:f>
        <x:v>#NAME?</x:v>
      </x:c>
      <x:c r="AK124" s="97" t="e">
        <x:f>F124*INDEX(Régions!$AH$2:$AH$6,MATCH($B124,Régions!$A$2:$A$6,0))</x:f>
        <x:v>#NAME?</x:v>
      </x:c>
      <x:c r="AL124" s="97" t="e">
        <x:f>G124*INDEX(Régions!$AI$2:$AI$6,MATCH($B124,Régions!$A$2:$A$6,0))</x:f>
        <x:v>#NAME?</x:v>
      </x:c>
      <x:c r="AM124" s="97" t="e">
        <x:f>H124*INDEX(Régions!$AJ$2:$AJ$6,MATCH($B124,Régions!$A$2:$A$6,0))</x:f>
        <x:v>#NAME?</x:v>
      </x:c>
      <x:c r="AN124" s="97" t="e">
        <x:f>I124*INDEX(Régions!$AK$2:$AK$6,MATCH($B124,Régions!$A$2:$A$6,0))</x:f>
        <x:v>#NAME?</x:v>
      </x:c>
      <x:c r="AO124" s="99" t="str">
        <x:f>INDEX({"CAQ","PLQ","QS","PQ","PCQ","Autre"},MATCH(MAX(Q124:V124),Q124:V124,0))</x:f>
        <x:v>CAQ</x:v>
      </x:c>
      <x:c r="AP124" s="99" t="str">
        <x:f>INDEX({"CAQ","PLQ","QS","PQ","PCQ","Autre"},MATCH(MAX(W124:AB124),W124:AB124,0))</x:f>
        <x:v>CAQ</x:v>
      </x:c>
      <x:c r="AQ124" s="99" t="str">
        <x:f>INDEX({"CAQ","PLQ","QS","PQ","PCQ","Autre"},MATCH(MAX(AC124:AH124),AC124:AH124,0))</x:f>
        <x:v>CAQ</x:v>
      </x:c>
      <x:c r="AR124" s="99" t="str">
        <x:f>INDEX({"CAQ","PLQ","QS","PQ","PCQ","Autre"},MATCH(MAX(AI124:AN124),AI124:AN124,0))</x:f>
        <x:v>CAQ</x:v>
      </x:c>
      <x:c r="AS124" s="100" t="n">
        <x:f>(MAX(K124:P124)-LARGE(K124:P124,2))*100</x:f>
        <x:v>1.4826488277104144</x:v>
      </x:c>
      <x:c r="AT124" s="101" t="str">
        <x:f>IF(AS124&lt;5,"Oui","Non")</x:f>
        <x:v>Oui</x:v>
      </x:c>
      <x:c r="AU124" s="102" t="n">
        <x:v>0.512</x:v>
      </x:c>
      <x:c r="AV124" s="102" t="n">
        <x:v>2.596</x:v>
      </x:c>
      <x:c r="AW124" s="102" t="n">
        <x:v>6.055</x:v>
      </x:c>
      <x:c r="AX124" s="102" t="n">
        <x:v>-3.134</x:v>
      </x:c>
      <x:c r="AY124" s="96" t="n">
        <x:v>6343</x:v>
      </x:c>
      <x:c r="AZ124" s="96" t="n">
        <x:v>11054</x:v>
      </x:c>
      <x:c r="BA124" s="96" t="n">
        <x:v>7457</x:v>
      </x:c>
      <x:c r="BB124" s="96" t="n">
        <x:v>3929</x:v>
      </x:c>
      <x:c r="BC124" s="96" t="n">
        <x:v>2347</x:v>
      </x:c>
      <x:c r="BD124" s="97" t="e">
        <x:f>AY124*INDEX(Régions!$AQ$2:$AQ$6,MATCH($B124,Régions!$A$2:$A$6,0))</x:f>
        <x:v>#NAME?</x:v>
      </x:c>
      <x:c r="BE124" s="97" t="e">
        <x:f>AZ124*INDEX(Régions!$AR$2:$AR$6,MATCH($B124,Régions!$A$2:$A$6,0))</x:f>
        <x:v>#NAME?</x:v>
      </x:c>
      <x:c r="BF124" s="97" t="e">
        <x:f>BA124*INDEX(Régions!$AS$2:$AS$6,MATCH($B124,Régions!$A$2:$A$6,0))</x:f>
        <x:v>#NAME?</x:v>
      </x:c>
      <x:c r="BG124" s="97" t="e">
        <x:f>BB124*INDEX(Régions!$AT$2:$AT$6,MATCH($B124,Régions!$A$2:$A$6,0))</x:f>
        <x:v>#NAME?</x:v>
      </x:c>
      <x:c r="BH124" s="97" t="e">
        <x:f>U124</x:f>
        <x:v>#NAME?</x:v>
      </x:c>
      <x:c r="BI124" s="97" t="e">
        <x:f>BC124*INDEX(Régions!$AU$2:$AU$6,MATCH($B124,Régions!$A$2:$A$6,0))</x:f>
        <x:v>#NAME?</x:v>
      </x:c>
      <x:c r="BJ124" s="97" t="str">
        <x:f>INDEX({"CAQ","PLQ","QS","PQ","PCQ","Autre"},MATCH(MAX(BD124:BI124),BD124:BI124,0))</x:f>
        <x:v>CAQ</x:v>
      </x:c>
    </x:row>
    <x:row r="125" s="60" customFormat="1" ht="15" customHeight="1">
      <x:c r="A125" s="94" t="inlineStr">
        <x:is>
          <x:t xml:space="preserve">Viau</x:t>
        </x:is>
      </x:c>
      <x:c r="B125" s="94" t="inlineStr">
        <x:is>
          <x:t xml:space="preserve">Île de Montréal</x:t>
        </x:is>
      </x:c>
      <x:c r="C125" s="95" t="inlineStr">
        <x:is>
          <x:t xml:space="preserve">PLQ</x:t>
        </x:is>
      </x:c>
      <x:c r="D125" s="96" t="n">
        <x:v>3202</x:v>
      </x:c>
      <x:c r="E125" s="96" t="n">
        <x:v>8050</x:v>
      </x:c>
      <x:c r="F125" s="96" t="n">
        <x:v>6421</x:v>
      </x:c>
      <x:c r="G125" s="96" t="n">
        <x:v>1599</x:v>
      </x:c>
      <x:c r="H125" s="96" t="n">
        <x:v>1294</x:v>
      </x:c>
      <x:c r="I125" s="96" t="n">
        <x:v>522</x:v>
      </x:c>
      <x:c r="J125" s="97" t="n">
        <x:f>SUM(D125:I125)</x:f>
        <x:v>21088</x:v>
      </x:c>
      <x:c r="K125" s="98" t="n">
        <x:f>IFERROR(D125/J125,0)</x:f>
        <x:v>0.15183990895295904</x:v>
      </x:c>
      <x:c r="L125" s="98" t="n">
        <x:f>IFERROR(E125/J125,0)</x:f>
        <x:v>0.38173368740515934</x:v>
      </x:c>
      <x:c r="M125" s="98" t="n">
        <x:f>IFERROR(F125/J125,0)</x:f>
        <x:v>0.3044859635811836</x:v>
      </x:c>
      <x:c r="N125" s="98" t="n">
        <x:f>IFERROR(G125/J125,0)</x:f>
        <x:v>0.07582511380880122</x:v>
      </x:c>
      <x:c r="O125" s="98" t="n">
        <x:f>IFERROR(H125/J125,0)</x:f>
        <x:v>0.061361911987860396</x:v>
      </x:c>
      <x:c r="P125" s="98" t="n">
        <x:f>IFERROR(I125/J125,0)</x:f>
        <x:v>0.02475341426403642</x:v>
      </x:c>
      <x:c r="Q125" s="97" t="e">
        <x:f>D125*INDEX(Régions!$T$2:$T$6,MATCH($B125,Régions!$A$2:$A$6,0))</x:f>
        <x:v>#NAME?</x:v>
      </x:c>
      <x:c r="R125" s="97" t="e">
        <x:f>E125*INDEX(Régions!$U$2:$U$6,MATCH($B125,Régions!$A$2:$A$6,0))</x:f>
        <x:v>#NAME?</x:v>
      </x:c>
      <x:c r="S125" s="97" t="e">
        <x:f>F125*INDEX(Régions!$V$2:$V$6,MATCH($B125,Régions!$A$2:$A$6,0))</x:f>
        <x:v>#NAME?</x:v>
      </x:c>
      <x:c r="T125" s="97" t="e">
        <x:f>G125*INDEX(Régions!$W$2:$W$6,MATCH($B125,Régions!$A$2:$A$6,0))</x:f>
        <x:v>#NAME?</x:v>
      </x:c>
      <x:c r="U125" s="97" t="e">
        <x:f>H125*INDEX(Régions!$X$2:$X$6,MATCH($B125,Régions!$A$2:$A$6,0))</x:f>
        <x:v>#NAME?</x:v>
      </x:c>
      <x:c r="V125" s="97" t="e">
        <x:f>I125*INDEX(Régions!$Y$2:$Y$6,MATCH($B125,Régions!$A$2:$A$6,0))</x:f>
        <x:v>#NAME?</x:v>
      </x:c>
      <x:c r="W125" s="97" t="e">
        <x:f>Q125+(AU125/100)*J125*Régions!$O$2</x:f>
        <x:v>#NAME?</x:v>
      </x:c>
      <x:c r="X125" s="97" t="e">
        <x:f>R125+(AV125/100)*J125*Régions!$O$2</x:f>
        <x:v>#NAME?</x:v>
      </x:c>
      <x:c r="Y125" s="97" t="e">
        <x:f>S125+(AW125/100)*J125*Régions!$O$2</x:f>
        <x:v>#NAME?</x:v>
      </x:c>
      <x:c r="Z125" s="97" t="e">
        <x:f>T125+(AX125/100)*J125*Régions!$O$2</x:f>
        <x:v>#NAME?</x:v>
      </x:c>
      <x:c r="AA125" s="97" t="e">
        <x:f>U125</x:f>
        <x:v>#NAME?</x:v>
      </x:c>
      <x:c r="AB125" s="97" t="e">
        <x:f>V125</x:f>
        <x:v>#NAME?</x:v>
      </x:c>
      <x:c r="AC125" s="97" t="e">
        <x:f>D125*INDEX(Régions!$Z$2:$Z$6,MATCH($B125,Régions!$A$2:$A$6,0))</x:f>
        <x:v>#NAME?</x:v>
      </x:c>
      <x:c r="AD125" s="97" t="e">
        <x:f>E125*INDEX(Régions!$AA$2:$AA$6,MATCH($B125,Régions!$A$2:$A$6,0))</x:f>
        <x:v>#NAME?</x:v>
      </x:c>
      <x:c r="AE125" s="97" t="e">
        <x:f>F125*INDEX(Régions!$AB$2:$AB$6,MATCH($B125,Régions!$A$2:$A$6,0))</x:f>
        <x:v>#NAME?</x:v>
      </x:c>
      <x:c r="AF125" s="97" t="e">
        <x:f>G125*INDEX(Régions!$AC$2:$AC$6,MATCH($B125,Régions!$A$2:$A$6,0))</x:f>
        <x:v>#NAME?</x:v>
      </x:c>
      <x:c r="AG125" s="97" t="e">
        <x:f>H125*INDEX(Régions!$AD$2:$AD$6,MATCH($B125,Régions!$A$2:$A$6,0))</x:f>
        <x:v>#NAME?</x:v>
      </x:c>
      <x:c r="AH125" s="97" t="e">
        <x:f>I125*INDEX(Régions!$AE$2:$AE$6,MATCH($B125,Régions!$A$2:$A$6,0))</x:f>
        <x:v>#NAME?</x:v>
      </x:c>
      <x:c r="AI125" s="97" t="e">
        <x:f>D125*INDEX(Régions!$AF$2:$AF$6,MATCH($B125,Régions!$A$2:$A$6,0))</x:f>
        <x:v>#NAME?</x:v>
      </x:c>
      <x:c r="AJ125" s="97" t="e">
        <x:f>E125*INDEX(Régions!$AG$2:$AG$6,MATCH($B125,Régions!$A$2:$A$6,0))</x:f>
        <x:v>#NAME?</x:v>
      </x:c>
      <x:c r="AK125" s="97" t="e">
        <x:f>F125*INDEX(Régions!$AH$2:$AH$6,MATCH($B125,Régions!$A$2:$A$6,0))</x:f>
        <x:v>#NAME?</x:v>
      </x:c>
      <x:c r="AL125" s="97" t="e">
        <x:f>G125*INDEX(Régions!$AI$2:$AI$6,MATCH($B125,Régions!$A$2:$A$6,0))</x:f>
        <x:v>#NAME?</x:v>
      </x:c>
      <x:c r="AM125" s="97" t="e">
        <x:f>H125*INDEX(Régions!$AJ$2:$AJ$6,MATCH($B125,Régions!$A$2:$A$6,0))</x:f>
        <x:v>#NAME?</x:v>
      </x:c>
      <x:c r="AN125" s="97" t="e">
        <x:f>I125*INDEX(Régions!$AK$2:$AK$6,MATCH($B125,Régions!$A$2:$A$6,0))</x:f>
        <x:v>#NAME?</x:v>
      </x:c>
      <x:c r="AO125" s="99" t="str">
        <x:f>INDEX({"CAQ","PLQ","QS","PQ","PCQ","Autre"},MATCH(MAX(Q125:V125),Q125:V125,0))</x:f>
        <x:v>CAQ</x:v>
      </x:c>
      <x:c r="AP125" s="99" t="str">
        <x:f>INDEX({"CAQ","PLQ","QS","PQ","PCQ","Autre"},MATCH(MAX(W125:AB125),W125:AB125,0))</x:f>
        <x:v>CAQ</x:v>
      </x:c>
      <x:c r="AQ125" s="99" t="str">
        <x:f>INDEX({"CAQ","PLQ","QS","PQ","PCQ","Autre"},MATCH(MAX(AC125:AH125),AC125:AH125,0))</x:f>
        <x:v>CAQ</x:v>
      </x:c>
      <x:c r="AR125" s="99" t="str">
        <x:f>INDEX({"CAQ","PLQ","QS","PQ","PCQ","Autre"},MATCH(MAX(AI125:AN125),AI125:AN125,0))</x:f>
        <x:v>CAQ</x:v>
      </x:c>
      <x:c r="AS125" s="100" t="n">
        <x:f>(MAX(K125:P125)-LARGE(K125:P125,2))*100</x:f>
        <x:v>7.724772382397571</x:v>
      </x:c>
      <x:c r="AT125" s="101" t="str">
        <x:f>IF(AS125&lt;5,"Oui","Non")</x:f>
        <x:v>Non</x:v>
      </x:c>
      <x:c r="AU125" s="102" t="n">
        <x:v>-2.652</x:v>
      </x:c>
      <x:c r="AV125" s="102" t="n">
        <x:v>0.381</x:v>
      </x:c>
      <x:c r="AW125" s="102" t="n">
        <x:v>5.368</x:v>
      </x:c>
      <x:c r="AX125" s="102" t="n">
        <x:v>0.422</x:v>
      </x:c>
      <x:c r="AY125" s="96" t="n">
        <x:v>3412</x:v>
      </x:c>
      <x:c r="AZ125" s="96" t="n">
        <x:v>10115</x:v>
      </x:c>
      <x:c r="BA125" s="96" t="n">
        <x:v>5280</x:v>
      </x:c>
      <x:c r="BB125" s="96" t="n">
        <x:v>1804</x:v>
      </x:c>
      <x:c r="BC125" s="96" t="n">
        <x:v>1084</x:v>
      </x:c>
      <x:c r="BD125" s="97" t="e">
        <x:f>AY125*INDEX(Régions!$AQ$2:$AQ$6,MATCH($B125,Régions!$A$2:$A$6,0))</x:f>
        <x:v>#NAME?</x:v>
      </x:c>
      <x:c r="BE125" s="97" t="e">
        <x:f>AZ125*INDEX(Régions!$AR$2:$AR$6,MATCH($B125,Régions!$A$2:$A$6,0))</x:f>
        <x:v>#NAME?</x:v>
      </x:c>
      <x:c r="BF125" s="97" t="e">
        <x:f>BA125*INDEX(Régions!$AS$2:$AS$6,MATCH($B125,Régions!$A$2:$A$6,0))</x:f>
        <x:v>#NAME?</x:v>
      </x:c>
      <x:c r="BG125" s="97" t="e">
        <x:f>BB125*INDEX(Régions!$AT$2:$AT$6,MATCH($B125,Régions!$A$2:$A$6,0))</x:f>
        <x:v>#NAME?</x:v>
      </x:c>
      <x:c r="BH125" s="97" t="e">
        <x:f>U125</x:f>
        <x:v>#NAME?</x:v>
      </x:c>
      <x:c r="BI125" s="97" t="e">
        <x:f>BC125*INDEX(Régions!$AU$2:$AU$6,MATCH($B125,Régions!$A$2:$A$6,0))</x:f>
        <x:v>#NAME?</x:v>
      </x:c>
      <x:c r="BJ125" s="97" t="str">
        <x:f>INDEX({"CAQ","PLQ","QS","PQ","PCQ","Autre"},MATCH(MAX(BD125:BI125),BD125:BI125,0))</x:f>
        <x:v>CAQ</x:v>
      </x:c>
    </x:row>
    <x:row r="126" s="60" customFormat="1" ht="15" customHeight="1">
      <x:c r="A126" s="94" t="inlineStr">
        <x:is>
          <x:t xml:space="preserve">Vimont-Auteuil</x:t>
        </x:is>
      </x:c>
      <x:c r="B126" s="94" t="inlineStr">
        <x:is>
          <x:t xml:space="preserve">Banlieue de Montréal</x:t>
        </x:is>
      </x:c>
      <x:c r="C126" s="95" t="inlineStr">
        <x:is>
          <x:t xml:space="preserve">CAQ</x:t>
        </x:is>
      </x:c>
      <x:c r="D126" s="96" t="n">
        <x:v>10957</x:v>
      </x:c>
      <x:c r="E126" s="96" t="n">
        <x:v>9541</x:v>
      </x:c>
      <x:c r="F126" s="96" t="n">
        <x:v>3669</x:v>
      </x:c>
      <x:c r="G126" s="96" t="n">
        <x:v>3379</x:v>
      </x:c>
      <x:c r="H126" s="96" t="n">
        <x:v>4118</x:v>
      </x:c>
      <x:c r="I126" s="96" t="n">
        <x:v>301</x:v>
      </x:c>
      <x:c r="J126" s="97" t="n">
        <x:f>SUM(D126:I126)</x:f>
        <x:v>31965</x:v>
      </x:c>
      <x:c r="K126" s="98" t="n">
        <x:f>IFERROR(D126/J126,0)</x:f>
        <x:v>0.3427811669012983</x:v>
      </x:c>
      <x:c r="L126" s="98" t="n">
        <x:f>IFERROR(E126/J126,0)</x:f>
        <x:v>0.29848271547004535</x:v>
      </x:c>
      <x:c r="M126" s="98" t="n">
        <x:f>IFERROR(F126/J126,0)</x:f>
        <x:v>0.11478179258564054</x:v>
      </x:c>
      <x:c r="N126" s="98" t="n">
        <x:f>IFERROR(G126/J126,0)</x:f>
        <x:v>0.10570936962302518</x:v>
      </x:c>
      <x:c r="O126" s="98" t="n">
        <x:f>IFERROR(H126/J126,0)</x:f>
        <x:v>0.12882840606913812</x:v>
      </x:c>
      <x:c r="P126" s="98" t="n">
        <x:f>IFERROR(I126/J126,0)</x:f>
        <x:v>0.009416549350852494</x:v>
      </x:c>
      <x:c r="Q126" s="97" t="e">
        <x:f>D126*INDEX(Régions!$T$2:$T$6,MATCH($B126,Régions!$A$2:$A$6,0))</x:f>
        <x:v>#NAME?</x:v>
      </x:c>
      <x:c r="R126" s="97" t="e">
        <x:f>E126*INDEX(Régions!$U$2:$U$6,MATCH($B126,Régions!$A$2:$A$6,0))</x:f>
        <x:v>#NAME?</x:v>
      </x:c>
      <x:c r="S126" s="97" t="e">
        <x:f>F126*INDEX(Régions!$V$2:$V$6,MATCH($B126,Régions!$A$2:$A$6,0))</x:f>
        <x:v>#NAME?</x:v>
      </x:c>
      <x:c r="T126" s="97" t="e">
        <x:f>G126*INDEX(Régions!$W$2:$W$6,MATCH($B126,Régions!$A$2:$A$6,0))</x:f>
        <x:v>#NAME?</x:v>
      </x:c>
      <x:c r="U126" s="97" t="e">
        <x:f>H126*INDEX(Régions!$X$2:$X$6,MATCH($B126,Régions!$A$2:$A$6,0))</x:f>
        <x:v>#NAME?</x:v>
      </x:c>
      <x:c r="V126" s="97" t="e">
        <x:f>I126*INDEX(Régions!$Y$2:$Y$6,MATCH($B126,Régions!$A$2:$A$6,0))</x:f>
        <x:v>#NAME?</x:v>
      </x:c>
      <x:c r="W126" s="97" t="e">
        <x:f>Q126+(AU126/100)*J126*Régions!$O$2</x:f>
        <x:v>#NAME?</x:v>
      </x:c>
      <x:c r="X126" s="97" t="e">
        <x:f>R126+(AV126/100)*J126*Régions!$O$2</x:f>
        <x:v>#NAME?</x:v>
      </x:c>
      <x:c r="Y126" s="97" t="e">
        <x:f>S126+(AW126/100)*J126*Régions!$O$2</x:f>
        <x:v>#NAME?</x:v>
      </x:c>
      <x:c r="Z126" s="97" t="e">
        <x:f>T126+(AX126/100)*J126*Régions!$O$2</x:f>
        <x:v>#NAME?</x:v>
      </x:c>
      <x:c r="AA126" s="97" t="e">
        <x:f>U126</x:f>
        <x:v>#NAME?</x:v>
      </x:c>
      <x:c r="AB126" s="97" t="e">
        <x:f>V126</x:f>
        <x:v>#NAME?</x:v>
      </x:c>
      <x:c r="AC126" s="97" t="e">
        <x:f>D126*INDEX(Régions!$Z$2:$Z$6,MATCH($B126,Régions!$A$2:$A$6,0))</x:f>
        <x:v>#NAME?</x:v>
      </x:c>
      <x:c r="AD126" s="97" t="e">
        <x:f>E126*INDEX(Régions!$AA$2:$AA$6,MATCH($B126,Régions!$A$2:$A$6,0))</x:f>
        <x:v>#NAME?</x:v>
      </x:c>
      <x:c r="AE126" s="97" t="e">
        <x:f>F126*INDEX(Régions!$AB$2:$AB$6,MATCH($B126,Régions!$A$2:$A$6,0))</x:f>
        <x:v>#NAME?</x:v>
      </x:c>
      <x:c r="AF126" s="97" t="e">
        <x:f>G126*INDEX(Régions!$AC$2:$AC$6,MATCH($B126,Régions!$A$2:$A$6,0))</x:f>
        <x:v>#NAME?</x:v>
      </x:c>
      <x:c r="AG126" s="97" t="e">
        <x:f>H126*INDEX(Régions!$AD$2:$AD$6,MATCH($B126,Régions!$A$2:$A$6,0))</x:f>
        <x:v>#NAME?</x:v>
      </x:c>
      <x:c r="AH126" s="97" t="e">
        <x:f>I126*INDEX(Régions!$AE$2:$AE$6,MATCH($B126,Régions!$A$2:$A$6,0))</x:f>
        <x:v>#NAME?</x:v>
      </x:c>
      <x:c r="AI126" s="97" t="e">
        <x:f>D126*INDEX(Régions!$AF$2:$AF$6,MATCH($B126,Régions!$A$2:$A$6,0))</x:f>
        <x:v>#NAME?</x:v>
      </x:c>
      <x:c r="AJ126" s="97" t="e">
        <x:f>E126*INDEX(Régions!$AG$2:$AG$6,MATCH($B126,Régions!$A$2:$A$6,0))</x:f>
        <x:v>#NAME?</x:v>
      </x:c>
      <x:c r="AK126" s="97" t="e">
        <x:f>F126*INDEX(Régions!$AH$2:$AH$6,MATCH($B126,Régions!$A$2:$A$6,0))</x:f>
        <x:v>#NAME?</x:v>
      </x:c>
      <x:c r="AL126" s="97" t="e">
        <x:f>G126*INDEX(Régions!$AI$2:$AI$6,MATCH($B126,Régions!$A$2:$A$6,0))</x:f>
        <x:v>#NAME?</x:v>
      </x:c>
      <x:c r="AM126" s="97" t="e">
        <x:f>H126*INDEX(Régions!$AJ$2:$AJ$6,MATCH($B126,Régions!$A$2:$A$6,0))</x:f>
        <x:v>#NAME?</x:v>
      </x:c>
      <x:c r="AN126" s="97" t="e">
        <x:f>I126*INDEX(Régions!$AK$2:$AK$6,MATCH($B126,Régions!$A$2:$A$6,0))</x:f>
        <x:v>#NAME?</x:v>
      </x:c>
      <x:c r="AO126" s="99" t="str">
        <x:f>INDEX({"CAQ","PLQ","QS","PQ","PCQ","Autre"},MATCH(MAX(Q126:V126),Q126:V126,0))</x:f>
        <x:v>CAQ</x:v>
      </x:c>
      <x:c r="AP126" s="99" t="str">
        <x:f>INDEX({"CAQ","PLQ","QS","PQ","PCQ","Autre"},MATCH(MAX(W126:AB126),W126:AB126,0))</x:f>
        <x:v>CAQ</x:v>
      </x:c>
      <x:c r="AQ126" s="99" t="str">
        <x:f>INDEX({"CAQ","PLQ","QS","PQ","PCQ","Autre"},MATCH(MAX(AC126:AH126),AC126:AH126,0))</x:f>
        <x:v>CAQ</x:v>
      </x:c>
      <x:c r="AR126" s="99" t="str">
        <x:f>INDEX({"CAQ","PLQ","QS","PQ","PCQ","Autre"},MATCH(MAX(AI126:AN126),AI126:AN126,0))</x:f>
        <x:v>CAQ</x:v>
      </x:c>
      <x:c r="AS126" s="100" t="n">
        <x:f>(MAX(K126:P126)-LARGE(K126:P126,2))*100</x:f>
        <x:v>4.429845143125294</x:v>
      </x:c>
      <x:c r="AT126" s="101" t="str">
        <x:f>IF(AS126&lt;5,"Oui","Non")</x:f>
        <x:v>Oui</x:v>
      </x:c>
      <x:c r="AU126" s="102" t="n">
        <x:v>-3.721</x:v>
      </x:c>
      <x:c r="AV126" s="102" t="n">
        <x:v>0.066</x:v>
      </x:c>
      <x:c r="AW126" s="102" t="n">
        <x:v>0.657</x:v>
      </x:c>
      <x:c r="AX126" s="102" t="n">
        <x:v>1.183</x:v>
      </x:c>
      <x:c r="AY126" s="96" t="n">
        <x:v>10907</x:v>
      </x:c>
      <x:c r="AZ126" s="96" t="n">
        <x:v>11474</x:v>
      </x:c>
      <x:c r="BA126" s="96" t="n">
        <x:v>3602</x:v>
      </x:c>
      <x:c r="BB126" s="96" t="n">
        <x:v>3875</x:v>
      </x:c>
      <x:c r="BC126" s="96" t="n">
        <x:v>1419</x:v>
      </x:c>
      <x:c r="BD126" s="97" t="e">
        <x:f>AY126*INDEX(Régions!$AQ$2:$AQ$6,MATCH($B126,Régions!$A$2:$A$6,0))</x:f>
        <x:v>#NAME?</x:v>
      </x:c>
      <x:c r="BE126" s="97" t="e">
        <x:f>AZ126*INDEX(Régions!$AR$2:$AR$6,MATCH($B126,Régions!$A$2:$A$6,0))</x:f>
        <x:v>#NAME?</x:v>
      </x:c>
      <x:c r="BF126" s="97" t="e">
        <x:f>BA126*INDEX(Régions!$AS$2:$AS$6,MATCH($B126,Régions!$A$2:$A$6,0))</x:f>
        <x:v>#NAME?</x:v>
      </x:c>
      <x:c r="BG126" s="97" t="e">
        <x:f>BB126*INDEX(Régions!$AT$2:$AT$6,MATCH($B126,Régions!$A$2:$A$6,0))</x:f>
        <x:v>#NAME?</x:v>
      </x:c>
      <x:c r="BH126" s="97" t="e">
        <x:f>U126</x:f>
        <x:v>#NAME?</x:v>
      </x:c>
      <x:c r="BI126" s="97" t="e">
        <x:f>BC126*INDEX(Régions!$AU$2:$AU$6,MATCH($B126,Régions!$A$2:$A$6,0))</x:f>
        <x:v>#NAME?</x:v>
      </x:c>
      <x:c r="BJ126" s="97" t="str">
        <x:f>INDEX({"CAQ","PLQ","QS","PQ","PCQ","Autre"},MATCH(MAX(BD126:BI126),BD126:BI126,0))</x:f>
        <x:v>CAQ</x:v>
      </x:c>
    </x:row>
    <x:row r="127">
      <x:c r="A127" s="94" t="inlineStr">
        <x:is>
          <x:t xml:space="preserve">Westmount–Saint-Louis</x:t>
        </x:is>
      </x:c>
      <x:c r="B127" s="94" t="inlineStr">
        <x:is>
          <x:t xml:space="preserve">Île de Montréal</x:t>
        </x:is>
      </x:c>
      <x:c r="C127" s="95" t="inlineStr">
        <x:is>
          <x:t xml:space="preserve">PLQ</x:t>
        </x:is>
      </x:c>
      <x:c r="D127" s="96" t="n">
        <x:v>2112</x:v>
      </x:c>
      <x:c r="E127" s="96" t="n">
        <x:v>10576</x:v>
      </x:c>
      <x:c r="F127" s="96" t="n">
        <x:v>2687</x:v>
      </x:c>
      <x:c r="G127" s="96" t="n">
        <x:v>1267</x:v>
      </x:c>
      <x:c r="H127" s="96" t="n">
        <x:v>2959</x:v>
      </x:c>
      <x:c r="I127" s="96" t="n">
        <x:v>1351</x:v>
      </x:c>
      <x:c r="J127" s="97" t="n">
        <x:f>SUM(D127:I127)</x:f>
        <x:v>20952</x:v>
      </x:c>
      <x:c r="K127" s="98" t="n">
        <x:f>IFERROR(D127/J127,0)</x:f>
        <x:v>0.10080183276059565</x:v>
      </x:c>
      <x:c r="L127" s="98" t="n">
        <x:f>IFERROR(E127/J127,0)</x:f>
        <x:v>0.5047728140511646</x:v>
      </x:c>
      <x:c r="M127" s="98" t="n">
        <x:f>IFERROR(F127/J127,0)</x:f>
        <x:v>0.1282455135547919</x:v>
      </x:c>
      <x:c r="N127" s="98" t="n">
        <x:f>IFERROR(G127/J127,0)</x:f>
        <x:v>0.06047155402825506</x:v>
      </x:c>
      <x:c r="O127" s="98" t="n">
        <x:f>IFERROR(H127/J127,0)</x:f>
        <x:v>0.14122756777395953</x:v>
      </x:c>
      <x:c r="P127" s="98" t="n">
        <x:f>IFERROR(I127/J127,0)</x:f>
        <x:v>0.0644807178312333</x:v>
      </x:c>
      <x:c r="Q127" s="97" t="e">
        <x:f>D127*INDEX(Régions!$T$2:$T$6,MATCH($B127,Régions!$A$2:$A$6,0))</x:f>
        <x:v>#NAME?</x:v>
      </x:c>
      <x:c r="R127" s="97" t="e">
        <x:f>E127*INDEX(Régions!$U$2:$U$6,MATCH($B127,Régions!$A$2:$A$6,0))</x:f>
        <x:v>#NAME?</x:v>
      </x:c>
      <x:c r="S127" s="97" t="e">
        <x:f>F127*INDEX(Régions!$V$2:$V$6,MATCH($B127,Régions!$A$2:$A$6,0))</x:f>
        <x:v>#NAME?</x:v>
      </x:c>
      <x:c r="T127" s="97" t="e">
        <x:f>G127*INDEX(Régions!$W$2:$W$6,MATCH($B127,Régions!$A$2:$A$6,0))</x:f>
        <x:v>#NAME?</x:v>
      </x:c>
      <x:c r="U127" s="97" t="e">
        <x:f>H127*INDEX(Régions!$X$2:$X$6,MATCH($B127,Régions!$A$2:$A$6,0))</x:f>
        <x:v>#NAME?</x:v>
      </x:c>
      <x:c r="V127" s="97" t="e">
        <x:f>I127*INDEX(Régions!$Y$2:$Y$6,MATCH($B127,Régions!$A$2:$A$6,0))</x:f>
        <x:v>#NAME?</x:v>
      </x:c>
      <x:c r="W127" s="97" t="e">
        <x:f>Q127+(AU127/100)*J127*Régions!$O$2</x:f>
        <x:v>#NAME?</x:v>
      </x:c>
      <x:c r="X127" s="97" t="e">
        <x:f>R127+(AV127/100)*J127*Régions!$O$2</x:f>
        <x:v>#NAME?</x:v>
      </x:c>
      <x:c r="Y127" s="97" t="e">
        <x:f>S127+(AW127/100)*J127*Régions!$O$2</x:f>
        <x:v>#NAME?</x:v>
      </x:c>
      <x:c r="Z127" s="97" t="e">
        <x:f>T127+(AX127/100)*J127*Régions!$O$2</x:f>
        <x:v>#NAME?</x:v>
      </x:c>
      <x:c r="AA127" s="97" t="e">
        <x:f>U127</x:f>
        <x:v>#NAME?</x:v>
      </x:c>
      <x:c r="AB127" s="97" t="e">
        <x:f>V127</x:f>
        <x:v>#NAME?</x:v>
      </x:c>
      <x:c r="AC127" s="97" t="e">
        <x:f>D127*INDEX(Régions!$Z$2:$Z$6,MATCH($B127,Régions!$A$2:$A$6,0))</x:f>
        <x:v>#NAME?</x:v>
      </x:c>
      <x:c r="AD127" s="97" t="e">
        <x:f>E127*INDEX(Régions!$AA$2:$AA$6,MATCH($B127,Régions!$A$2:$A$6,0))</x:f>
        <x:v>#NAME?</x:v>
      </x:c>
      <x:c r="AE127" s="97" t="e">
        <x:f>F127*INDEX(Régions!$AB$2:$AB$6,MATCH($B127,Régions!$A$2:$A$6,0))</x:f>
        <x:v>#NAME?</x:v>
      </x:c>
      <x:c r="AF127" s="97" t="e">
        <x:f>G127*INDEX(Régions!$AC$2:$AC$6,MATCH($B127,Régions!$A$2:$A$6,0))</x:f>
        <x:v>#NAME?</x:v>
      </x:c>
      <x:c r="AG127" s="97" t="e">
        <x:f>H127*INDEX(Régions!$AD$2:$AD$6,MATCH($B127,Régions!$A$2:$A$6,0))</x:f>
        <x:v>#NAME?</x:v>
      </x:c>
      <x:c r="AH127" s="97" t="e">
        <x:f>I127*INDEX(Régions!$AE$2:$AE$6,MATCH($B127,Régions!$A$2:$A$6,0))</x:f>
        <x:v>#NAME?</x:v>
      </x:c>
      <x:c r="AI127" s="97" t="e">
        <x:f>D127*INDEX(Régions!$AF$2:$AF$6,MATCH($B127,Régions!$A$2:$A$6,0))</x:f>
        <x:v>#NAME?</x:v>
      </x:c>
      <x:c r="AJ127" s="97" t="e">
        <x:f>E127*INDEX(Régions!$AG$2:$AG$6,MATCH($B127,Régions!$A$2:$A$6,0))</x:f>
        <x:v>#NAME?</x:v>
      </x:c>
      <x:c r="AK127" s="97" t="e">
        <x:f>F127*INDEX(Régions!$AH$2:$AH$6,MATCH($B127,Régions!$A$2:$A$6,0))</x:f>
        <x:v>#NAME?</x:v>
      </x:c>
      <x:c r="AL127" s="97" t="e">
        <x:f>G127*INDEX(Régions!$AI$2:$AI$6,MATCH($B127,Régions!$A$2:$A$6,0))</x:f>
        <x:v>#NAME?</x:v>
      </x:c>
      <x:c r="AM127" s="97" t="e">
        <x:f>H127*INDEX(Régions!$AJ$2:$AJ$6,MATCH($B127,Régions!$A$2:$A$6,0))</x:f>
        <x:v>#NAME?</x:v>
      </x:c>
      <x:c r="AN127" s="97" t="e">
        <x:f>I127*INDEX(Régions!$AK$2:$AK$6,MATCH($B127,Régions!$A$2:$A$6,0))</x:f>
        <x:v>#NAME?</x:v>
      </x:c>
      <x:c r="AO127" s="99" t="str">
        <x:f>INDEX({"CAQ","PLQ","QS","PQ","PCQ","Autre"},MATCH(MAX(Q127:V127),Q127:V127,0))</x:f>
        <x:v>CAQ</x:v>
      </x:c>
      <x:c r="AP127" s="99" t="str">
        <x:f>INDEX({"CAQ","PLQ","QS","PQ","PCQ","Autre"},MATCH(MAX(W127:AB127),W127:AB127,0))</x:f>
        <x:v>CAQ</x:v>
      </x:c>
      <x:c r="AQ127" s="99" t="str">
        <x:f>INDEX({"CAQ","PLQ","QS","PQ","PCQ","Autre"},MATCH(MAX(AC127:AH127),AC127:AH127,0))</x:f>
        <x:v>CAQ</x:v>
      </x:c>
      <x:c r="AR127" s="99" t="str">
        <x:f>INDEX({"CAQ","PLQ","QS","PQ","PCQ","Autre"},MATCH(MAX(AI127:AN127),AI127:AN127,0))</x:f>
        <x:v>CAQ</x:v>
      </x:c>
      <x:c r="AS127" s="100" t="n">
        <x:f>(MAX(K127:P127)-LARGE(K127:P127,2))*100</x:f>
        <x:v>36.35452462772051</x:v>
      </x:c>
      <x:c r="AT127" s="101" t="str">
        <x:f>IF(AS127&lt;5,"Oui","Non")</x:f>
        <x:v>Non</x:v>
      </x:c>
      <x:c r="AU127" s="102" t="n">
        <x:v>-1.704</x:v>
      </x:c>
      <x:c r="AV127" s="102" t="n">
        <x:v>-7.402</x:v>
      </x:c>
      <x:c r="AW127" s="102" t="n">
        <x:v>1.826</x:v>
      </x:c>
      <x:c r="AX127" s="102" t="n">
        <x:v>2.134</x:v>
      </x:c>
      <x:c r="AY127" s="96" t="n">
        <x:v>2110</x:v>
      </x:c>
      <x:c r="AZ127" s="96" t="n">
        <x:v>14547</x:v>
      </x:c>
      <x:c r="BA127" s="96" t="n">
        <x:v>2236</x:v>
      </x:c>
      <x:c r="BB127" s="96" t="n">
        <x:v>1105</x:v>
      </x:c>
      <x:c r="BC127" s="96" t="n">
        <x:v>1807</x:v>
      </x:c>
      <x:c r="BD127" s="97" t="e">
        <x:f>AY127*INDEX(Régions!$AQ$2:$AQ$6,MATCH($B127,Régions!$A$2:$A$6,0))</x:f>
        <x:v>#NAME?</x:v>
      </x:c>
      <x:c r="BE127" s="97" t="e">
        <x:f>AZ127*INDEX(Régions!$AR$2:$AR$6,MATCH($B127,Régions!$A$2:$A$6,0))</x:f>
        <x:v>#NAME?</x:v>
      </x:c>
      <x:c r="BF127" s="97" t="e">
        <x:f>BA127*INDEX(Régions!$AS$2:$AS$6,MATCH($B127,Régions!$A$2:$A$6,0))</x:f>
        <x:v>#NAME?</x:v>
      </x:c>
      <x:c r="BG127" s="97" t="e">
        <x:f>BB127*INDEX(Régions!$AT$2:$AT$6,MATCH($B127,Régions!$A$2:$A$6,0))</x:f>
        <x:v>#NAME?</x:v>
      </x:c>
      <x:c r="BH127" s="97" t="e">
        <x:f>U127</x:f>
        <x:v>#NAME?</x:v>
      </x:c>
      <x:c r="BI127" s="97" t="e">
        <x:f>BC127*INDEX(Régions!$AU$2:$AU$6,MATCH($B127,Régions!$A$2:$A$6,0))</x:f>
        <x:v>#NAME?</x:v>
      </x:c>
      <x:c r="BJ127" s="97" t="str">
        <x:f>INDEX({"CAQ","PLQ","QS","PQ","PCQ","Autre"},MATCH(MAX(BD127:BI127),BD127:BI127,0))</x:f>
        <x:v>CAQ</x:v>
      </x:c>
    </x:row>
    <x:row r="128">
      <x:c r="A128" s="94" t="inlineStr">
        <x:is>
          <x:t xml:space="preserve">Îles-de-la-Madeleine</x:t>
        </x:is>
      </x:c>
      <x:c r="B128" s="94" t="inlineStr">
        <x:is>
          <x:t xml:space="preserve">Reste du Québec</x:t>
        </x:is>
      </x:c>
      <x:c r="C128" s="95" t="inlineStr">
        <x:is>
          <x:t xml:space="preserve">PQ</x:t>
        </x:is>
      </x:c>
      <x:c r="D128" s="96" t="n">
        <x:v>3338</x:v>
      </x:c>
      <x:c r="E128" s="96" t="n">
        <x:v>606</x:v>
      </x:c>
      <x:c r="F128" s="96" t="n">
        <x:v>450</x:v>
      </x:c>
      <x:c r="G128" s="96" t="n">
        <x:v>3877</x:v>
      </x:c>
      <x:c r="H128" s="96" t="n">
        <x:v>93</x:v>
      </x:c>
      <x:c r="I128" s="96" t="n">
        <x:v>0</x:v>
      </x:c>
      <x:c r="J128" s="97" t="n">
        <x:f>SUM(D128:I128)</x:f>
        <x:v>8364</x:v>
      </x:c>
      <x:c r="K128" s="98" t="n">
        <x:f>IFERROR(D128/J128,0)</x:f>
        <x:v>0.39909134385461503</x:v>
      </x:c>
      <x:c r="L128" s="98" t="n">
        <x:f>IFERROR(E128/J128,0)</x:f>
        <x:v>0.07245337159253945</x:v>
      </x:c>
      <x:c r="M128" s="98" t="n">
        <x:f>IFERROR(F128/J128,0)</x:f>
        <x:v>0.05380200860832138</x:v>
      </x:c>
      <x:c r="N128" s="98" t="n">
        <x:f>IFERROR(G128/J128,0)</x:f>
        <x:v>0.4635341941654711</x:v>
      </x:c>
      <x:c r="O128" s="98" t="n">
        <x:f>IFERROR(H128/J128,0)</x:f>
        <x:v>0.011119081779053085</x:v>
      </x:c>
      <x:c r="P128" s="98" t="n">
        <x:f>IFERROR(I128/J128,0)</x:f>
        <x:v>0</x:v>
      </x:c>
      <x:c r="Q128" s="97" t="e">
        <x:f>D128*INDEX(Régions!$T$2:$T$6,MATCH($B128,Régions!$A$2:$A$6,0))</x:f>
        <x:v>#NAME?</x:v>
      </x:c>
      <x:c r="R128" s="97" t="e">
        <x:f>E128*INDEX(Régions!$U$2:$U$6,MATCH($B128,Régions!$A$2:$A$6,0))</x:f>
        <x:v>#NAME?</x:v>
      </x:c>
      <x:c r="S128" s="97" t="e">
        <x:f>F128*INDEX(Régions!$V$2:$V$6,MATCH($B128,Régions!$A$2:$A$6,0))</x:f>
        <x:v>#NAME?</x:v>
      </x:c>
      <x:c r="T128" s="97" t="e">
        <x:f>G128*INDEX(Régions!$W$2:$W$6,MATCH($B128,Régions!$A$2:$A$6,0))</x:f>
        <x:v>#NAME?</x:v>
      </x:c>
      <x:c r="U128" s="97" t="e">
        <x:f>H128*INDEX(Régions!$X$2:$X$6,MATCH($B128,Régions!$A$2:$A$6,0))</x:f>
        <x:v>#NAME?</x:v>
      </x:c>
      <x:c r="V128" s="97" t="e">
        <x:f>I128*INDEX(Régions!$Y$2:$Y$6,MATCH($B128,Régions!$A$2:$A$6,0))</x:f>
        <x:v>#NAME?</x:v>
      </x:c>
      <x:c r="W128" s="97" t="e">
        <x:f>Q128+(AU128/100)*J128*Régions!$O$2</x:f>
        <x:v>#NAME?</x:v>
      </x:c>
      <x:c r="X128" s="97" t="e">
        <x:f>R128+(AV128/100)*J128*Régions!$O$2</x:f>
        <x:v>#NAME?</x:v>
      </x:c>
      <x:c r="Y128" s="97" t="e">
        <x:f>S128+(AW128/100)*J128*Régions!$O$2</x:f>
        <x:v>#NAME?</x:v>
      </x:c>
      <x:c r="Z128" s="97" t="e">
        <x:f>T128+(AX128/100)*J128*Régions!$O$2</x:f>
        <x:v>#NAME?</x:v>
      </x:c>
      <x:c r="AA128" s="97" t="e">
        <x:f>U128</x:f>
        <x:v>#NAME?</x:v>
      </x:c>
      <x:c r="AB128" s="97" t="e">
        <x:f>V128</x:f>
        <x:v>#NAME?</x:v>
      </x:c>
      <x:c r="AC128" s="97" t="e">
        <x:f>D128*INDEX(Régions!$Z$2:$Z$6,MATCH($B128,Régions!$A$2:$A$6,0))</x:f>
        <x:v>#NAME?</x:v>
      </x:c>
      <x:c r="AD128" s="97" t="e">
        <x:f>E128*INDEX(Régions!$AA$2:$AA$6,MATCH($B128,Régions!$A$2:$A$6,0))</x:f>
        <x:v>#NAME?</x:v>
      </x:c>
      <x:c r="AE128" s="97" t="e">
        <x:f>F128*INDEX(Régions!$AB$2:$AB$6,MATCH($B128,Régions!$A$2:$A$6,0))</x:f>
        <x:v>#NAME?</x:v>
      </x:c>
      <x:c r="AF128" s="97" t="e">
        <x:f>G128*INDEX(Régions!$AC$2:$AC$6,MATCH($B128,Régions!$A$2:$A$6,0))</x:f>
        <x:v>#NAME?</x:v>
      </x:c>
      <x:c r="AG128" s="97" t="e">
        <x:f>H128*INDEX(Régions!$AD$2:$AD$6,MATCH($B128,Régions!$A$2:$A$6,0))</x:f>
        <x:v>#NAME?</x:v>
      </x:c>
      <x:c r="AH128" s="97" t="e">
        <x:f>I128*INDEX(Régions!$AE$2:$AE$6,MATCH($B128,Régions!$A$2:$A$6,0))</x:f>
        <x:v>#NAME?</x:v>
      </x:c>
      <x:c r="AI128" s="97" t="e">
        <x:f>D128*INDEX(Régions!$AF$2:$AF$6,MATCH($B128,Régions!$A$2:$A$6,0))</x:f>
        <x:v>#NAME?</x:v>
      </x:c>
      <x:c r="AJ128" s="97" t="e">
        <x:f>E128*INDEX(Régions!$AG$2:$AG$6,MATCH($B128,Régions!$A$2:$A$6,0))</x:f>
        <x:v>#NAME?</x:v>
      </x:c>
      <x:c r="AK128" s="97" t="e">
        <x:f>F128*INDEX(Régions!$AH$2:$AH$6,MATCH($B128,Régions!$A$2:$A$6,0))</x:f>
        <x:v>#NAME?</x:v>
      </x:c>
      <x:c r="AL128" s="97" t="e">
        <x:f>G128*INDEX(Régions!$AI$2:$AI$6,MATCH($B128,Régions!$A$2:$A$6,0))</x:f>
        <x:v>#NAME?</x:v>
      </x:c>
      <x:c r="AM128" s="97" t="e">
        <x:f>H128*INDEX(Régions!$AJ$2:$AJ$6,MATCH($B128,Régions!$A$2:$A$6,0))</x:f>
        <x:v>#NAME?</x:v>
      </x:c>
      <x:c r="AN128" s="97" t="e">
        <x:f>I128*INDEX(Régions!$AK$2:$AK$6,MATCH($B128,Régions!$A$2:$A$6,0))</x:f>
        <x:v>#NAME?</x:v>
      </x:c>
      <x:c r="AO128" s="99" t="str">
        <x:f>INDEX({"CAQ","PLQ","QS","PQ","PCQ","Autre"},MATCH(MAX(Q128:V128),Q128:V128,0))</x:f>
        <x:v>CAQ</x:v>
      </x:c>
      <x:c r="AP128" s="99" t="str">
        <x:f>INDEX({"CAQ","PLQ","QS","PQ","PCQ","Autre"},MATCH(MAX(W128:AB128),W128:AB128,0))</x:f>
        <x:v>CAQ</x:v>
      </x:c>
      <x:c r="AQ128" s="99" t="str">
        <x:f>INDEX({"CAQ","PLQ","QS","PQ","PCQ","Autre"},MATCH(MAX(AC128:AH128),AC128:AH128,0))</x:f>
        <x:v>CAQ</x:v>
      </x:c>
      <x:c r="AR128" s="99" t="str">
        <x:f>INDEX({"CAQ","PLQ","QS","PQ","PCQ","Autre"},MATCH(MAX(AI128:AN128),AI128:AN128,0))</x:f>
        <x:v>CAQ</x:v>
      </x:c>
      <x:c r="AS128" s="100" t="n">
        <x:f>(MAX(K128:P128)-LARGE(K128:P128,2))*100</x:f>
        <x:v>6.444285031085606</x:v>
      </x:c>
      <x:c r="AT128" s="101" t="str">
        <x:f>IF(AS128&lt;5,"Oui","Non")</x:f>
        <x:v>Non</x:v>
      </x:c>
      <x:c r="AU128" s="102" t="n">
        <x:v>24.62</x:v>
      </x:c>
      <x:c r="AV128" s="102" t="n">
        <x:v>-18.461</x:v>
      </x:c>
      <x:c r="AW128" s="102" t="n">
        <x:v>-7.184</x:v>
      </x:c>
      <x:c r="AX128" s="102" t="n">
        <x:v>11.685</x:v>
      </x:c>
      <x:c r="AY128" s="96" t="n">
        <x:v>714</x:v>
      </x:c>
      <x:c r="AZ128" s="96" t="n">
        <x:v>2940</x:v>
      </x:c>
      <x:c r="BA128" s="96" t="n">
        <x:v>1036</x:v>
      </x:c>
      <x:c r="BB128" s="96" t="n">
        <x:v>2955</x:v>
      </x:c>
      <x:c r="BC128" s="96" t="n">
        <x:v>0</x:v>
      </x:c>
      <x:c r="BD128" s="97" t="e">
        <x:f>AY128*INDEX(Régions!$AQ$2:$AQ$6,MATCH($B128,Régions!$A$2:$A$6,0))</x:f>
        <x:v>#NAME?</x:v>
      </x:c>
      <x:c r="BE128" s="97" t="e">
        <x:f>AZ128*INDEX(Régions!$AR$2:$AR$6,MATCH($B128,Régions!$A$2:$A$6,0))</x:f>
        <x:v>#NAME?</x:v>
      </x:c>
      <x:c r="BF128" s="97" t="e">
        <x:f>BA128*INDEX(Régions!$AS$2:$AS$6,MATCH($B128,Régions!$A$2:$A$6,0))</x:f>
        <x:v>#NAME?</x:v>
      </x:c>
      <x:c r="BG128" s="97" t="e">
        <x:f>BB128*INDEX(Régions!$AT$2:$AT$6,MATCH($B128,Régions!$A$2:$A$6,0))</x:f>
        <x:v>#NAME?</x:v>
      </x:c>
      <x:c r="BH128" s="97" t="e">
        <x:f>U128</x:f>
        <x:v>#NAME?</x:v>
      </x:c>
      <x:c r="BI128" s="97" t="e">
        <x:f>BC128*INDEX(Régions!$AU$2:$AU$6,MATCH($B128,Régions!$A$2:$A$6,0))</x:f>
        <x:v>#NAME?</x:v>
      </x:c>
      <x:c r="BJ128" s="97" t="str">
        <x:f>INDEX({"CAQ","PLQ","QS","PQ","PCQ","Autre"},MATCH(MAX(BD128:BI128),BD128:BI128,0))</x:f>
        <x:v>CAQ</x:v>
      </x:c>
    </x:row>
  </x:sheetData>
  <x:conditionalFormatting sqref="AO2:AR128">
    <x:cfRule type="expression" dxfId="0" priority="1">
      <x:formula>AO2="PQ"</x:formula>
    </x:cfRule>
    <x:cfRule type="expression" dxfId="1" priority="2">
      <x:formula>AO2="CAQ"</x:formula>
    </x:cfRule>
    <x:cfRule type="expression" dxfId="2" priority="3">
      <x:formula>AO2="PCQ"</x:formula>
    </x:cfRule>
    <x:cfRule type="expression" dxfId="3" priority="4">
      <x:formula>AO2="PLQ"</x:formula>
    </x:cfRule>
    <x:cfRule type="expression" dxfId="4" priority="5">
      <x:formula>AO2="QS"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2" style="59" customWidth="1"/>
    <x:col min="2" max="26" width="12" style="59" customWidth="1"/>
  </x:cols>
  <x:sheetData>
    <x:row r="1" s="60" customFormat="1" ht="30" customHeight="1">
      <x:c r="A1" s="84" t="inlineStr">
        <x:is>
          <x:t xml:space="preserve">Région</x:t>
        </x:is>
      </x:c>
      <x:c r="B1" s="84" t="inlineStr">
        <x:is>
          <x:t xml:space="preserve">Réf. CAQ%</x:t>
        </x:is>
      </x:c>
      <x:c r="C1" s="84" t="inlineStr">
        <x:is>
          <x:t xml:space="preserve">Réf. PLQ%</x:t>
        </x:is>
      </x:c>
      <x:c r="D1" s="84" t="inlineStr">
        <x:is>
          <x:t xml:space="preserve">Réf. QS%</x:t>
        </x:is>
      </x:c>
      <x:c r="E1" s="84" t="inlineStr">
        <x:is>
          <x:t xml:space="preserve">Réf. PQ%</x:t>
        </x:is>
      </x:c>
      <x:c r="F1" s="84" t="inlineStr">
        <x:is>
          <x:t xml:space="preserve">Réf. PCQ%</x:t>
        </x:is>
      </x:c>
      <x:c r="G1" s="84" t="inlineStr">
        <x:is>
          <x:t xml:space="preserve">Réf. Autre%</x:t>
        </x:is>
      </x:c>
      <x:c r="H1" s="84" t="inlineStr">
        <x:is>
          <x:t xml:space="preserve">Sond. CAQ</x:t>
        </x:is>
      </x:c>
      <x:c r="I1" s="84" t="inlineStr">
        <x:is>
          <x:t xml:space="preserve">Sond. PLQ</x:t>
        </x:is>
      </x:c>
      <x:c r="J1" s="84" t="inlineStr">
        <x:is>
          <x:t xml:space="preserve">Sond. QS</x:t>
        </x:is>
      </x:c>
      <x:c r="K1" s="84" t="inlineStr">
        <x:is>
          <x:t xml:space="preserve">Sond. PQ</x:t>
        </x:is>
      </x:c>
      <x:c r="L1" s="84" t="inlineStr">
        <x:is>
          <x:t xml:space="preserve">Sond. PCQ</x:t>
        </x:is>
      </x:c>
      <x:c r="M1" s="84" t="inlineStr">
        <x:is>
          <x:t xml:space="preserve">Sond. Autre</x:t>
        </x:is>
      </x:c>
      <x:c r="N1" s="84" t="inlineStr">
        <x:is>
          <x:t xml:space="preserve">Marge (pp)</x:t>
        </x:is>
      </x:c>
      <x:c r="O1" s="84" t="inlineStr">
        <x:is>
          <x:t xml:space="preserve">Facteur inertie</x:t>
        </x:is>
      </x:c>
      <x:c r="P1" s="84" t="n"/>
      <x:c r="Q1" s="84" t="n"/>
      <x:c r="R1" s="84" t="n"/>
      <x:c r="S1" s="84" t="n"/>
      <x:c r="T1" s="84" t="inlineStr">
        <x:is>
          <x:t xml:space="preserve">SwA CAQ</x:t>
        </x:is>
      </x:c>
      <x:c r="U1" s="84" t="inlineStr">
        <x:is>
          <x:t xml:space="preserve">SwA PLQ</x:t>
        </x:is>
      </x:c>
      <x:c r="V1" s="84" t="inlineStr">
        <x:is>
          <x:t xml:space="preserve">SwA QS</x:t>
        </x:is>
      </x:c>
      <x:c r="W1" s="84" t="inlineStr">
        <x:is>
          <x:t xml:space="preserve">SwA PQ</x:t>
        </x:is>
      </x:c>
      <x:c r="X1" s="84" t="inlineStr">
        <x:is>
          <x:t xml:space="preserve">SwA PCQ</x:t>
        </x:is>
      </x:c>
      <x:c r="Y1" s="84" t="inlineStr">
        <x:is>
          <x:t xml:space="preserve">SwA Autre</x:t>
        </x:is>
      </x:c>
      <x:c r="Z1" s="84" t="inlineStr">
        <x:is>
          <x:t xml:space="preserve">SwC CAQ</x:t>
        </x:is>
      </x:c>
      <x:c r="AA1" s="84" t="inlineStr">
        <x:is>
          <x:t xml:space="preserve">SwC PLQ</x:t>
        </x:is>
      </x:c>
      <x:c r="AB1" s="84" t="inlineStr">
        <x:is>
          <x:t xml:space="preserve">SwC QS</x:t>
        </x:is>
      </x:c>
      <x:c r="AC1" s="84" t="inlineStr">
        <x:is>
          <x:t xml:space="preserve">SwC PQ</x:t>
        </x:is>
      </x:c>
      <x:c r="AD1" s="84" t="inlineStr">
        <x:is>
          <x:t xml:space="preserve">SwC PCQ</x:t>
        </x:is>
      </x:c>
      <x:c r="AE1" s="84" t="inlineStr">
        <x:is>
          <x:t xml:space="preserve">SwC Autre</x:t>
        </x:is>
      </x:c>
      <x:c r="AF1" s="84" t="inlineStr">
        <x:is>
          <x:t xml:space="preserve">SwD CAQ</x:t>
        </x:is>
      </x:c>
      <x:c r="AG1" s="84" t="inlineStr">
        <x:is>
          <x:t xml:space="preserve">SwD PLQ</x:t>
        </x:is>
      </x:c>
      <x:c r="AH1" s="84" t="inlineStr">
        <x:is>
          <x:t xml:space="preserve">SwD QS</x:t>
        </x:is>
      </x:c>
      <x:c r="AI1" s="84" t="inlineStr">
        <x:is>
          <x:t xml:space="preserve">SwD PQ</x:t>
        </x:is>
      </x:c>
      <x:c r="AJ1" s="84" t="inlineStr">
        <x:is>
          <x:t xml:space="preserve">SwD PCQ</x:t>
        </x:is>
      </x:c>
      <x:c r="AK1" s="84" t="inlineStr">
        <x:is>
          <x:t xml:space="preserve">SwD Autre</x:t>
        </x:is>
      </x:c>
      <x:c r="AL1" s="84" t="inlineStr">
        <x:is>
          <x:t xml:space="preserve">Réf18 CAQ%</x:t>
        </x:is>
      </x:c>
      <x:c r="AM1" s="84" t="inlineStr">
        <x:is>
          <x:t xml:space="preserve">Réf18 PLQ%</x:t>
        </x:is>
      </x:c>
      <x:c r="AN1" s="84" t="inlineStr">
        <x:is>
          <x:t xml:space="preserve">Réf18 QS%</x:t>
        </x:is>
      </x:c>
      <x:c r="AO1" s="84" t="inlineStr">
        <x:is>
          <x:t xml:space="preserve">Réf18 PQ%</x:t>
        </x:is>
      </x:c>
      <x:c r="AP1" s="84" t="inlineStr">
        <x:is>
          <x:t xml:space="preserve">Réf18 Autre%</x:t>
        </x:is>
      </x:c>
      <x:c r="AQ1" s="84" t="inlineStr">
        <x:is>
          <x:t xml:space="preserve">SwE CAQ</x:t>
        </x:is>
      </x:c>
      <x:c r="AR1" s="84" t="inlineStr">
        <x:is>
          <x:t xml:space="preserve">SwE PLQ</x:t>
        </x:is>
      </x:c>
      <x:c r="AS1" s="84" t="inlineStr">
        <x:is>
          <x:t xml:space="preserve">SwE QS</x:t>
        </x:is>
      </x:c>
      <x:c r="AT1" s="84" t="inlineStr">
        <x:is>
          <x:t xml:space="preserve">SwE PQ</x:t>
        </x:is>
      </x:c>
      <x:c r="AU1" s="84" t="inlineStr">
        <x:is>
          <x:t xml:space="preserve">SwE Autre</x:t>
        </x:is>
      </x:c>
    </x:row>
    <x:row r="2" s="60" customFormat="1" ht="15" customHeight="1">
      <x:c r="A2" s="81" t="inlineStr">
        <x:is>
          <x:t xml:space="preserve">Montréal RMR</x:t>
        </x:is>
      </x:c>
      <x:c r="B2" s="103" t="n">
        <x:v>36.26</x:v>
      </x:c>
      <x:c r="C2" s="103" t="n">
        <x:v>21.22</x:v>
      </x:c>
      <x:c r="D2" s="103" t="n">
        <x:v>16.83</x:v>
      </x:c>
      <x:c r="E2" s="103" t="n">
        <x:v>13.61</x:v>
      </x:c>
      <x:c r="F2" s="103" t="n">
        <x:v>10.17</x:v>
      </x:c>
      <x:c r="G2" s="103" t="n">
        <x:v>1.92</x:v>
      </x:c>
      <x:c r="H2" s="104" t="n">
        <x:v>24.2</x:v>
      </x:c>
      <x:c r="I2" s="104" t="n">
        <x:v>25.6</x:v>
      </x:c>
      <x:c r="J2" s="104" t="n">
        <x:v>8.199999999999999</x:v>
      </x:c>
      <x:c r="K2" s="104" t="n">
        <x:v>29.3</x:v>
      </x:c>
      <x:c r="L2" s="104" t="n">
        <x:v>11.9</x:v>
      </x:c>
      <x:c r="M2" s="104" t="n">
        <x:v>0.8</x:v>
      </x:c>
      <x:c r="N2" s="105" t="n">
        <x:v>2.9</x:v>
      </x:c>
      <x:c r="O2" s="105" t="n">
        <x:v>0.5</x:v>
      </x:c>
      <x:c r="T2" s="106" t="n">
        <x:f>IFERROR(H2/B2,1)</x:f>
        <x:v>0.6674020959735245</x:v>
      </x:c>
      <x:c r="U2" s="106" t="n">
        <x:f>IFERROR(I2/C2,1)</x:f>
        <x:v>1.2064090480678606</x:v>
      </x:c>
      <x:c r="V2" s="106" t="n">
        <x:f>IFERROR(J2/D2,1)</x:f>
        <x:v>0.48722519310754603</x:v>
      </x:c>
      <x:c r="W2" s="106" t="n">
        <x:f>IFERROR(K2/E2,1)</x:f>
        <x:v>2.1528288023512125</x:v>
      </x:c>
      <x:c r="X2" s="106" t="n">
        <x:f>IFERROR(L2/F2,1)</x:f>
        <x:v>1.1701081612586037</x:v>
      </x:c>
      <x:c r="Y2" s="106" t="n">
        <x:f>IFERROR(M2/G2,1)</x:f>
        <x:v>0.4166666666666667</x:v>
      </x:c>
      <x:c r="Z2" s="106" t="n">
        <x:f>IFERROR((H2+$N$2)/B2,1)</x:f>
        <x:v>0.7473800330943188</x:v>
      </x:c>
      <x:c r="AA2" s="106" t="n">
        <x:f>IFERROR((I2+$N$2)/C2,1)</x:f>
        <x:v>1.3430725730442978</x:v>
      </x:c>
      <x:c r="AB2" s="106" t="n">
        <x:f>IFERROR((J2+$N$2)/D2,1)</x:f>
        <x:v>0.6595365418894831</x:v>
      </x:c>
      <x:c r="AC2" s="106" t="n">
        <x:f>IFERROR((K2+$N$2)/E2,1)</x:f>
        <x:v>2.3659074210139606</x:v>
      </x:c>
      <x:c r="AD2" s="106" t="n">
        <x:f>IFERROR((L2+$N$2)/F2,1)</x:f>
        <x:v>1.4552605703048183</x:v>
      </x:c>
      <x:c r="AE2" s="106" t="n">
        <x:f>IFERROR((M2+$N$2)/G2,1)</x:f>
        <x:v>1.9270833333333335</x:v>
      </x:c>
      <x:c r="AF2" s="106" t="n">
        <x:f>IFERROR(MAX((H2-$N$2),0)/B2,1)</x:f>
        <x:v>0.5874241588527304</x:v>
      </x:c>
      <x:c r="AG2" s="106" t="n">
        <x:f>IFERROR(MAX((I2-$N$2),0)/C2,1)</x:f>
        <x:v>1.0697455230914235</x:v>
      </x:c>
      <x:c r="AH2" s="106" t="n">
        <x:f>IFERROR(MAX((J2-$N$2),0)/D2,1)</x:f>
        <x:v>0.314913844325609</x:v>
      </x:c>
      <x:c r="AI2" s="106" t="n">
        <x:f>IFERROR(MAX((K2-$N$2),0)/E2,1)</x:f>
        <x:v>1.9397501836884645</x:v>
      </x:c>
      <x:c r="AJ2" s="106" t="n">
        <x:f>IFERROR(MAX((L2-$N$2),0)/F2,1)</x:f>
        <x:v>0.8849557522123894</x:v>
      </x:c>
      <x:c r="AK2" s="106" t="n">
        <x:f>IFERROR(MAX((M2-$N$2),0)/G2,1)</x:f>
        <x:v>0</x:v>
      </x:c>
    </x:row>
    <x:row r="3" s="60" customFormat="1" ht="15" customHeight="1">
      <x:c r="A3" s="81" t="inlineStr">
        <x:is>
          <x:t xml:space="preserve">Île de Montréal</x:t>
        </x:is>
      </x:c>
      <x:c r="B3" s="103" t="n">
        <x:v>20.01</x:v>
      </x:c>
      <x:c r="C3" s="103" t="n">
        <x:v>34.06</x:v>
      </x:c>
      <x:c r="D3" s="103" t="n">
        <x:v>22.15</x:v>
      </x:c>
      <x:c r="E3" s="103" t="n">
        <x:v>10.67</x:v>
      </x:c>
      <x:c r="F3" s="103" t="n">
        <x:v>9.970000000000001</x:v>
      </x:c>
      <x:c r="G3" s="103" t="n">
        <x:v>3.13</x:v>
      </x:c>
      <x:c r="H3" s="104" t="n">
        <x:v>10.4</x:v>
      </x:c>
      <x:c r="I3" s="104" t="n">
        <x:v>34.5</x:v>
      </x:c>
      <x:c r="J3" s="104" t="n">
        <x:v>14</x:v>
      </x:c>
      <x:c r="K3" s="104" t="n">
        <x:v>26.6</x:v>
      </x:c>
      <x:c r="L3" s="104" t="n">
        <x:v>14.2</x:v>
      </x:c>
      <x:c r="M3" s="104" t="n">
        <x:v>0.3</x:v>
      </x:c>
      <x:c r="N3" s="107" t="inlineStr">
        <x:is>
          <x:t xml:space="preserve">← modifier ici</x:t>
        </x:is>
      </x:c>
      <x:c r="O3" s="107" t="inlineStr">
        <x:is>
          <x:t xml:space="preserve">← modifier ici</x:t>
        </x:is>
      </x:c>
      <x:c r="T3" s="106" t="n">
        <x:f>IFERROR(H3/B3,1)</x:f>
        <x:v>0.5197401299350325</x:v>
      </x:c>
      <x:c r="U3" s="106" t="n">
        <x:f>IFERROR(I3/C3,1)</x:f>
        <x:v>1.012918379330593</x:v>
      </x:c>
      <x:c r="V3" s="106" t="n">
        <x:f>IFERROR(J3/D3,1)</x:f>
        <x:v>0.6320541760722348</x:v>
      </x:c>
      <x:c r="W3" s="106" t="n">
        <x:f>IFERROR(K3/E3,1)</x:f>
        <x:v>2.4929709465791943</x:v>
      </x:c>
      <x:c r="X3" s="106" t="n">
        <x:f>IFERROR(L3/F3,1)</x:f>
        <x:v>1.424272818455366</x:v>
      </x:c>
      <x:c r="Y3" s="106" t="n">
        <x:f>IFERROR(M3/G3,1)</x:f>
        <x:v>0.09584664536741214</x:v>
      </x:c>
      <x:c r="Z3" s="106" t="n">
        <x:f>IFERROR((H3+$N$2)/B3,1)</x:f>
        <x:v>0.6646676661669165</x:v>
      </x:c>
      <x:c r="AA3" s="106" t="n">
        <x:f>IFERROR((I3+$N$2)/C3,1)</x:f>
        <x:v>1.098062243100411</x:v>
      </x:c>
      <x:c r="AB3" s="106" t="n">
        <x:f>IFERROR((J3+$N$2)/D3,1)</x:f>
        <x:v>0.7629796839729119</x:v>
      </x:c>
      <x:c r="AC3" s="106" t="n">
        <x:f>IFERROR((K3+$N$2)/E3,1)</x:f>
        <x:v>2.7647610121836927</x:v>
      </x:c>
      <x:c r="AD3" s="106" t="n">
        <x:f>IFERROR((L3+$N$2)/F3,1)</x:f>
        <x:v>1.7151454363089265</x:v>
      </x:c>
      <x:c r="AE3" s="106" t="n">
        <x:f>IFERROR((M3+$N$2)/G3,1)</x:f>
        <x:v>1.0223642172523961</x:v>
      </x:c>
      <x:c r="AF3" s="106" t="n">
        <x:f>IFERROR(MAX((H3-$N$2),0)/B3,1)</x:f>
        <x:v>0.3748125937031484</x:v>
      </x:c>
      <x:c r="AG3" s="106" t="n">
        <x:f>IFERROR(MAX((I3-$N$2),0)/C3,1)</x:f>
        <x:v>0.9277745155607751</x:v>
      </x:c>
      <x:c r="AH3" s="106" t="n">
        <x:f>IFERROR(MAX((J3-$N$2),0)/D3,1)</x:f>
        <x:v>0.5011286681715575</x:v>
      </x:c>
      <x:c r="AI3" s="106" t="n">
        <x:f>IFERROR(MAX((K3-$N$2),0)/E3,1)</x:f>
        <x:v>2.221180880974696</x:v>
      </x:c>
      <x:c r="AJ3" s="106" t="n">
        <x:f>IFERROR(MAX((L3-$N$2),0)/F3,1)</x:f>
        <x:v>1.1334002006018051</x:v>
      </x:c>
      <x:c r="AK3" s="106" t="n">
        <x:f>IFERROR(MAX((M3-$N$2),0)/G3,1)</x:f>
        <x:v>0</x:v>
      </x:c>
      <x:c r="AL3" s="103" t="n">
        <x:v>18.01</x:v>
      </x:c>
      <x:c r="AM3" s="103" t="n">
        <x:v>42.46</x:v>
      </x:c>
      <x:c r="AN3" s="103" t="n">
        <x:v>21.66</x:v>
      </x:c>
      <x:c r="AO3" s="103" t="n">
        <x:v>11.91</x:v>
      </x:c>
      <x:c r="AP3" s="103" t="n">
        <x:v>5.96</x:v>
      </x:c>
      <x:c r="AQ3" s="106" t="n">
        <x:f>IFERROR(H3/AL3,1)</x:f>
        <x:v>0.5774569683509161</x:v>
      </x:c>
      <x:c r="AR3" s="106" t="n">
        <x:f>IFERROR(I3/AM3,1)</x:f>
        <x:v>0.8125294394724446</x:v>
      </x:c>
      <x:c r="AS3" s="106" t="n">
        <x:f>IFERROR(J3/AN3,1)</x:f>
        <x:v>0.6463527239150508</x:v>
      </x:c>
      <x:c r="AT3" s="106" t="n">
        <x:f>IFERROR(K3/AO3,1)</x:f>
        <x:v>2.2334172963895886</x:v>
      </x:c>
      <x:c r="AU3" s="106" t="n">
        <x:f>IFERROR(M3/AP3,1)</x:f>
        <x:v>0.050335570469798654</x:v>
      </x:c>
    </x:row>
    <x:row r="4" s="60" customFormat="1" ht="15" customHeight="1">
      <x:c r="A4" s="81" t="inlineStr">
        <x:is>
          <x:t xml:space="preserve">Banlieue de Montréal</x:t>
        </x:is>
      </x:c>
      <x:c r="B4" s="103" t="n">
        <x:v>45.27</x:v>
      </x:c>
      <x:c r="C4" s="103" t="n">
        <x:v>14.09</x:v>
      </x:c>
      <x:c r="D4" s="103" t="n">
        <x:v>13.88</x:v>
      </x:c>
      <x:c r="E4" s="103" t="n">
        <x:v>15.24</x:v>
      </x:c>
      <x:c r="F4" s="103" t="n">
        <x:v>10.28</x:v>
      </x:c>
      <x:c r="G4" s="103" t="n">
        <x:v>1.24</x:v>
      </x:c>
      <x:c r="H4" s="104" t="n">
        <x:v>33.4</x:v>
      </x:c>
      <x:c r="I4" s="104" t="n">
        <x:v>19.6</x:v>
      </x:c>
      <x:c r="J4" s="104" t="n">
        <x:v>4.4</x:v>
      </x:c>
      <x:c r="K4" s="104" t="n">
        <x:v>31.2</x:v>
      </x:c>
      <x:c r="L4" s="104" t="n">
        <x:v>10.3</x:v>
      </x:c>
      <x:c r="M4" s="104" t="n">
        <x:v>1.1</x:v>
      </x:c>
      <x:c r="T4" s="106" t="n">
        <x:f>IFERROR(H4/B4,1)</x:f>
        <x:v>0.7377954495250717</x:v>
      </x:c>
      <x:c r="U4" s="106" t="n">
        <x:f>IFERROR(I4/C4,1)</x:f>
        <x:v>1.391057487579844</x:v>
      </x:c>
      <x:c r="V4" s="106" t="n">
        <x:f>IFERROR(J4/D4,1)</x:f>
        <x:v>0.3170028818443804</x:v>
      </x:c>
      <x:c r="W4" s="106" t="n">
        <x:f>IFERROR(K4/E4,1)</x:f>
        <x:v>2.047244094488189</x:v>
      </x:c>
      <x:c r="X4" s="106" t="n">
        <x:f>IFERROR(L4/F4,1)</x:f>
        <x:v>1.001945525291829</x:v>
      </x:c>
      <x:c r="Y4" s="106" t="n">
        <x:f>IFERROR(M4/G4,1)</x:f>
        <x:v>0.8870967741935485</x:v>
      </x:c>
      <x:c r="Z4" s="106" t="n">
        <x:f>IFERROR((H4+$N$2)/B4,1)</x:f>
        <x:v>0.8018555334658714</x:v>
      </x:c>
      <x:c r="AA4" s="106" t="n">
        <x:f>IFERROR((I4+$N$2)/C4,1)</x:f>
        <x:v>1.5968772178850248</x:v>
      </x:c>
      <x:c r="AB4" s="106" t="n">
        <x:f>IFERROR((J4+$N$2)/D4,1)</x:f>
        <x:v>0.5259365994236311</x:v>
      </x:c>
      <x:c r="AC4" s="106" t="n">
        <x:f>IFERROR((K4+$N$2)/E4,1)</x:f>
        <x:v>2.2375328083989503</x:v>
      </x:c>
      <x:c r="AD4" s="106" t="n">
        <x:f>IFERROR((L4+$N$2)/F4,1)</x:f>
        <x:v>1.284046692607004</x:v>
      </x:c>
      <x:c r="AE4" s="106" t="n">
        <x:f>IFERROR((M4+$N$2)/G4,1)</x:f>
        <x:v>3.2258064516129035</x:v>
      </x:c>
      <x:c r="AF4" s="106" t="n">
        <x:f>IFERROR(MAX((H4-$N$2),0)/B4,1)</x:f>
        <x:v>0.673735365584272</x:v>
      </x:c>
      <x:c r="AG4" s="106" t="n">
        <x:f>IFERROR(MAX((I4-$N$2),0)/C4,1)</x:f>
        <x:v>1.185237757274663</x:v>
      </x:c>
      <x:c r="AH4" s="106" t="n">
        <x:f>IFERROR(MAX((J4-$N$2),0)/D4,1)</x:f>
        <x:v>0.1080691642651297</x:v>
      </x:c>
      <x:c r="AI4" s="106" t="n">
        <x:f>IFERROR(MAX((K4-$N$2),0)/E4,1)</x:f>
        <x:v>1.856955380577428</x:v>
      </x:c>
      <x:c r="AJ4" s="106" t="n">
        <x:f>IFERROR(MAX((L4-$N$2),0)/F4,1)</x:f>
        <x:v>0.7198443579766538</x:v>
      </x:c>
      <x:c r="AK4" s="106" t="n">
        <x:f>IFERROR(MAX((M4-$N$2),0)/G4,1)</x:f>
        <x:v>0</x:v>
      </x:c>
      <x:c r="AL4" s="103" t="n">
        <x:v>42.09</x:v>
      </x:c>
      <x:c r="AM4" s="103" t="n">
        <x:v>20.94</x:v>
      </x:c>
      <x:c r="AN4" s="103" t="n">
        <x:v>14.6</x:v>
      </x:c>
      <x:c r="AO4" s="103" t="n">
        <x:v>18.31</x:v>
      </x:c>
      <x:c r="AP4" s="103" t="n">
        <x:v>4.06</x:v>
      </x:c>
      <x:c r="AQ4" s="106" t="n">
        <x:f>IFERROR(H4/AL4,1)</x:f>
        <x:v>0.7935376574008077</x:v>
      </x:c>
      <x:c r="AR4" s="106" t="n">
        <x:f>IFERROR(I4/AM4,1)</x:f>
        <x:v>0.936007640878701</x:v>
      </x:c>
      <x:c r="AS4" s="106" t="n">
        <x:f>IFERROR(J4/AN4,1)</x:f>
        <x:v>0.30136986301369867</x:v>
      </x:c>
      <x:c r="AT4" s="106" t="n">
        <x:f>IFERROR(K4/AO4,1)</x:f>
        <x:v>1.70398689240852</x:v>
      </x:c>
      <x:c r="AU4" s="106" t="n">
        <x:f>IFERROR(M4/AP4,1)</x:f>
        <x:v>0.27093596059113306</x:v>
      </x:c>
    </x:row>
    <x:row r="5" s="60" customFormat="1" ht="15" customHeight="1">
      <x:c r="A5" s="81" t="inlineStr">
        <x:is>
          <x:t xml:space="preserve">Québec RMR</x:t>
        </x:is>
      </x:c>
      <x:c r="B5" s="103" t="n">
        <x:v>43.15</x:v>
      </x:c>
      <x:c r="C5" s="103" t="n">
        <x:v>5.84</x:v>
      </x:c>
      <x:c r="D5" s="103" t="n">
        <x:v>15.27</x:v>
      </x:c>
      <x:c r="E5" s="103" t="n">
        <x:v>13.27</x:v>
      </x:c>
      <x:c r="F5" s="103" t="n">
        <x:v>21.42</x:v>
      </x:c>
      <x:c r="G5" s="103" t="n">
        <x:v>1.06</x:v>
      </x:c>
      <x:c r="H5" s="104" t="n">
        <x:v>24.4</x:v>
      </x:c>
      <x:c r="I5" s="104" t="n">
        <x:v>8.800000000000001</x:v>
      </x:c>
      <x:c r="J5" s="104" t="n">
        <x:v>9.300000000000001</x:v>
      </x:c>
      <x:c r="K5" s="104" t="n">
        <x:v>25.8</x:v>
      </x:c>
      <x:c r="L5" s="104" t="n">
        <x:v>31.6</x:v>
      </x:c>
      <x:c r="M5" s="104" t="n">
        <x:v>0</x:v>
      </x:c>
      <x:c r="T5" s="106" t="n">
        <x:f>IFERROR(H5/B5,1)</x:f>
        <x:v>0.5654692931633836</x:v>
      </x:c>
      <x:c r="U5" s="106" t="n">
        <x:f>IFERROR(I5/C5,1)</x:f>
        <x:v>1.5068493150684934</x:v>
      </x:c>
      <x:c r="V5" s="106" t="n">
        <x:f>IFERROR(J5/D5,1)</x:f>
        <x:v>0.6090373280943027</x:v>
      </x:c>
      <x:c r="W5" s="106" t="n">
        <x:f>IFERROR(K5/E5,1)</x:f>
        <x:v>1.944235116804823</x:v>
      </x:c>
      <x:c r="X5" s="106" t="n">
        <x:f>IFERROR(L5/F5,1)</x:f>
        <x:v>1.4752567693744163</x:v>
      </x:c>
      <x:c r="Y5" s="106" t="n">
        <x:f>IFERROR(M5/G5,1)</x:f>
        <x:v>0</x:v>
      </x:c>
      <x:c r="Z5" s="106" t="n">
        <x:f>IFERROR((H5+$N$2)/B5,1)</x:f>
        <x:v>0.6326767091541136</x:v>
      </x:c>
      <x:c r="AA5" s="106" t="n">
        <x:f>IFERROR((I5+$N$2)/C5,1)</x:f>
        <x:v>2.003424657534247</x:v>
      </x:c>
      <x:c r="AB5" s="106" t="n">
        <x:f>IFERROR((J5+$N$2)/D5,1)</x:f>
        <x:v>0.798952193844139</x:v>
      </x:c>
      <x:c r="AC5" s="106" t="n">
        <x:f>IFERROR((K5+$N$2)/E5,1)</x:f>
        <x:v>2.162773172569706</x:v>
      </x:c>
      <x:c r="AD5" s="106" t="n">
        <x:f>IFERROR((L5+$N$2)/F5,1)</x:f>
        <x:v>1.610644257703081</x:v>
      </x:c>
      <x:c r="AE5" s="106" t="n">
        <x:f>IFERROR((M5+$N$2)/G5,1)</x:f>
        <x:v>2.735849056603773</x:v>
      </x:c>
      <x:c r="AF5" s="106" t="n">
        <x:f>IFERROR(MAX((H5-$N$2),0)/B5,1)</x:f>
        <x:v>0.4982618771726536</x:v>
      </x:c>
      <x:c r="AG5" s="106" t="n">
        <x:f>IFERROR(MAX((I5-$N$2),0)/C5,1)</x:f>
        <x:v>1.0102739726027399</x:v>
      </x:c>
      <x:c r="AH5" s="106" t="n">
        <x:f>IFERROR(MAX((J5-$N$2),0)/D5,1)</x:f>
        <x:v>0.4191224623444663</x:v>
      </x:c>
      <x:c r="AI5" s="106" t="n">
        <x:f>IFERROR(MAX((K5-$N$2),0)/E5,1)</x:f>
        <x:v>1.72569706103994</x:v>
      </x:c>
      <x:c r="AJ5" s="106" t="n">
        <x:f>IFERROR(MAX((L5-$N$2),0)/F5,1)</x:f>
        <x:v>1.3398692810457518</x:v>
      </x:c>
      <x:c r="AK5" s="106" t="n">
        <x:f>IFERROR(MAX((M5-$N$2),0)/G5,1)</x:f>
        <x:v>0</x:v>
      </x:c>
      <x:c r="AL5" s="103" t="n">
        <x:v>45.85</x:v>
      </x:c>
      <x:c r="AM5" s="103" t="n">
        <x:v>20.75</x:v>
      </x:c>
      <x:c r="AN5" s="103" t="n">
        <x:v>16.04</x:v>
      </x:c>
      <x:c r="AO5" s="103" t="n">
        <x:v>11.4</x:v>
      </x:c>
      <x:c r="AP5" s="103" t="n">
        <x:v>5.96</x:v>
      </x:c>
      <x:c r="AQ5" s="106" t="n">
        <x:f>IFERROR(H5/AL5,1)</x:f>
        <x:v>0.5321701199563794</x:v>
      </x:c>
      <x:c r="AR5" s="106" t="n">
        <x:f>IFERROR(I5/AM5,1)</x:f>
        <x:v>0.4240963855421687</x:v>
      </x:c>
      <x:c r="AS5" s="106" t="n">
        <x:f>IFERROR(J5/AN5,1)</x:f>
        <x:v>0.5798004987531172</x:v>
      </x:c>
      <x:c r="AT5" s="106" t="n">
        <x:f>IFERROR(K5/AO5,1)</x:f>
        <x:v>2.263157894736842</x:v>
      </x:c>
      <x:c r="AU5" s="106" t="n">
        <x:f>IFERROR(M5/AP5,1)</x:f>
        <x:v>0</x:v>
      </x:c>
    </x:row>
    <x:row r="6" s="60" customFormat="1" ht="15" customHeight="1">
      <x:c r="A6" s="81" t="inlineStr">
        <x:is>
          <x:t xml:space="preserve">Reste du Québec</x:t>
        </x:is>
      </x:c>
      <x:c r="B6" s="103" t="n">
        <x:v>47.4</x:v>
      </x:c>
      <x:c r="C6" s="103" t="n">
        <x:v>6.99</x:v>
      </x:c>
      <x:c r="D6" s="103" t="n">
        <x:v>13.35</x:v>
      </x:c>
      <x:c r="E6" s="103" t="n">
        <x:v>16.59</x:v>
      </x:c>
      <x:c r="F6" s="103" t="n">
        <x:v>14.96</x:v>
      </x:c>
      <x:c r="G6" s="103" t="n">
        <x:v>0.71</x:v>
      </x:c>
      <x:c r="H6" s="104" t="n">
        <x:v>24.3</x:v>
      </x:c>
      <x:c r="I6" s="104" t="n">
        <x:v>18.4</x:v>
      </x:c>
      <x:c r="J6" s="104" t="n">
        <x:v>11.6</x:v>
      </x:c>
      <x:c r="K6" s="104" t="n">
        <x:v>28.1</x:v>
      </x:c>
      <x:c r="L6" s="104" t="n">
        <x:v>17.3</x:v>
      </x:c>
      <x:c r="M6" s="104" t="n">
        <x:v>0.2</x:v>
      </x:c>
      <x:c r="T6" s="106" t="n">
        <x:f>IFERROR(H6/B6,1)</x:f>
        <x:v>0.5126582278481013</x:v>
      </x:c>
      <x:c r="U6" s="106" t="n">
        <x:f>IFERROR(I6/C6,1)</x:f>
        <x:v>2.6323319027181684</x:v>
      </x:c>
      <x:c r="V6" s="106" t="n">
        <x:f>IFERROR(J6/D6,1)</x:f>
        <x:v>0.8689138576779026</x:v>
      </x:c>
      <x:c r="W6" s="106" t="n">
        <x:f>IFERROR(K6/E6,1)</x:f>
        <x:v>1.6937914406268837</x:v>
      </x:c>
      <x:c r="X6" s="106" t="n">
        <x:f>IFERROR(L6/F6,1)</x:f>
        <x:v>1.1564171122994653</x:v>
      </x:c>
      <x:c r="Y6" s="106" t="n">
        <x:f>IFERROR(M6/G6,1)</x:f>
        <x:v>0.28169014084507044</x:v>
      </x:c>
      <x:c r="Z6" s="106" t="n">
        <x:f>IFERROR((H6+$N$2)/B6,1)</x:f>
        <x:v>0.5738396624472574</x:v>
      </x:c>
      <x:c r="AA6" s="106" t="n">
        <x:f>IFERROR((I6+$N$2)/C6,1)</x:f>
        <x:v>3.047210300429184</x:v>
      </x:c>
      <x:c r="AB6" s="106" t="n">
        <x:f>IFERROR((J6+$N$2)/D6,1)</x:f>
        <x:v>1.0861423220973783</x:v>
      </x:c>
      <x:c r="AC6" s="106" t="n">
        <x:f>IFERROR((K6+$N$2)/E6,1)</x:f>
        <x:v>1.8685955394816154</x:v>
      </x:c>
      <x:c r="AD6" s="106" t="n">
        <x:f>IFERROR((L6+$N$2)/F6,1)</x:f>
        <x:v>1.3502673796791442</x:v>
      </x:c>
      <x:c r="AE6" s="106" t="n">
        <x:f>IFERROR((M6+$N$2)/G6,1)</x:f>
        <x:v>4.366197183098592</x:v>
      </x:c>
      <x:c r="AF6" s="106" t="n">
        <x:f>IFERROR(MAX((H6-$N$2),0)/B6,1)</x:f>
        <x:v>0.4514767932489452</x:v>
      </x:c>
      <x:c r="AG6" s="106" t="n">
        <x:f>IFERROR(MAX((I6-$N$2),0)/C6,1)</x:f>
        <x:v>2.217453505007153</x:v>
      </x:c>
      <x:c r="AH6" s="106" t="n">
        <x:f>IFERROR(MAX((J6-$N$2),0)/D6,1)</x:f>
        <x:v>0.6516853932584269</x:v>
      </x:c>
      <x:c r="AI6" s="106" t="n">
        <x:f>IFERROR(MAX((K6-$N$2),0)/E6,1)</x:f>
        <x:v>1.518987341772152</x:v>
      </x:c>
      <x:c r="AJ6" s="106" t="n">
        <x:f>IFERROR(MAX((L6-$N$2),0)/F6,1)</x:f>
        <x:v>0.9625668449197861</x:v>
      </x:c>
      <x:c r="AK6" s="106" t="n">
        <x:f>IFERROR(MAX((M6-$N$2),0)/G6,1)</x:f>
        <x:v>0</x:v>
      </x:c>
      <x:c r="AL6" s="103" t="n">
        <x:v>41.18</x:v>
      </x:c>
      <x:c r="AM6" s="103" t="n">
        <x:v>19.79</x:v>
      </x:c>
      <x:c r="AN6" s="103" t="n">
        <x:v>14.38</x:v>
      </x:c>
      <x:c r="AO6" s="103" t="n">
        <x:v>20.78</x:v>
      </x:c>
      <x:c r="AP6" s="103" t="n">
        <x:v>3.87</x:v>
      </x:c>
      <x:c r="AQ6" s="106" t="n">
        <x:f>IFERROR(H6/AL6,1)</x:f>
        <x:v>0.5900922778047596</x:v>
      </x:c>
      <x:c r="AR6" s="106" t="n">
        <x:f>IFERROR(I6/AM6,1)</x:f>
        <x:v>0.9297625063163213</x:v>
      </x:c>
      <x:c r="AS6" s="106" t="n">
        <x:f>IFERROR(J6/AN6,1)</x:f>
        <x:v>0.8066759388038942</x:v>
      </x:c>
      <x:c r="AT6" s="106" t="n">
        <x:f>IFERROR(K6/AO6,1)</x:f>
        <x:v>1.3522617901828682</x:v>
      </x:c>
      <x:c r="AU6" s="106" t="n">
        <x:f>IFERROR(M6/AP6,1)</x:f>
        <x:v>0.0516795865633075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2" style="59" customWidth="1"/>
    <x:col min="2" max="2" width="80" style="59" customWidth="1"/>
  </x:cols>
  <x:sheetData>
    <x:row r="1" s="60" customFormat="1" ht="15" customHeight="1">
      <x:c r="A1" s="63" t="inlineStr">
        <x:is>
          <x:t xml:space="preserve">Paramètre</x:t>
        </x:is>
      </x:c>
      <x:c r="B1" s="63" t="inlineStr">
        <x:is>
          <x:t xml:space="preserve">Description</x:t>
        </x:is>
      </x:c>
    </x:row>
    <x:row r="2" s="60" customFormat="1" ht="27.75" customHeight="1">
      <x:c r="A2" s="64" t="inlineStr">
        <x:is>
          <x:t xml:space="preserve">Modèle QC127 v4.0</x:t>
        </x:is>
      </x:c>
      <x:c r="B2" s="108" t="inlineStr">
        <x:is>
          <x:t xml:space="preserve">Projection électorale québécoise – 127 circonscriptions (nouvelle carte 2026), 4 scénarios</x:t>
        </x:is>
      </x:c>
    </x:row>
    <x:row r="3" s="60" customFormat="1" ht="27.75" customHeight="1">
      <x:c r="A3" s="64" t="inlineStr">
        <x:is>
          <x:t xml:space="preserve">Sondage</x:t>
        </x:is>
      </x:c>
      <x:c r="B3" s="108" t="inlineStr">
        <x:is>
          <x:t xml:space="preserve">Pallas Data, 29 août 2026, électeurs décidés et enclins (n=1108, IVR téléphonique). Marge ≈ ±2,9pp (globale, 19 fois sur 20). Répartition régionale utilisée telle que publiée par la firme (Île MTL, Banlieue MTL, Québec RMR, Reste du Québec); Montréal RMR affiché à titre d'agrégat synthétique seulement, non utilisé dans les formules de swing (celles-ci matchent uniquement les 4 régions détaillées).</x:t>
        </x:is>
      </x:c>
    </x:row>
    <x:row r="4" s="60" customFormat="1" ht="27.75" customHeight="1">
      <x:c r="A4" s="64" t="inlineStr">
        <x:is>
          <x:t xml:space="preserve">Source 2022</x:t>
        </x:is>
      </x:c>
      <x:c r="B4" s="108" t="inlineStr">
        <x:is>
          <x:t xml:space="preserve">DGEQ, Rapport officiel du scrutin, élections générales 2022-10-03.</x:t>
        </x:is>
      </x:c>
    </x:row>
    <x:row r="5" s="60" customFormat="1" ht="27.75" customHeight="1">
      <x:c r="A5" s="64" t="inlineStr">
        <x:is>
          <x:t xml:space="preserve">Source 2018</x:t>
        </x:is>
      </x:c>
      <x:c r="B5" s="108" t="inlineStr">
        <x:is>
          <x:t xml:space="preserve">DGEQ, Rapport officiel du scrutin, élections générales 2018-10-01. Bourget (2018) → Camille-Laurin (2022).</x:t>
        </x:is>
      </x:c>
    </x:row>
    <x:row r="6" s="60" customFormat="1" ht="27.75" customHeight="1"/>
    <x:row r="7" s="60" customFormat="1" ht="27.75" customHeight="1">
      <x:c r="A7" s="64" t="inlineStr">
        <x:is>
          <x:t xml:space="preserve">Redécoupage 2026</x:t>
        </x:is>
      </x:c>
      <x:c r="B7" s="108" t="inlineStr">
        <x:is>
          <x:t xml:space="preserve">Carte 2022/2018 (125 circ.) recalculée sur les 127 nouvelles circonscriptions par pondération géographique : chaque section de vote 2026 (16 951, avec limites officielles et électeurs 2026) est superposée aux anciennes circonscriptions (shapefiles DGEQ 2022 et 2017) ; les votes de chaque ancienne circonscription sont redistribués au prorata de la surface/électorat qui tombe dans chaque nouvelle circonscription, puis ré-agrégés. Estimation par pondération géographique, PAS un recomptage officiel bureau-de-vote par bureau-de-vote — à traiter comme approximation, surtout dans les circonscriptions aux limites modifiées.</x:t>
        </x:is>
      </x:c>
    </x:row>
    <x:row r="8" s="60" customFormat="1" ht="27.75" customHeight="1">
      <x:c r="A8" s="64" t="inlineStr">
        <x:is>
          <x:t xml:space="preserve">Scénario A</x:t>
        </x:is>
      </x:c>
      <x:c r="B8" s="108" t="inlineStr">
        <x:is>
          <x:t xml:space="preserve">Swing proportionnel régional : votes_projetés = votes_2022 × (sondage_région / réf_2022_région).</x:t>
        </x:is>
      </x:c>
    </x:row>
    <x:row r="9" s="60" customFormat="1" ht="27.75" customHeight="1">
      <x:c r="A9" s="64" t="inlineStr">
        <x:is>
          <x:t xml:space="preserve">Scénario B</x:t>
        </x:is>
      </x:c>
      <x:c r="B9" s="108" t="inlineStr">
        <x:is>
          <x:t xml:space="preserve">Inertie locale : Scén. A + (résidu_local/100 × total_votes × facteur_inertie). Résidu = Δ_circ – Δ_région (2018→2022). Facteur Régions!O2.</x:t>
        </x:is>
      </x:c>
    </x:row>
    <x:row r="10" s="60" customFormat="1" ht="27.75" customHeight="1">
      <x:c r="A10" s="64" t="inlineStr">
        <x:is>
          <x:t xml:space="preserve">Scén. C/D</x:t>
        </x:is>
      </x:c>
      <x:c r="B10" s="108" t="inlineStr">
        <x:is>
          <x:t xml:space="preserve">Fourchette : sondage ± marge d'erreur (Régions!N2 = 2,9pp, Pallas Data 29 août 2026). Montre la plage plausible de sièges.</x:t>
        </x:is>
      </x:c>
    </x:row>
    <x:row r="11" s="60" customFormat="1" ht="27.75" customHeight="1"/>
    <x:row r="12" s="60" customFormat="1" ht="27.75" customHeight="1">
      <x:c r="A12" s="64" t="inlineStr">
        <x:is>
          <x:t xml:space="preserve">Scénario E (base 2018)</x:t>
        </x:is>
      </x:c>
      <x:c r="B12" s="108" t="inlineStr">
        <x:is>
          <x:t xml:space="preserve">Même sondage que A-D, mais swing calculé par rapport aux résultats RÉELS de 2018 (recalculés sur la carte 127) plutôt que 2022, pour tester la sensibilité du modèle à l'hypothèse que 2022 ait été un résultat anormal (effet pandémie). PCQ n'existait pas en 2018 : sa projection reste basée sur 2022 (comme au scénario A). La colonne 'Autre' regroupe des candidats différents d'une élection à l'autre — à interpréter avec prudence. Aucun facteur d'inertie locale n'est appliqué ici (le résidu 2018→2022 n'a plus de sens quand 2018 EST la base).</x:t>
        </x:is>
      </x:c>
    </x:row>
    <x:row r="13">
      <x:c r="A13" s="64" t="inlineStr">
        <x:is>
          <x:t xml:space="preserve">Limites</x:t>
        </x:is>
      </x:c>
      <x:c r="B13" s="108" t="inlineStr">
        <x:is>
          <x:t xml:space="preserve">Modèle déterministe. Pas de régression vers la moyenne. Pas d'effets candidat-vedette. Résidus 2018→2022 peuvent ne pas se répéter.</x:t>
        </x:is>
      </x:c>
    </x:row>
    <x:row r="14">
      <x:c r="A14" s="64" t="inlineStr">
        <x:is>
          <x:t xml:space="preserve">Pour actualiser</x:t>
        </x:is>
      </x:c>
      <x:c r="B14" s="108" t="inlineStr">
        <x:is>
          <x:t xml:space="preserve">1) Entrer sondages régionaux dans Régions!H2:M6  2) Ajuster marge en N2  3) Ajuster facteur inertie en O2  4) Lire Sièges.</x:t>
        </x:is>
      </x:c>
    </x:row>
  </x:sheetData>
  <x:pageMargins left="0.7" right="0.7" top="0.75" bottom="0.75" header="0.3" footer="0.3"/>
</x:worksheet>
</file>