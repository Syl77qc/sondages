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èges" sheetId="1" state="visible" r:id="rId1"/>
    <sheet xmlns:r="http://schemas.openxmlformats.org/officeDocument/2006/relationships" name="Sondages" sheetId="2" state="visible" r:id="rId2"/>
    <sheet xmlns:r="http://schemas.openxmlformats.org/officeDocument/2006/relationships" name="Agrégat" sheetId="3" state="visible" r:id="rId3"/>
    <sheet xmlns:r="http://schemas.openxmlformats.org/officeDocument/2006/relationships" name="Modèle" sheetId="4" state="visible" r:id="rId4"/>
    <sheet xmlns:r="http://schemas.openxmlformats.org/officeDocument/2006/relationships" name="Régions" sheetId="5" state="visible" r:id="rId5"/>
    <sheet xmlns:r="http://schemas.openxmlformats.org/officeDocument/2006/relationships" name="Correspondance" sheetId="6" state="visible" r:id="rId6"/>
    <sheet xmlns:r="http://schemas.openxmlformats.org/officeDocument/2006/relationships" name="Méthodologie"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font>
    <font>
      <b val="1"/>
      <sz val="9"/>
    </font>
    <font>
      <color rgb="000000CC"/>
    </font>
    <font>
      <b val="1"/>
      <sz val="12"/>
    </font>
    <font>
      <i val="1"/>
    </font>
    <font>
      <b val="1"/>
      <sz val="14"/>
    </font>
    <font>
      <b val="1"/>
      <color rgb="00C00000"/>
    </font>
  </fonts>
  <fills count="5">
    <fill>
      <patternFill/>
    </fill>
    <fill>
      <patternFill patternType="gray125"/>
    </fill>
    <fill>
      <patternFill patternType="solid">
        <fgColor rgb="00DDEBF7"/>
      </patternFill>
    </fill>
    <fill>
      <patternFill patternType="solid">
        <fgColor rgb="00E2EFDA"/>
      </patternFill>
    </fill>
    <fill>
      <patternFill patternType="solid">
        <fgColor rgb="00FCE4D6"/>
      </patternFill>
    </fill>
  </fills>
  <borders count="1">
    <border>
      <left/>
      <right/>
      <top/>
      <bottom/>
      <diagonal/>
    </border>
  </borders>
  <cellStyleXfs count="1">
    <xf numFmtId="0" fontId="0" fillId="0" borderId="0"/>
  </cellStyleXfs>
  <cellXfs count="13">
    <xf numFmtId="0" fontId="0" fillId="0" borderId="0" pivotButton="0" quotePrefix="0" xfId="0"/>
    <xf numFmtId="0" fontId="6" fillId="0" borderId="0" pivotButton="0" quotePrefix="0" xfId="0"/>
    <xf numFmtId="0" fontId="2" fillId="0" borderId="0" pivotButton="0" quotePrefix="0" xfId="0"/>
    <xf numFmtId="0" fontId="0" fillId="2" borderId="0" pivotButton="0" quotePrefix="0" xfId="0"/>
    <xf numFmtId="0" fontId="7"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3" fillId="3" borderId="0" pivotButton="0" quotePrefix="0" xfId="0"/>
    <xf numFmtId="0" fontId="0" fillId="4" borderId="0" pivotButton="0" quotePrefix="0" xfId="0"/>
    <xf numFmtId="0" fontId="5"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44" customWidth="1" min="1" max="1"/>
  </cols>
  <sheetData>
    <row r="1">
      <c r="A1" s="1" t="inlineStr">
        <is>
          <t>MODÈLE VIVANT QC127 – v7.0 · RÉFÉRENCE TRANSPOSÉE + AGRÉGAT DE SONDAGES</t>
        </is>
      </c>
    </row>
    <row r="2">
      <c r="A2" t="inlineStr">
        <is>
          <t>Agrégat de 11 rapports de sondage au 31 août 2026 | Référence 2022 transposée sur la carte de 127 circonscriptions (poids électoraux par section de vote) | Seuil de majorité : 64 sièges</t>
        </is>
      </c>
    </row>
    <row r="4">
      <c r="A4" s="2" t="inlineStr">
        <is>
          <t>Scénario</t>
        </is>
      </c>
      <c r="B4" s="2" t="inlineStr">
        <is>
          <t>CAQ</t>
        </is>
      </c>
      <c r="C4" s="2" t="inlineStr">
        <is>
          <t>PLQ</t>
        </is>
      </c>
      <c r="D4" s="2" t="inlineStr">
        <is>
          <t>QS</t>
        </is>
      </c>
      <c r="E4" s="2" t="inlineStr">
        <is>
          <t>PQ</t>
        </is>
      </c>
      <c r="F4" s="2" t="inlineStr">
        <is>
          <t>PCQ</t>
        </is>
      </c>
      <c r="G4" s="2" t="inlineStr">
        <is>
          <t>Autre</t>
        </is>
      </c>
      <c r="H4" s="2" t="inlineStr">
        <is>
          <t>Majorité?</t>
        </is>
      </c>
    </row>
    <row r="5">
      <c r="A5" t="inlineStr">
        <is>
          <t>Référence 2022 transposée</t>
        </is>
      </c>
      <c r="B5">
        <f>COUNTIF(Modèle!$C$2:$C$128,"CAQ")</f>
        <v/>
      </c>
      <c r="C5">
        <f>COUNTIF(Modèle!$C$2:$C$128,"PLQ")</f>
        <v/>
      </c>
      <c r="D5">
        <f>COUNTIF(Modèle!$C$2:$C$128,"QS")</f>
        <v/>
      </c>
      <c r="E5">
        <f>COUNTIF(Modèle!$C$2:$C$128,"PQ")</f>
        <v/>
      </c>
      <c r="F5">
        <f>COUNTIF(Modèle!$C$2:$C$128,"PCQ")</f>
        <v/>
      </c>
      <c r="G5">
        <f>COUNTIF(Modèle!$C$2:$C$128,"Autre")</f>
        <v/>
      </c>
      <c r="H5">
        <f>IF(MAX(B5:G5)&gt;=64,"OUI ✓","non")</f>
        <v/>
      </c>
    </row>
    <row r="6">
      <c r="A6" s="3" t="inlineStr">
        <is>
          <t>Scén. A – Swing proportionnel</t>
        </is>
      </c>
      <c r="B6">
        <f>COUNTIF(Modèle!$AU$2:$AU$128,"CAQ")</f>
        <v/>
      </c>
      <c r="C6">
        <f>COUNTIF(Modèle!$AU$2:$AU$128,"PLQ")</f>
        <v/>
      </c>
      <c r="D6">
        <f>COUNTIF(Modèle!$AU$2:$AU$128,"QS")</f>
        <v/>
      </c>
      <c r="E6">
        <f>COUNTIF(Modèle!$AU$2:$AU$128,"PQ")</f>
        <v/>
      </c>
      <c r="F6">
        <f>COUNTIF(Modèle!$AU$2:$AU$128,"PCQ")</f>
        <v/>
      </c>
      <c r="G6">
        <f>COUNTIF(Modèle!$AU$2:$AU$128,"Autre")</f>
        <v/>
      </c>
      <c r="H6">
        <f>IF(MAX(B6:G6)&gt;=64,"OUI ✓","non")</f>
        <v/>
      </c>
    </row>
    <row r="7">
      <c r="A7" s="3" t="inlineStr">
        <is>
          <t>Scén. B – A + inertie locale</t>
        </is>
      </c>
      <c r="B7">
        <f>COUNTIF(Modèle!$AV$2:$AV$128,"CAQ")</f>
        <v/>
      </c>
      <c r="C7">
        <f>COUNTIF(Modèle!$AV$2:$AV$128,"PLQ")</f>
        <v/>
      </c>
      <c r="D7">
        <f>COUNTIF(Modèle!$AV$2:$AV$128,"QS")</f>
        <v/>
      </c>
      <c r="E7">
        <f>COUNTIF(Modèle!$AV$2:$AV$128,"PQ")</f>
        <v/>
      </c>
      <c r="F7">
        <f>COUNTIF(Modèle!$AV$2:$AV$128,"PCQ")</f>
        <v/>
      </c>
      <c r="G7">
        <f>COUNTIF(Modèle!$AV$2:$AV$128,"Autre")</f>
        <v/>
      </c>
      <c r="H7">
        <f>IF(MAX(B7:G7)&gt;=64,"OUI ✓","non")</f>
        <v/>
      </c>
    </row>
    <row r="8">
      <c r="A8" s="3" t="inlineStr">
        <is>
          <t>Scén. C – Fourchette haute (+N2)</t>
        </is>
      </c>
      <c r="B8">
        <f>COUNTIF(Modèle!$AW$2:$AW$128,"CAQ")</f>
        <v/>
      </c>
      <c r="C8">
        <f>COUNTIF(Modèle!$AW$2:$AW$128,"PLQ")</f>
        <v/>
      </c>
      <c r="D8">
        <f>COUNTIF(Modèle!$AW$2:$AW$128,"QS")</f>
        <v/>
      </c>
      <c r="E8">
        <f>COUNTIF(Modèle!$AW$2:$AW$128,"PQ")</f>
        <v/>
      </c>
      <c r="F8">
        <f>COUNTIF(Modèle!$AW$2:$AW$128,"PCQ")</f>
        <v/>
      </c>
      <c r="G8">
        <f>COUNTIF(Modèle!$AW$2:$AW$128,"Autre")</f>
        <v/>
      </c>
      <c r="H8">
        <f>IF(MAX(B8:G8)&gt;=64,"OUI ✓","non")</f>
        <v/>
      </c>
    </row>
    <row r="9">
      <c r="A9" s="3" t="inlineStr">
        <is>
          <t>Scén. D – Fourchette basse (–N2)</t>
        </is>
      </c>
      <c r="B9">
        <f>COUNTIF(Modèle!$AX$2:$AX$128,"CAQ")</f>
        <v/>
      </c>
      <c r="C9">
        <f>COUNTIF(Modèle!$AX$2:$AX$128,"PLQ")</f>
        <v/>
      </c>
      <c r="D9">
        <f>COUNTIF(Modèle!$AX$2:$AX$128,"QS")</f>
        <v/>
      </c>
      <c r="E9">
        <f>COUNTIF(Modèle!$AX$2:$AX$128,"PQ")</f>
        <v/>
      </c>
      <c r="F9">
        <f>COUNTIF(Modèle!$AX$2:$AX$128,"PCQ")</f>
        <v/>
      </c>
      <c r="G9">
        <f>COUNTIF(Modèle!$AX$2:$AX$128,"Autre")</f>
        <v/>
      </c>
      <c r="H9">
        <f>IF(MAX(B9:G9)&gt;=64,"OUI ✓","non")</f>
        <v/>
      </c>
    </row>
    <row r="10">
      <c r="A10" s="3" t="inlineStr">
        <is>
          <t>Scén. E – Amorti prop./uniforme (Q2)</t>
        </is>
      </c>
      <c r="B10">
        <f>COUNTIF(Modèle!$AY$2:$AY$128,"CAQ")</f>
        <v/>
      </c>
      <c r="C10">
        <f>COUNTIF(Modèle!$AY$2:$AY$128,"PLQ")</f>
        <v/>
      </c>
      <c r="D10">
        <f>COUNTIF(Modèle!$AY$2:$AY$128,"QS")</f>
        <v/>
      </c>
      <c r="E10">
        <f>COUNTIF(Modèle!$AY$2:$AY$128,"PQ")</f>
        <v/>
      </c>
      <c r="F10">
        <f>COUNTIF(Modèle!$AY$2:$AY$128,"PCQ")</f>
        <v/>
      </c>
      <c r="G10">
        <f>COUNTIF(Modèle!$AY$2:$AY$128,"Autre")</f>
        <v/>
      </c>
      <c r="H10">
        <f>IF(MAX(B10:G10)&gt;=64,"OUI ✓","non")</f>
        <v/>
      </c>
    </row>
    <row r="12">
      <c r="A12" t="inlineStr">
        <is>
          <t>Fourchette min (C vs D)</t>
        </is>
      </c>
      <c r="B12">
        <f>MIN(B8,B9)</f>
        <v/>
      </c>
      <c r="C12">
        <f>MIN(C8,C9)</f>
        <v/>
      </c>
      <c r="D12">
        <f>MIN(D8,D9)</f>
        <v/>
      </c>
      <c r="E12">
        <f>MIN(E8,E9)</f>
        <v/>
      </c>
      <c r="F12">
        <f>MIN(F8,F9)</f>
        <v/>
      </c>
      <c r="G12">
        <f>MIN(G8,G9)</f>
        <v/>
      </c>
    </row>
    <row r="13">
      <c r="A13" t="inlineStr">
        <is>
          <t>Fourchette max (C vs D)</t>
        </is>
      </c>
      <c r="B13">
        <f>MAX(B8,B9)</f>
        <v/>
      </c>
      <c r="C13">
        <f>MAX(C8,C9)</f>
        <v/>
      </c>
      <c r="D13">
        <f>MAX(D8,D9)</f>
        <v/>
      </c>
      <c r="E13">
        <f>MAX(E8,E9)</f>
        <v/>
      </c>
      <c r="F13">
        <f>MAX(F8,F9)</f>
        <v/>
      </c>
      <c r="G13">
        <f>MAX(G8,G9)</f>
        <v/>
      </c>
    </row>
    <row r="15">
      <c r="A15" t="inlineStr">
        <is>
          <t>Circonscriptions serrées à la référence (&lt; 5 pp) :</t>
        </is>
      </c>
      <c r="B15">
        <f>COUNTIF(Modèle!$BA$2:$BA$128,"Oui")</f>
        <v/>
      </c>
    </row>
    <row r="17">
      <c r="A17" t="inlineStr">
        <is>
          <t>Total sièges (contrôle : doit valoir 127)</t>
        </is>
      </c>
      <c r="B17">
        <f>SUM(B6:G6)</f>
        <v/>
      </c>
      <c r="C17">
        <f>SUM(B7:G7)</f>
        <v/>
      </c>
      <c r="D17">
        <f>SUM(B10:G10)</f>
        <v/>
      </c>
    </row>
    <row r="19">
      <c r="A19" t="inlineStr">
        <is>
          <t>INTRANTS : onglet Sondages (une ligne par sondage × région, cellules bleues). L'onglet Agrégat calcule le niveau national par régression linéaire pondérée et les décalages régionaux, puis alimente Régions!H2:M6. Paramètres : Régions!N2 (marge), O2 (inertie), Q2 (poids du swing proportionnel).</t>
        </is>
      </c>
    </row>
    <row r="20">
      <c r="A20" s="4" t="inlineStr">
        <is>
          <t>AVERTISSEMENT : la relation intentions-sièges est fortement non linéaire dans le régime actuel. Un écart de deux points déplace des dizaines de sièges. Ne jamais publier un décompte tiré d'un sondage unique.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8"/>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22" customWidth="1" min="3" max="3"/>
    <col width="7" customWidth="1" min="4" max="4"/>
  </cols>
  <sheetData>
    <row r="1">
      <c r="A1" s="5" t="inlineStr">
        <is>
          <t>SÉRIE DES SONDAGES — une ligne par sondage × région. Cellules bleues = à saisir.</t>
        </is>
      </c>
    </row>
    <row r="3">
      <c r="A3" s="6" t="inlineStr">
        <is>
          <t>Date (fin terrain)</t>
        </is>
      </c>
      <c r="B3" s="6" t="inlineStr">
        <is>
          <t>Firme</t>
        </is>
      </c>
      <c r="C3" s="6" t="inlineStr">
        <is>
          <t>Région</t>
        </is>
      </c>
      <c r="D3" s="6" t="inlineStr">
        <is>
          <t>n</t>
        </is>
      </c>
      <c r="E3" s="6" t="inlineStr">
        <is>
          <t>CAQ</t>
        </is>
      </c>
      <c r="F3" s="6" t="inlineStr">
        <is>
          <t>PLQ</t>
        </is>
      </c>
      <c r="G3" s="6" t="inlineStr">
        <is>
          <t>QS</t>
        </is>
      </c>
      <c r="H3" s="6" t="inlineStr">
        <is>
          <t>PQ</t>
        </is>
      </c>
      <c r="I3" s="6" t="inlineStr">
        <is>
          <t>PCQ</t>
        </is>
      </c>
      <c r="J3" s="6" t="inlineStr">
        <is>
          <t>Autre</t>
        </is>
      </c>
      <c r="K3" s="6" t="inlineStr">
        <is>
          <t>Clé</t>
        </is>
      </c>
      <c r="L3" s="6" t="inlineStr">
        <is>
          <t>Nat.</t>
        </is>
      </c>
      <c r="M3" s="6" t="inlineStr">
        <is>
          <t>t (jours)</t>
        </is>
      </c>
      <c r="N3" s="6" t="inlineStr">
        <is>
          <t>Δ CAQ</t>
        </is>
      </c>
      <c r="O3" s="6" t="inlineStr">
        <is>
          <t>Δ PLQ</t>
        </is>
      </c>
      <c r="P3" s="6" t="inlineStr">
        <is>
          <t>Δ QS</t>
        </is>
      </c>
      <c r="Q3" s="6" t="inlineStr">
        <is>
          <t>Δ PQ</t>
        </is>
      </c>
      <c r="R3" s="6" t="inlineStr">
        <is>
          <t>Δ PCQ</t>
        </is>
      </c>
      <c r="S3" s="6" t="inlineStr">
        <is>
          <t>Δ Autre</t>
        </is>
      </c>
      <c r="T3" s="6" t="inlineStr">
        <is>
          <t>Poids</t>
        </is>
      </c>
    </row>
    <row r="4">
      <c r="A4" t="inlineStr">
        <is>
          <t>2026-05-17</t>
        </is>
      </c>
      <c r="B4" t="inlineStr">
        <is>
          <t>leger</t>
        </is>
      </c>
      <c r="C4" t="inlineStr">
        <is>
          <t>PROVINCE</t>
        </is>
      </c>
      <c r="D4" t="n">
        <v>300</v>
      </c>
      <c r="E4" s="7" t="n">
        <v>22</v>
      </c>
      <c r="F4" s="7" t="n">
        <v>28</v>
      </c>
      <c r="G4" s="7" t="n">
        <v>8</v>
      </c>
      <c r="H4" s="7" t="n">
        <v>30</v>
      </c>
      <c r="I4" s="7" t="n">
        <v>11</v>
      </c>
      <c r="J4" s="7" t="n">
        <v>1</v>
      </c>
      <c r="K4">
        <f>A4&amp;"|"&amp;B4</f>
        <v/>
      </c>
      <c r="L4">
        <f>IF(AND(C4="PROVINCE",B4&lt;&gt;"leger-cumul"),1,0)</f>
        <v/>
      </c>
      <c r="M4">
        <f>DATEDIF(DATE(LEFT(A4,4),MID(A4,6,2),RIGHT(A4,2)),DATE(LEFT(Agrégat!$B$2,4),MID(Agrégat!$B$2,6,2),RIGHT(Agrégat!$B$2,2)),"d")*-1</f>
        <v/>
      </c>
      <c r="N4">
        <f>IFERROR(E4-SUMIFS(E$4:E$58,$K$4:$K$58,$K4,$C$4:$C$58,"PROVINCE"),0)</f>
        <v/>
      </c>
      <c r="O4">
        <f>IFERROR(F4-SUMIFS(F$4:F$58,$K$4:$K$58,$K4,$C$4:$C$58,"PROVINCE"),0)</f>
        <v/>
      </c>
      <c r="P4">
        <f>IFERROR(G4-SUMIFS(G$4:G$58,$K$4:$K$58,$K4,$C$4:$C$58,"PROVINCE"),0)</f>
        <v/>
      </c>
      <c r="Q4">
        <f>IFERROR(H4-SUMIFS(H$4:H$58,$K$4:$K$58,$K4,$C$4:$C$58,"PROVINCE"),0)</f>
        <v/>
      </c>
      <c r="R4">
        <f>IFERROR(I4-SUMIFS(I$4:I$58,$K$4:$K$58,$K4,$C$4:$C$58,"PROVINCE"),0)</f>
        <v/>
      </c>
      <c r="S4">
        <f>IFERROR(J4-SUMIFS(J$4:J$58,$K$4:$K$58,$K4,$C$4:$C$58,"PROVINCE"),0)</f>
        <v/>
      </c>
      <c r="T4">
        <f>IF(C4="PROVINCE",0,0.5^(-M4/Agrégat!$B$4)*SQRT(D4))</f>
        <v/>
      </c>
    </row>
    <row r="5">
      <c r="A5" t="inlineStr">
        <is>
          <t>2026-05-17</t>
        </is>
      </c>
      <c r="B5" t="inlineStr">
        <is>
          <t>leger</t>
        </is>
      </c>
      <c r="C5" t="inlineStr">
        <is>
          <t>Montréal RMR</t>
        </is>
      </c>
      <c r="D5" t="n">
        <v>300</v>
      </c>
      <c r="E5" s="7" t="n">
        <v>19</v>
      </c>
      <c r="F5" s="7" t="n">
        <v>36</v>
      </c>
      <c r="G5" s="7" t="n">
        <v>10</v>
      </c>
      <c r="H5" s="7" t="n">
        <v>24</v>
      </c>
      <c r="I5" s="7" t="n">
        <v>11</v>
      </c>
      <c r="J5" s="7" t="n">
        <v>0</v>
      </c>
      <c r="K5">
        <f>A5&amp;"|"&amp;B5</f>
        <v/>
      </c>
      <c r="L5">
        <f>IF(AND(C5="PROVINCE",B5&lt;&gt;"leger-cumul"),1,0)</f>
        <v/>
      </c>
      <c r="M5">
        <f>DATEDIF(DATE(LEFT(A5,4),MID(A5,6,2),RIGHT(A5,2)),DATE(LEFT(Agrégat!$B$2,4),MID(Agrégat!$B$2,6,2),RIGHT(Agrégat!$B$2,2)),"d")*-1</f>
        <v/>
      </c>
      <c r="N5">
        <f>IFERROR(E5-SUMIFS(E$4:E$58,$K$4:$K$58,$K5,$C$4:$C$58,"PROVINCE"),0)</f>
        <v/>
      </c>
      <c r="O5">
        <f>IFERROR(F5-SUMIFS(F$4:F$58,$K$4:$K$58,$K5,$C$4:$C$58,"PROVINCE"),0)</f>
        <v/>
      </c>
      <c r="P5">
        <f>IFERROR(G5-SUMIFS(G$4:G$58,$K$4:$K$58,$K5,$C$4:$C$58,"PROVINCE"),0)</f>
        <v/>
      </c>
      <c r="Q5">
        <f>IFERROR(H5-SUMIFS(H$4:H$58,$K$4:$K$58,$K5,$C$4:$C$58,"PROVINCE"),0)</f>
        <v/>
      </c>
      <c r="R5">
        <f>IFERROR(I5-SUMIFS(I$4:I$58,$K$4:$K$58,$K5,$C$4:$C$58,"PROVINCE"),0)</f>
        <v/>
      </c>
      <c r="S5">
        <f>IFERROR(J5-SUMIFS(J$4:J$58,$K$4:$K$58,$K5,$C$4:$C$58,"PROVINCE"),0)</f>
        <v/>
      </c>
      <c r="T5">
        <f>IF(C5="PROVINCE",0,0.5^(-M5/Agrégat!$B$4)*SQRT(D5))</f>
        <v/>
      </c>
    </row>
    <row r="6">
      <c r="A6" t="inlineStr">
        <is>
          <t>2026-05-17</t>
        </is>
      </c>
      <c r="B6" t="inlineStr">
        <is>
          <t>leger</t>
        </is>
      </c>
      <c r="C6" t="inlineStr">
        <is>
          <t>Québec RMR</t>
        </is>
      </c>
      <c r="D6" t="n">
        <v>300</v>
      </c>
      <c r="E6" s="7" t="n">
        <v>21.8</v>
      </c>
      <c r="F6" s="7" t="n">
        <v>16.8</v>
      </c>
      <c r="G6" s="7" t="n">
        <v>7.9</v>
      </c>
      <c r="H6" s="7" t="n">
        <v>28.7</v>
      </c>
      <c r="I6" s="7" t="n">
        <v>21.8</v>
      </c>
      <c r="J6" s="7" t="n">
        <v>3</v>
      </c>
      <c r="K6">
        <f>A6&amp;"|"&amp;B6</f>
        <v/>
      </c>
      <c r="L6">
        <f>IF(AND(C6="PROVINCE",B6&lt;&gt;"leger-cumul"),1,0)</f>
        <v/>
      </c>
      <c r="M6">
        <f>DATEDIF(DATE(LEFT(A6,4),MID(A6,6,2),RIGHT(A6,2)),DATE(LEFT(Agrégat!$B$2,4),MID(Agrégat!$B$2,6,2),RIGHT(Agrégat!$B$2,2)),"d")*-1</f>
        <v/>
      </c>
      <c r="N6">
        <f>IFERROR(E6-SUMIFS(E$4:E$58,$K$4:$K$58,$K6,$C$4:$C$58,"PROVINCE"),0)</f>
        <v/>
      </c>
      <c r="O6">
        <f>IFERROR(F6-SUMIFS(F$4:F$58,$K$4:$K$58,$K6,$C$4:$C$58,"PROVINCE"),0)</f>
        <v/>
      </c>
      <c r="P6">
        <f>IFERROR(G6-SUMIFS(G$4:G$58,$K$4:$K$58,$K6,$C$4:$C$58,"PROVINCE"),0)</f>
        <v/>
      </c>
      <c r="Q6">
        <f>IFERROR(H6-SUMIFS(H$4:H$58,$K$4:$K$58,$K6,$C$4:$C$58,"PROVINCE"),0)</f>
        <v/>
      </c>
      <c r="R6">
        <f>IFERROR(I6-SUMIFS(I$4:I$58,$K$4:$K$58,$K6,$C$4:$C$58,"PROVINCE"),0)</f>
        <v/>
      </c>
      <c r="S6">
        <f>IFERROR(J6-SUMIFS(J$4:J$58,$K$4:$K$58,$K6,$C$4:$C$58,"PROVINCE"),0)</f>
        <v/>
      </c>
      <c r="T6">
        <f>IF(C6="PROVINCE",0,0.5^(-M6/Agrégat!$B$4)*SQRT(D6))</f>
        <v/>
      </c>
    </row>
    <row r="7">
      <c r="A7" t="inlineStr">
        <is>
          <t>2026-05-17</t>
        </is>
      </c>
      <c r="B7" t="inlineStr">
        <is>
          <t>leger</t>
        </is>
      </c>
      <c r="C7" t="inlineStr">
        <is>
          <t>Reste du Québec</t>
        </is>
      </c>
      <c r="D7" t="n">
        <v>300</v>
      </c>
      <c r="E7" s="7" t="n">
        <v>25</v>
      </c>
      <c r="F7" s="7" t="n">
        <v>21</v>
      </c>
      <c r="G7" s="7" t="n">
        <v>7</v>
      </c>
      <c r="H7" s="7" t="n">
        <v>38</v>
      </c>
      <c r="I7" s="7" t="n">
        <v>8</v>
      </c>
      <c r="J7" s="7" t="n">
        <v>1</v>
      </c>
      <c r="K7">
        <f>A7&amp;"|"&amp;B7</f>
        <v/>
      </c>
      <c r="L7">
        <f>IF(AND(C7="PROVINCE",B7&lt;&gt;"leger-cumul"),1,0)</f>
        <v/>
      </c>
      <c r="M7">
        <f>DATEDIF(DATE(LEFT(A7,4),MID(A7,6,2),RIGHT(A7,2)),DATE(LEFT(Agrégat!$B$2,4),MID(Agrégat!$B$2,6,2),RIGHT(Agrégat!$B$2,2)),"d")*-1</f>
        <v/>
      </c>
      <c r="N7">
        <f>IFERROR(E7-SUMIFS(E$4:E$58,$K$4:$K$58,$K7,$C$4:$C$58,"PROVINCE"),0)</f>
        <v/>
      </c>
      <c r="O7">
        <f>IFERROR(F7-SUMIFS(F$4:F$58,$K$4:$K$58,$K7,$C$4:$C$58,"PROVINCE"),0)</f>
        <v/>
      </c>
      <c r="P7">
        <f>IFERROR(G7-SUMIFS(G$4:G$58,$K$4:$K$58,$K7,$C$4:$C$58,"PROVINCE"),0)</f>
        <v/>
      </c>
      <c r="Q7">
        <f>IFERROR(H7-SUMIFS(H$4:H$58,$K$4:$K$58,$K7,$C$4:$C$58,"PROVINCE"),0)</f>
        <v/>
      </c>
      <c r="R7">
        <f>IFERROR(I7-SUMIFS(I$4:I$58,$K$4:$K$58,$K7,$C$4:$C$58,"PROVINCE"),0)</f>
        <v/>
      </c>
      <c r="S7">
        <f>IFERROR(J7-SUMIFS(J$4:J$58,$K$4:$K$58,$K7,$C$4:$C$58,"PROVINCE"),0)</f>
        <v/>
      </c>
      <c r="T7">
        <f>IF(C7="PROVINCE",0,0.5^(-M7/Agrégat!$B$4)*SQRT(D7))</f>
        <v/>
      </c>
    </row>
    <row r="8">
      <c r="A8" t="inlineStr">
        <is>
          <t>2026-06-07</t>
        </is>
      </c>
      <c r="B8" t="inlineStr">
        <is>
          <t>synopsis</t>
        </is>
      </c>
      <c r="C8" t="inlineStr">
        <is>
          <t>PROVINCE</t>
        </is>
      </c>
      <c r="D8" t="n">
        <v>300</v>
      </c>
      <c r="E8" s="7" t="n">
        <v>20.5</v>
      </c>
      <c r="F8" s="7" t="n">
        <v>24.1</v>
      </c>
      <c r="G8" s="7" t="n">
        <v>10.8</v>
      </c>
      <c r="H8" s="7" t="n">
        <v>31.3</v>
      </c>
      <c r="I8" s="7" t="n">
        <v>12</v>
      </c>
      <c r="J8" s="7" t="n">
        <v>1.2</v>
      </c>
      <c r="K8">
        <f>A8&amp;"|"&amp;B8</f>
        <v/>
      </c>
      <c r="L8">
        <f>IF(AND(C8="PROVINCE",B8&lt;&gt;"leger-cumul"),1,0)</f>
        <v/>
      </c>
      <c r="M8">
        <f>DATEDIF(DATE(LEFT(A8,4),MID(A8,6,2),RIGHT(A8,2)),DATE(LEFT(Agrégat!$B$2,4),MID(Agrégat!$B$2,6,2),RIGHT(Agrégat!$B$2,2)),"d")*-1</f>
        <v/>
      </c>
      <c r="N8">
        <f>IFERROR(E8-SUMIFS(E$4:E$58,$K$4:$K$58,$K8,$C$4:$C$58,"PROVINCE"),0)</f>
        <v/>
      </c>
      <c r="O8">
        <f>IFERROR(F8-SUMIFS(F$4:F$58,$K$4:$K$58,$K8,$C$4:$C$58,"PROVINCE"),0)</f>
        <v/>
      </c>
      <c r="P8">
        <f>IFERROR(G8-SUMIFS(G$4:G$58,$K$4:$K$58,$K8,$C$4:$C$58,"PROVINCE"),0)</f>
        <v/>
      </c>
      <c r="Q8">
        <f>IFERROR(H8-SUMIFS(H$4:H$58,$K$4:$K$58,$K8,$C$4:$C$58,"PROVINCE"),0)</f>
        <v/>
      </c>
      <c r="R8">
        <f>IFERROR(I8-SUMIFS(I$4:I$58,$K$4:$K$58,$K8,$C$4:$C$58,"PROVINCE"),0)</f>
        <v/>
      </c>
      <c r="S8">
        <f>IFERROR(J8-SUMIFS(J$4:J$58,$K$4:$K$58,$K8,$C$4:$C$58,"PROVINCE"),0)</f>
        <v/>
      </c>
      <c r="T8">
        <f>IF(C8="PROVINCE",0,0.5^(-M8/Agrégat!$B$4)*SQRT(D8))</f>
        <v/>
      </c>
    </row>
    <row r="9">
      <c r="A9" t="inlineStr">
        <is>
          <t>2026-06-07</t>
        </is>
      </c>
      <c r="B9" t="inlineStr">
        <is>
          <t>synopsis</t>
        </is>
      </c>
      <c r="C9" t="inlineStr">
        <is>
          <t>Île de Montréal</t>
        </is>
      </c>
      <c r="D9" t="n">
        <v>300</v>
      </c>
      <c r="E9" s="7" t="n">
        <v>17.1</v>
      </c>
      <c r="F9" s="7" t="n">
        <v>41.5</v>
      </c>
      <c r="G9" s="7" t="n">
        <v>11</v>
      </c>
      <c r="H9" s="7" t="n">
        <v>17.1</v>
      </c>
      <c r="I9" s="7" t="n">
        <v>13.4</v>
      </c>
      <c r="J9" s="7" t="n">
        <v>0</v>
      </c>
      <c r="K9">
        <f>A9&amp;"|"&amp;B9</f>
        <v/>
      </c>
      <c r="L9">
        <f>IF(AND(C9="PROVINCE",B9&lt;&gt;"leger-cumul"),1,0)</f>
        <v/>
      </c>
      <c r="M9">
        <f>DATEDIF(DATE(LEFT(A9,4),MID(A9,6,2),RIGHT(A9,2)),DATE(LEFT(Agrégat!$B$2,4),MID(Agrégat!$B$2,6,2),RIGHT(Agrégat!$B$2,2)),"d")*-1</f>
        <v/>
      </c>
      <c r="N9">
        <f>IFERROR(E9-SUMIFS(E$4:E$58,$K$4:$K$58,$K9,$C$4:$C$58,"PROVINCE"),0)</f>
        <v/>
      </c>
      <c r="O9">
        <f>IFERROR(F9-SUMIFS(F$4:F$58,$K$4:$K$58,$K9,$C$4:$C$58,"PROVINCE"),0)</f>
        <v/>
      </c>
      <c r="P9">
        <f>IFERROR(G9-SUMIFS(G$4:G$58,$K$4:$K$58,$K9,$C$4:$C$58,"PROVINCE"),0)</f>
        <v/>
      </c>
      <c r="Q9">
        <f>IFERROR(H9-SUMIFS(H$4:H$58,$K$4:$K$58,$K9,$C$4:$C$58,"PROVINCE"),0)</f>
        <v/>
      </c>
      <c r="R9">
        <f>IFERROR(I9-SUMIFS(I$4:I$58,$K$4:$K$58,$K9,$C$4:$C$58,"PROVINCE"),0)</f>
        <v/>
      </c>
      <c r="S9">
        <f>IFERROR(J9-SUMIFS(J$4:J$58,$K$4:$K$58,$K9,$C$4:$C$58,"PROVINCE"),0)</f>
        <v/>
      </c>
      <c r="T9">
        <f>IF(C9="PROVINCE",0,0.5^(-M9/Agrégat!$B$4)*SQRT(D9))</f>
        <v/>
      </c>
    </row>
    <row r="10">
      <c r="A10" t="inlineStr">
        <is>
          <t>2026-06-07</t>
        </is>
      </c>
      <c r="B10" t="inlineStr">
        <is>
          <t>synopsis</t>
        </is>
      </c>
      <c r="C10" t="inlineStr">
        <is>
          <t>Banlieue de Montréal</t>
        </is>
      </c>
      <c r="D10" t="n">
        <v>300</v>
      </c>
      <c r="E10" s="7" t="n">
        <v>22</v>
      </c>
      <c r="F10" s="7" t="n">
        <v>26.8</v>
      </c>
      <c r="G10" s="7" t="n">
        <v>9.800000000000001</v>
      </c>
      <c r="H10" s="7" t="n">
        <v>34.1</v>
      </c>
      <c r="I10" s="7" t="n">
        <v>6.1</v>
      </c>
      <c r="J10" s="7" t="n">
        <v>1.2</v>
      </c>
      <c r="K10">
        <f>A10&amp;"|"&amp;B10</f>
        <v/>
      </c>
      <c r="L10">
        <f>IF(AND(C10="PROVINCE",B10&lt;&gt;"leger-cumul"),1,0)</f>
        <v/>
      </c>
      <c r="M10">
        <f>DATEDIF(DATE(LEFT(A10,4),MID(A10,6,2),RIGHT(A10,2)),DATE(LEFT(Agrégat!$B$2,4),MID(Agrégat!$B$2,6,2),RIGHT(Agrégat!$B$2,2)),"d")*-1</f>
        <v/>
      </c>
      <c r="N10">
        <f>IFERROR(E10-SUMIFS(E$4:E$58,$K$4:$K$58,$K10,$C$4:$C$58,"PROVINCE"),0)</f>
        <v/>
      </c>
      <c r="O10">
        <f>IFERROR(F10-SUMIFS(F$4:F$58,$K$4:$K$58,$K10,$C$4:$C$58,"PROVINCE"),0)</f>
        <v/>
      </c>
      <c r="P10">
        <f>IFERROR(G10-SUMIFS(G$4:G$58,$K$4:$K$58,$K10,$C$4:$C$58,"PROVINCE"),0)</f>
        <v/>
      </c>
      <c r="Q10">
        <f>IFERROR(H10-SUMIFS(H$4:H$58,$K$4:$K$58,$K10,$C$4:$C$58,"PROVINCE"),0)</f>
        <v/>
      </c>
      <c r="R10">
        <f>IFERROR(I10-SUMIFS(I$4:I$58,$K$4:$K$58,$K10,$C$4:$C$58,"PROVINCE"),0)</f>
        <v/>
      </c>
      <c r="S10">
        <f>IFERROR(J10-SUMIFS(J$4:J$58,$K$4:$K$58,$K10,$C$4:$C$58,"PROVINCE"),0)</f>
        <v/>
      </c>
      <c r="T10">
        <f>IF(C10="PROVINCE",0,0.5^(-M10/Agrégat!$B$4)*SQRT(D10))</f>
        <v/>
      </c>
    </row>
    <row r="11">
      <c r="A11" t="inlineStr">
        <is>
          <t>2026-06-07</t>
        </is>
      </c>
      <c r="B11" t="inlineStr">
        <is>
          <t>synopsis</t>
        </is>
      </c>
      <c r="C11" t="inlineStr">
        <is>
          <t>Québec RMR</t>
        </is>
      </c>
      <c r="D11" t="n">
        <v>300</v>
      </c>
      <c r="E11" s="7" t="n">
        <v>28.9</v>
      </c>
      <c r="F11" s="7" t="n">
        <v>12.2</v>
      </c>
      <c r="G11" s="7" t="n">
        <v>7.8</v>
      </c>
      <c r="H11" s="7" t="n">
        <v>23.3</v>
      </c>
      <c r="I11" s="7" t="n">
        <v>26.7</v>
      </c>
      <c r="J11" s="7" t="n">
        <v>1.1</v>
      </c>
      <c r="K11">
        <f>A11&amp;"|"&amp;B11</f>
        <v/>
      </c>
      <c r="L11">
        <f>IF(AND(C11="PROVINCE",B11&lt;&gt;"leger-cumul"),1,0)</f>
        <v/>
      </c>
      <c r="M11">
        <f>DATEDIF(DATE(LEFT(A11,4),MID(A11,6,2),RIGHT(A11,2)),DATE(LEFT(Agrégat!$B$2,4),MID(Agrégat!$B$2,6,2),RIGHT(Agrégat!$B$2,2)),"d")*-1</f>
        <v/>
      </c>
      <c r="N11">
        <f>IFERROR(E11-SUMIFS(E$4:E$58,$K$4:$K$58,$K11,$C$4:$C$58,"PROVINCE"),0)</f>
        <v/>
      </c>
      <c r="O11">
        <f>IFERROR(F11-SUMIFS(F$4:F$58,$K$4:$K$58,$K11,$C$4:$C$58,"PROVINCE"),0)</f>
        <v/>
      </c>
      <c r="P11">
        <f>IFERROR(G11-SUMIFS(G$4:G$58,$K$4:$K$58,$K11,$C$4:$C$58,"PROVINCE"),0)</f>
        <v/>
      </c>
      <c r="Q11">
        <f>IFERROR(H11-SUMIFS(H$4:H$58,$K$4:$K$58,$K11,$C$4:$C$58,"PROVINCE"),0)</f>
        <v/>
      </c>
      <c r="R11">
        <f>IFERROR(I11-SUMIFS(I$4:I$58,$K$4:$K$58,$K11,$C$4:$C$58,"PROVINCE"),0)</f>
        <v/>
      </c>
      <c r="S11">
        <f>IFERROR(J11-SUMIFS(J$4:J$58,$K$4:$K$58,$K11,$C$4:$C$58,"PROVINCE"),0)</f>
        <v/>
      </c>
      <c r="T11">
        <f>IF(C11="PROVINCE",0,0.5^(-M11/Agrégat!$B$4)*SQRT(D11))</f>
        <v/>
      </c>
    </row>
    <row r="12">
      <c r="A12" t="inlineStr">
        <is>
          <t>2026-06-07</t>
        </is>
      </c>
      <c r="B12" t="inlineStr">
        <is>
          <t>synopsis</t>
        </is>
      </c>
      <c r="C12" t="inlineStr">
        <is>
          <t>Reste du Québec</t>
        </is>
      </c>
      <c r="D12" t="n">
        <v>300</v>
      </c>
      <c r="E12" s="7" t="n">
        <v>19.8</v>
      </c>
      <c r="F12" s="7" t="n">
        <v>16</v>
      </c>
      <c r="G12" s="7" t="n">
        <v>12.3</v>
      </c>
      <c r="H12" s="7" t="n">
        <v>39.5</v>
      </c>
      <c r="I12" s="7" t="n">
        <v>11.1</v>
      </c>
      <c r="J12" s="7" t="n">
        <v>1.2</v>
      </c>
      <c r="K12">
        <f>A12&amp;"|"&amp;B12</f>
        <v/>
      </c>
      <c r="L12">
        <f>IF(AND(C12="PROVINCE",B12&lt;&gt;"leger-cumul"),1,0)</f>
        <v/>
      </c>
      <c r="M12">
        <f>DATEDIF(DATE(LEFT(A12,4),MID(A12,6,2),RIGHT(A12,2)),DATE(LEFT(Agrégat!$B$2,4),MID(Agrégat!$B$2,6,2),RIGHT(Agrégat!$B$2,2)),"d")*-1</f>
        <v/>
      </c>
      <c r="N12">
        <f>IFERROR(E12-SUMIFS(E$4:E$58,$K$4:$K$58,$K12,$C$4:$C$58,"PROVINCE"),0)</f>
        <v/>
      </c>
      <c r="O12">
        <f>IFERROR(F12-SUMIFS(F$4:F$58,$K$4:$K$58,$K12,$C$4:$C$58,"PROVINCE"),0)</f>
        <v/>
      </c>
      <c r="P12">
        <f>IFERROR(G12-SUMIFS(G$4:G$58,$K$4:$K$58,$K12,$C$4:$C$58,"PROVINCE"),0)</f>
        <v/>
      </c>
      <c r="Q12">
        <f>IFERROR(H12-SUMIFS(H$4:H$58,$K$4:$K$58,$K12,$C$4:$C$58,"PROVINCE"),0)</f>
        <v/>
      </c>
      <c r="R12">
        <f>IFERROR(I12-SUMIFS(I$4:I$58,$K$4:$K$58,$K12,$C$4:$C$58,"PROVINCE"),0)</f>
        <v/>
      </c>
      <c r="S12">
        <f>IFERROR(J12-SUMIFS(J$4:J$58,$K$4:$K$58,$K12,$C$4:$C$58,"PROVINCE"),0)</f>
        <v/>
      </c>
      <c r="T12">
        <f>IF(C12="PROVINCE",0,0.5^(-M12/Agrégat!$B$4)*SQRT(D12))</f>
        <v/>
      </c>
    </row>
    <row r="13">
      <c r="A13" t="inlineStr">
        <is>
          <t>2026-06-11</t>
        </is>
      </c>
      <c r="B13" t="inlineStr">
        <is>
          <t>pallas</t>
        </is>
      </c>
      <c r="C13" t="inlineStr">
        <is>
          <t>PROVINCE</t>
        </is>
      </c>
      <c r="D13" t="n">
        <v>300</v>
      </c>
      <c r="E13" s="7" t="n">
        <v>19.8</v>
      </c>
      <c r="F13" s="7" t="n">
        <v>25.6</v>
      </c>
      <c r="G13" s="7" t="n">
        <v>11.5</v>
      </c>
      <c r="H13" s="7" t="n">
        <v>27.3</v>
      </c>
      <c r="I13" s="7" t="n">
        <v>14.6</v>
      </c>
      <c r="J13" s="7" t="n">
        <v>1.2</v>
      </c>
      <c r="K13">
        <f>A13&amp;"|"&amp;B13</f>
        <v/>
      </c>
      <c r="L13">
        <f>IF(AND(C13="PROVINCE",B13&lt;&gt;"leger-cumul"),1,0)</f>
        <v/>
      </c>
      <c r="M13">
        <f>DATEDIF(DATE(LEFT(A13,4),MID(A13,6,2),RIGHT(A13,2)),DATE(LEFT(Agrégat!$B$2,4),MID(Agrégat!$B$2,6,2),RIGHT(Agrégat!$B$2,2)),"d")*-1</f>
        <v/>
      </c>
      <c r="N13">
        <f>IFERROR(E13-SUMIFS(E$4:E$58,$K$4:$K$58,$K13,$C$4:$C$58,"PROVINCE"),0)</f>
        <v/>
      </c>
      <c r="O13">
        <f>IFERROR(F13-SUMIFS(F$4:F$58,$K$4:$K$58,$K13,$C$4:$C$58,"PROVINCE"),0)</f>
        <v/>
      </c>
      <c r="P13">
        <f>IFERROR(G13-SUMIFS(G$4:G$58,$K$4:$K$58,$K13,$C$4:$C$58,"PROVINCE"),0)</f>
        <v/>
      </c>
      <c r="Q13">
        <f>IFERROR(H13-SUMIFS(H$4:H$58,$K$4:$K$58,$K13,$C$4:$C$58,"PROVINCE"),0)</f>
        <v/>
      </c>
      <c r="R13">
        <f>IFERROR(I13-SUMIFS(I$4:I$58,$K$4:$K$58,$K13,$C$4:$C$58,"PROVINCE"),0)</f>
        <v/>
      </c>
      <c r="S13">
        <f>IFERROR(J13-SUMIFS(J$4:J$58,$K$4:$K$58,$K13,$C$4:$C$58,"PROVINCE"),0)</f>
        <v/>
      </c>
      <c r="T13">
        <f>IF(C13="PROVINCE",0,0.5^(-M13/Agrégat!$B$4)*SQRT(D13))</f>
        <v/>
      </c>
    </row>
    <row r="14">
      <c r="A14" t="inlineStr">
        <is>
          <t>2026-06-11</t>
        </is>
      </c>
      <c r="B14" t="inlineStr">
        <is>
          <t>pallas</t>
        </is>
      </c>
      <c r="C14" t="inlineStr">
        <is>
          <t>Montréal RMR</t>
        </is>
      </c>
      <c r="D14" t="n">
        <v>300</v>
      </c>
      <c r="E14" s="7" t="n">
        <v>17.5</v>
      </c>
      <c r="F14" s="7" t="n">
        <v>33.4</v>
      </c>
      <c r="G14" s="7" t="n">
        <v>14</v>
      </c>
      <c r="H14" s="7" t="n">
        <v>24.3</v>
      </c>
      <c r="I14" s="7" t="n">
        <v>10.1</v>
      </c>
      <c r="J14" s="7" t="n">
        <v>0.7</v>
      </c>
      <c r="K14">
        <f>A14&amp;"|"&amp;B14</f>
        <v/>
      </c>
      <c r="L14">
        <f>IF(AND(C14="PROVINCE",B14&lt;&gt;"leger-cumul"),1,0)</f>
        <v/>
      </c>
      <c r="M14">
        <f>DATEDIF(DATE(LEFT(A14,4),MID(A14,6,2),RIGHT(A14,2)),DATE(LEFT(Agrégat!$B$2,4),MID(Agrégat!$B$2,6,2),RIGHT(Agrégat!$B$2,2)),"d")*-1</f>
        <v/>
      </c>
      <c r="N14">
        <f>IFERROR(E14-SUMIFS(E$4:E$58,$K$4:$K$58,$K14,$C$4:$C$58,"PROVINCE"),0)</f>
        <v/>
      </c>
      <c r="O14">
        <f>IFERROR(F14-SUMIFS(F$4:F$58,$K$4:$K$58,$K14,$C$4:$C$58,"PROVINCE"),0)</f>
        <v/>
      </c>
      <c r="P14">
        <f>IFERROR(G14-SUMIFS(G$4:G$58,$K$4:$K$58,$K14,$C$4:$C$58,"PROVINCE"),0)</f>
        <v/>
      </c>
      <c r="Q14">
        <f>IFERROR(H14-SUMIFS(H$4:H$58,$K$4:$K$58,$K14,$C$4:$C$58,"PROVINCE"),0)</f>
        <v/>
      </c>
      <c r="R14">
        <f>IFERROR(I14-SUMIFS(I$4:I$58,$K$4:$K$58,$K14,$C$4:$C$58,"PROVINCE"),0)</f>
        <v/>
      </c>
      <c r="S14">
        <f>IFERROR(J14-SUMIFS(J$4:J$58,$K$4:$K$58,$K14,$C$4:$C$58,"PROVINCE"),0)</f>
        <v/>
      </c>
      <c r="T14">
        <f>IF(C14="PROVINCE",0,0.5^(-M14/Agrégat!$B$4)*SQRT(D14))</f>
        <v/>
      </c>
    </row>
    <row r="15">
      <c r="A15" t="inlineStr">
        <is>
          <t>2026-06-11</t>
        </is>
      </c>
      <c r="B15" t="inlineStr">
        <is>
          <t>pallas</t>
        </is>
      </c>
      <c r="C15" t="inlineStr">
        <is>
          <t>Île de Montréal</t>
        </is>
      </c>
      <c r="D15" t="n">
        <v>300</v>
      </c>
      <c r="E15" s="7" t="n">
        <v>11.2</v>
      </c>
      <c r="F15" s="7" t="n">
        <v>38.6</v>
      </c>
      <c r="G15" s="7" t="n">
        <v>20.9</v>
      </c>
      <c r="H15" s="7" t="n">
        <v>21.4</v>
      </c>
      <c r="I15" s="7" t="n">
        <v>6.9</v>
      </c>
      <c r="J15" s="7" t="n">
        <v>1.1</v>
      </c>
      <c r="K15">
        <f>A15&amp;"|"&amp;B15</f>
        <v/>
      </c>
      <c r="L15">
        <f>IF(AND(C15="PROVINCE",B15&lt;&gt;"leger-cumul"),1,0)</f>
        <v/>
      </c>
      <c r="M15">
        <f>DATEDIF(DATE(LEFT(A15,4),MID(A15,6,2),RIGHT(A15,2)),DATE(LEFT(Agrégat!$B$2,4),MID(Agrégat!$B$2,6,2),RIGHT(Agrégat!$B$2,2)),"d")*-1</f>
        <v/>
      </c>
      <c r="N15">
        <f>IFERROR(E15-SUMIFS(E$4:E$58,$K$4:$K$58,$K15,$C$4:$C$58,"PROVINCE"),0)</f>
        <v/>
      </c>
      <c r="O15">
        <f>IFERROR(F15-SUMIFS(F$4:F$58,$K$4:$K$58,$K15,$C$4:$C$58,"PROVINCE"),0)</f>
        <v/>
      </c>
      <c r="P15">
        <f>IFERROR(G15-SUMIFS(G$4:G$58,$K$4:$K$58,$K15,$C$4:$C$58,"PROVINCE"),0)</f>
        <v/>
      </c>
      <c r="Q15">
        <f>IFERROR(H15-SUMIFS(H$4:H$58,$K$4:$K$58,$K15,$C$4:$C$58,"PROVINCE"),0)</f>
        <v/>
      </c>
      <c r="R15">
        <f>IFERROR(I15-SUMIFS(I$4:I$58,$K$4:$K$58,$K15,$C$4:$C$58,"PROVINCE"),0)</f>
        <v/>
      </c>
      <c r="S15">
        <f>IFERROR(J15-SUMIFS(J$4:J$58,$K$4:$K$58,$K15,$C$4:$C$58,"PROVINCE"),0)</f>
        <v/>
      </c>
      <c r="T15">
        <f>IF(C15="PROVINCE",0,0.5^(-M15/Agrégat!$B$4)*SQRT(D15))</f>
        <v/>
      </c>
    </row>
    <row r="16">
      <c r="A16" t="inlineStr">
        <is>
          <t>2026-06-11</t>
        </is>
      </c>
      <c r="B16" t="inlineStr">
        <is>
          <t>pallas</t>
        </is>
      </c>
      <c r="C16" t="inlineStr">
        <is>
          <t>Banlieue de Montréal</t>
        </is>
      </c>
      <c r="D16" t="n">
        <v>300</v>
      </c>
      <c r="E16" s="7" t="n">
        <v>21.9</v>
      </c>
      <c r="F16" s="7" t="n">
        <v>29.9</v>
      </c>
      <c r="G16" s="7" t="n">
        <v>9</v>
      </c>
      <c r="H16" s="7" t="n">
        <v>26.4</v>
      </c>
      <c r="I16" s="7" t="n">
        <v>12.3</v>
      </c>
      <c r="J16" s="7" t="n">
        <v>0.3</v>
      </c>
      <c r="K16">
        <f>A16&amp;"|"&amp;B16</f>
        <v/>
      </c>
      <c r="L16">
        <f>IF(AND(C16="PROVINCE",B16&lt;&gt;"leger-cumul"),1,0)</f>
        <v/>
      </c>
      <c r="M16">
        <f>DATEDIF(DATE(LEFT(A16,4),MID(A16,6,2),RIGHT(A16,2)),DATE(LEFT(Agrégat!$B$2,4),MID(Agrégat!$B$2,6,2),RIGHT(Agrégat!$B$2,2)),"d")*-1</f>
        <v/>
      </c>
      <c r="N16">
        <f>IFERROR(E16-SUMIFS(E$4:E$58,$K$4:$K$58,$K16,$C$4:$C$58,"PROVINCE"),0)</f>
        <v/>
      </c>
      <c r="O16">
        <f>IFERROR(F16-SUMIFS(F$4:F$58,$K$4:$K$58,$K16,$C$4:$C$58,"PROVINCE"),0)</f>
        <v/>
      </c>
      <c r="P16">
        <f>IFERROR(G16-SUMIFS(G$4:G$58,$K$4:$K$58,$K16,$C$4:$C$58,"PROVINCE"),0)</f>
        <v/>
      </c>
      <c r="Q16">
        <f>IFERROR(H16-SUMIFS(H$4:H$58,$K$4:$K$58,$K16,$C$4:$C$58,"PROVINCE"),0)</f>
        <v/>
      </c>
      <c r="R16">
        <f>IFERROR(I16-SUMIFS(I$4:I$58,$K$4:$K$58,$K16,$C$4:$C$58,"PROVINCE"),0)</f>
        <v/>
      </c>
      <c r="S16">
        <f>IFERROR(J16-SUMIFS(J$4:J$58,$K$4:$K$58,$K16,$C$4:$C$58,"PROVINCE"),0)</f>
        <v/>
      </c>
      <c r="T16">
        <f>IF(C16="PROVINCE",0,0.5^(-M16/Agrégat!$B$4)*SQRT(D16))</f>
        <v/>
      </c>
    </row>
    <row r="17">
      <c r="A17" t="inlineStr">
        <is>
          <t>2026-06-11</t>
        </is>
      </c>
      <c r="B17" t="inlineStr">
        <is>
          <t>pallas</t>
        </is>
      </c>
      <c r="C17" t="inlineStr">
        <is>
          <t>Québec RMR</t>
        </is>
      </c>
      <c r="D17" t="n">
        <v>300</v>
      </c>
      <c r="E17" s="7" t="n">
        <v>25.2</v>
      </c>
      <c r="F17" s="7" t="n">
        <v>17.7</v>
      </c>
      <c r="G17" s="7" t="n">
        <v>6.3</v>
      </c>
      <c r="H17" s="7" t="n">
        <v>20.5</v>
      </c>
      <c r="I17" s="7" t="n">
        <v>30.3</v>
      </c>
      <c r="J17" s="7" t="n">
        <v>0</v>
      </c>
      <c r="K17">
        <f>A17&amp;"|"&amp;B17</f>
        <v/>
      </c>
      <c r="L17">
        <f>IF(AND(C17="PROVINCE",B17&lt;&gt;"leger-cumul"),1,0)</f>
        <v/>
      </c>
      <c r="M17">
        <f>DATEDIF(DATE(LEFT(A17,4),MID(A17,6,2),RIGHT(A17,2)),DATE(LEFT(Agrégat!$B$2,4),MID(Agrégat!$B$2,6,2),RIGHT(Agrégat!$B$2,2)),"d")*-1</f>
        <v/>
      </c>
      <c r="N17">
        <f>IFERROR(E17-SUMIFS(E$4:E$58,$K$4:$K$58,$K17,$C$4:$C$58,"PROVINCE"),0)</f>
        <v/>
      </c>
      <c r="O17">
        <f>IFERROR(F17-SUMIFS(F$4:F$58,$K$4:$K$58,$K17,$C$4:$C$58,"PROVINCE"),0)</f>
        <v/>
      </c>
      <c r="P17">
        <f>IFERROR(G17-SUMIFS(G$4:G$58,$K$4:$K$58,$K17,$C$4:$C$58,"PROVINCE"),0)</f>
        <v/>
      </c>
      <c r="Q17">
        <f>IFERROR(H17-SUMIFS(H$4:H$58,$K$4:$K$58,$K17,$C$4:$C$58,"PROVINCE"),0)</f>
        <v/>
      </c>
      <c r="R17">
        <f>IFERROR(I17-SUMIFS(I$4:I$58,$K$4:$K$58,$K17,$C$4:$C$58,"PROVINCE"),0)</f>
        <v/>
      </c>
      <c r="S17">
        <f>IFERROR(J17-SUMIFS(J$4:J$58,$K$4:$K$58,$K17,$C$4:$C$58,"PROVINCE"),0)</f>
        <v/>
      </c>
      <c r="T17">
        <f>IF(C17="PROVINCE",0,0.5^(-M17/Agrégat!$B$4)*SQRT(D17))</f>
        <v/>
      </c>
    </row>
    <row r="18">
      <c r="A18" t="inlineStr">
        <is>
          <t>2026-06-11</t>
        </is>
      </c>
      <c r="B18" t="inlineStr">
        <is>
          <t>pallas</t>
        </is>
      </c>
      <c r="C18" t="inlineStr">
        <is>
          <t>Reste du Québec</t>
        </is>
      </c>
      <c r="D18" t="n">
        <v>300</v>
      </c>
      <c r="E18" s="7" t="n">
        <v>22.3</v>
      </c>
      <c r="F18" s="7" t="n">
        <v>13.2</v>
      </c>
      <c r="G18" s="7" t="n">
        <v>8.5</v>
      </c>
      <c r="H18" s="7" t="n">
        <v>35.4</v>
      </c>
      <c r="I18" s="7" t="n">
        <v>17.8</v>
      </c>
      <c r="J18" s="7" t="n">
        <v>2.8</v>
      </c>
      <c r="K18">
        <f>A18&amp;"|"&amp;B18</f>
        <v/>
      </c>
      <c r="L18">
        <f>IF(AND(C18="PROVINCE",B18&lt;&gt;"leger-cumul"),1,0)</f>
        <v/>
      </c>
      <c r="M18">
        <f>DATEDIF(DATE(LEFT(A18,4),MID(A18,6,2),RIGHT(A18,2)),DATE(LEFT(Agrégat!$B$2,4),MID(Agrégat!$B$2,6,2),RIGHT(Agrégat!$B$2,2)),"d")*-1</f>
        <v/>
      </c>
      <c r="N18">
        <f>IFERROR(E18-SUMIFS(E$4:E$58,$K$4:$K$58,$K18,$C$4:$C$58,"PROVINCE"),0)</f>
        <v/>
      </c>
      <c r="O18">
        <f>IFERROR(F18-SUMIFS(F$4:F$58,$K$4:$K$58,$K18,$C$4:$C$58,"PROVINCE"),0)</f>
        <v/>
      </c>
      <c r="P18">
        <f>IFERROR(G18-SUMIFS(G$4:G$58,$K$4:$K$58,$K18,$C$4:$C$58,"PROVINCE"),0)</f>
        <v/>
      </c>
      <c r="Q18">
        <f>IFERROR(H18-SUMIFS(H$4:H$58,$K$4:$K$58,$K18,$C$4:$C$58,"PROVINCE"),0)</f>
        <v/>
      </c>
      <c r="R18">
        <f>IFERROR(I18-SUMIFS(I$4:I$58,$K$4:$K$58,$K18,$C$4:$C$58,"PROVINCE"),0)</f>
        <v/>
      </c>
      <c r="S18">
        <f>IFERROR(J18-SUMIFS(J$4:J$58,$K$4:$K$58,$K18,$C$4:$C$58,"PROVINCE"),0)</f>
        <v/>
      </c>
      <c r="T18">
        <f>IF(C18="PROVINCE",0,0.5^(-M18/Agrégat!$B$4)*SQRT(D18))</f>
        <v/>
      </c>
    </row>
    <row r="19">
      <c r="A19" t="inlineStr">
        <is>
          <t>2026-06-14</t>
        </is>
      </c>
      <c r="B19" t="inlineStr">
        <is>
          <t>leger</t>
        </is>
      </c>
      <c r="C19" t="inlineStr">
        <is>
          <t>PROVINCE</t>
        </is>
      </c>
      <c r="D19" t="n">
        <v>300</v>
      </c>
      <c r="E19" s="7" t="n">
        <v>20.8</v>
      </c>
      <c r="F19" s="7" t="n">
        <v>26.7</v>
      </c>
      <c r="G19" s="7" t="n">
        <v>7.9</v>
      </c>
      <c r="H19" s="7" t="n">
        <v>29.7</v>
      </c>
      <c r="I19" s="7" t="n">
        <v>12.9</v>
      </c>
      <c r="J19" s="7" t="n">
        <v>2</v>
      </c>
      <c r="K19">
        <f>A19&amp;"|"&amp;B19</f>
        <v/>
      </c>
      <c r="L19">
        <f>IF(AND(C19="PROVINCE",B19&lt;&gt;"leger-cumul"),1,0)</f>
        <v/>
      </c>
      <c r="M19">
        <f>DATEDIF(DATE(LEFT(A19,4),MID(A19,6,2),RIGHT(A19,2)),DATE(LEFT(Agrégat!$B$2,4),MID(Agrégat!$B$2,6,2),RIGHT(Agrégat!$B$2,2)),"d")*-1</f>
        <v/>
      </c>
      <c r="N19">
        <f>IFERROR(E19-SUMIFS(E$4:E$58,$K$4:$K$58,$K19,$C$4:$C$58,"PROVINCE"),0)</f>
        <v/>
      </c>
      <c r="O19">
        <f>IFERROR(F19-SUMIFS(F$4:F$58,$K$4:$K$58,$K19,$C$4:$C$58,"PROVINCE"),0)</f>
        <v/>
      </c>
      <c r="P19">
        <f>IFERROR(G19-SUMIFS(G$4:G$58,$K$4:$K$58,$K19,$C$4:$C$58,"PROVINCE"),0)</f>
        <v/>
      </c>
      <c r="Q19">
        <f>IFERROR(H19-SUMIFS(H$4:H$58,$K$4:$K$58,$K19,$C$4:$C$58,"PROVINCE"),0)</f>
        <v/>
      </c>
      <c r="R19">
        <f>IFERROR(I19-SUMIFS(I$4:I$58,$K$4:$K$58,$K19,$C$4:$C$58,"PROVINCE"),0)</f>
        <v/>
      </c>
      <c r="S19">
        <f>IFERROR(J19-SUMIFS(J$4:J$58,$K$4:$K$58,$K19,$C$4:$C$58,"PROVINCE"),0)</f>
        <v/>
      </c>
      <c r="T19">
        <f>IF(C19="PROVINCE",0,0.5^(-M19/Agrégat!$B$4)*SQRT(D19))</f>
        <v/>
      </c>
    </row>
    <row r="20">
      <c r="A20" t="inlineStr">
        <is>
          <t>2026-06-14</t>
        </is>
      </c>
      <c r="B20" t="inlineStr">
        <is>
          <t>leger</t>
        </is>
      </c>
      <c r="C20" t="inlineStr">
        <is>
          <t>Montréal RMR</t>
        </is>
      </c>
      <c r="D20" t="n">
        <v>300</v>
      </c>
      <c r="E20" s="7" t="n">
        <v>21</v>
      </c>
      <c r="F20" s="7" t="n">
        <v>35</v>
      </c>
      <c r="G20" s="7" t="n">
        <v>9</v>
      </c>
      <c r="H20" s="7" t="n">
        <v>24</v>
      </c>
      <c r="I20" s="7" t="n">
        <v>9</v>
      </c>
      <c r="J20" s="7" t="n">
        <v>2</v>
      </c>
      <c r="K20">
        <f>A20&amp;"|"&amp;B20</f>
        <v/>
      </c>
      <c r="L20">
        <f>IF(AND(C20="PROVINCE",B20&lt;&gt;"leger-cumul"),1,0)</f>
        <v/>
      </c>
      <c r="M20">
        <f>DATEDIF(DATE(LEFT(A20,4),MID(A20,6,2),RIGHT(A20,2)),DATE(LEFT(Agrégat!$B$2,4),MID(Agrégat!$B$2,6,2),RIGHT(Agrégat!$B$2,2)),"d")*-1</f>
        <v/>
      </c>
      <c r="N20">
        <f>IFERROR(E20-SUMIFS(E$4:E$58,$K$4:$K$58,$K20,$C$4:$C$58,"PROVINCE"),0)</f>
        <v/>
      </c>
      <c r="O20">
        <f>IFERROR(F20-SUMIFS(F$4:F$58,$K$4:$K$58,$K20,$C$4:$C$58,"PROVINCE"),0)</f>
        <v/>
      </c>
      <c r="P20">
        <f>IFERROR(G20-SUMIFS(G$4:G$58,$K$4:$K$58,$K20,$C$4:$C$58,"PROVINCE"),0)</f>
        <v/>
      </c>
      <c r="Q20">
        <f>IFERROR(H20-SUMIFS(H$4:H$58,$K$4:$K$58,$K20,$C$4:$C$58,"PROVINCE"),0)</f>
        <v/>
      </c>
      <c r="R20">
        <f>IFERROR(I20-SUMIFS(I$4:I$58,$K$4:$K$58,$K20,$C$4:$C$58,"PROVINCE"),0)</f>
        <v/>
      </c>
      <c r="S20">
        <f>IFERROR(J20-SUMIFS(J$4:J$58,$K$4:$K$58,$K20,$C$4:$C$58,"PROVINCE"),0)</f>
        <v/>
      </c>
      <c r="T20">
        <f>IF(C20="PROVINCE",0,0.5^(-M20/Agrégat!$B$4)*SQRT(D20))</f>
        <v/>
      </c>
    </row>
    <row r="21">
      <c r="A21" t="inlineStr">
        <is>
          <t>2026-06-14</t>
        </is>
      </c>
      <c r="B21" t="inlineStr">
        <is>
          <t>leger</t>
        </is>
      </c>
      <c r="C21" t="inlineStr">
        <is>
          <t>Québec RMR</t>
        </is>
      </c>
      <c r="D21" t="n">
        <v>300</v>
      </c>
      <c r="E21" s="7" t="n">
        <v>20.2</v>
      </c>
      <c r="F21" s="7" t="n">
        <v>16.2</v>
      </c>
      <c r="G21" s="7" t="n">
        <v>6.1</v>
      </c>
      <c r="H21" s="7" t="n">
        <v>30.3</v>
      </c>
      <c r="I21" s="7" t="n">
        <v>27.3</v>
      </c>
      <c r="J21" s="7" t="n">
        <v>0</v>
      </c>
      <c r="K21">
        <f>A21&amp;"|"&amp;B21</f>
        <v/>
      </c>
      <c r="L21">
        <f>IF(AND(C21="PROVINCE",B21&lt;&gt;"leger-cumul"),1,0)</f>
        <v/>
      </c>
      <c r="M21">
        <f>DATEDIF(DATE(LEFT(A21,4),MID(A21,6,2),RIGHT(A21,2)),DATE(LEFT(Agrégat!$B$2,4),MID(Agrégat!$B$2,6,2),RIGHT(Agrégat!$B$2,2)),"d")*-1</f>
        <v/>
      </c>
      <c r="N21">
        <f>IFERROR(E21-SUMIFS(E$4:E$58,$K$4:$K$58,$K21,$C$4:$C$58,"PROVINCE"),0)</f>
        <v/>
      </c>
      <c r="O21">
        <f>IFERROR(F21-SUMIFS(F$4:F$58,$K$4:$K$58,$K21,$C$4:$C$58,"PROVINCE"),0)</f>
        <v/>
      </c>
      <c r="P21">
        <f>IFERROR(G21-SUMIFS(G$4:G$58,$K$4:$K$58,$K21,$C$4:$C$58,"PROVINCE"),0)</f>
        <v/>
      </c>
      <c r="Q21">
        <f>IFERROR(H21-SUMIFS(H$4:H$58,$K$4:$K$58,$K21,$C$4:$C$58,"PROVINCE"),0)</f>
        <v/>
      </c>
      <c r="R21">
        <f>IFERROR(I21-SUMIFS(I$4:I$58,$K$4:$K$58,$K21,$C$4:$C$58,"PROVINCE"),0)</f>
        <v/>
      </c>
      <c r="S21">
        <f>IFERROR(J21-SUMIFS(J$4:J$58,$K$4:$K$58,$K21,$C$4:$C$58,"PROVINCE"),0)</f>
        <v/>
      </c>
      <c r="T21">
        <f>IF(C21="PROVINCE",0,0.5^(-M21/Agrégat!$B$4)*SQRT(D21))</f>
        <v/>
      </c>
    </row>
    <row r="22">
      <c r="A22" t="inlineStr">
        <is>
          <t>2026-06-14</t>
        </is>
      </c>
      <c r="B22" t="inlineStr">
        <is>
          <t>leger</t>
        </is>
      </c>
      <c r="C22" t="inlineStr">
        <is>
          <t>Reste du Québec</t>
        </is>
      </c>
      <c r="D22" t="n">
        <v>300</v>
      </c>
      <c r="E22" s="7" t="n">
        <v>20</v>
      </c>
      <c r="F22" s="7" t="n">
        <v>20</v>
      </c>
      <c r="G22" s="7" t="n">
        <v>7</v>
      </c>
      <c r="H22" s="7" t="n">
        <v>37</v>
      </c>
      <c r="I22" s="7" t="n">
        <v>14</v>
      </c>
      <c r="J22" s="7" t="n">
        <v>2</v>
      </c>
      <c r="K22">
        <f>A22&amp;"|"&amp;B22</f>
        <v/>
      </c>
      <c r="L22">
        <f>IF(AND(C22="PROVINCE",B22&lt;&gt;"leger-cumul"),1,0)</f>
        <v/>
      </c>
      <c r="M22">
        <f>DATEDIF(DATE(LEFT(A22,4),MID(A22,6,2),RIGHT(A22,2)),DATE(LEFT(Agrégat!$B$2,4),MID(Agrégat!$B$2,6,2),RIGHT(Agrégat!$B$2,2)),"d")*-1</f>
        <v/>
      </c>
      <c r="N22">
        <f>IFERROR(E22-SUMIFS(E$4:E$58,$K$4:$K$58,$K22,$C$4:$C$58,"PROVINCE"),0)</f>
        <v/>
      </c>
      <c r="O22">
        <f>IFERROR(F22-SUMIFS(F$4:F$58,$K$4:$K$58,$K22,$C$4:$C$58,"PROVINCE"),0)</f>
        <v/>
      </c>
      <c r="P22">
        <f>IFERROR(G22-SUMIFS(G$4:G$58,$K$4:$K$58,$K22,$C$4:$C$58,"PROVINCE"),0)</f>
        <v/>
      </c>
      <c r="Q22">
        <f>IFERROR(H22-SUMIFS(H$4:H$58,$K$4:$K$58,$K22,$C$4:$C$58,"PROVINCE"),0)</f>
        <v/>
      </c>
      <c r="R22">
        <f>IFERROR(I22-SUMIFS(I$4:I$58,$K$4:$K$58,$K22,$C$4:$C$58,"PROVINCE"),0)</f>
        <v/>
      </c>
      <c r="S22">
        <f>IFERROR(J22-SUMIFS(J$4:J$58,$K$4:$K$58,$K22,$C$4:$C$58,"PROVINCE"),0)</f>
        <v/>
      </c>
      <c r="T22">
        <f>IF(C22="PROVINCE",0,0.5^(-M22/Agrégat!$B$4)*SQRT(D22))</f>
        <v/>
      </c>
    </row>
    <row r="23">
      <c r="A23" t="inlineStr">
        <is>
          <t>2026-08-02</t>
        </is>
      </c>
      <c r="B23" t="inlineStr">
        <is>
          <t>pallas</t>
        </is>
      </c>
      <c r="C23" t="inlineStr">
        <is>
          <t>PROVINCE</t>
        </is>
      </c>
      <c r="D23" t="n">
        <v>300</v>
      </c>
      <c r="E23" s="7" t="n">
        <v>18.5</v>
      </c>
      <c r="F23" s="7" t="n">
        <v>27.2</v>
      </c>
      <c r="G23" s="7" t="n">
        <v>9.4</v>
      </c>
      <c r="H23" s="7" t="n">
        <v>30</v>
      </c>
      <c r="I23" s="7" t="n">
        <v>14.2</v>
      </c>
      <c r="J23" s="7" t="n">
        <v>0.7</v>
      </c>
      <c r="K23">
        <f>A23&amp;"|"&amp;B23</f>
        <v/>
      </c>
      <c r="L23">
        <f>IF(AND(C23="PROVINCE",B23&lt;&gt;"leger-cumul"),1,0)</f>
        <v/>
      </c>
      <c r="M23">
        <f>DATEDIF(DATE(LEFT(A23,4),MID(A23,6,2),RIGHT(A23,2)),DATE(LEFT(Agrégat!$B$2,4),MID(Agrégat!$B$2,6,2),RIGHT(Agrégat!$B$2,2)),"d")*-1</f>
        <v/>
      </c>
      <c r="N23">
        <f>IFERROR(E23-SUMIFS(E$4:E$58,$K$4:$K$58,$K23,$C$4:$C$58,"PROVINCE"),0)</f>
        <v/>
      </c>
      <c r="O23">
        <f>IFERROR(F23-SUMIFS(F$4:F$58,$K$4:$K$58,$K23,$C$4:$C$58,"PROVINCE"),0)</f>
        <v/>
      </c>
      <c r="P23">
        <f>IFERROR(G23-SUMIFS(G$4:G$58,$K$4:$K$58,$K23,$C$4:$C$58,"PROVINCE"),0)</f>
        <v/>
      </c>
      <c r="Q23">
        <f>IFERROR(H23-SUMIFS(H$4:H$58,$K$4:$K$58,$K23,$C$4:$C$58,"PROVINCE"),0)</f>
        <v/>
      </c>
      <c r="R23">
        <f>IFERROR(I23-SUMIFS(I$4:I$58,$K$4:$K$58,$K23,$C$4:$C$58,"PROVINCE"),0)</f>
        <v/>
      </c>
      <c r="S23">
        <f>IFERROR(J23-SUMIFS(J$4:J$58,$K$4:$K$58,$K23,$C$4:$C$58,"PROVINCE"),0)</f>
        <v/>
      </c>
      <c r="T23">
        <f>IF(C23="PROVINCE",0,0.5^(-M23/Agrégat!$B$4)*SQRT(D23))</f>
        <v/>
      </c>
    </row>
    <row r="24">
      <c r="A24" t="inlineStr">
        <is>
          <t>2026-08-02</t>
        </is>
      </c>
      <c r="B24" t="inlineStr">
        <is>
          <t>pallas</t>
        </is>
      </c>
      <c r="C24" t="inlineStr">
        <is>
          <t>Montréal RMR</t>
        </is>
      </c>
      <c r="D24" t="n">
        <v>300</v>
      </c>
      <c r="E24" s="7" t="n">
        <v>20</v>
      </c>
      <c r="F24" s="7" t="n">
        <v>31.7</v>
      </c>
      <c r="G24" s="7" t="n">
        <v>9.300000000000001</v>
      </c>
      <c r="H24" s="7" t="n">
        <v>28.6</v>
      </c>
      <c r="I24" s="7" t="n">
        <v>9.800000000000001</v>
      </c>
      <c r="J24" s="7" t="n">
        <v>0.6</v>
      </c>
      <c r="K24">
        <f>A24&amp;"|"&amp;B24</f>
        <v/>
      </c>
      <c r="L24">
        <f>IF(AND(C24="PROVINCE",B24&lt;&gt;"leger-cumul"),1,0)</f>
        <v/>
      </c>
      <c r="M24">
        <f>DATEDIF(DATE(LEFT(A24,4),MID(A24,6,2),RIGHT(A24,2)),DATE(LEFT(Agrégat!$B$2,4),MID(Agrégat!$B$2,6,2),RIGHT(Agrégat!$B$2,2)),"d")*-1</f>
        <v/>
      </c>
      <c r="N24">
        <f>IFERROR(E24-SUMIFS(E$4:E$58,$K$4:$K$58,$K24,$C$4:$C$58,"PROVINCE"),0)</f>
        <v/>
      </c>
      <c r="O24">
        <f>IFERROR(F24-SUMIFS(F$4:F$58,$K$4:$K$58,$K24,$C$4:$C$58,"PROVINCE"),0)</f>
        <v/>
      </c>
      <c r="P24">
        <f>IFERROR(G24-SUMIFS(G$4:G$58,$K$4:$K$58,$K24,$C$4:$C$58,"PROVINCE"),0)</f>
        <v/>
      </c>
      <c r="Q24">
        <f>IFERROR(H24-SUMIFS(H$4:H$58,$K$4:$K$58,$K24,$C$4:$C$58,"PROVINCE"),0)</f>
        <v/>
      </c>
      <c r="R24">
        <f>IFERROR(I24-SUMIFS(I$4:I$58,$K$4:$K$58,$K24,$C$4:$C$58,"PROVINCE"),0)</f>
        <v/>
      </c>
      <c r="S24">
        <f>IFERROR(J24-SUMIFS(J$4:J$58,$K$4:$K$58,$K24,$C$4:$C$58,"PROVINCE"),0)</f>
        <v/>
      </c>
      <c r="T24">
        <f>IF(C24="PROVINCE",0,0.5^(-M24/Agrégat!$B$4)*SQRT(D24))</f>
        <v/>
      </c>
    </row>
    <row r="25">
      <c r="A25" t="inlineStr">
        <is>
          <t>2026-08-02</t>
        </is>
      </c>
      <c r="B25" t="inlineStr">
        <is>
          <t>pallas</t>
        </is>
      </c>
      <c r="C25" t="inlineStr">
        <is>
          <t>Île de Montréal</t>
        </is>
      </c>
      <c r="D25" t="n">
        <v>300</v>
      </c>
      <c r="E25" s="7" t="n">
        <v>11.8</v>
      </c>
      <c r="F25" s="7" t="n">
        <v>43.7</v>
      </c>
      <c r="G25" s="7" t="n">
        <v>15.6</v>
      </c>
      <c r="H25" s="7" t="n">
        <v>18.3</v>
      </c>
      <c r="I25" s="7" t="n">
        <v>10.3</v>
      </c>
      <c r="J25" s="7" t="n">
        <v>0.4</v>
      </c>
      <c r="K25">
        <f>A25&amp;"|"&amp;B25</f>
        <v/>
      </c>
      <c r="L25">
        <f>IF(AND(C25="PROVINCE",B25&lt;&gt;"leger-cumul"),1,0)</f>
        <v/>
      </c>
      <c r="M25">
        <f>DATEDIF(DATE(LEFT(A25,4),MID(A25,6,2),RIGHT(A25,2)),DATE(LEFT(Agrégat!$B$2,4),MID(Agrégat!$B$2,6,2),RIGHT(Agrégat!$B$2,2)),"d")*-1</f>
        <v/>
      </c>
      <c r="N25">
        <f>IFERROR(E25-SUMIFS(E$4:E$58,$K$4:$K$58,$K25,$C$4:$C$58,"PROVINCE"),0)</f>
        <v/>
      </c>
      <c r="O25">
        <f>IFERROR(F25-SUMIFS(F$4:F$58,$K$4:$K$58,$K25,$C$4:$C$58,"PROVINCE"),0)</f>
        <v/>
      </c>
      <c r="P25">
        <f>IFERROR(G25-SUMIFS(G$4:G$58,$K$4:$K$58,$K25,$C$4:$C$58,"PROVINCE"),0)</f>
        <v/>
      </c>
      <c r="Q25">
        <f>IFERROR(H25-SUMIFS(H$4:H$58,$K$4:$K$58,$K25,$C$4:$C$58,"PROVINCE"),0)</f>
        <v/>
      </c>
      <c r="R25">
        <f>IFERROR(I25-SUMIFS(I$4:I$58,$K$4:$K$58,$K25,$C$4:$C$58,"PROVINCE"),0)</f>
        <v/>
      </c>
      <c r="S25">
        <f>IFERROR(J25-SUMIFS(J$4:J$58,$K$4:$K$58,$K25,$C$4:$C$58,"PROVINCE"),0)</f>
        <v/>
      </c>
      <c r="T25">
        <f>IF(C25="PROVINCE",0,0.5^(-M25/Agrégat!$B$4)*SQRT(D25))</f>
        <v/>
      </c>
    </row>
    <row r="26">
      <c r="A26" t="inlineStr">
        <is>
          <t>2026-08-02</t>
        </is>
      </c>
      <c r="B26" t="inlineStr">
        <is>
          <t>pallas</t>
        </is>
      </c>
      <c r="C26" t="inlineStr">
        <is>
          <t>Banlieue de Montréal</t>
        </is>
      </c>
      <c r="D26" t="n">
        <v>300</v>
      </c>
      <c r="E26" s="7" t="n">
        <v>25.3</v>
      </c>
      <c r="F26" s="7" t="n">
        <v>23.9</v>
      </c>
      <c r="G26" s="7" t="n">
        <v>5.2</v>
      </c>
      <c r="H26" s="7" t="n">
        <v>35.3</v>
      </c>
      <c r="I26" s="7" t="n">
        <v>9.5</v>
      </c>
      <c r="J26" s="7" t="n">
        <v>0.8</v>
      </c>
      <c r="K26">
        <f>A26&amp;"|"&amp;B26</f>
        <v/>
      </c>
      <c r="L26">
        <f>IF(AND(C26="PROVINCE",B26&lt;&gt;"leger-cumul"),1,0)</f>
        <v/>
      </c>
      <c r="M26">
        <f>DATEDIF(DATE(LEFT(A26,4),MID(A26,6,2),RIGHT(A26,2)),DATE(LEFT(Agrégat!$B$2,4),MID(Agrégat!$B$2,6,2),RIGHT(Agrégat!$B$2,2)),"d")*-1</f>
        <v/>
      </c>
      <c r="N26">
        <f>IFERROR(E26-SUMIFS(E$4:E$58,$K$4:$K$58,$K26,$C$4:$C$58,"PROVINCE"),0)</f>
        <v/>
      </c>
      <c r="O26">
        <f>IFERROR(F26-SUMIFS(F$4:F$58,$K$4:$K$58,$K26,$C$4:$C$58,"PROVINCE"),0)</f>
        <v/>
      </c>
      <c r="P26">
        <f>IFERROR(G26-SUMIFS(G$4:G$58,$K$4:$K$58,$K26,$C$4:$C$58,"PROVINCE"),0)</f>
        <v/>
      </c>
      <c r="Q26">
        <f>IFERROR(H26-SUMIFS(H$4:H$58,$K$4:$K$58,$K26,$C$4:$C$58,"PROVINCE"),0)</f>
        <v/>
      </c>
      <c r="R26">
        <f>IFERROR(I26-SUMIFS(I$4:I$58,$K$4:$K$58,$K26,$C$4:$C$58,"PROVINCE"),0)</f>
        <v/>
      </c>
      <c r="S26">
        <f>IFERROR(J26-SUMIFS(J$4:J$58,$K$4:$K$58,$K26,$C$4:$C$58,"PROVINCE"),0)</f>
        <v/>
      </c>
      <c r="T26">
        <f>IF(C26="PROVINCE",0,0.5^(-M26/Agrégat!$B$4)*SQRT(D26))</f>
        <v/>
      </c>
    </row>
    <row r="27">
      <c r="A27" t="inlineStr">
        <is>
          <t>2026-08-02</t>
        </is>
      </c>
      <c r="B27" t="inlineStr">
        <is>
          <t>pallas</t>
        </is>
      </c>
      <c r="C27" t="inlineStr">
        <is>
          <t>Québec RMR</t>
        </is>
      </c>
      <c r="D27" t="n">
        <v>300</v>
      </c>
      <c r="E27" s="7" t="n">
        <v>21.1</v>
      </c>
      <c r="F27" s="7" t="n">
        <v>15.2</v>
      </c>
      <c r="G27" s="7" t="n">
        <v>7.8</v>
      </c>
      <c r="H27" s="7" t="n">
        <v>25.3</v>
      </c>
      <c r="I27" s="7" t="n">
        <v>30.2</v>
      </c>
      <c r="J27" s="7" t="n">
        <v>0.5</v>
      </c>
      <c r="K27">
        <f>A27&amp;"|"&amp;B27</f>
        <v/>
      </c>
      <c r="L27">
        <f>IF(AND(C27="PROVINCE",B27&lt;&gt;"leger-cumul"),1,0)</f>
        <v/>
      </c>
      <c r="M27">
        <f>DATEDIF(DATE(LEFT(A27,4),MID(A27,6,2),RIGHT(A27,2)),DATE(LEFT(Agrégat!$B$2,4),MID(Agrégat!$B$2,6,2),RIGHT(Agrégat!$B$2,2)),"d")*-1</f>
        <v/>
      </c>
      <c r="N27">
        <f>IFERROR(E27-SUMIFS(E$4:E$58,$K$4:$K$58,$K27,$C$4:$C$58,"PROVINCE"),0)</f>
        <v/>
      </c>
      <c r="O27">
        <f>IFERROR(F27-SUMIFS(F$4:F$58,$K$4:$K$58,$K27,$C$4:$C$58,"PROVINCE"),0)</f>
        <v/>
      </c>
      <c r="P27">
        <f>IFERROR(G27-SUMIFS(G$4:G$58,$K$4:$K$58,$K27,$C$4:$C$58,"PROVINCE"),0)</f>
        <v/>
      </c>
      <c r="Q27">
        <f>IFERROR(H27-SUMIFS(H$4:H$58,$K$4:$K$58,$K27,$C$4:$C$58,"PROVINCE"),0)</f>
        <v/>
      </c>
      <c r="R27">
        <f>IFERROR(I27-SUMIFS(I$4:I$58,$K$4:$K$58,$K27,$C$4:$C$58,"PROVINCE"),0)</f>
        <v/>
      </c>
      <c r="S27">
        <f>IFERROR(J27-SUMIFS(J$4:J$58,$K$4:$K$58,$K27,$C$4:$C$58,"PROVINCE"),0)</f>
        <v/>
      </c>
      <c r="T27">
        <f>IF(C27="PROVINCE",0,0.5^(-M27/Agrégat!$B$4)*SQRT(D27))</f>
        <v/>
      </c>
    </row>
    <row r="28">
      <c r="A28" t="inlineStr">
        <is>
          <t>2026-08-02</t>
        </is>
      </c>
      <c r="B28" t="inlineStr">
        <is>
          <t>pallas</t>
        </is>
      </c>
      <c r="C28" t="inlineStr">
        <is>
          <t>Reste du Québec</t>
        </is>
      </c>
      <c r="D28" t="n">
        <v>300</v>
      </c>
      <c r="E28" s="7" t="n">
        <v>14.6</v>
      </c>
      <c r="F28" s="7" t="n">
        <v>22.6</v>
      </c>
      <c r="G28" s="7" t="n">
        <v>10</v>
      </c>
      <c r="H28" s="7" t="n">
        <v>34.6</v>
      </c>
      <c r="I28" s="7" t="n">
        <v>17.2</v>
      </c>
      <c r="J28" s="7" t="n">
        <v>1</v>
      </c>
      <c r="K28">
        <f>A28&amp;"|"&amp;B28</f>
        <v/>
      </c>
      <c r="L28">
        <f>IF(AND(C28="PROVINCE",B28&lt;&gt;"leger-cumul"),1,0)</f>
        <v/>
      </c>
      <c r="M28">
        <f>DATEDIF(DATE(LEFT(A28,4),MID(A28,6,2),RIGHT(A28,2)),DATE(LEFT(Agrégat!$B$2,4),MID(Agrégat!$B$2,6,2),RIGHT(Agrégat!$B$2,2)),"d")*-1</f>
        <v/>
      </c>
      <c r="N28">
        <f>IFERROR(E28-SUMIFS(E$4:E$58,$K$4:$K$58,$K28,$C$4:$C$58,"PROVINCE"),0)</f>
        <v/>
      </c>
      <c r="O28">
        <f>IFERROR(F28-SUMIFS(F$4:F$58,$K$4:$K$58,$K28,$C$4:$C$58,"PROVINCE"),0)</f>
        <v/>
      </c>
      <c r="P28">
        <f>IFERROR(G28-SUMIFS(G$4:G$58,$K$4:$K$58,$K28,$C$4:$C$58,"PROVINCE"),0)</f>
        <v/>
      </c>
      <c r="Q28">
        <f>IFERROR(H28-SUMIFS(H$4:H$58,$K$4:$K$58,$K28,$C$4:$C$58,"PROVINCE"),0)</f>
        <v/>
      </c>
      <c r="R28">
        <f>IFERROR(I28-SUMIFS(I$4:I$58,$K$4:$K$58,$K28,$C$4:$C$58,"PROVINCE"),0)</f>
        <v/>
      </c>
      <c r="S28">
        <f>IFERROR(J28-SUMIFS(J$4:J$58,$K$4:$K$58,$K28,$C$4:$C$58,"PROVINCE"),0)</f>
        <v/>
      </c>
      <c r="T28">
        <f>IF(C28="PROVINCE",0,0.5^(-M28/Agrégat!$B$4)*SQRT(D28))</f>
        <v/>
      </c>
    </row>
    <row r="29">
      <c r="A29" t="inlineStr">
        <is>
          <t>2026-08-08</t>
        </is>
      </c>
      <c r="B29" t="inlineStr">
        <is>
          <t>leger</t>
        </is>
      </c>
      <c r="C29" t="inlineStr">
        <is>
          <t>PROVINCE</t>
        </is>
      </c>
      <c r="D29" t="n">
        <v>300</v>
      </c>
      <c r="E29" s="7" t="n">
        <v>20</v>
      </c>
      <c r="F29" s="7" t="n">
        <v>24</v>
      </c>
      <c r="G29" s="7" t="n">
        <v>11</v>
      </c>
      <c r="H29" s="7" t="n">
        <v>30</v>
      </c>
      <c r="I29" s="7" t="n">
        <v>13</v>
      </c>
      <c r="J29" s="7" t="n">
        <v>2</v>
      </c>
      <c r="K29">
        <f>A29&amp;"|"&amp;B29</f>
        <v/>
      </c>
      <c r="L29">
        <f>IF(AND(C29="PROVINCE",B29&lt;&gt;"leger-cumul"),1,0)</f>
        <v/>
      </c>
      <c r="M29">
        <f>DATEDIF(DATE(LEFT(A29,4),MID(A29,6,2),RIGHT(A29,2)),DATE(LEFT(Agrégat!$B$2,4),MID(Agrégat!$B$2,6,2),RIGHT(Agrégat!$B$2,2)),"d")*-1</f>
        <v/>
      </c>
      <c r="N29">
        <f>IFERROR(E29-SUMIFS(E$4:E$58,$K$4:$K$58,$K29,$C$4:$C$58,"PROVINCE"),0)</f>
        <v/>
      </c>
      <c r="O29">
        <f>IFERROR(F29-SUMIFS(F$4:F$58,$K$4:$K$58,$K29,$C$4:$C$58,"PROVINCE"),0)</f>
        <v/>
      </c>
      <c r="P29">
        <f>IFERROR(G29-SUMIFS(G$4:G$58,$K$4:$K$58,$K29,$C$4:$C$58,"PROVINCE"),0)</f>
        <v/>
      </c>
      <c r="Q29">
        <f>IFERROR(H29-SUMIFS(H$4:H$58,$K$4:$K$58,$K29,$C$4:$C$58,"PROVINCE"),0)</f>
        <v/>
      </c>
      <c r="R29">
        <f>IFERROR(I29-SUMIFS(I$4:I$58,$K$4:$K$58,$K29,$C$4:$C$58,"PROVINCE"),0)</f>
        <v/>
      </c>
      <c r="S29">
        <f>IFERROR(J29-SUMIFS(J$4:J$58,$K$4:$K$58,$K29,$C$4:$C$58,"PROVINCE"),0)</f>
        <v/>
      </c>
      <c r="T29">
        <f>IF(C29="PROVINCE",0,0.5^(-M29/Agrégat!$B$4)*SQRT(D29))</f>
        <v/>
      </c>
    </row>
    <row r="30">
      <c r="A30" t="inlineStr">
        <is>
          <t>2026-08-08</t>
        </is>
      </c>
      <c r="B30" t="inlineStr">
        <is>
          <t>leger</t>
        </is>
      </c>
      <c r="C30" t="inlineStr">
        <is>
          <t>Montréal RMR</t>
        </is>
      </c>
      <c r="D30" t="n">
        <v>300</v>
      </c>
      <c r="E30" s="7" t="n">
        <v>17</v>
      </c>
      <c r="F30" s="7" t="n">
        <v>32</v>
      </c>
      <c r="G30" s="7" t="n">
        <v>13</v>
      </c>
      <c r="H30" s="7" t="n">
        <v>25</v>
      </c>
      <c r="I30" s="7" t="n">
        <v>11</v>
      </c>
      <c r="J30" s="7" t="n">
        <v>2</v>
      </c>
      <c r="K30">
        <f>A30&amp;"|"&amp;B30</f>
        <v/>
      </c>
      <c r="L30">
        <f>IF(AND(C30="PROVINCE",B30&lt;&gt;"leger-cumul"),1,0)</f>
        <v/>
      </c>
      <c r="M30">
        <f>DATEDIF(DATE(LEFT(A30,4),MID(A30,6,2),RIGHT(A30,2)),DATE(LEFT(Agrégat!$B$2,4),MID(Agrégat!$B$2,6,2),RIGHT(Agrégat!$B$2,2)),"d")*-1</f>
        <v/>
      </c>
      <c r="N30">
        <f>IFERROR(E30-SUMIFS(E$4:E$58,$K$4:$K$58,$K30,$C$4:$C$58,"PROVINCE"),0)</f>
        <v/>
      </c>
      <c r="O30">
        <f>IFERROR(F30-SUMIFS(F$4:F$58,$K$4:$K$58,$K30,$C$4:$C$58,"PROVINCE"),0)</f>
        <v/>
      </c>
      <c r="P30">
        <f>IFERROR(G30-SUMIFS(G$4:G$58,$K$4:$K$58,$K30,$C$4:$C$58,"PROVINCE"),0)</f>
        <v/>
      </c>
      <c r="Q30">
        <f>IFERROR(H30-SUMIFS(H$4:H$58,$K$4:$K$58,$K30,$C$4:$C$58,"PROVINCE"),0)</f>
        <v/>
      </c>
      <c r="R30">
        <f>IFERROR(I30-SUMIFS(I$4:I$58,$K$4:$K$58,$K30,$C$4:$C$58,"PROVINCE"),0)</f>
        <v/>
      </c>
      <c r="S30">
        <f>IFERROR(J30-SUMIFS(J$4:J$58,$K$4:$K$58,$K30,$C$4:$C$58,"PROVINCE"),0)</f>
        <v/>
      </c>
      <c r="T30">
        <f>IF(C30="PROVINCE",0,0.5^(-M30/Agrégat!$B$4)*SQRT(D30))</f>
        <v/>
      </c>
    </row>
    <row r="31">
      <c r="A31" t="inlineStr">
        <is>
          <t>2026-08-08</t>
        </is>
      </c>
      <c r="B31" t="inlineStr">
        <is>
          <t>leger</t>
        </is>
      </c>
      <c r="C31" t="inlineStr">
        <is>
          <t>Québec RMR</t>
        </is>
      </c>
      <c r="D31" t="n">
        <v>300</v>
      </c>
      <c r="E31" s="7" t="n">
        <v>21</v>
      </c>
      <c r="F31" s="7" t="n">
        <v>13</v>
      </c>
      <c r="G31" s="7" t="n">
        <v>9</v>
      </c>
      <c r="H31" s="7" t="n">
        <v>29</v>
      </c>
      <c r="I31" s="7" t="n">
        <v>27</v>
      </c>
      <c r="J31" s="7" t="n">
        <v>1</v>
      </c>
      <c r="K31">
        <f>A31&amp;"|"&amp;B31</f>
        <v/>
      </c>
      <c r="L31">
        <f>IF(AND(C31="PROVINCE",B31&lt;&gt;"leger-cumul"),1,0)</f>
        <v/>
      </c>
      <c r="M31">
        <f>DATEDIF(DATE(LEFT(A31,4),MID(A31,6,2),RIGHT(A31,2)),DATE(LEFT(Agrégat!$B$2,4),MID(Agrégat!$B$2,6,2),RIGHT(Agrégat!$B$2,2)),"d")*-1</f>
        <v/>
      </c>
      <c r="N31">
        <f>IFERROR(E31-SUMIFS(E$4:E$58,$K$4:$K$58,$K31,$C$4:$C$58,"PROVINCE"),0)</f>
        <v/>
      </c>
      <c r="O31">
        <f>IFERROR(F31-SUMIFS(F$4:F$58,$K$4:$K$58,$K31,$C$4:$C$58,"PROVINCE"),0)</f>
        <v/>
      </c>
      <c r="P31">
        <f>IFERROR(G31-SUMIFS(G$4:G$58,$K$4:$K$58,$K31,$C$4:$C$58,"PROVINCE"),0)</f>
        <v/>
      </c>
      <c r="Q31">
        <f>IFERROR(H31-SUMIFS(H$4:H$58,$K$4:$K$58,$K31,$C$4:$C$58,"PROVINCE"),0)</f>
        <v/>
      </c>
      <c r="R31">
        <f>IFERROR(I31-SUMIFS(I$4:I$58,$K$4:$K$58,$K31,$C$4:$C$58,"PROVINCE"),0)</f>
        <v/>
      </c>
      <c r="S31">
        <f>IFERROR(J31-SUMIFS(J$4:J$58,$K$4:$K$58,$K31,$C$4:$C$58,"PROVINCE"),0)</f>
        <v/>
      </c>
      <c r="T31">
        <f>IF(C31="PROVINCE",0,0.5^(-M31/Agrégat!$B$4)*SQRT(D31))</f>
        <v/>
      </c>
    </row>
    <row r="32">
      <c r="A32" t="inlineStr">
        <is>
          <t>2026-08-08</t>
        </is>
      </c>
      <c r="B32" t="inlineStr">
        <is>
          <t>leger</t>
        </is>
      </c>
      <c r="C32" t="inlineStr">
        <is>
          <t>Reste du Québec</t>
        </is>
      </c>
      <c r="D32" t="n">
        <v>300</v>
      </c>
      <c r="E32" s="7" t="n">
        <v>25</v>
      </c>
      <c r="F32" s="7" t="n">
        <v>15</v>
      </c>
      <c r="G32" s="7" t="n">
        <v>8</v>
      </c>
      <c r="H32" s="7" t="n">
        <v>36</v>
      </c>
      <c r="I32" s="7" t="n">
        <v>13</v>
      </c>
      <c r="J32" s="7" t="n">
        <v>3</v>
      </c>
      <c r="K32">
        <f>A32&amp;"|"&amp;B32</f>
        <v/>
      </c>
      <c r="L32">
        <f>IF(AND(C32="PROVINCE",B32&lt;&gt;"leger-cumul"),1,0)</f>
        <v/>
      </c>
      <c r="M32">
        <f>DATEDIF(DATE(LEFT(A32,4),MID(A32,6,2),RIGHT(A32,2)),DATE(LEFT(Agrégat!$B$2,4),MID(Agrégat!$B$2,6,2),RIGHT(Agrégat!$B$2,2)),"d")*-1</f>
        <v/>
      </c>
      <c r="N32">
        <f>IFERROR(E32-SUMIFS(E$4:E$58,$K$4:$K$58,$K32,$C$4:$C$58,"PROVINCE"),0)</f>
        <v/>
      </c>
      <c r="O32">
        <f>IFERROR(F32-SUMIFS(F$4:F$58,$K$4:$K$58,$K32,$C$4:$C$58,"PROVINCE"),0)</f>
        <v/>
      </c>
      <c r="P32">
        <f>IFERROR(G32-SUMIFS(G$4:G$58,$K$4:$K$58,$K32,$C$4:$C$58,"PROVINCE"),0)</f>
        <v/>
      </c>
      <c r="Q32">
        <f>IFERROR(H32-SUMIFS(H$4:H$58,$K$4:$K$58,$K32,$C$4:$C$58,"PROVINCE"),0)</f>
        <v/>
      </c>
      <c r="R32">
        <f>IFERROR(I32-SUMIFS(I$4:I$58,$K$4:$K$58,$K32,$C$4:$C$58,"PROVINCE"),0)</f>
        <v/>
      </c>
      <c r="S32">
        <f>IFERROR(J32-SUMIFS(J$4:J$58,$K$4:$K$58,$K32,$C$4:$C$58,"PROVINCE"),0)</f>
        <v/>
      </c>
      <c r="T32">
        <f>IF(C32="PROVINCE",0,0.5^(-M32/Agrégat!$B$4)*SQRT(D32))</f>
        <v/>
      </c>
    </row>
    <row r="33">
      <c r="A33" t="inlineStr">
        <is>
          <t>2026-08-08</t>
        </is>
      </c>
      <c r="B33" t="inlineStr">
        <is>
          <t>synopsis</t>
        </is>
      </c>
      <c r="C33" t="inlineStr">
        <is>
          <t>PROVINCE</t>
        </is>
      </c>
      <c r="D33" t="n">
        <v>300</v>
      </c>
      <c r="E33" s="7" t="n">
        <v>19.8</v>
      </c>
      <c r="F33" s="7" t="n">
        <v>25.9</v>
      </c>
      <c r="G33" s="7" t="n">
        <v>8.6</v>
      </c>
      <c r="H33" s="7" t="n">
        <v>29.6</v>
      </c>
      <c r="I33" s="7" t="n">
        <v>14.8</v>
      </c>
      <c r="J33" s="7" t="n">
        <v>1.2</v>
      </c>
      <c r="K33">
        <f>A33&amp;"|"&amp;B33</f>
        <v/>
      </c>
      <c r="L33">
        <f>IF(AND(C33="PROVINCE",B33&lt;&gt;"leger-cumul"),1,0)</f>
        <v/>
      </c>
      <c r="M33">
        <f>DATEDIF(DATE(LEFT(A33,4),MID(A33,6,2),RIGHT(A33,2)),DATE(LEFT(Agrégat!$B$2,4),MID(Agrégat!$B$2,6,2),RIGHT(Agrégat!$B$2,2)),"d")*-1</f>
        <v/>
      </c>
      <c r="N33">
        <f>IFERROR(E33-SUMIFS(E$4:E$58,$K$4:$K$58,$K33,$C$4:$C$58,"PROVINCE"),0)</f>
        <v/>
      </c>
      <c r="O33">
        <f>IFERROR(F33-SUMIFS(F$4:F$58,$K$4:$K$58,$K33,$C$4:$C$58,"PROVINCE"),0)</f>
        <v/>
      </c>
      <c r="P33">
        <f>IFERROR(G33-SUMIFS(G$4:G$58,$K$4:$K$58,$K33,$C$4:$C$58,"PROVINCE"),0)</f>
        <v/>
      </c>
      <c r="Q33">
        <f>IFERROR(H33-SUMIFS(H$4:H$58,$K$4:$K$58,$K33,$C$4:$C$58,"PROVINCE"),0)</f>
        <v/>
      </c>
      <c r="R33">
        <f>IFERROR(I33-SUMIFS(I$4:I$58,$K$4:$K$58,$K33,$C$4:$C$58,"PROVINCE"),0)</f>
        <v/>
      </c>
      <c r="S33">
        <f>IFERROR(J33-SUMIFS(J$4:J$58,$K$4:$K$58,$K33,$C$4:$C$58,"PROVINCE"),0)</f>
        <v/>
      </c>
      <c r="T33">
        <f>IF(C33="PROVINCE",0,0.5^(-M33/Agrégat!$B$4)*SQRT(D33))</f>
        <v/>
      </c>
    </row>
    <row r="34">
      <c r="A34" t="inlineStr">
        <is>
          <t>2026-08-08</t>
        </is>
      </c>
      <c r="B34" t="inlineStr">
        <is>
          <t>synopsis</t>
        </is>
      </c>
      <c r="C34" t="inlineStr">
        <is>
          <t>Île de Montréal</t>
        </is>
      </c>
      <c r="D34" t="n">
        <v>300</v>
      </c>
      <c r="E34" s="7" t="n">
        <v>13.4</v>
      </c>
      <c r="F34" s="7" t="n">
        <v>34.1</v>
      </c>
      <c r="G34" s="7" t="n">
        <v>18.3</v>
      </c>
      <c r="H34" s="7" t="n">
        <v>18.3</v>
      </c>
      <c r="I34" s="7" t="n">
        <v>13.4</v>
      </c>
      <c r="J34" s="7" t="n">
        <v>2.4</v>
      </c>
      <c r="K34">
        <f>A34&amp;"|"&amp;B34</f>
        <v/>
      </c>
      <c r="L34">
        <f>IF(AND(C34="PROVINCE",B34&lt;&gt;"leger-cumul"),1,0)</f>
        <v/>
      </c>
      <c r="M34">
        <f>DATEDIF(DATE(LEFT(A34,4),MID(A34,6,2),RIGHT(A34,2)),DATE(LEFT(Agrégat!$B$2,4),MID(Agrégat!$B$2,6,2),RIGHT(Agrégat!$B$2,2)),"d")*-1</f>
        <v/>
      </c>
      <c r="N34">
        <f>IFERROR(E34-SUMIFS(E$4:E$58,$K$4:$K$58,$K34,$C$4:$C$58,"PROVINCE"),0)</f>
        <v/>
      </c>
      <c r="O34">
        <f>IFERROR(F34-SUMIFS(F$4:F$58,$K$4:$K$58,$K34,$C$4:$C$58,"PROVINCE"),0)</f>
        <v/>
      </c>
      <c r="P34">
        <f>IFERROR(G34-SUMIFS(G$4:G$58,$K$4:$K$58,$K34,$C$4:$C$58,"PROVINCE"),0)</f>
        <v/>
      </c>
      <c r="Q34">
        <f>IFERROR(H34-SUMIFS(H$4:H$58,$K$4:$K$58,$K34,$C$4:$C$58,"PROVINCE"),0)</f>
        <v/>
      </c>
      <c r="R34">
        <f>IFERROR(I34-SUMIFS(I$4:I$58,$K$4:$K$58,$K34,$C$4:$C$58,"PROVINCE"),0)</f>
        <v/>
      </c>
      <c r="S34">
        <f>IFERROR(J34-SUMIFS(J$4:J$58,$K$4:$K$58,$K34,$C$4:$C$58,"PROVINCE"),0)</f>
        <v/>
      </c>
      <c r="T34">
        <f>IF(C34="PROVINCE",0,0.5^(-M34/Agrégat!$B$4)*SQRT(D34))</f>
        <v/>
      </c>
    </row>
    <row r="35">
      <c r="A35" t="inlineStr">
        <is>
          <t>2026-08-08</t>
        </is>
      </c>
      <c r="B35" t="inlineStr">
        <is>
          <t>synopsis</t>
        </is>
      </c>
      <c r="C35" t="inlineStr">
        <is>
          <t>Banlieue de Montréal</t>
        </is>
      </c>
      <c r="D35" t="n">
        <v>300</v>
      </c>
      <c r="E35" s="7" t="n">
        <v>21.4</v>
      </c>
      <c r="F35" s="7" t="n">
        <v>23.8</v>
      </c>
      <c r="G35" s="7" t="n">
        <v>8.300000000000001</v>
      </c>
      <c r="H35" s="7" t="n">
        <v>35.7</v>
      </c>
      <c r="I35" s="7" t="n">
        <v>8.300000000000001</v>
      </c>
      <c r="J35" s="7" t="n">
        <v>2.4</v>
      </c>
      <c r="K35">
        <f>A35&amp;"|"&amp;B35</f>
        <v/>
      </c>
      <c r="L35">
        <f>IF(AND(C35="PROVINCE",B35&lt;&gt;"leger-cumul"),1,0)</f>
        <v/>
      </c>
      <c r="M35">
        <f>DATEDIF(DATE(LEFT(A35,4),MID(A35,6,2),RIGHT(A35,2)),DATE(LEFT(Agrégat!$B$2,4),MID(Agrégat!$B$2,6,2),RIGHT(Agrégat!$B$2,2)),"d")*-1</f>
        <v/>
      </c>
      <c r="N35">
        <f>IFERROR(E35-SUMIFS(E$4:E$58,$K$4:$K$58,$K35,$C$4:$C$58,"PROVINCE"),0)</f>
        <v/>
      </c>
      <c r="O35">
        <f>IFERROR(F35-SUMIFS(F$4:F$58,$K$4:$K$58,$K35,$C$4:$C$58,"PROVINCE"),0)</f>
        <v/>
      </c>
      <c r="P35">
        <f>IFERROR(G35-SUMIFS(G$4:G$58,$K$4:$K$58,$K35,$C$4:$C$58,"PROVINCE"),0)</f>
        <v/>
      </c>
      <c r="Q35">
        <f>IFERROR(H35-SUMIFS(H$4:H$58,$K$4:$K$58,$K35,$C$4:$C$58,"PROVINCE"),0)</f>
        <v/>
      </c>
      <c r="R35">
        <f>IFERROR(I35-SUMIFS(I$4:I$58,$K$4:$K$58,$K35,$C$4:$C$58,"PROVINCE"),0)</f>
        <v/>
      </c>
      <c r="S35">
        <f>IFERROR(J35-SUMIFS(J$4:J$58,$K$4:$K$58,$K35,$C$4:$C$58,"PROVINCE"),0)</f>
        <v/>
      </c>
      <c r="T35">
        <f>IF(C35="PROVINCE",0,0.5^(-M35/Agrégat!$B$4)*SQRT(D35))</f>
        <v/>
      </c>
    </row>
    <row r="36">
      <c r="A36" t="inlineStr">
        <is>
          <t>2026-08-08</t>
        </is>
      </c>
      <c r="B36" t="inlineStr">
        <is>
          <t>synopsis</t>
        </is>
      </c>
      <c r="C36" t="inlineStr">
        <is>
          <t>Québec RMR</t>
        </is>
      </c>
      <c r="D36" t="n">
        <v>300</v>
      </c>
      <c r="E36" s="7" t="n">
        <v>22</v>
      </c>
      <c r="F36" s="7" t="n">
        <v>18.3</v>
      </c>
      <c r="G36" s="7" t="n">
        <v>3.7</v>
      </c>
      <c r="H36" s="7" t="n">
        <v>22</v>
      </c>
      <c r="I36" s="7" t="n">
        <v>34.1</v>
      </c>
      <c r="J36" s="7" t="n">
        <v>0</v>
      </c>
      <c r="K36">
        <f>A36&amp;"|"&amp;B36</f>
        <v/>
      </c>
      <c r="L36">
        <f>IF(AND(C36="PROVINCE",B36&lt;&gt;"leger-cumul"),1,0)</f>
        <v/>
      </c>
      <c r="M36">
        <f>DATEDIF(DATE(LEFT(A36,4),MID(A36,6,2),RIGHT(A36,2)),DATE(LEFT(Agrégat!$B$2,4),MID(Agrégat!$B$2,6,2),RIGHT(Agrégat!$B$2,2)),"d")*-1</f>
        <v/>
      </c>
      <c r="N36">
        <f>IFERROR(E36-SUMIFS(E$4:E$58,$K$4:$K$58,$K36,$C$4:$C$58,"PROVINCE"),0)</f>
        <v/>
      </c>
      <c r="O36">
        <f>IFERROR(F36-SUMIFS(F$4:F$58,$K$4:$K$58,$K36,$C$4:$C$58,"PROVINCE"),0)</f>
        <v/>
      </c>
      <c r="P36">
        <f>IFERROR(G36-SUMIFS(G$4:G$58,$K$4:$K$58,$K36,$C$4:$C$58,"PROVINCE"),0)</f>
        <v/>
      </c>
      <c r="Q36">
        <f>IFERROR(H36-SUMIFS(H$4:H$58,$K$4:$K$58,$K36,$C$4:$C$58,"PROVINCE"),0)</f>
        <v/>
      </c>
      <c r="R36">
        <f>IFERROR(I36-SUMIFS(I$4:I$58,$K$4:$K$58,$K36,$C$4:$C$58,"PROVINCE"),0)</f>
        <v/>
      </c>
      <c r="S36">
        <f>IFERROR(J36-SUMIFS(J$4:J$58,$K$4:$K$58,$K36,$C$4:$C$58,"PROVINCE"),0)</f>
        <v/>
      </c>
      <c r="T36">
        <f>IF(C36="PROVINCE",0,0.5^(-M36/Agrégat!$B$4)*SQRT(D36))</f>
        <v/>
      </c>
    </row>
    <row r="37">
      <c r="A37" t="inlineStr">
        <is>
          <t>2026-08-08</t>
        </is>
      </c>
      <c r="B37" t="inlineStr">
        <is>
          <t>synopsis</t>
        </is>
      </c>
      <c r="C37" t="inlineStr">
        <is>
          <t>Reste du Québec</t>
        </is>
      </c>
      <c r="D37" t="n">
        <v>300</v>
      </c>
      <c r="E37" s="7" t="n">
        <v>23.1</v>
      </c>
      <c r="F37" s="7" t="n">
        <v>23.1</v>
      </c>
      <c r="G37" s="7" t="n">
        <v>5.1</v>
      </c>
      <c r="H37" s="7" t="n">
        <v>33.3</v>
      </c>
      <c r="I37" s="7" t="n">
        <v>15.4</v>
      </c>
      <c r="J37" s="7" t="n">
        <v>0</v>
      </c>
      <c r="K37">
        <f>A37&amp;"|"&amp;B37</f>
        <v/>
      </c>
      <c r="L37">
        <f>IF(AND(C37="PROVINCE",B37&lt;&gt;"leger-cumul"),1,0)</f>
        <v/>
      </c>
      <c r="M37">
        <f>DATEDIF(DATE(LEFT(A37,4),MID(A37,6,2),RIGHT(A37,2)),DATE(LEFT(Agrégat!$B$2,4),MID(Agrégat!$B$2,6,2),RIGHT(Agrégat!$B$2,2)),"d")*-1</f>
        <v/>
      </c>
      <c r="N37">
        <f>IFERROR(E37-SUMIFS(E$4:E$58,$K$4:$K$58,$K37,$C$4:$C$58,"PROVINCE"),0)</f>
        <v/>
      </c>
      <c r="O37">
        <f>IFERROR(F37-SUMIFS(F$4:F$58,$K$4:$K$58,$K37,$C$4:$C$58,"PROVINCE"),0)</f>
        <v/>
      </c>
      <c r="P37">
        <f>IFERROR(G37-SUMIFS(G$4:G$58,$K$4:$K$58,$K37,$C$4:$C$58,"PROVINCE"),0)</f>
        <v/>
      </c>
      <c r="Q37">
        <f>IFERROR(H37-SUMIFS(H$4:H$58,$K$4:$K$58,$K37,$C$4:$C$58,"PROVINCE"),0)</f>
        <v/>
      </c>
      <c r="R37">
        <f>IFERROR(I37-SUMIFS(I$4:I$58,$K$4:$K$58,$K37,$C$4:$C$58,"PROVINCE"),0)</f>
        <v/>
      </c>
      <c r="S37">
        <f>IFERROR(J37-SUMIFS(J$4:J$58,$K$4:$K$58,$K37,$C$4:$C$58,"PROVINCE"),0)</f>
        <v/>
      </c>
      <c r="T37">
        <f>IF(C37="PROVINCE",0,0.5^(-M37/Agrégat!$B$4)*SQRT(D37))</f>
        <v/>
      </c>
    </row>
    <row r="38">
      <c r="A38" t="inlineStr">
        <is>
          <t>2026-08-23</t>
        </is>
      </c>
      <c r="B38" t="inlineStr">
        <is>
          <t>leger</t>
        </is>
      </c>
      <c r="C38" t="inlineStr">
        <is>
          <t>PROVINCE</t>
        </is>
      </c>
      <c r="D38" t="n">
        <v>300</v>
      </c>
      <c r="E38" s="7" t="n">
        <v>23</v>
      </c>
      <c r="F38" s="7" t="n">
        <v>23</v>
      </c>
      <c r="G38" s="7" t="n">
        <v>7</v>
      </c>
      <c r="H38" s="7" t="n">
        <v>30</v>
      </c>
      <c r="I38" s="7" t="n">
        <v>16</v>
      </c>
      <c r="J38" s="7" t="n">
        <v>1</v>
      </c>
      <c r="K38">
        <f>A38&amp;"|"&amp;B38</f>
        <v/>
      </c>
      <c r="L38">
        <f>IF(AND(C38="PROVINCE",B38&lt;&gt;"leger-cumul"),1,0)</f>
        <v/>
      </c>
      <c r="M38">
        <f>DATEDIF(DATE(LEFT(A38,4),MID(A38,6,2),RIGHT(A38,2)),DATE(LEFT(Agrégat!$B$2,4),MID(Agrégat!$B$2,6,2),RIGHT(Agrégat!$B$2,2)),"d")*-1</f>
        <v/>
      </c>
      <c r="N38">
        <f>IFERROR(E38-SUMIFS(E$4:E$58,$K$4:$K$58,$K38,$C$4:$C$58,"PROVINCE"),0)</f>
        <v/>
      </c>
      <c r="O38">
        <f>IFERROR(F38-SUMIFS(F$4:F$58,$K$4:$K$58,$K38,$C$4:$C$58,"PROVINCE"),0)</f>
        <v/>
      </c>
      <c r="P38">
        <f>IFERROR(G38-SUMIFS(G$4:G$58,$K$4:$K$58,$K38,$C$4:$C$58,"PROVINCE"),0)</f>
        <v/>
      </c>
      <c r="Q38">
        <f>IFERROR(H38-SUMIFS(H$4:H$58,$K$4:$K$58,$K38,$C$4:$C$58,"PROVINCE"),0)</f>
        <v/>
      </c>
      <c r="R38">
        <f>IFERROR(I38-SUMIFS(I$4:I$58,$K$4:$K$58,$K38,$C$4:$C$58,"PROVINCE"),0)</f>
        <v/>
      </c>
      <c r="S38">
        <f>IFERROR(J38-SUMIFS(J$4:J$58,$K$4:$K$58,$K38,$C$4:$C$58,"PROVINCE"),0)</f>
        <v/>
      </c>
      <c r="T38">
        <f>IF(C38="PROVINCE",0,0.5^(-M38/Agrégat!$B$4)*SQRT(D38))</f>
        <v/>
      </c>
    </row>
    <row r="39">
      <c r="A39" t="inlineStr">
        <is>
          <t>2026-08-23</t>
        </is>
      </c>
      <c r="B39" t="inlineStr">
        <is>
          <t>leger</t>
        </is>
      </c>
      <c r="C39" t="inlineStr">
        <is>
          <t>Montréal RMR</t>
        </is>
      </c>
      <c r="D39" t="n">
        <v>300</v>
      </c>
      <c r="E39" s="7" t="n">
        <v>19</v>
      </c>
      <c r="F39" s="7" t="n">
        <v>34</v>
      </c>
      <c r="G39" s="7" t="n">
        <v>8</v>
      </c>
      <c r="H39" s="7" t="n">
        <v>24</v>
      </c>
      <c r="I39" s="7" t="n">
        <v>14</v>
      </c>
      <c r="J39" s="7" t="n">
        <v>1</v>
      </c>
      <c r="K39">
        <f>A39&amp;"|"&amp;B39</f>
        <v/>
      </c>
      <c r="L39">
        <f>IF(AND(C39="PROVINCE",B39&lt;&gt;"leger-cumul"),1,0)</f>
        <v/>
      </c>
      <c r="M39">
        <f>DATEDIF(DATE(LEFT(A39,4),MID(A39,6,2),RIGHT(A39,2)),DATE(LEFT(Agrégat!$B$2,4),MID(Agrégat!$B$2,6,2),RIGHT(Agrégat!$B$2,2)),"d")*-1</f>
        <v/>
      </c>
      <c r="N39">
        <f>IFERROR(E39-SUMIFS(E$4:E$58,$K$4:$K$58,$K39,$C$4:$C$58,"PROVINCE"),0)</f>
        <v/>
      </c>
      <c r="O39">
        <f>IFERROR(F39-SUMIFS(F$4:F$58,$K$4:$K$58,$K39,$C$4:$C$58,"PROVINCE"),0)</f>
        <v/>
      </c>
      <c r="P39">
        <f>IFERROR(G39-SUMIFS(G$4:G$58,$K$4:$K$58,$K39,$C$4:$C$58,"PROVINCE"),0)</f>
        <v/>
      </c>
      <c r="Q39">
        <f>IFERROR(H39-SUMIFS(H$4:H$58,$K$4:$K$58,$K39,$C$4:$C$58,"PROVINCE"),0)</f>
        <v/>
      </c>
      <c r="R39">
        <f>IFERROR(I39-SUMIFS(I$4:I$58,$K$4:$K$58,$K39,$C$4:$C$58,"PROVINCE"),0)</f>
        <v/>
      </c>
      <c r="S39">
        <f>IFERROR(J39-SUMIFS(J$4:J$58,$K$4:$K$58,$K39,$C$4:$C$58,"PROVINCE"),0)</f>
        <v/>
      </c>
      <c r="T39">
        <f>IF(C39="PROVINCE",0,0.5^(-M39/Agrégat!$B$4)*SQRT(D39))</f>
        <v/>
      </c>
    </row>
    <row r="40">
      <c r="A40" t="inlineStr">
        <is>
          <t>2026-08-23</t>
        </is>
      </c>
      <c r="B40" t="inlineStr">
        <is>
          <t>leger</t>
        </is>
      </c>
      <c r="C40" t="inlineStr">
        <is>
          <t>Québec RMR</t>
        </is>
      </c>
      <c r="D40" t="n">
        <v>300</v>
      </c>
      <c r="E40" s="7" t="n">
        <v>18</v>
      </c>
      <c r="F40" s="7" t="n">
        <v>13</v>
      </c>
      <c r="G40" s="7" t="n">
        <v>9</v>
      </c>
      <c r="H40" s="7" t="n">
        <v>31</v>
      </c>
      <c r="I40" s="7" t="n">
        <v>28</v>
      </c>
      <c r="J40" s="7" t="n">
        <v>1</v>
      </c>
      <c r="K40">
        <f>A40&amp;"|"&amp;B40</f>
        <v/>
      </c>
      <c r="L40">
        <f>IF(AND(C40="PROVINCE",B40&lt;&gt;"leger-cumul"),1,0)</f>
        <v/>
      </c>
      <c r="M40">
        <f>DATEDIF(DATE(LEFT(A40,4),MID(A40,6,2),RIGHT(A40,2)),DATE(LEFT(Agrégat!$B$2,4),MID(Agrégat!$B$2,6,2),RIGHT(Agrégat!$B$2,2)),"d")*-1</f>
        <v/>
      </c>
      <c r="N40">
        <f>IFERROR(E40-SUMIFS(E$4:E$58,$K$4:$K$58,$K40,$C$4:$C$58,"PROVINCE"),0)</f>
        <v/>
      </c>
      <c r="O40">
        <f>IFERROR(F40-SUMIFS(F$4:F$58,$K$4:$K$58,$K40,$C$4:$C$58,"PROVINCE"),0)</f>
        <v/>
      </c>
      <c r="P40">
        <f>IFERROR(G40-SUMIFS(G$4:G$58,$K$4:$K$58,$K40,$C$4:$C$58,"PROVINCE"),0)</f>
        <v/>
      </c>
      <c r="Q40">
        <f>IFERROR(H40-SUMIFS(H$4:H$58,$K$4:$K$58,$K40,$C$4:$C$58,"PROVINCE"),0)</f>
        <v/>
      </c>
      <c r="R40">
        <f>IFERROR(I40-SUMIFS(I$4:I$58,$K$4:$K$58,$K40,$C$4:$C$58,"PROVINCE"),0)</f>
        <v/>
      </c>
      <c r="S40">
        <f>IFERROR(J40-SUMIFS(J$4:J$58,$K$4:$K$58,$K40,$C$4:$C$58,"PROVINCE"),0)</f>
        <v/>
      </c>
      <c r="T40">
        <f>IF(C40="PROVINCE",0,0.5^(-M40/Agrégat!$B$4)*SQRT(D40))</f>
        <v/>
      </c>
    </row>
    <row r="41">
      <c r="A41" t="inlineStr">
        <is>
          <t>2026-08-23</t>
        </is>
      </c>
      <c r="B41" t="inlineStr">
        <is>
          <t>leger</t>
        </is>
      </c>
      <c r="C41" t="inlineStr">
        <is>
          <t>Reste du Québec</t>
        </is>
      </c>
      <c r="D41" t="n">
        <v>300</v>
      </c>
      <c r="E41" s="7" t="n">
        <v>28.3</v>
      </c>
      <c r="F41" s="7" t="n">
        <v>13.1</v>
      </c>
      <c r="G41" s="7" t="n">
        <v>5.1</v>
      </c>
      <c r="H41" s="7" t="n">
        <v>37.4</v>
      </c>
      <c r="I41" s="7" t="n">
        <v>15.2</v>
      </c>
      <c r="J41" s="7" t="n">
        <v>1</v>
      </c>
      <c r="K41">
        <f>A41&amp;"|"&amp;B41</f>
        <v/>
      </c>
      <c r="L41">
        <f>IF(AND(C41="PROVINCE",B41&lt;&gt;"leger-cumul"),1,0)</f>
        <v/>
      </c>
      <c r="M41">
        <f>DATEDIF(DATE(LEFT(A41,4),MID(A41,6,2),RIGHT(A41,2)),DATE(LEFT(Agrégat!$B$2,4),MID(Agrégat!$B$2,6,2),RIGHT(Agrégat!$B$2,2)),"d")*-1</f>
        <v/>
      </c>
      <c r="N41">
        <f>IFERROR(E41-SUMIFS(E$4:E$58,$K$4:$K$58,$K41,$C$4:$C$58,"PROVINCE"),0)</f>
        <v/>
      </c>
      <c r="O41">
        <f>IFERROR(F41-SUMIFS(F$4:F$58,$K$4:$K$58,$K41,$C$4:$C$58,"PROVINCE"),0)</f>
        <v/>
      </c>
      <c r="P41">
        <f>IFERROR(G41-SUMIFS(G$4:G$58,$K$4:$K$58,$K41,$C$4:$C$58,"PROVINCE"),0)</f>
        <v/>
      </c>
      <c r="Q41">
        <f>IFERROR(H41-SUMIFS(H$4:H$58,$K$4:$K$58,$K41,$C$4:$C$58,"PROVINCE"),0)</f>
        <v/>
      </c>
      <c r="R41">
        <f>IFERROR(I41-SUMIFS(I$4:I$58,$K$4:$K$58,$K41,$C$4:$C$58,"PROVINCE"),0)</f>
        <v/>
      </c>
      <c r="S41">
        <f>IFERROR(J41-SUMIFS(J$4:J$58,$K$4:$K$58,$K41,$C$4:$C$58,"PROVINCE"),0)</f>
        <v/>
      </c>
      <c r="T41">
        <f>IF(C41="PROVINCE",0,0.5^(-M41/Agrégat!$B$4)*SQRT(D41))</f>
        <v/>
      </c>
    </row>
    <row r="42">
      <c r="A42" t="inlineStr">
        <is>
          <t>2026-07-18</t>
        </is>
      </c>
      <c r="B42" t="inlineStr">
        <is>
          <t>leger-cumul</t>
        </is>
      </c>
      <c r="C42" t="inlineStr">
        <is>
          <t>PROVINCE</t>
        </is>
      </c>
      <c r="D42" t="n">
        <v>9235</v>
      </c>
      <c r="E42" s="7" t="n">
        <v>23</v>
      </c>
      <c r="F42" s="7" t="n">
        <v>23</v>
      </c>
      <c r="G42" s="7" t="n">
        <v>7</v>
      </c>
      <c r="H42" s="7" t="n">
        <v>30</v>
      </c>
      <c r="I42" s="7" t="n">
        <v>16</v>
      </c>
      <c r="J42" s="7" t="n">
        <v>1</v>
      </c>
      <c r="K42">
        <f>A42&amp;"|"&amp;B42</f>
        <v/>
      </c>
      <c r="L42">
        <f>IF(AND(C42="PROVINCE",B42&lt;&gt;"leger-cumul"),1,0)</f>
        <v/>
      </c>
      <c r="M42">
        <f>DATEDIF(DATE(LEFT(A42,4),MID(A42,6,2),RIGHT(A42,2)),DATE(LEFT(Agrégat!$B$2,4),MID(Agrégat!$B$2,6,2),RIGHT(Agrégat!$B$2,2)),"d")*-1</f>
        <v/>
      </c>
      <c r="N42">
        <f>IFERROR(E42-SUMIFS(E$4:E$58,$K$4:$K$58,$K42,$C$4:$C$58,"PROVINCE"),0)</f>
        <v/>
      </c>
      <c r="O42">
        <f>IFERROR(F42-SUMIFS(F$4:F$58,$K$4:$K$58,$K42,$C$4:$C$58,"PROVINCE"),0)</f>
        <v/>
      </c>
      <c r="P42">
        <f>IFERROR(G42-SUMIFS(G$4:G$58,$K$4:$K$58,$K42,$C$4:$C$58,"PROVINCE"),0)</f>
        <v/>
      </c>
      <c r="Q42">
        <f>IFERROR(H42-SUMIFS(H$4:H$58,$K$4:$K$58,$K42,$C$4:$C$58,"PROVINCE"),0)</f>
        <v/>
      </c>
      <c r="R42">
        <f>IFERROR(I42-SUMIFS(I$4:I$58,$K$4:$K$58,$K42,$C$4:$C$58,"PROVINCE"),0)</f>
        <v/>
      </c>
      <c r="S42">
        <f>IFERROR(J42-SUMIFS(J$4:J$58,$K$4:$K$58,$K42,$C$4:$C$58,"PROVINCE"),0)</f>
        <v/>
      </c>
      <c r="T42">
        <f>IF(C42="PROVINCE",0,0.5^(-M42/Agrégat!$B$4)*SQRT(D42))</f>
        <v/>
      </c>
    </row>
    <row r="43">
      <c r="A43" t="inlineStr">
        <is>
          <t>2026-07-18</t>
        </is>
      </c>
      <c r="B43" t="inlineStr">
        <is>
          <t>leger-cumul</t>
        </is>
      </c>
      <c r="C43" t="inlineStr">
        <is>
          <t>Montréal RMR</t>
        </is>
      </c>
      <c r="D43" t="n">
        <v>3713</v>
      </c>
      <c r="E43" s="7" t="n">
        <v>21</v>
      </c>
      <c r="F43" s="7" t="n">
        <v>32</v>
      </c>
      <c r="G43" s="7" t="n">
        <v>8</v>
      </c>
      <c r="H43" s="7" t="n">
        <v>25</v>
      </c>
      <c r="I43" s="7" t="n">
        <v>13</v>
      </c>
      <c r="J43" s="7" t="n">
        <v>1</v>
      </c>
      <c r="K43">
        <f>A43&amp;"|"&amp;B43</f>
        <v/>
      </c>
      <c r="L43">
        <f>IF(AND(C43="PROVINCE",B43&lt;&gt;"leger-cumul"),1,0)</f>
        <v/>
      </c>
      <c r="M43">
        <f>DATEDIF(DATE(LEFT(A43,4),MID(A43,6,2),RIGHT(A43,2)),DATE(LEFT(Agrégat!$B$2,4),MID(Agrégat!$B$2,6,2),RIGHT(Agrégat!$B$2,2)),"d")*-1</f>
        <v/>
      </c>
      <c r="N43">
        <f>IFERROR(E43-SUMIFS(E$4:E$58,$K$4:$K$58,$K43,$C$4:$C$58,"PROVINCE"),0)</f>
        <v/>
      </c>
      <c r="O43">
        <f>IFERROR(F43-SUMIFS(F$4:F$58,$K$4:$K$58,$K43,$C$4:$C$58,"PROVINCE"),0)</f>
        <v/>
      </c>
      <c r="P43">
        <f>IFERROR(G43-SUMIFS(G$4:G$58,$K$4:$K$58,$K43,$C$4:$C$58,"PROVINCE"),0)</f>
        <v/>
      </c>
      <c r="Q43">
        <f>IFERROR(H43-SUMIFS(H$4:H$58,$K$4:$K$58,$K43,$C$4:$C$58,"PROVINCE"),0)</f>
        <v/>
      </c>
      <c r="R43">
        <f>IFERROR(I43-SUMIFS(I$4:I$58,$K$4:$K$58,$K43,$C$4:$C$58,"PROVINCE"),0)</f>
        <v/>
      </c>
      <c r="S43">
        <f>IFERROR(J43-SUMIFS(J$4:J$58,$K$4:$K$58,$K43,$C$4:$C$58,"PROVINCE"),0)</f>
        <v/>
      </c>
      <c r="T43">
        <f>IF(C43="PROVINCE",0,0.5^(-M43/Agrégat!$B$4)*SQRT(D43))</f>
        <v/>
      </c>
    </row>
    <row r="44">
      <c r="A44" t="inlineStr">
        <is>
          <t>2026-07-18</t>
        </is>
      </c>
      <c r="B44" t="inlineStr">
        <is>
          <t>leger-cumul</t>
        </is>
      </c>
      <c r="C44" t="inlineStr">
        <is>
          <t>Île de Montréal</t>
        </is>
      </c>
      <c r="D44" t="n">
        <v>1885</v>
      </c>
      <c r="E44" s="7" t="n">
        <v>14</v>
      </c>
      <c r="F44" s="7" t="n">
        <v>40</v>
      </c>
      <c r="G44" s="7" t="n">
        <v>11</v>
      </c>
      <c r="H44" s="7" t="n">
        <v>19</v>
      </c>
      <c r="I44" s="7" t="n">
        <v>14</v>
      </c>
      <c r="J44" s="7" t="n">
        <v>2</v>
      </c>
      <c r="K44">
        <f>A44&amp;"|"&amp;B44</f>
        <v/>
      </c>
      <c r="L44">
        <f>IF(AND(C44="PROVINCE",B44&lt;&gt;"leger-cumul"),1,0)</f>
        <v/>
      </c>
      <c r="M44">
        <f>DATEDIF(DATE(LEFT(A44,4),MID(A44,6,2),RIGHT(A44,2)),DATE(LEFT(Agrégat!$B$2,4),MID(Agrégat!$B$2,6,2),RIGHT(Agrégat!$B$2,2)),"d")*-1</f>
        <v/>
      </c>
      <c r="N44">
        <f>IFERROR(E44-SUMIFS(E$4:E$58,$K$4:$K$58,$K44,$C$4:$C$58,"PROVINCE"),0)</f>
        <v/>
      </c>
      <c r="O44">
        <f>IFERROR(F44-SUMIFS(F$4:F$58,$K$4:$K$58,$K44,$C$4:$C$58,"PROVINCE"),0)</f>
        <v/>
      </c>
      <c r="P44">
        <f>IFERROR(G44-SUMIFS(G$4:G$58,$K$4:$K$58,$K44,$C$4:$C$58,"PROVINCE"),0)</f>
        <v/>
      </c>
      <c r="Q44">
        <f>IFERROR(H44-SUMIFS(H$4:H$58,$K$4:$K$58,$K44,$C$4:$C$58,"PROVINCE"),0)</f>
        <v/>
      </c>
      <c r="R44">
        <f>IFERROR(I44-SUMIFS(I$4:I$58,$K$4:$K$58,$K44,$C$4:$C$58,"PROVINCE"),0)</f>
        <v/>
      </c>
      <c r="S44">
        <f>IFERROR(J44-SUMIFS(J$4:J$58,$K$4:$K$58,$K44,$C$4:$C$58,"PROVINCE"),0)</f>
        <v/>
      </c>
      <c r="T44">
        <f>IF(C44="PROVINCE",0,0.5^(-M44/Agrégat!$B$4)*SQRT(D44))</f>
        <v/>
      </c>
    </row>
    <row r="45">
      <c r="A45" t="inlineStr">
        <is>
          <t>2026-07-18</t>
        </is>
      </c>
      <c r="B45" t="inlineStr">
        <is>
          <t>leger-cumul</t>
        </is>
      </c>
      <c r="C45" t="inlineStr">
        <is>
          <t>Banlieue de Montréal</t>
        </is>
      </c>
      <c r="D45" t="n">
        <v>1828</v>
      </c>
      <c r="E45" s="7" t="n">
        <v>28</v>
      </c>
      <c r="F45" s="7" t="n">
        <v>23</v>
      </c>
      <c r="G45" s="7" t="n">
        <v>5</v>
      </c>
      <c r="H45" s="7" t="n">
        <v>31</v>
      </c>
      <c r="I45" s="7" t="n">
        <v>11</v>
      </c>
      <c r="J45" s="7" t="n">
        <v>2</v>
      </c>
      <c r="K45">
        <f>A45&amp;"|"&amp;B45</f>
        <v/>
      </c>
      <c r="L45">
        <f>IF(AND(C45="PROVINCE",B45&lt;&gt;"leger-cumul"),1,0)</f>
        <v/>
      </c>
      <c r="M45">
        <f>DATEDIF(DATE(LEFT(A45,4),MID(A45,6,2),RIGHT(A45,2)),DATE(LEFT(Agrégat!$B$2,4),MID(Agrégat!$B$2,6,2),RIGHT(Agrégat!$B$2,2)),"d")*-1</f>
        <v/>
      </c>
      <c r="N45">
        <f>IFERROR(E45-SUMIFS(E$4:E$58,$K$4:$K$58,$K45,$C$4:$C$58,"PROVINCE"),0)</f>
        <v/>
      </c>
      <c r="O45">
        <f>IFERROR(F45-SUMIFS(F$4:F$58,$K$4:$K$58,$K45,$C$4:$C$58,"PROVINCE"),0)</f>
        <v/>
      </c>
      <c r="P45">
        <f>IFERROR(G45-SUMIFS(G$4:G$58,$K$4:$K$58,$K45,$C$4:$C$58,"PROVINCE"),0)</f>
        <v/>
      </c>
      <c r="Q45">
        <f>IFERROR(H45-SUMIFS(H$4:H$58,$K$4:$K$58,$K45,$C$4:$C$58,"PROVINCE"),0)</f>
        <v/>
      </c>
      <c r="R45">
        <f>IFERROR(I45-SUMIFS(I$4:I$58,$K$4:$K$58,$K45,$C$4:$C$58,"PROVINCE"),0)</f>
        <v/>
      </c>
      <c r="S45">
        <f>IFERROR(J45-SUMIFS(J$4:J$58,$K$4:$K$58,$K45,$C$4:$C$58,"PROVINCE"),0)</f>
        <v/>
      </c>
      <c r="T45">
        <f>IF(C45="PROVINCE",0,0.5^(-M45/Agrégat!$B$4)*SQRT(D45))</f>
        <v/>
      </c>
    </row>
    <row r="46">
      <c r="A46" t="inlineStr">
        <is>
          <t>2026-07-18</t>
        </is>
      </c>
      <c r="B46" t="inlineStr">
        <is>
          <t>leger-cumul</t>
        </is>
      </c>
      <c r="C46" t="inlineStr">
        <is>
          <t>Québec RMR</t>
        </is>
      </c>
      <c r="D46" t="n">
        <v>2795</v>
      </c>
      <c r="E46" s="7" t="n">
        <v>20.8</v>
      </c>
      <c r="F46" s="7" t="n">
        <v>12.9</v>
      </c>
      <c r="G46" s="7" t="n">
        <v>5.9</v>
      </c>
      <c r="H46" s="7" t="n">
        <v>29.7</v>
      </c>
      <c r="I46" s="7" t="n">
        <v>29.7</v>
      </c>
      <c r="J46" s="7" t="n">
        <v>1</v>
      </c>
      <c r="K46">
        <f>A46&amp;"|"&amp;B46</f>
        <v/>
      </c>
      <c r="L46">
        <f>IF(AND(C46="PROVINCE",B46&lt;&gt;"leger-cumul"),1,0)</f>
        <v/>
      </c>
      <c r="M46">
        <f>DATEDIF(DATE(LEFT(A46,4),MID(A46,6,2),RIGHT(A46,2)),DATE(LEFT(Agrégat!$B$2,4),MID(Agrégat!$B$2,6,2),RIGHT(Agrégat!$B$2,2)),"d")*-1</f>
        <v/>
      </c>
      <c r="N46">
        <f>IFERROR(E46-SUMIFS(E$4:E$58,$K$4:$K$58,$K46,$C$4:$C$58,"PROVINCE"),0)</f>
        <v/>
      </c>
      <c r="O46">
        <f>IFERROR(F46-SUMIFS(F$4:F$58,$K$4:$K$58,$K46,$C$4:$C$58,"PROVINCE"),0)</f>
        <v/>
      </c>
      <c r="P46">
        <f>IFERROR(G46-SUMIFS(G$4:G$58,$K$4:$K$58,$K46,$C$4:$C$58,"PROVINCE"),0)</f>
        <v/>
      </c>
      <c r="Q46">
        <f>IFERROR(H46-SUMIFS(H$4:H$58,$K$4:$K$58,$K46,$C$4:$C$58,"PROVINCE"),0)</f>
        <v/>
      </c>
      <c r="R46">
        <f>IFERROR(I46-SUMIFS(I$4:I$58,$K$4:$K$58,$K46,$C$4:$C$58,"PROVINCE"),0)</f>
        <v/>
      </c>
      <c r="S46">
        <f>IFERROR(J46-SUMIFS(J$4:J$58,$K$4:$K$58,$K46,$C$4:$C$58,"PROVINCE"),0)</f>
        <v/>
      </c>
      <c r="T46">
        <f>IF(C46="PROVINCE",0,0.5^(-M46/Agrégat!$B$4)*SQRT(D46))</f>
        <v/>
      </c>
    </row>
    <row r="47">
      <c r="A47" t="inlineStr">
        <is>
          <t>2026-07-18</t>
        </is>
      </c>
      <c r="B47" t="inlineStr">
        <is>
          <t>leger-cumul</t>
        </is>
      </c>
      <c r="C47" t="inlineStr">
        <is>
          <t>Reste du Québec</t>
        </is>
      </c>
      <c r="D47" t="n">
        <v>2727</v>
      </c>
      <c r="E47" s="7" t="n">
        <v>26</v>
      </c>
      <c r="F47" s="7" t="n">
        <v>14</v>
      </c>
      <c r="G47" s="7" t="n">
        <v>6</v>
      </c>
      <c r="H47" s="7" t="n">
        <v>36</v>
      </c>
      <c r="I47" s="7" t="n">
        <v>17</v>
      </c>
      <c r="J47" s="7" t="n">
        <v>1</v>
      </c>
      <c r="K47">
        <f>A47&amp;"|"&amp;B47</f>
        <v/>
      </c>
      <c r="L47">
        <f>IF(AND(C47="PROVINCE",B47&lt;&gt;"leger-cumul"),1,0)</f>
        <v/>
      </c>
      <c r="M47">
        <f>DATEDIF(DATE(LEFT(A47,4),MID(A47,6,2),RIGHT(A47,2)),DATE(LEFT(Agrégat!$B$2,4),MID(Agrégat!$B$2,6,2),RIGHT(Agrégat!$B$2,2)),"d")*-1</f>
        <v/>
      </c>
      <c r="N47">
        <f>IFERROR(E47-SUMIFS(E$4:E$58,$K$4:$K$58,$K47,$C$4:$C$58,"PROVINCE"),0)</f>
        <v/>
      </c>
      <c r="O47">
        <f>IFERROR(F47-SUMIFS(F$4:F$58,$K$4:$K$58,$K47,$C$4:$C$58,"PROVINCE"),0)</f>
        <v/>
      </c>
      <c r="P47">
        <f>IFERROR(G47-SUMIFS(G$4:G$58,$K$4:$K$58,$K47,$C$4:$C$58,"PROVINCE"),0)</f>
        <v/>
      </c>
      <c r="Q47">
        <f>IFERROR(H47-SUMIFS(H$4:H$58,$K$4:$K$58,$K47,$C$4:$C$58,"PROVINCE"),0)</f>
        <v/>
      </c>
      <c r="R47">
        <f>IFERROR(I47-SUMIFS(I$4:I$58,$K$4:$K$58,$K47,$C$4:$C$58,"PROVINCE"),0)</f>
        <v/>
      </c>
      <c r="S47">
        <f>IFERROR(J47-SUMIFS(J$4:J$58,$K$4:$K$58,$K47,$C$4:$C$58,"PROVINCE"),0)</f>
        <v/>
      </c>
      <c r="T47">
        <f>IF(C47="PROVINCE",0,0.5^(-M47/Agrégat!$B$4)*SQRT(D47))</f>
        <v/>
      </c>
    </row>
    <row r="48">
      <c r="A48" t="inlineStr">
        <is>
          <t>2026-08-25</t>
        </is>
      </c>
      <c r="B48" t="inlineStr">
        <is>
          <t>synopsis</t>
        </is>
      </c>
      <c r="C48" t="inlineStr">
        <is>
          <t>PROVINCE</t>
        </is>
      </c>
      <c r="D48" t="n">
        <v>300</v>
      </c>
      <c r="E48" s="7" t="n">
        <v>27.1</v>
      </c>
      <c r="F48" s="7" t="n">
        <v>20</v>
      </c>
      <c r="G48" s="7" t="n">
        <v>9.4</v>
      </c>
      <c r="H48" s="7" t="n">
        <v>28.2</v>
      </c>
      <c r="I48" s="7" t="n">
        <v>14.1</v>
      </c>
      <c r="J48" s="7" t="n">
        <v>1.2</v>
      </c>
      <c r="K48">
        <f>A48&amp;"|"&amp;B48</f>
        <v/>
      </c>
      <c r="L48">
        <f>IF(AND(C48="PROVINCE",B48&lt;&gt;"leger-cumul"),1,0)</f>
        <v/>
      </c>
      <c r="M48">
        <f>DATEDIF(DATE(LEFT(A48,4),MID(A48,6,2),RIGHT(A48,2)),DATE(LEFT(Agrégat!$B$2,4),MID(Agrégat!$B$2,6,2),RIGHT(Agrégat!$B$2,2)),"d")*-1</f>
        <v/>
      </c>
      <c r="N48">
        <f>IFERROR(E48-SUMIFS(E$4:E$58,$K$4:$K$58,$K48,$C$4:$C$58,"PROVINCE"),0)</f>
        <v/>
      </c>
      <c r="O48">
        <f>IFERROR(F48-SUMIFS(F$4:F$58,$K$4:$K$58,$K48,$C$4:$C$58,"PROVINCE"),0)</f>
        <v/>
      </c>
      <c r="P48">
        <f>IFERROR(G48-SUMIFS(G$4:G$58,$K$4:$K$58,$K48,$C$4:$C$58,"PROVINCE"),0)</f>
        <v/>
      </c>
      <c r="Q48">
        <f>IFERROR(H48-SUMIFS(H$4:H$58,$K$4:$K$58,$K48,$C$4:$C$58,"PROVINCE"),0)</f>
        <v/>
      </c>
      <c r="R48">
        <f>IFERROR(I48-SUMIFS(I$4:I$58,$K$4:$K$58,$K48,$C$4:$C$58,"PROVINCE"),0)</f>
        <v/>
      </c>
      <c r="S48">
        <f>IFERROR(J48-SUMIFS(J$4:J$58,$K$4:$K$58,$K48,$C$4:$C$58,"PROVINCE"),0)</f>
        <v/>
      </c>
      <c r="T48">
        <f>IF(C48="PROVINCE",0,0.5^(-M48/Agrégat!$B$4)*SQRT(D48))</f>
        <v/>
      </c>
    </row>
    <row r="49">
      <c r="A49" t="inlineStr">
        <is>
          <t>2026-08-25</t>
        </is>
      </c>
      <c r="B49" t="inlineStr">
        <is>
          <t>synopsis</t>
        </is>
      </c>
      <c r="C49" t="inlineStr">
        <is>
          <t>Île de Montréal</t>
        </is>
      </c>
      <c r="D49" t="n">
        <v>300</v>
      </c>
      <c r="E49" s="7" t="n">
        <v>15.3</v>
      </c>
      <c r="F49" s="7" t="n">
        <v>34.1</v>
      </c>
      <c r="G49" s="7" t="n">
        <v>16.5</v>
      </c>
      <c r="H49" s="7" t="n">
        <v>24.7</v>
      </c>
      <c r="I49" s="7" t="n">
        <v>7.1</v>
      </c>
      <c r="J49" s="7" t="n">
        <v>2.4</v>
      </c>
      <c r="K49">
        <f>A49&amp;"|"&amp;B49</f>
        <v/>
      </c>
      <c r="L49">
        <f>IF(AND(C49="PROVINCE",B49&lt;&gt;"leger-cumul"),1,0)</f>
        <v/>
      </c>
      <c r="M49">
        <f>DATEDIF(DATE(LEFT(A49,4),MID(A49,6,2),RIGHT(A49,2)),DATE(LEFT(Agrégat!$B$2,4),MID(Agrégat!$B$2,6,2),RIGHT(Agrégat!$B$2,2)),"d")*-1</f>
        <v/>
      </c>
      <c r="N49">
        <f>IFERROR(E49-SUMIFS(E$4:E$58,$K$4:$K$58,$K49,$C$4:$C$58,"PROVINCE"),0)</f>
        <v/>
      </c>
      <c r="O49">
        <f>IFERROR(F49-SUMIFS(F$4:F$58,$K$4:$K$58,$K49,$C$4:$C$58,"PROVINCE"),0)</f>
        <v/>
      </c>
      <c r="P49">
        <f>IFERROR(G49-SUMIFS(G$4:G$58,$K$4:$K$58,$K49,$C$4:$C$58,"PROVINCE"),0)</f>
        <v/>
      </c>
      <c r="Q49">
        <f>IFERROR(H49-SUMIFS(H$4:H$58,$K$4:$K$58,$K49,$C$4:$C$58,"PROVINCE"),0)</f>
        <v/>
      </c>
      <c r="R49">
        <f>IFERROR(I49-SUMIFS(I$4:I$58,$K$4:$K$58,$K49,$C$4:$C$58,"PROVINCE"),0)</f>
        <v/>
      </c>
      <c r="S49">
        <f>IFERROR(J49-SUMIFS(J$4:J$58,$K$4:$K$58,$K49,$C$4:$C$58,"PROVINCE"),0)</f>
        <v/>
      </c>
      <c r="T49">
        <f>IF(C49="PROVINCE",0,0.5^(-M49/Agrégat!$B$4)*SQRT(D49))</f>
        <v/>
      </c>
    </row>
    <row r="50">
      <c r="A50" t="inlineStr">
        <is>
          <t>2026-08-25</t>
        </is>
      </c>
      <c r="B50" t="inlineStr">
        <is>
          <t>synopsis</t>
        </is>
      </c>
      <c r="C50" t="inlineStr">
        <is>
          <t>Banlieue de Montréal</t>
        </is>
      </c>
      <c r="D50" t="n">
        <v>300</v>
      </c>
      <c r="E50" s="7" t="n">
        <v>31.3</v>
      </c>
      <c r="F50" s="7" t="n">
        <v>18.1</v>
      </c>
      <c r="G50" s="7" t="n">
        <v>7.2</v>
      </c>
      <c r="H50" s="7" t="n">
        <v>30.1</v>
      </c>
      <c r="I50" s="7" t="n">
        <v>12</v>
      </c>
      <c r="J50" s="7" t="n">
        <v>1.2</v>
      </c>
      <c r="K50">
        <f>A50&amp;"|"&amp;B50</f>
        <v/>
      </c>
      <c r="L50">
        <f>IF(AND(C50="PROVINCE",B50&lt;&gt;"leger-cumul"),1,0)</f>
        <v/>
      </c>
      <c r="M50">
        <f>DATEDIF(DATE(LEFT(A50,4),MID(A50,6,2),RIGHT(A50,2)),DATE(LEFT(Agrégat!$B$2,4),MID(Agrégat!$B$2,6,2),RIGHT(Agrégat!$B$2,2)),"d")*-1</f>
        <v/>
      </c>
      <c r="N50">
        <f>IFERROR(E50-SUMIFS(E$4:E$58,$K$4:$K$58,$K50,$C$4:$C$58,"PROVINCE"),0)</f>
        <v/>
      </c>
      <c r="O50">
        <f>IFERROR(F50-SUMIFS(F$4:F$58,$K$4:$K$58,$K50,$C$4:$C$58,"PROVINCE"),0)</f>
        <v/>
      </c>
      <c r="P50">
        <f>IFERROR(G50-SUMIFS(G$4:G$58,$K$4:$K$58,$K50,$C$4:$C$58,"PROVINCE"),0)</f>
        <v/>
      </c>
      <c r="Q50">
        <f>IFERROR(H50-SUMIFS(H$4:H$58,$K$4:$K$58,$K50,$C$4:$C$58,"PROVINCE"),0)</f>
        <v/>
      </c>
      <c r="R50">
        <f>IFERROR(I50-SUMIFS(I$4:I$58,$K$4:$K$58,$K50,$C$4:$C$58,"PROVINCE"),0)</f>
        <v/>
      </c>
      <c r="S50">
        <f>IFERROR(J50-SUMIFS(J$4:J$58,$K$4:$K$58,$K50,$C$4:$C$58,"PROVINCE"),0)</f>
        <v/>
      </c>
      <c r="T50">
        <f>IF(C50="PROVINCE",0,0.5^(-M50/Agrégat!$B$4)*SQRT(D50))</f>
        <v/>
      </c>
    </row>
    <row r="51">
      <c r="A51" t="inlineStr">
        <is>
          <t>2026-08-25</t>
        </is>
      </c>
      <c r="B51" t="inlineStr">
        <is>
          <t>synopsis</t>
        </is>
      </c>
      <c r="C51" t="inlineStr">
        <is>
          <t>Québec RMR</t>
        </is>
      </c>
      <c r="D51" t="n">
        <v>300</v>
      </c>
      <c r="E51" s="7" t="n">
        <v>36</v>
      </c>
      <c r="F51" s="7" t="n">
        <v>7.9</v>
      </c>
      <c r="G51" s="7" t="n">
        <v>5.6</v>
      </c>
      <c r="H51" s="7" t="n">
        <v>28.1</v>
      </c>
      <c r="I51" s="7" t="n">
        <v>21.3</v>
      </c>
      <c r="J51" s="7" t="n">
        <v>1.1</v>
      </c>
      <c r="K51">
        <f>A51&amp;"|"&amp;B51</f>
        <v/>
      </c>
      <c r="L51">
        <f>IF(AND(C51="PROVINCE",B51&lt;&gt;"leger-cumul"),1,0)</f>
        <v/>
      </c>
      <c r="M51">
        <f>DATEDIF(DATE(LEFT(A51,4),MID(A51,6,2),RIGHT(A51,2)),DATE(LEFT(Agrégat!$B$2,4),MID(Agrégat!$B$2,6,2),RIGHT(Agrégat!$B$2,2)),"d")*-1</f>
        <v/>
      </c>
      <c r="N51">
        <f>IFERROR(E51-SUMIFS(E$4:E$58,$K$4:$K$58,$K51,$C$4:$C$58,"PROVINCE"),0)</f>
        <v/>
      </c>
      <c r="O51">
        <f>IFERROR(F51-SUMIFS(F$4:F$58,$K$4:$K$58,$K51,$C$4:$C$58,"PROVINCE"),0)</f>
        <v/>
      </c>
      <c r="P51">
        <f>IFERROR(G51-SUMIFS(G$4:G$58,$K$4:$K$58,$K51,$C$4:$C$58,"PROVINCE"),0)</f>
        <v/>
      </c>
      <c r="Q51">
        <f>IFERROR(H51-SUMIFS(H$4:H$58,$K$4:$K$58,$K51,$C$4:$C$58,"PROVINCE"),0)</f>
        <v/>
      </c>
      <c r="R51">
        <f>IFERROR(I51-SUMIFS(I$4:I$58,$K$4:$K$58,$K51,$C$4:$C$58,"PROVINCE"),0)</f>
        <v/>
      </c>
      <c r="S51">
        <f>IFERROR(J51-SUMIFS(J$4:J$58,$K$4:$K$58,$K51,$C$4:$C$58,"PROVINCE"),0)</f>
        <v/>
      </c>
      <c r="T51">
        <f>IF(C51="PROVINCE",0,0.5^(-M51/Agrégat!$B$4)*SQRT(D51))</f>
        <v/>
      </c>
    </row>
    <row r="52">
      <c r="A52" t="inlineStr">
        <is>
          <t>2026-08-25</t>
        </is>
      </c>
      <c r="B52" t="inlineStr">
        <is>
          <t>synopsis</t>
        </is>
      </c>
      <c r="C52" t="inlineStr">
        <is>
          <t>Reste du Québec</t>
        </is>
      </c>
      <c r="D52" t="n">
        <v>300</v>
      </c>
      <c r="E52" s="7" t="n">
        <v>28.6</v>
      </c>
      <c r="F52" s="7" t="n">
        <v>16.7</v>
      </c>
      <c r="G52" s="7" t="n">
        <v>8.300000000000001</v>
      </c>
      <c r="H52" s="7" t="n">
        <v>28.6</v>
      </c>
      <c r="I52" s="7" t="n">
        <v>16.7</v>
      </c>
      <c r="J52" s="7" t="n">
        <v>1.2</v>
      </c>
      <c r="K52">
        <f>A52&amp;"|"&amp;B52</f>
        <v/>
      </c>
      <c r="L52">
        <f>IF(AND(C52="PROVINCE",B52&lt;&gt;"leger-cumul"),1,0)</f>
        <v/>
      </c>
      <c r="M52">
        <f>DATEDIF(DATE(LEFT(A52,4),MID(A52,6,2),RIGHT(A52,2)),DATE(LEFT(Agrégat!$B$2,4),MID(Agrégat!$B$2,6,2),RIGHT(Agrégat!$B$2,2)),"d")*-1</f>
        <v/>
      </c>
      <c r="N52">
        <f>IFERROR(E52-SUMIFS(E$4:E$58,$K$4:$K$58,$K52,$C$4:$C$58,"PROVINCE"),0)</f>
        <v/>
      </c>
      <c r="O52">
        <f>IFERROR(F52-SUMIFS(F$4:F$58,$K$4:$K$58,$K52,$C$4:$C$58,"PROVINCE"),0)</f>
        <v/>
      </c>
      <c r="P52">
        <f>IFERROR(G52-SUMIFS(G$4:G$58,$K$4:$K$58,$K52,$C$4:$C$58,"PROVINCE"),0)</f>
        <v/>
      </c>
      <c r="Q52">
        <f>IFERROR(H52-SUMIFS(H$4:H$58,$K$4:$K$58,$K52,$C$4:$C$58,"PROVINCE"),0)</f>
        <v/>
      </c>
      <c r="R52">
        <f>IFERROR(I52-SUMIFS(I$4:I$58,$K$4:$K$58,$K52,$C$4:$C$58,"PROVINCE"),0)</f>
        <v/>
      </c>
      <c r="S52">
        <f>IFERROR(J52-SUMIFS(J$4:J$58,$K$4:$K$58,$K52,$C$4:$C$58,"PROVINCE"),0)</f>
        <v/>
      </c>
      <c r="T52">
        <f>IF(C52="PROVINCE",0,0.5^(-M52/Agrégat!$B$4)*SQRT(D52))</f>
        <v/>
      </c>
    </row>
    <row r="53">
      <c r="A53" t="inlineStr">
        <is>
          <t>2026-08-29</t>
        </is>
      </c>
      <c r="B53" t="inlineStr">
        <is>
          <t>pallas</t>
        </is>
      </c>
      <c r="C53" t="inlineStr">
        <is>
          <t>PROVINCE</t>
        </is>
      </c>
      <c r="D53" t="n">
        <v>300</v>
      </c>
      <c r="E53" s="7" t="n">
        <v>23.7</v>
      </c>
      <c r="F53" s="7" t="n">
        <v>20.7</v>
      </c>
      <c r="G53" s="7" t="n">
        <v>9.800000000000001</v>
      </c>
      <c r="H53" s="7" t="n">
        <v>29.1</v>
      </c>
      <c r="I53" s="7" t="n">
        <v>16</v>
      </c>
      <c r="J53" s="7" t="n">
        <v>0.5</v>
      </c>
      <c r="K53">
        <f>A53&amp;"|"&amp;B53</f>
        <v/>
      </c>
      <c r="L53">
        <f>IF(AND(C53="PROVINCE",B53&lt;&gt;"leger-cumul"),1,0)</f>
        <v/>
      </c>
      <c r="M53">
        <f>DATEDIF(DATE(LEFT(A53,4),MID(A53,6,2),RIGHT(A53,2)),DATE(LEFT(Agrégat!$B$2,4),MID(Agrégat!$B$2,6,2),RIGHT(Agrégat!$B$2,2)),"d")*-1</f>
        <v/>
      </c>
      <c r="N53">
        <f>IFERROR(E53-SUMIFS(E$4:E$58,$K$4:$K$58,$K53,$C$4:$C$58,"PROVINCE"),0)</f>
        <v/>
      </c>
      <c r="O53">
        <f>IFERROR(F53-SUMIFS(F$4:F$58,$K$4:$K$58,$K53,$C$4:$C$58,"PROVINCE"),0)</f>
        <v/>
      </c>
      <c r="P53">
        <f>IFERROR(G53-SUMIFS(G$4:G$58,$K$4:$K$58,$K53,$C$4:$C$58,"PROVINCE"),0)</f>
        <v/>
      </c>
      <c r="Q53">
        <f>IFERROR(H53-SUMIFS(H$4:H$58,$K$4:$K$58,$K53,$C$4:$C$58,"PROVINCE"),0)</f>
        <v/>
      </c>
      <c r="R53">
        <f>IFERROR(I53-SUMIFS(I$4:I$58,$K$4:$K$58,$K53,$C$4:$C$58,"PROVINCE"),0)</f>
        <v/>
      </c>
      <c r="S53">
        <f>IFERROR(J53-SUMIFS(J$4:J$58,$K$4:$K$58,$K53,$C$4:$C$58,"PROVINCE"),0)</f>
        <v/>
      </c>
      <c r="T53">
        <f>IF(C53="PROVINCE",0,0.5^(-M53/Agrégat!$B$4)*SQRT(D53))</f>
        <v/>
      </c>
    </row>
    <row r="54">
      <c r="A54" t="inlineStr">
        <is>
          <t>2026-08-29</t>
        </is>
      </c>
      <c r="B54" t="inlineStr">
        <is>
          <t>pallas</t>
        </is>
      </c>
      <c r="C54" t="inlineStr">
        <is>
          <t>Montréal RMR</t>
        </is>
      </c>
      <c r="D54" t="n">
        <v>300</v>
      </c>
      <c r="E54" s="7" t="n">
        <v>23.5</v>
      </c>
      <c r="F54" s="7" t="n">
        <v>24.8</v>
      </c>
      <c r="G54" s="7" t="n">
        <v>8.6</v>
      </c>
      <c r="H54" s="7" t="n">
        <v>29.7</v>
      </c>
      <c r="I54" s="7" t="n">
        <v>12.4</v>
      </c>
      <c r="J54" s="7" t="n">
        <v>0.9</v>
      </c>
      <c r="K54">
        <f>A54&amp;"|"&amp;B54</f>
        <v/>
      </c>
      <c r="L54">
        <f>IF(AND(C54="PROVINCE",B54&lt;&gt;"leger-cumul"),1,0)</f>
        <v/>
      </c>
      <c r="M54">
        <f>DATEDIF(DATE(LEFT(A54,4),MID(A54,6,2),RIGHT(A54,2)),DATE(LEFT(Agrégat!$B$2,4),MID(Agrégat!$B$2,6,2),RIGHT(Agrégat!$B$2,2)),"d")*-1</f>
        <v/>
      </c>
      <c r="N54">
        <f>IFERROR(E54-SUMIFS(E$4:E$58,$K$4:$K$58,$K54,$C$4:$C$58,"PROVINCE"),0)</f>
        <v/>
      </c>
      <c r="O54">
        <f>IFERROR(F54-SUMIFS(F$4:F$58,$K$4:$K$58,$K54,$C$4:$C$58,"PROVINCE"),0)</f>
        <v/>
      </c>
      <c r="P54">
        <f>IFERROR(G54-SUMIFS(G$4:G$58,$K$4:$K$58,$K54,$C$4:$C$58,"PROVINCE"),0)</f>
        <v/>
      </c>
      <c r="Q54">
        <f>IFERROR(H54-SUMIFS(H$4:H$58,$K$4:$K$58,$K54,$C$4:$C$58,"PROVINCE"),0)</f>
        <v/>
      </c>
      <c r="R54">
        <f>IFERROR(I54-SUMIFS(I$4:I$58,$K$4:$K$58,$K54,$C$4:$C$58,"PROVINCE"),0)</f>
        <v/>
      </c>
      <c r="S54">
        <f>IFERROR(J54-SUMIFS(J$4:J$58,$K$4:$K$58,$K54,$C$4:$C$58,"PROVINCE"),0)</f>
        <v/>
      </c>
      <c r="T54">
        <f>IF(C54="PROVINCE",0,0.5^(-M54/Agrégat!$B$4)*SQRT(D54))</f>
        <v/>
      </c>
    </row>
    <row r="55">
      <c r="A55" t="inlineStr">
        <is>
          <t>2026-08-29</t>
        </is>
      </c>
      <c r="B55" t="inlineStr">
        <is>
          <t>pallas</t>
        </is>
      </c>
      <c r="C55" t="inlineStr">
        <is>
          <t>Île de Montréal</t>
        </is>
      </c>
      <c r="D55" t="n">
        <v>300</v>
      </c>
      <c r="E55" s="7" t="n">
        <v>9.5</v>
      </c>
      <c r="F55" s="7" t="n">
        <v>33.3</v>
      </c>
      <c r="G55" s="7" t="n">
        <v>14.7</v>
      </c>
      <c r="H55" s="7" t="n">
        <v>26.9</v>
      </c>
      <c r="I55" s="7" t="n">
        <v>15.3</v>
      </c>
      <c r="J55" s="7" t="n">
        <v>0.3</v>
      </c>
      <c r="K55">
        <f>A55&amp;"|"&amp;B55</f>
        <v/>
      </c>
      <c r="L55">
        <f>IF(AND(C55="PROVINCE",B55&lt;&gt;"leger-cumul"),1,0)</f>
        <v/>
      </c>
      <c r="M55">
        <f>DATEDIF(DATE(LEFT(A55,4),MID(A55,6,2),RIGHT(A55,2)),DATE(LEFT(Agrégat!$B$2,4),MID(Agrégat!$B$2,6,2),RIGHT(Agrégat!$B$2,2)),"d")*-1</f>
        <v/>
      </c>
      <c r="N55">
        <f>IFERROR(E55-SUMIFS(E$4:E$58,$K$4:$K$58,$K55,$C$4:$C$58,"PROVINCE"),0)</f>
        <v/>
      </c>
      <c r="O55">
        <f>IFERROR(F55-SUMIFS(F$4:F$58,$K$4:$K$58,$K55,$C$4:$C$58,"PROVINCE"),0)</f>
        <v/>
      </c>
      <c r="P55">
        <f>IFERROR(G55-SUMIFS(G$4:G$58,$K$4:$K$58,$K55,$C$4:$C$58,"PROVINCE"),0)</f>
        <v/>
      </c>
      <c r="Q55">
        <f>IFERROR(H55-SUMIFS(H$4:H$58,$K$4:$K$58,$K55,$C$4:$C$58,"PROVINCE"),0)</f>
        <v/>
      </c>
      <c r="R55">
        <f>IFERROR(I55-SUMIFS(I$4:I$58,$K$4:$K$58,$K55,$C$4:$C$58,"PROVINCE"),0)</f>
        <v/>
      </c>
      <c r="S55">
        <f>IFERROR(J55-SUMIFS(J$4:J$58,$K$4:$K$58,$K55,$C$4:$C$58,"PROVINCE"),0)</f>
        <v/>
      </c>
      <c r="T55">
        <f>IF(C55="PROVINCE",0,0.5^(-M55/Agrégat!$B$4)*SQRT(D55))</f>
        <v/>
      </c>
    </row>
    <row r="56">
      <c r="A56" t="inlineStr">
        <is>
          <t>2026-08-29</t>
        </is>
      </c>
      <c r="B56" t="inlineStr">
        <is>
          <t>pallas</t>
        </is>
      </c>
      <c r="C56" t="inlineStr">
        <is>
          <t>Banlieue de Montréal</t>
        </is>
      </c>
      <c r="D56" t="n">
        <v>300</v>
      </c>
      <c r="E56" s="7" t="n">
        <v>33</v>
      </c>
      <c r="F56" s="7" t="n">
        <v>19.1</v>
      </c>
      <c r="G56" s="7" t="n">
        <v>4.5</v>
      </c>
      <c r="H56" s="7" t="n">
        <v>31.7</v>
      </c>
      <c r="I56" s="7" t="n">
        <v>10.5</v>
      </c>
      <c r="J56" s="7" t="n">
        <v>1.2</v>
      </c>
      <c r="K56">
        <f>A56&amp;"|"&amp;B56</f>
        <v/>
      </c>
      <c r="L56">
        <f>IF(AND(C56="PROVINCE",B56&lt;&gt;"leger-cumul"),1,0)</f>
        <v/>
      </c>
      <c r="M56">
        <f>DATEDIF(DATE(LEFT(A56,4),MID(A56,6,2),RIGHT(A56,2)),DATE(LEFT(Agrégat!$B$2,4),MID(Agrégat!$B$2,6,2),RIGHT(Agrégat!$B$2,2)),"d")*-1</f>
        <v/>
      </c>
      <c r="N56">
        <f>IFERROR(E56-SUMIFS(E$4:E$58,$K$4:$K$58,$K56,$C$4:$C$58,"PROVINCE"),0)</f>
        <v/>
      </c>
      <c r="O56">
        <f>IFERROR(F56-SUMIFS(F$4:F$58,$K$4:$K$58,$K56,$C$4:$C$58,"PROVINCE"),0)</f>
        <v/>
      </c>
      <c r="P56">
        <f>IFERROR(G56-SUMIFS(G$4:G$58,$K$4:$K$58,$K56,$C$4:$C$58,"PROVINCE"),0)</f>
        <v/>
      </c>
      <c r="Q56">
        <f>IFERROR(H56-SUMIFS(H$4:H$58,$K$4:$K$58,$K56,$C$4:$C$58,"PROVINCE"),0)</f>
        <v/>
      </c>
      <c r="R56">
        <f>IFERROR(I56-SUMIFS(I$4:I$58,$K$4:$K$58,$K56,$C$4:$C$58,"PROVINCE"),0)</f>
        <v/>
      </c>
      <c r="S56">
        <f>IFERROR(J56-SUMIFS(J$4:J$58,$K$4:$K$58,$K56,$C$4:$C$58,"PROVINCE"),0)</f>
        <v/>
      </c>
      <c r="T56">
        <f>IF(C56="PROVINCE",0,0.5^(-M56/Agrégat!$B$4)*SQRT(D56))</f>
        <v/>
      </c>
    </row>
    <row r="57">
      <c r="A57" t="inlineStr">
        <is>
          <t>2026-08-29</t>
        </is>
      </c>
      <c r="B57" t="inlineStr">
        <is>
          <t>pallas</t>
        </is>
      </c>
      <c r="C57" t="inlineStr">
        <is>
          <t>Québec RMR</t>
        </is>
      </c>
      <c r="D57" t="n">
        <v>300</v>
      </c>
      <c r="E57" s="7" t="n">
        <v>23.7</v>
      </c>
      <c r="F57" s="7" t="n">
        <v>8</v>
      </c>
      <c r="G57" s="7" t="n">
        <v>9.5</v>
      </c>
      <c r="H57" s="7" t="n">
        <v>26.5</v>
      </c>
      <c r="I57" s="7" t="n">
        <v>32.2</v>
      </c>
      <c r="J57" s="7" t="n">
        <v>0</v>
      </c>
      <c r="K57">
        <f>A57&amp;"|"&amp;B57</f>
        <v/>
      </c>
      <c r="L57">
        <f>IF(AND(C57="PROVINCE",B57&lt;&gt;"leger-cumul"),1,0)</f>
        <v/>
      </c>
      <c r="M57">
        <f>DATEDIF(DATE(LEFT(A57,4),MID(A57,6,2),RIGHT(A57,2)),DATE(LEFT(Agrégat!$B$2,4),MID(Agrégat!$B$2,6,2),RIGHT(Agrégat!$B$2,2)),"d")*-1</f>
        <v/>
      </c>
      <c r="N57">
        <f>IFERROR(E57-SUMIFS(E$4:E$58,$K$4:$K$58,$K57,$C$4:$C$58,"PROVINCE"),0)</f>
        <v/>
      </c>
      <c r="O57">
        <f>IFERROR(F57-SUMIFS(F$4:F$58,$K$4:$K$58,$K57,$C$4:$C$58,"PROVINCE"),0)</f>
        <v/>
      </c>
      <c r="P57">
        <f>IFERROR(G57-SUMIFS(G$4:G$58,$K$4:$K$58,$K57,$C$4:$C$58,"PROVINCE"),0)</f>
        <v/>
      </c>
      <c r="Q57">
        <f>IFERROR(H57-SUMIFS(H$4:H$58,$K$4:$K$58,$K57,$C$4:$C$58,"PROVINCE"),0)</f>
        <v/>
      </c>
      <c r="R57">
        <f>IFERROR(I57-SUMIFS(I$4:I$58,$K$4:$K$58,$K57,$C$4:$C$58,"PROVINCE"),0)</f>
        <v/>
      </c>
      <c r="S57">
        <f>IFERROR(J57-SUMIFS(J$4:J$58,$K$4:$K$58,$K57,$C$4:$C$58,"PROVINCE"),0)</f>
        <v/>
      </c>
      <c r="T57">
        <f>IF(C57="PROVINCE",0,0.5^(-M57/Agrégat!$B$4)*SQRT(D57))</f>
        <v/>
      </c>
    </row>
    <row r="58">
      <c r="A58" t="inlineStr">
        <is>
          <t>2026-08-29</t>
        </is>
      </c>
      <c r="B58" t="inlineStr">
        <is>
          <t>pallas</t>
        </is>
      </c>
      <c r="C58" t="inlineStr">
        <is>
          <t>Reste du Québec</t>
        </is>
      </c>
      <c r="D58" t="n">
        <v>300</v>
      </c>
      <c r="E58" s="7" t="n">
        <v>24</v>
      </c>
      <c r="F58" s="7" t="n">
        <v>17.5</v>
      </c>
      <c r="G58" s="7" t="n">
        <v>12.1</v>
      </c>
      <c r="H58" s="7" t="n">
        <v>28.9</v>
      </c>
      <c r="I58" s="7" t="n">
        <v>17.3</v>
      </c>
      <c r="J58" s="7" t="n">
        <v>0.2</v>
      </c>
      <c r="K58">
        <f>A58&amp;"|"&amp;B58</f>
        <v/>
      </c>
      <c r="L58">
        <f>IF(AND(C58="PROVINCE",B58&lt;&gt;"leger-cumul"),1,0)</f>
        <v/>
      </c>
      <c r="M58">
        <f>DATEDIF(DATE(LEFT(A58,4),MID(A58,6,2),RIGHT(A58,2)),DATE(LEFT(Agrégat!$B$2,4),MID(Agrégat!$B$2,6,2),RIGHT(Agrégat!$B$2,2)),"d")*-1</f>
        <v/>
      </c>
      <c r="N58">
        <f>IFERROR(E58-SUMIFS(E$4:E$58,$K$4:$K$58,$K58,$C$4:$C$58,"PROVINCE"),0)</f>
        <v/>
      </c>
      <c r="O58">
        <f>IFERROR(F58-SUMIFS(F$4:F$58,$K$4:$K$58,$K58,$C$4:$C$58,"PROVINCE"),0)</f>
        <v/>
      </c>
      <c r="P58">
        <f>IFERROR(G58-SUMIFS(G$4:G$58,$K$4:$K$58,$K58,$C$4:$C$58,"PROVINCE"),0)</f>
        <v/>
      </c>
      <c r="Q58">
        <f>IFERROR(H58-SUMIFS(H$4:H$58,$K$4:$K$58,$K58,$C$4:$C$58,"PROVINCE"),0)</f>
        <v/>
      </c>
      <c r="R58">
        <f>IFERROR(I58-SUMIFS(I$4:I$58,$K$4:$K$58,$K58,$C$4:$C$58,"PROVINCE"),0)</f>
        <v/>
      </c>
      <c r="S58">
        <f>IFERROR(J58-SUMIFS(J$4:J$58,$K$4:$K$58,$K58,$C$4:$C$58,"PROVINCE"),0)</f>
        <v/>
      </c>
      <c r="T58">
        <f>IF(C58="PROVINCE",0,0.5^(-M58/Agrégat!$B$4)*SQRT(D58))</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0" customWidth="1" min="1" max="1"/>
  </cols>
  <sheetData>
    <row r="1">
      <c r="A1" s="8" t="inlineStr">
        <is>
          <t>AGRÉGAT — niveau national (ajustement local linéaire) + décalages régionaux</t>
        </is>
      </c>
    </row>
    <row r="2">
      <c r="A2" s="2" t="inlineStr">
        <is>
          <t>Date d'estimation</t>
        </is>
      </c>
      <c r="B2" s="9" t="inlineStr">
        <is>
          <t>2026-08-31</t>
        </is>
      </c>
    </row>
    <row r="3">
      <c r="A3" s="2" t="inlineStr">
        <is>
          <t>Fenêtre nationale (jours)</t>
        </is>
      </c>
      <c r="B3" s="9" t="n">
        <v>25</v>
      </c>
    </row>
    <row r="4">
      <c r="A4" s="2" t="inlineStr">
        <is>
          <t>Demi-vie décalages (jours)</t>
        </is>
      </c>
      <c r="B4" s="9" t="n">
        <v>21</v>
      </c>
    </row>
    <row r="5">
      <c r="A5" s="2" t="inlineStr">
        <is>
          <t>Autre (%) — hypothèse</t>
        </is>
      </c>
      <c r="B5" s="9" t="n">
        <v>1</v>
      </c>
    </row>
    <row r="7">
      <c r="A7" s="5" t="inlineStr">
        <is>
          <t>1. NIVEAU NATIONAL — régression linéaire pondérée (poids = exp(-½(t/fenêtre)²)·√n), valeur à t=0</t>
        </is>
      </c>
    </row>
    <row r="8">
      <c r="B8" s="2" t="inlineStr">
        <is>
          <t>CAQ</t>
        </is>
      </c>
      <c r="C8" s="2" t="inlineStr">
        <is>
          <t>PLQ</t>
        </is>
      </c>
      <c r="D8" s="2" t="inlineStr">
        <is>
          <t>QS</t>
        </is>
      </c>
      <c r="E8" s="2" t="inlineStr">
        <is>
          <t>PQ</t>
        </is>
      </c>
      <c r="F8" s="2" t="inlineStr">
        <is>
          <t>PCQ</t>
        </is>
      </c>
      <c r="G8" s="2" t="inlineStr">
        <is>
          <t>Autre</t>
        </is>
      </c>
    </row>
    <row r="9">
      <c r="A9" s="2" t="inlineStr">
        <is>
          <t>Σw</t>
        </is>
      </c>
      <c r="B9">
        <f>SUMPRODUCT(EXP(-0.5*((Sondages!$M$4:$M$58)/$B$3)^2)*SQRT(Sondages!$D$4:$D$58)*Sondages!$L$4:$L$58)</f>
        <v/>
      </c>
      <c r="C9">
        <f>SUMPRODUCT(EXP(-0.5*((Sondages!$M$4:$M$58)/$B$3)^2)*SQRT(Sondages!$D$4:$D$58)*Sondages!$L$4:$L$58)</f>
        <v/>
      </c>
      <c r="D9">
        <f>SUMPRODUCT(EXP(-0.5*((Sondages!$M$4:$M$58)/$B$3)^2)*SQRT(Sondages!$D$4:$D$58)*Sondages!$L$4:$L$58)</f>
        <v/>
      </c>
      <c r="E9">
        <f>SUMPRODUCT(EXP(-0.5*((Sondages!$M$4:$M$58)/$B$3)^2)*SQRT(Sondages!$D$4:$D$58)*Sondages!$L$4:$L$58)</f>
        <v/>
      </c>
      <c r="F9">
        <f>SUMPRODUCT(EXP(-0.5*((Sondages!$M$4:$M$58)/$B$3)^2)*SQRT(Sondages!$D$4:$D$58)*Sondages!$L$4:$L$58)</f>
        <v/>
      </c>
    </row>
    <row r="10">
      <c r="A10" s="2" t="inlineStr">
        <is>
          <t>Σwt</t>
        </is>
      </c>
      <c r="B10">
        <f>SUMPRODUCT(EXP(-0.5*((Sondages!$M$4:$M$58)/$B$3)^2)*SQRT(Sondages!$D$4:$D$58)*Sondages!$L$4:$L$58,Sondages!$M$4:$M$58)</f>
        <v/>
      </c>
      <c r="C10">
        <f>SUMPRODUCT(EXP(-0.5*((Sondages!$M$4:$M$58)/$B$3)^2)*SQRT(Sondages!$D$4:$D$58)*Sondages!$L$4:$L$58,Sondages!$M$4:$M$58)</f>
        <v/>
      </c>
      <c r="D10">
        <f>SUMPRODUCT(EXP(-0.5*((Sondages!$M$4:$M$58)/$B$3)^2)*SQRT(Sondages!$D$4:$D$58)*Sondages!$L$4:$L$58,Sondages!$M$4:$M$58)</f>
        <v/>
      </c>
      <c r="E10">
        <f>SUMPRODUCT(EXP(-0.5*((Sondages!$M$4:$M$58)/$B$3)^2)*SQRT(Sondages!$D$4:$D$58)*Sondages!$L$4:$L$58,Sondages!$M$4:$M$58)</f>
        <v/>
      </c>
      <c r="F10">
        <f>SUMPRODUCT(EXP(-0.5*((Sondages!$M$4:$M$58)/$B$3)^2)*SQRT(Sondages!$D$4:$D$58)*Sondages!$L$4:$L$58,Sondages!$M$4:$M$58)</f>
        <v/>
      </c>
    </row>
    <row r="11">
      <c r="A11" s="2" t="inlineStr">
        <is>
          <t>Σwt²</t>
        </is>
      </c>
      <c r="B11">
        <f>SUMPRODUCT(EXP(-0.5*((Sondages!$M$4:$M$58)/$B$3)^2)*SQRT(Sondages!$D$4:$D$58)*Sondages!$L$4:$L$58,Sondages!$M$4:$M$58,Sondages!$M$4:$M$58)</f>
        <v/>
      </c>
      <c r="C11">
        <f>SUMPRODUCT(EXP(-0.5*((Sondages!$M$4:$M$58)/$B$3)^2)*SQRT(Sondages!$D$4:$D$58)*Sondages!$L$4:$L$58,Sondages!$M$4:$M$58,Sondages!$M$4:$M$58)</f>
        <v/>
      </c>
      <c r="D11">
        <f>SUMPRODUCT(EXP(-0.5*((Sondages!$M$4:$M$58)/$B$3)^2)*SQRT(Sondages!$D$4:$D$58)*Sondages!$L$4:$L$58,Sondages!$M$4:$M$58,Sondages!$M$4:$M$58)</f>
        <v/>
      </c>
      <c r="E11">
        <f>SUMPRODUCT(EXP(-0.5*((Sondages!$M$4:$M$58)/$B$3)^2)*SQRT(Sondages!$D$4:$D$58)*Sondages!$L$4:$L$58,Sondages!$M$4:$M$58,Sondages!$M$4:$M$58)</f>
        <v/>
      </c>
      <c r="F11">
        <f>SUMPRODUCT(EXP(-0.5*((Sondages!$M$4:$M$58)/$B$3)^2)*SQRT(Sondages!$D$4:$D$58)*Sondages!$L$4:$L$58,Sondages!$M$4:$M$58,Sondages!$M$4:$M$58)</f>
        <v/>
      </c>
    </row>
    <row r="12">
      <c r="A12" s="2" t="inlineStr">
        <is>
          <t>Σwy</t>
        </is>
      </c>
      <c r="B12">
        <f>SUMPRODUCT(EXP(-0.5*((Sondages!$M$4:$M$58)/$B$3)^2)*SQRT(Sondages!$D$4:$D$58)*Sondages!$L$4:$L$58,Sondages!$E$4:$E$58)</f>
        <v/>
      </c>
      <c r="C12">
        <f>SUMPRODUCT(EXP(-0.5*((Sondages!$M$4:$M$58)/$B$3)^2)*SQRT(Sondages!$D$4:$D$58)*Sondages!$L$4:$L$58,Sondages!$F$4:$F$58)</f>
        <v/>
      </c>
      <c r="D12">
        <f>SUMPRODUCT(EXP(-0.5*((Sondages!$M$4:$M$58)/$B$3)^2)*SQRT(Sondages!$D$4:$D$58)*Sondages!$L$4:$L$58,Sondages!$G$4:$G$58)</f>
        <v/>
      </c>
      <c r="E12">
        <f>SUMPRODUCT(EXP(-0.5*((Sondages!$M$4:$M$58)/$B$3)^2)*SQRT(Sondages!$D$4:$D$58)*Sondages!$L$4:$L$58,Sondages!$H$4:$H$58)</f>
        <v/>
      </c>
      <c r="F12">
        <f>SUMPRODUCT(EXP(-0.5*((Sondages!$M$4:$M$58)/$B$3)^2)*SQRT(Sondages!$D$4:$D$58)*Sondages!$L$4:$L$58,Sondages!$I$4:$I$58)</f>
        <v/>
      </c>
    </row>
    <row r="13">
      <c r="A13" s="2" t="inlineStr">
        <is>
          <t>Σwty</t>
        </is>
      </c>
      <c r="B13">
        <f>SUMPRODUCT(EXP(-0.5*((Sondages!$M$4:$M$58)/$B$3)^2)*SQRT(Sondages!$D$4:$D$58)*Sondages!$L$4:$L$58,Sondages!$M$4:$M$58,Sondages!$E$4:$E$58)</f>
        <v/>
      </c>
      <c r="C13">
        <f>SUMPRODUCT(EXP(-0.5*((Sondages!$M$4:$M$58)/$B$3)^2)*SQRT(Sondages!$D$4:$D$58)*Sondages!$L$4:$L$58,Sondages!$M$4:$M$58,Sondages!$F$4:$F$58)</f>
        <v/>
      </c>
      <c r="D13">
        <f>SUMPRODUCT(EXP(-0.5*((Sondages!$M$4:$M$58)/$B$3)^2)*SQRT(Sondages!$D$4:$D$58)*Sondages!$L$4:$L$58,Sondages!$M$4:$M$58,Sondages!$G$4:$G$58)</f>
        <v/>
      </c>
      <c r="E13">
        <f>SUMPRODUCT(EXP(-0.5*((Sondages!$M$4:$M$58)/$B$3)^2)*SQRT(Sondages!$D$4:$D$58)*Sondages!$L$4:$L$58,Sondages!$M$4:$M$58,Sondages!$H$4:$H$58)</f>
        <v/>
      </c>
      <c r="F13">
        <f>SUMPRODUCT(EXP(-0.5*((Sondages!$M$4:$M$58)/$B$3)^2)*SQRT(Sondages!$D$4:$D$58)*Sondages!$L$4:$L$58,Sondages!$M$4:$M$58,Sondages!$I$4:$I$58)</f>
        <v/>
      </c>
    </row>
    <row r="14">
      <c r="A14" s="2" t="inlineStr">
        <is>
          <t>pente b</t>
        </is>
      </c>
      <c r="B14">
        <f>(B9*B13-B10*B12)/(B9*B11-B10^2)</f>
        <v/>
      </c>
      <c r="C14">
        <f>(C9*C13-C10*C12)/(C9*C11-C10^2)</f>
        <v/>
      </c>
      <c r="D14">
        <f>(D9*D13-D10*D12)/(D9*D11-D10^2)</f>
        <v/>
      </c>
      <c r="E14">
        <f>(E9*E13-E10*E12)/(E9*E11-E10^2)</f>
        <v/>
      </c>
      <c r="F14">
        <f>(F9*F13-F10*F12)/(F9*F11-F10^2)</f>
        <v/>
      </c>
    </row>
    <row r="15">
      <c r="A15" s="2" t="inlineStr">
        <is>
          <t>niveau a</t>
        </is>
      </c>
      <c r="B15">
        <f>(B12-B14*B10)/B9</f>
        <v/>
      </c>
      <c r="C15">
        <f>(C12-C14*C10)/C9</f>
        <v/>
      </c>
      <c r="D15">
        <f>(D12-D14*D10)/D9</f>
        <v/>
      </c>
      <c r="E15">
        <f>(E12-E14*E10)/E9</f>
        <v/>
      </c>
      <c r="F15">
        <f>(F12-F14*F10)/F9</f>
        <v/>
      </c>
    </row>
    <row r="16">
      <c r="A16" s="2" t="inlineStr">
        <is>
          <t>Pente (pp / 30 j)</t>
        </is>
      </c>
      <c r="B16">
        <f>B14*30</f>
        <v/>
      </c>
      <c r="C16">
        <f>C14*30</f>
        <v/>
      </c>
      <c r="D16">
        <f>D14*30</f>
        <v/>
      </c>
      <c r="E16">
        <f>E14*30</f>
        <v/>
      </c>
      <c r="F16">
        <f>F14*30</f>
        <v/>
      </c>
    </row>
    <row r="17">
      <c r="A17" s="5" t="inlineStr">
        <is>
          <t>Niveau national (%)</t>
        </is>
      </c>
      <c r="B17" s="10">
        <f>B15</f>
        <v/>
      </c>
      <c r="C17" s="10">
        <f>C15</f>
        <v/>
      </c>
      <c r="D17" s="10">
        <f>D15</f>
        <v/>
      </c>
      <c r="E17" s="10">
        <f>E15</f>
        <v/>
      </c>
      <c r="F17" s="10">
        <f>F15</f>
        <v/>
      </c>
      <c r="G17" s="11">
        <f>B5</f>
        <v/>
      </c>
    </row>
    <row r="19">
      <c r="A19" s="5" t="inlineStr">
        <is>
          <t>2. DÉCALAGES RÉGIONAUX — moyenne pondérée (récence × √n) des écarts région − province</t>
        </is>
      </c>
    </row>
    <row r="20">
      <c r="B20" s="2" t="inlineStr">
        <is>
          <t>CAQ</t>
        </is>
      </c>
      <c r="C20" s="2" t="inlineStr">
        <is>
          <t>PLQ</t>
        </is>
      </c>
      <c r="D20" s="2" t="inlineStr">
        <is>
          <t>QS</t>
        </is>
      </c>
      <c r="E20" s="2" t="inlineStr">
        <is>
          <t>PQ</t>
        </is>
      </c>
      <c r="F20" s="2" t="inlineStr">
        <is>
          <t>PCQ</t>
        </is>
      </c>
      <c r="G20" s="2" t="inlineStr">
        <is>
          <t>Autre</t>
        </is>
      </c>
    </row>
    <row r="21">
      <c r="A21" t="inlineStr">
        <is>
          <t>Montréal RMR</t>
        </is>
      </c>
      <c r="B21">
        <f>IFERROR(SUMPRODUCT((Sondages!$C$4:$C$58=$A21)*Sondages!$T$4:$T$58*Sondages!$N$4:$N$58)/SUMPRODUCT((Sondages!$C$4:$C$58=$A21)*Sondages!$T$4:$T$58),0)</f>
        <v/>
      </c>
      <c r="C21">
        <f>IFERROR(SUMPRODUCT((Sondages!$C$4:$C$58=$A21)*Sondages!$T$4:$T$58*Sondages!$O$4:$O$58)/SUMPRODUCT((Sondages!$C$4:$C$58=$A21)*Sondages!$T$4:$T$58),0)</f>
        <v/>
      </c>
      <c r="D21">
        <f>IFERROR(SUMPRODUCT((Sondages!$C$4:$C$58=$A21)*Sondages!$T$4:$T$58*Sondages!$P$4:$P$58)/SUMPRODUCT((Sondages!$C$4:$C$58=$A21)*Sondages!$T$4:$T$58),0)</f>
        <v/>
      </c>
      <c r="E21">
        <f>IFERROR(SUMPRODUCT((Sondages!$C$4:$C$58=$A21)*Sondages!$T$4:$T$58*Sondages!$Q$4:$Q$58)/SUMPRODUCT((Sondages!$C$4:$C$58=$A21)*Sondages!$T$4:$T$58),0)</f>
        <v/>
      </c>
      <c r="F21">
        <f>IFERROR(SUMPRODUCT((Sondages!$C$4:$C$58=$A21)*Sondages!$T$4:$T$58*Sondages!$R$4:$R$58)/SUMPRODUCT((Sondages!$C$4:$C$58=$A21)*Sondages!$T$4:$T$58),0)</f>
        <v/>
      </c>
      <c r="G21">
        <f>IFERROR(SUMPRODUCT((Sondages!$C$4:$C$58=$A21)*Sondages!$T$4:$T$58*Sondages!$S$4:$S$58)/SUMPRODUCT((Sondages!$C$4:$C$58=$A21)*Sondages!$T$4:$T$58),0)</f>
        <v/>
      </c>
    </row>
    <row r="22">
      <c r="A22" t="inlineStr">
        <is>
          <t>Île de Montréal</t>
        </is>
      </c>
      <c r="B22">
        <f>IFERROR(SUMPRODUCT((Sondages!$C$4:$C$58=$A22)*Sondages!$T$4:$T$58*Sondages!$N$4:$N$58)/SUMPRODUCT((Sondages!$C$4:$C$58=$A22)*Sondages!$T$4:$T$58),0)</f>
        <v/>
      </c>
      <c r="C22">
        <f>IFERROR(SUMPRODUCT((Sondages!$C$4:$C$58=$A22)*Sondages!$T$4:$T$58*Sondages!$O$4:$O$58)/SUMPRODUCT((Sondages!$C$4:$C$58=$A22)*Sondages!$T$4:$T$58),0)</f>
        <v/>
      </c>
      <c r="D22">
        <f>IFERROR(SUMPRODUCT((Sondages!$C$4:$C$58=$A22)*Sondages!$T$4:$T$58*Sondages!$P$4:$P$58)/SUMPRODUCT((Sondages!$C$4:$C$58=$A22)*Sondages!$T$4:$T$58),0)</f>
        <v/>
      </c>
      <c r="E22">
        <f>IFERROR(SUMPRODUCT((Sondages!$C$4:$C$58=$A22)*Sondages!$T$4:$T$58*Sondages!$Q$4:$Q$58)/SUMPRODUCT((Sondages!$C$4:$C$58=$A22)*Sondages!$T$4:$T$58),0)</f>
        <v/>
      </c>
      <c r="F22">
        <f>IFERROR(SUMPRODUCT((Sondages!$C$4:$C$58=$A22)*Sondages!$T$4:$T$58*Sondages!$R$4:$R$58)/SUMPRODUCT((Sondages!$C$4:$C$58=$A22)*Sondages!$T$4:$T$58),0)</f>
        <v/>
      </c>
      <c r="G22">
        <f>IFERROR(SUMPRODUCT((Sondages!$C$4:$C$58=$A22)*Sondages!$T$4:$T$58*Sondages!$S$4:$S$58)/SUMPRODUCT((Sondages!$C$4:$C$58=$A22)*Sondages!$T$4:$T$58),0)</f>
        <v/>
      </c>
    </row>
    <row r="23">
      <c r="A23" t="inlineStr">
        <is>
          <t>Banlieue de Montréal</t>
        </is>
      </c>
      <c r="B23">
        <f>IFERROR(SUMPRODUCT((Sondages!$C$4:$C$58=$A23)*Sondages!$T$4:$T$58*Sondages!$N$4:$N$58)/SUMPRODUCT((Sondages!$C$4:$C$58=$A23)*Sondages!$T$4:$T$58),0)</f>
        <v/>
      </c>
      <c r="C23">
        <f>IFERROR(SUMPRODUCT((Sondages!$C$4:$C$58=$A23)*Sondages!$T$4:$T$58*Sondages!$O$4:$O$58)/SUMPRODUCT((Sondages!$C$4:$C$58=$A23)*Sondages!$T$4:$T$58),0)</f>
        <v/>
      </c>
      <c r="D23">
        <f>IFERROR(SUMPRODUCT((Sondages!$C$4:$C$58=$A23)*Sondages!$T$4:$T$58*Sondages!$P$4:$P$58)/SUMPRODUCT((Sondages!$C$4:$C$58=$A23)*Sondages!$T$4:$T$58),0)</f>
        <v/>
      </c>
      <c r="E23">
        <f>IFERROR(SUMPRODUCT((Sondages!$C$4:$C$58=$A23)*Sondages!$T$4:$T$58*Sondages!$Q$4:$Q$58)/SUMPRODUCT((Sondages!$C$4:$C$58=$A23)*Sondages!$T$4:$T$58),0)</f>
        <v/>
      </c>
      <c r="F23">
        <f>IFERROR(SUMPRODUCT((Sondages!$C$4:$C$58=$A23)*Sondages!$T$4:$T$58*Sondages!$R$4:$R$58)/SUMPRODUCT((Sondages!$C$4:$C$58=$A23)*Sondages!$T$4:$T$58),0)</f>
        <v/>
      </c>
      <c r="G23">
        <f>IFERROR(SUMPRODUCT((Sondages!$C$4:$C$58=$A23)*Sondages!$T$4:$T$58*Sondages!$S$4:$S$58)/SUMPRODUCT((Sondages!$C$4:$C$58=$A23)*Sondages!$T$4:$T$58),0)</f>
        <v/>
      </c>
    </row>
    <row r="24">
      <c r="A24" t="inlineStr">
        <is>
          <t>Québec RMR</t>
        </is>
      </c>
      <c r="B24">
        <f>IFERROR(SUMPRODUCT((Sondages!$C$4:$C$58=$A24)*Sondages!$T$4:$T$58*Sondages!$N$4:$N$58)/SUMPRODUCT((Sondages!$C$4:$C$58=$A24)*Sondages!$T$4:$T$58),0)</f>
        <v/>
      </c>
      <c r="C24">
        <f>IFERROR(SUMPRODUCT((Sondages!$C$4:$C$58=$A24)*Sondages!$T$4:$T$58*Sondages!$O$4:$O$58)/SUMPRODUCT((Sondages!$C$4:$C$58=$A24)*Sondages!$T$4:$T$58),0)</f>
        <v/>
      </c>
      <c r="D24">
        <f>IFERROR(SUMPRODUCT((Sondages!$C$4:$C$58=$A24)*Sondages!$T$4:$T$58*Sondages!$P$4:$P$58)/SUMPRODUCT((Sondages!$C$4:$C$58=$A24)*Sondages!$T$4:$T$58),0)</f>
        <v/>
      </c>
      <c r="E24">
        <f>IFERROR(SUMPRODUCT((Sondages!$C$4:$C$58=$A24)*Sondages!$T$4:$T$58*Sondages!$Q$4:$Q$58)/SUMPRODUCT((Sondages!$C$4:$C$58=$A24)*Sondages!$T$4:$T$58),0)</f>
        <v/>
      </c>
      <c r="F24">
        <f>IFERROR(SUMPRODUCT((Sondages!$C$4:$C$58=$A24)*Sondages!$T$4:$T$58*Sondages!$R$4:$R$58)/SUMPRODUCT((Sondages!$C$4:$C$58=$A24)*Sondages!$T$4:$T$58),0)</f>
        <v/>
      </c>
      <c r="G24">
        <f>IFERROR(SUMPRODUCT((Sondages!$C$4:$C$58=$A24)*Sondages!$T$4:$T$58*Sondages!$S$4:$S$58)/SUMPRODUCT((Sondages!$C$4:$C$58=$A24)*Sondages!$T$4:$T$58),0)</f>
        <v/>
      </c>
    </row>
    <row r="25">
      <c r="A25" t="inlineStr">
        <is>
          <t>Reste du Québec</t>
        </is>
      </c>
      <c r="B25">
        <f>IFERROR(SUMPRODUCT((Sondages!$C$4:$C$58=$A25)*Sondages!$T$4:$T$58*Sondages!$N$4:$N$58)/SUMPRODUCT((Sondages!$C$4:$C$58=$A25)*Sondages!$T$4:$T$58),0)</f>
        <v/>
      </c>
      <c r="C25">
        <f>IFERROR(SUMPRODUCT((Sondages!$C$4:$C$58=$A25)*Sondages!$T$4:$T$58*Sondages!$O$4:$O$58)/SUMPRODUCT((Sondages!$C$4:$C$58=$A25)*Sondages!$T$4:$T$58),0)</f>
        <v/>
      </c>
      <c r="D25">
        <f>IFERROR(SUMPRODUCT((Sondages!$C$4:$C$58=$A25)*Sondages!$T$4:$T$58*Sondages!$P$4:$P$58)/SUMPRODUCT((Sondages!$C$4:$C$58=$A25)*Sondages!$T$4:$T$58),0)</f>
        <v/>
      </c>
      <c r="E25">
        <f>IFERROR(SUMPRODUCT((Sondages!$C$4:$C$58=$A25)*Sondages!$T$4:$T$58*Sondages!$Q$4:$Q$58)/SUMPRODUCT((Sondages!$C$4:$C$58=$A25)*Sondages!$T$4:$T$58),0)</f>
        <v/>
      </c>
      <c r="F25">
        <f>IFERROR(SUMPRODUCT((Sondages!$C$4:$C$58=$A25)*Sondages!$T$4:$T$58*Sondages!$R$4:$R$58)/SUMPRODUCT((Sondages!$C$4:$C$58=$A25)*Sondages!$T$4:$T$58),0)</f>
        <v/>
      </c>
      <c r="G25">
        <f>IFERROR(SUMPRODUCT((Sondages!$C$4:$C$58=$A25)*Sondages!$T$4:$T$58*Sondages!$S$4:$S$58)/SUMPRODUCT((Sondages!$C$4:$C$58=$A25)*Sondages!$T$4:$T$58),0)</f>
        <v/>
      </c>
    </row>
    <row r="27">
      <c r="A27" s="5" t="inlineStr">
        <is>
          <t>3. ESTIMATION RÉGIONALE = niveau national + décalage, plancher 0,2, renormalisée à 100</t>
        </is>
      </c>
    </row>
    <row r="28">
      <c r="B28" s="2" t="inlineStr">
        <is>
          <t>CAQ</t>
        </is>
      </c>
      <c r="C28" s="2" t="inlineStr">
        <is>
          <t>PLQ</t>
        </is>
      </c>
      <c r="D28" s="2" t="inlineStr">
        <is>
          <t>QS</t>
        </is>
      </c>
      <c r="E28" s="2" t="inlineStr">
        <is>
          <t>PQ</t>
        </is>
      </c>
      <c r="F28" s="2" t="inlineStr">
        <is>
          <t>PCQ</t>
        </is>
      </c>
      <c r="G28" s="2" t="inlineStr">
        <is>
          <t>Autre</t>
        </is>
      </c>
      <c r="H28" s="2" t="inlineStr">
        <is>
          <t>Somme</t>
        </is>
      </c>
    </row>
    <row r="29">
      <c r="A29" t="inlineStr">
        <is>
          <t>Montréal RMR</t>
        </is>
      </c>
      <c r="B29" s="10">
        <f>MAX(B$17+B21,0.2)/$H29*100</f>
        <v/>
      </c>
      <c r="C29" s="10">
        <f>MAX(C$17+C21,0.2)/$H29*100</f>
        <v/>
      </c>
      <c r="D29" s="10">
        <f>MAX(D$17+D21,0.2)/$H29*100</f>
        <v/>
      </c>
      <c r="E29" s="10">
        <f>MAX(E$17+E21,0.2)/$H29*100</f>
        <v/>
      </c>
      <c r="F29" s="10">
        <f>MAX(F$17+F21,0.2)/$H29*100</f>
        <v/>
      </c>
      <c r="G29" s="10">
        <f>MAX($B$5+G21,0.2)/$H29*100</f>
        <v/>
      </c>
      <c r="H29">
        <f>MAX(B$17+B21,0.2)+MAX(C$17+C21,0.2)+MAX(D$17+D21,0.2)+MAX(E$17+E21,0.2)+MAX(F$17+F21,0.2)+MAX($B$5+G21,0.2)</f>
        <v/>
      </c>
    </row>
    <row r="30">
      <c r="A30" t="inlineStr">
        <is>
          <t>Île de Montréal</t>
        </is>
      </c>
      <c r="B30" s="10">
        <f>MAX(B$17+B22,0.2)/$H30*100</f>
        <v/>
      </c>
      <c r="C30" s="10">
        <f>MAX(C$17+C22,0.2)/$H30*100</f>
        <v/>
      </c>
      <c r="D30" s="10">
        <f>MAX(D$17+D22,0.2)/$H30*100</f>
        <v/>
      </c>
      <c r="E30" s="10">
        <f>MAX(E$17+E22,0.2)/$H30*100</f>
        <v/>
      </c>
      <c r="F30" s="10">
        <f>MAX(F$17+F22,0.2)/$H30*100</f>
        <v/>
      </c>
      <c r="G30" s="10">
        <f>MAX($B$5+G22,0.2)/$H30*100</f>
        <v/>
      </c>
      <c r="H30">
        <f>MAX(B$17+B22,0.2)+MAX(C$17+C22,0.2)+MAX(D$17+D22,0.2)+MAX(E$17+E22,0.2)+MAX(F$17+F22,0.2)+MAX($B$5+G22,0.2)</f>
        <v/>
      </c>
    </row>
    <row r="31">
      <c r="A31" t="inlineStr">
        <is>
          <t>Banlieue de Montréal</t>
        </is>
      </c>
      <c r="B31" s="10">
        <f>MAX(B$17+B23,0.2)/$H31*100</f>
        <v/>
      </c>
      <c r="C31" s="10">
        <f>MAX(C$17+C23,0.2)/$H31*100</f>
        <v/>
      </c>
      <c r="D31" s="10">
        <f>MAX(D$17+D23,0.2)/$H31*100</f>
        <v/>
      </c>
      <c r="E31" s="10">
        <f>MAX(E$17+E23,0.2)/$H31*100</f>
        <v/>
      </c>
      <c r="F31" s="10">
        <f>MAX(F$17+F23,0.2)/$H31*100</f>
        <v/>
      </c>
      <c r="G31" s="10">
        <f>MAX($B$5+G23,0.2)/$H31*100</f>
        <v/>
      </c>
      <c r="H31">
        <f>MAX(B$17+B23,0.2)+MAX(C$17+C23,0.2)+MAX(D$17+D23,0.2)+MAX(E$17+E23,0.2)+MAX(F$17+F23,0.2)+MAX($B$5+G23,0.2)</f>
        <v/>
      </c>
    </row>
    <row r="32">
      <c r="A32" t="inlineStr">
        <is>
          <t>Québec RMR</t>
        </is>
      </c>
      <c r="B32" s="10">
        <f>MAX(B$17+B24,0.2)/$H32*100</f>
        <v/>
      </c>
      <c r="C32" s="10">
        <f>MAX(C$17+C24,0.2)/$H32*100</f>
        <v/>
      </c>
      <c r="D32" s="10">
        <f>MAX(D$17+D24,0.2)/$H32*100</f>
        <v/>
      </c>
      <c r="E32" s="10">
        <f>MAX(E$17+E24,0.2)/$H32*100</f>
        <v/>
      </c>
      <c r="F32" s="10">
        <f>MAX(F$17+F24,0.2)/$H32*100</f>
        <v/>
      </c>
      <c r="G32" s="10">
        <f>MAX($B$5+G24,0.2)/$H32*100</f>
        <v/>
      </c>
      <c r="H32">
        <f>MAX(B$17+B24,0.2)+MAX(C$17+C24,0.2)+MAX(D$17+D24,0.2)+MAX(E$17+E24,0.2)+MAX(F$17+F24,0.2)+MAX($B$5+G24,0.2)</f>
        <v/>
      </c>
    </row>
    <row r="33">
      <c r="A33" t="inlineStr">
        <is>
          <t>Reste du Québec</t>
        </is>
      </c>
      <c r="B33" s="10">
        <f>MAX(B$17+B25,0.2)/$H33*100</f>
        <v/>
      </c>
      <c r="C33" s="10">
        <f>MAX(C$17+C25,0.2)/$H33*100</f>
        <v/>
      </c>
      <c r="D33" s="10">
        <f>MAX(D$17+D25,0.2)/$H33*100</f>
        <v/>
      </c>
      <c r="E33" s="10">
        <f>MAX(E$17+E25,0.2)/$H33*100</f>
        <v/>
      </c>
      <c r="F33" s="10">
        <f>MAX(F$17+F25,0.2)/$H33*100</f>
        <v/>
      </c>
      <c r="G33" s="10">
        <f>MAX($B$5+G25,0.2)/$H33*100</f>
        <v/>
      </c>
      <c r="H33">
        <f>MAX(B$17+B25,0.2)+MAX(C$17+C25,0.2)+MAX(D$17+D25,0.2)+MAX(E$17+E25,0.2)+MAX(F$17+F25,0.2)+MAX($B$5+G25,0.2)</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E12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22" customWidth="1" min="2" max="2"/>
  </cols>
  <sheetData>
    <row r="1">
      <c r="A1" s="6" t="inlineStr">
        <is>
          <t>Circonscription</t>
        </is>
      </c>
      <c r="B1" s="6" t="inlineStr">
        <is>
          <t>Région</t>
        </is>
      </c>
      <c r="C1" s="6" t="inlineStr">
        <is>
          <t>Vainqueur réf.</t>
        </is>
      </c>
      <c r="D1" s="6" t="inlineStr">
        <is>
          <t>CAQ réf.</t>
        </is>
      </c>
      <c r="E1" s="6" t="inlineStr">
        <is>
          <t>PLQ réf.</t>
        </is>
      </c>
      <c r="F1" s="6" t="inlineStr">
        <is>
          <t>QS réf.</t>
        </is>
      </c>
      <c r="G1" s="6" t="inlineStr">
        <is>
          <t>PQ réf.</t>
        </is>
      </c>
      <c r="H1" s="6" t="inlineStr">
        <is>
          <t>PCQ réf.</t>
        </is>
      </c>
      <c r="I1" s="6" t="inlineStr">
        <is>
          <t>Autre réf.</t>
        </is>
      </c>
      <c r="J1" s="6" t="inlineStr">
        <is>
          <t>Total</t>
        </is>
      </c>
      <c r="K1" s="6" t="inlineStr">
        <is>
          <t>% CAQ</t>
        </is>
      </c>
      <c r="L1" s="6" t="inlineStr">
        <is>
          <t>% PLQ</t>
        </is>
      </c>
      <c r="M1" s="6" t="inlineStr">
        <is>
          <t>% QS</t>
        </is>
      </c>
      <c r="N1" s="6" t="inlineStr">
        <is>
          <t>% PQ</t>
        </is>
      </c>
      <c r="O1" s="6" t="inlineStr">
        <is>
          <t>% PCQ</t>
        </is>
      </c>
      <c r="P1" s="6" t="inlineStr">
        <is>
          <t>% Autre</t>
        </is>
      </c>
      <c r="Q1" s="6" t="inlineStr">
        <is>
          <t>A-CAQ</t>
        </is>
      </c>
      <c r="R1" s="6" t="inlineStr">
        <is>
          <t>A-PLQ</t>
        </is>
      </c>
      <c r="S1" s="6" t="inlineStr">
        <is>
          <t>A-QS</t>
        </is>
      </c>
      <c r="T1" s="6" t="inlineStr">
        <is>
          <t>A-PQ</t>
        </is>
      </c>
      <c r="U1" s="6" t="inlineStr">
        <is>
          <t>A-PCQ</t>
        </is>
      </c>
      <c r="V1" s="6" t="inlineStr">
        <is>
          <t>A-Autre</t>
        </is>
      </c>
      <c r="W1" s="6" t="inlineStr">
        <is>
          <t>B-CAQ</t>
        </is>
      </c>
      <c r="X1" s="6" t="inlineStr">
        <is>
          <t>B-PLQ</t>
        </is>
      </c>
      <c r="Y1" s="6" t="inlineStr">
        <is>
          <t>B-QS</t>
        </is>
      </c>
      <c r="Z1" s="6" t="inlineStr">
        <is>
          <t>B-PQ</t>
        </is>
      </c>
      <c r="AA1" s="6" t="inlineStr">
        <is>
          <t>B-PCQ</t>
        </is>
      </c>
      <c r="AB1" s="6" t="inlineStr">
        <is>
          <t>B-Autre</t>
        </is>
      </c>
      <c r="AC1" s="6" t="inlineStr">
        <is>
          <t>C-CAQ</t>
        </is>
      </c>
      <c r="AD1" s="6" t="inlineStr">
        <is>
          <t>C-PLQ</t>
        </is>
      </c>
      <c r="AE1" s="6" t="inlineStr">
        <is>
          <t>C-QS</t>
        </is>
      </c>
      <c r="AF1" s="6" t="inlineStr">
        <is>
          <t>C-PQ</t>
        </is>
      </c>
      <c r="AG1" s="6" t="inlineStr">
        <is>
          <t>C-PCQ</t>
        </is>
      </c>
      <c r="AH1" s="6" t="inlineStr">
        <is>
          <t>C-Autre</t>
        </is>
      </c>
      <c r="AI1" s="6" t="inlineStr">
        <is>
          <t>D-CAQ</t>
        </is>
      </c>
      <c r="AJ1" s="6" t="inlineStr">
        <is>
          <t>D-PLQ</t>
        </is>
      </c>
      <c r="AK1" s="6" t="inlineStr">
        <is>
          <t>D-QS</t>
        </is>
      </c>
      <c r="AL1" s="6" t="inlineStr">
        <is>
          <t>D-PQ</t>
        </is>
      </c>
      <c r="AM1" s="6" t="inlineStr">
        <is>
          <t>D-PCQ</t>
        </is>
      </c>
      <c r="AN1" s="6" t="inlineStr">
        <is>
          <t>D-Autre</t>
        </is>
      </c>
      <c r="AO1" s="6" t="inlineStr">
        <is>
          <t>E-CAQ</t>
        </is>
      </c>
      <c r="AP1" s="6" t="inlineStr">
        <is>
          <t>E-PLQ</t>
        </is>
      </c>
      <c r="AQ1" s="6" t="inlineStr">
        <is>
          <t>E-QS</t>
        </is>
      </c>
      <c r="AR1" s="6" t="inlineStr">
        <is>
          <t>E-PQ</t>
        </is>
      </c>
      <c r="AS1" s="6" t="inlineStr">
        <is>
          <t>E-PCQ</t>
        </is>
      </c>
      <c r="AT1" s="6" t="inlineStr">
        <is>
          <t>E-Autre</t>
        </is>
      </c>
      <c r="AU1" s="6" t="inlineStr">
        <is>
          <t>Vainq. A</t>
        </is>
      </c>
      <c r="AV1" s="6" t="inlineStr">
        <is>
          <t>Vainq. B</t>
        </is>
      </c>
      <c r="AW1" s="6" t="inlineStr">
        <is>
          <t>Vainq. C</t>
        </is>
      </c>
      <c r="AX1" s="6" t="inlineStr">
        <is>
          <t>Vainq. D</t>
        </is>
      </c>
      <c r="AY1" s="6" t="inlineStr">
        <is>
          <t>Vainq. E</t>
        </is>
      </c>
      <c r="AZ1" s="6" t="inlineStr">
        <is>
          <t>Marge réf.</t>
        </is>
      </c>
      <c r="BA1" s="6" t="inlineStr">
        <is>
          <t>Bascule</t>
        </is>
      </c>
      <c r="BB1" s="6" t="inlineStr">
        <is>
          <t>Résidu CAQ</t>
        </is>
      </c>
      <c r="BC1" s="6" t="inlineStr">
        <is>
          <t>Résidu PLQ</t>
        </is>
      </c>
      <c r="BD1" s="6" t="inlineStr">
        <is>
          <t>Résidu QS</t>
        </is>
      </c>
      <c r="BE1" s="6" t="inlineStr">
        <is>
          <t>Résidu PQ</t>
        </is>
      </c>
    </row>
    <row r="2">
      <c r="A2" t="inlineStr">
        <is>
          <t>Abitibi-Est</t>
        </is>
      </c>
      <c r="B2" t="inlineStr">
        <is>
          <t>Reste du Québec</t>
        </is>
      </c>
      <c r="C2">
        <f>INDEX({"CAQ","PLQ","QS","PQ","PCQ","Autre"},MATCH(MAX(D2:I2),D2:I2,0))</f>
        <v/>
      </c>
      <c r="D2" t="n">
        <v>9762</v>
      </c>
      <c r="E2" t="n">
        <v>3044</v>
      </c>
      <c r="F2" t="n">
        <v>2838</v>
      </c>
      <c r="G2" t="n">
        <v>2565</v>
      </c>
      <c r="H2" t="n">
        <v>2486</v>
      </c>
      <c r="I2" t="n">
        <v>0</v>
      </c>
      <c r="J2">
        <f>SUM(D2:I2)</f>
        <v/>
      </c>
      <c r="K2">
        <f>IFERROR(D2/$J2,0)</f>
        <v/>
      </c>
      <c r="L2">
        <f>IFERROR(E2/$J2,0)</f>
        <v/>
      </c>
      <c r="M2">
        <f>IFERROR(F2/$J2,0)</f>
        <v/>
      </c>
      <c r="N2">
        <f>IFERROR(G2/$J2,0)</f>
        <v/>
      </c>
      <c r="O2">
        <f>IFERROR(H2/$J2,0)</f>
        <v/>
      </c>
      <c r="P2">
        <f>IFERROR(I2/$J2,0)</f>
        <v/>
      </c>
      <c r="Q2">
        <f>D2*INDEX(Régions!$T$2:$T$6,MATCH($B2,Régions!$A$2:$A$6,0))</f>
        <v/>
      </c>
      <c r="R2">
        <f>E2*INDEX(Régions!$U$2:$U$6,MATCH($B2,Régions!$A$2:$A$6,0))</f>
        <v/>
      </c>
      <c r="S2">
        <f>F2*INDEX(Régions!$V$2:$V$6,MATCH($B2,Régions!$A$2:$A$6,0))</f>
        <v/>
      </c>
      <c r="T2">
        <f>G2*INDEX(Régions!$W$2:$W$6,MATCH($B2,Régions!$A$2:$A$6,0))</f>
        <v/>
      </c>
      <c r="U2">
        <f>H2*INDEX(Régions!$X$2:$X$6,MATCH($B2,Régions!$A$2:$A$6,0))</f>
        <v/>
      </c>
      <c r="V2">
        <f>I2*INDEX(Régions!$Y$2:$Y$6,MATCH($B2,Régions!$A$2:$A$6,0))</f>
        <v/>
      </c>
      <c r="W2">
        <f>Q2+(BB2/100)*$J2*Régions!$O$2</f>
        <v/>
      </c>
      <c r="X2">
        <f>R2+(BC2/100)*$J2*Régions!$O$2</f>
        <v/>
      </c>
      <c r="Y2">
        <f>S2+(BD2/100)*$J2*Régions!$O$2</f>
        <v/>
      </c>
      <c r="Z2">
        <f>T2+(BE2/100)*$J2*Régions!$O$2</f>
        <v/>
      </c>
      <c r="AA2">
        <f>U2</f>
        <v/>
      </c>
      <c r="AB2">
        <f>V2</f>
        <v/>
      </c>
      <c r="AC2">
        <f>D2*INDEX(Régions!$Z$2:$Z$6,MATCH($B2,Régions!$A$2:$A$6,0))</f>
        <v/>
      </c>
      <c r="AD2">
        <f>E2*INDEX(Régions!$AA$2:$AA$6,MATCH($B2,Régions!$A$2:$A$6,0))</f>
        <v/>
      </c>
      <c r="AE2">
        <f>F2*INDEX(Régions!$AB$2:$AB$6,MATCH($B2,Régions!$A$2:$A$6,0))</f>
        <v/>
      </c>
      <c r="AF2">
        <f>G2*INDEX(Régions!$AC$2:$AC$6,MATCH($B2,Régions!$A$2:$A$6,0))</f>
        <v/>
      </c>
      <c r="AG2">
        <f>H2*INDEX(Régions!$AD$2:$AD$6,MATCH($B2,Régions!$A$2:$A$6,0))</f>
        <v/>
      </c>
      <c r="AH2">
        <f>I2*INDEX(Régions!$AE$2:$AE$6,MATCH($B2,Régions!$A$2:$A$6,0))</f>
        <v/>
      </c>
      <c r="AI2">
        <f>D2*INDEX(Régions!$AF$2:$AF$6,MATCH($B2,Régions!$A$2:$A$6,0))</f>
        <v/>
      </c>
      <c r="AJ2">
        <f>E2*INDEX(Régions!$AG$2:$AG$6,MATCH($B2,Régions!$A$2:$A$6,0))</f>
        <v/>
      </c>
      <c r="AK2">
        <f>F2*INDEX(Régions!$AH$2:$AH$6,MATCH($B2,Régions!$A$2:$A$6,0))</f>
        <v/>
      </c>
      <c r="AL2">
        <f>G2*INDEX(Régions!$AI$2:$AI$6,MATCH($B2,Régions!$A$2:$A$6,0))</f>
        <v/>
      </c>
      <c r="AM2">
        <f>H2*INDEX(Régions!$AJ$2:$AJ$6,MATCH($B2,Régions!$A$2:$A$6,0))</f>
        <v/>
      </c>
      <c r="AN2">
        <f>I2*INDEX(Régions!$AK$2:$AK$6,MATCH($B2,Régions!$A$2:$A$6,0))</f>
        <v/>
      </c>
      <c r="AO2">
        <f>Régions!$Q$2*Q2/SUM($Q2:$V2)*100+(1-Régions!$Q$2)*MAX(K2*100+(INDEX(Régions!$AL$2:$AL$6,MATCH($B2,Régions!$A$2:$A$6,0))),0)</f>
        <v/>
      </c>
      <c r="AP2">
        <f>Régions!$Q$2*R2/SUM($Q2:$V2)*100+(1-Régions!$Q$2)*MAX(L2*100+(INDEX(Régions!$AM$2:$AM$6,MATCH($B2,Régions!$A$2:$A$6,0))),0)</f>
        <v/>
      </c>
      <c r="AQ2">
        <f>Régions!$Q$2*S2/SUM($Q2:$V2)*100+(1-Régions!$Q$2)*MAX(M2*100+(INDEX(Régions!$AN$2:$AN$6,MATCH($B2,Régions!$A$2:$A$6,0))),0)</f>
        <v/>
      </c>
      <c r="AR2">
        <f>Régions!$Q$2*T2/SUM($Q2:$V2)*100+(1-Régions!$Q$2)*MAX(N2*100+(INDEX(Régions!$AO$2:$AO$6,MATCH($B2,Régions!$A$2:$A$6,0))),0)</f>
        <v/>
      </c>
      <c r="AS2">
        <f>Régions!$Q$2*U2/SUM($Q2:$V2)*100+(1-Régions!$Q$2)*MAX(O2*100+(INDEX(Régions!$AP$2:$AP$6,MATCH($B2,Régions!$A$2:$A$6,0))),0)</f>
        <v/>
      </c>
      <c r="AT2">
        <f>Régions!$Q$2*V2/SUM($Q2:$V2)*100+(1-Régions!$Q$2)*MAX(P2*100+(INDEX(Régions!$AQ$2:$AQ$6,MATCH($B2,Régions!$A$2:$A$6,0))),0)</f>
        <v/>
      </c>
      <c r="AU2">
        <f>INDEX({"CAQ","PLQ","QS","PQ","PCQ","Autre"},MATCH(MAX(Q2:V2),Q2:V2,0))</f>
        <v/>
      </c>
      <c r="AV2">
        <f>INDEX({"CAQ","PLQ","QS","PQ","PCQ","Autre"},MATCH(MAX(W2:AB2),W2:AB2,0))</f>
        <v/>
      </c>
      <c r="AW2">
        <f>INDEX({"CAQ","PLQ","QS","PQ","PCQ","Autre"},MATCH(MAX(AC2:AH2),AC2:AH2,0))</f>
        <v/>
      </c>
      <c r="AX2">
        <f>INDEX({"CAQ","PLQ","QS","PQ","PCQ","Autre"},MATCH(MAX(AI2:AN2),AI2:AN2,0))</f>
        <v/>
      </c>
      <c r="AY2">
        <f>INDEX({"CAQ","PLQ","QS","PQ","PCQ","Autre"},MATCH(MAX(AO2:AT2),AO2:AT2,0))</f>
        <v/>
      </c>
      <c r="AZ2">
        <f>(MAX(K2:P2)-LARGE(K2:P2,2))*100</f>
        <v/>
      </c>
      <c r="BA2">
        <f>IF(AZ2&lt;5,"Oui","Non")</f>
        <v/>
      </c>
      <c r="BB2" t="n">
        <v>-2.952</v>
      </c>
      <c r="BC2" t="n">
        <v>9.065</v>
      </c>
      <c r="BD2" t="n">
        <v>-0.764</v>
      </c>
      <c r="BE2" t="n">
        <v>-2.926</v>
      </c>
    </row>
    <row r="3">
      <c r="A3" t="inlineStr">
        <is>
          <t>Abitibi-Ouest</t>
        </is>
      </c>
      <c r="B3" t="inlineStr">
        <is>
          <t>Reste du Québec</t>
        </is>
      </c>
      <c r="C3">
        <f>INDEX({"CAQ","PLQ","QS","PQ","PCQ","Autre"},MATCH(MAX(D3:I3),D3:I3,0))</f>
        <v/>
      </c>
      <c r="D3" t="n">
        <v>10399</v>
      </c>
      <c r="E3" t="n">
        <v>1153</v>
      </c>
      <c r="F3" t="n">
        <v>3623</v>
      </c>
      <c r="G3" t="n">
        <v>4619</v>
      </c>
      <c r="H3" t="n">
        <v>2293</v>
      </c>
      <c r="I3" t="n">
        <v>159</v>
      </c>
      <c r="J3">
        <f>SUM(D3:I3)</f>
        <v/>
      </c>
      <c r="K3">
        <f>IFERROR(D3/$J3,0)</f>
        <v/>
      </c>
      <c r="L3">
        <f>IFERROR(E3/$J3,0)</f>
        <v/>
      </c>
      <c r="M3">
        <f>IFERROR(F3/$J3,0)</f>
        <v/>
      </c>
      <c r="N3">
        <f>IFERROR(G3/$J3,0)</f>
        <v/>
      </c>
      <c r="O3">
        <f>IFERROR(H3/$J3,0)</f>
        <v/>
      </c>
      <c r="P3">
        <f>IFERROR(I3/$J3,0)</f>
        <v/>
      </c>
      <c r="Q3">
        <f>D3*INDEX(Régions!$T$2:$T$6,MATCH($B3,Régions!$A$2:$A$6,0))</f>
        <v/>
      </c>
      <c r="R3">
        <f>E3*INDEX(Régions!$U$2:$U$6,MATCH($B3,Régions!$A$2:$A$6,0))</f>
        <v/>
      </c>
      <c r="S3">
        <f>F3*INDEX(Régions!$V$2:$V$6,MATCH($B3,Régions!$A$2:$A$6,0))</f>
        <v/>
      </c>
      <c r="T3">
        <f>G3*INDEX(Régions!$W$2:$W$6,MATCH($B3,Régions!$A$2:$A$6,0))</f>
        <v/>
      </c>
      <c r="U3">
        <f>H3*INDEX(Régions!$X$2:$X$6,MATCH($B3,Régions!$A$2:$A$6,0))</f>
        <v/>
      </c>
      <c r="V3">
        <f>I3*INDEX(Régions!$Y$2:$Y$6,MATCH($B3,Régions!$A$2:$A$6,0))</f>
        <v/>
      </c>
      <c r="W3">
        <f>Q3+(BB3/100)*$J3*Régions!$O$2</f>
        <v/>
      </c>
      <c r="X3">
        <f>R3+(BC3/100)*$J3*Régions!$O$2</f>
        <v/>
      </c>
      <c r="Y3">
        <f>S3+(BD3/100)*$J3*Régions!$O$2</f>
        <v/>
      </c>
      <c r="Z3">
        <f>T3+(BE3/100)*$J3*Régions!$O$2</f>
        <v/>
      </c>
      <c r="AA3">
        <f>U3</f>
        <v/>
      </c>
      <c r="AB3">
        <f>V3</f>
        <v/>
      </c>
      <c r="AC3">
        <f>D3*INDEX(Régions!$Z$2:$Z$6,MATCH($B3,Régions!$A$2:$A$6,0))</f>
        <v/>
      </c>
      <c r="AD3">
        <f>E3*INDEX(Régions!$AA$2:$AA$6,MATCH($B3,Régions!$A$2:$A$6,0))</f>
        <v/>
      </c>
      <c r="AE3">
        <f>F3*INDEX(Régions!$AB$2:$AB$6,MATCH($B3,Régions!$A$2:$A$6,0))</f>
        <v/>
      </c>
      <c r="AF3">
        <f>G3*INDEX(Régions!$AC$2:$AC$6,MATCH($B3,Régions!$A$2:$A$6,0))</f>
        <v/>
      </c>
      <c r="AG3">
        <f>H3*INDEX(Régions!$AD$2:$AD$6,MATCH($B3,Régions!$A$2:$A$6,0))</f>
        <v/>
      </c>
      <c r="AH3">
        <f>I3*INDEX(Régions!$AE$2:$AE$6,MATCH($B3,Régions!$A$2:$A$6,0))</f>
        <v/>
      </c>
      <c r="AI3">
        <f>D3*INDEX(Régions!$AF$2:$AF$6,MATCH($B3,Régions!$A$2:$A$6,0))</f>
        <v/>
      </c>
      <c r="AJ3">
        <f>E3*INDEX(Régions!$AG$2:$AG$6,MATCH($B3,Régions!$A$2:$A$6,0))</f>
        <v/>
      </c>
      <c r="AK3">
        <f>F3*INDEX(Régions!$AH$2:$AH$6,MATCH($B3,Régions!$A$2:$A$6,0))</f>
        <v/>
      </c>
      <c r="AL3">
        <f>G3*INDEX(Régions!$AI$2:$AI$6,MATCH($B3,Régions!$A$2:$A$6,0))</f>
        <v/>
      </c>
      <c r="AM3">
        <f>H3*INDEX(Régions!$AJ$2:$AJ$6,MATCH($B3,Régions!$A$2:$A$6,0))</f>
        <v/>
      </c>
      <c r="AN3">
        <f>I3*INDEX(Régions!$AK$2:$AK$6,MATCH($B3,Régions!$A$2:$A$6,0))</f>
        <v/>
      </c>
      <c r="AO3">
        <f>Régions!$Q$2*Q3/SUM($Q3:$V3)*100+(1-Régions!$Q$2)*MAX(K3*100+(INDEX(Régions!$AL$2:$AL$6,MATCH($B3,Régions!$A$2:$A$6,0))),0)</f>
        <v/>
      </c>
      <c r="AP3">
        <f>Régions!$Q$2*R3/SUM($Q3:$V3)*100+(1-Régions!$Q$2)*MAX(L3*100+(INDEX(Régions!$AM$2:$AM$6,MATCH($B3,Régions!$A$2:$A$6,0))),0)</f>
        <v/>
      </c>
      <c r="AQ3">
        <f>Régions!$Q$2*S3/SUM($Q3:$V3)*100+(1-Régions!$Q$2)*MAX(M3*100+(INDEX(Régions!$AN$2:$AN$6,MATCH($B3,Régions!$A$2:$A$6,0))),0)</f>
        <v/>
      </c>
      <c r="AR3">
        <f>Régions!$Q$2*T3/SUM($Q3:$V3)*100+(1-Régions!$Q$2)*MAX(N3*100+(INDEX(Régions!$AO$2:$AO$6,MATCH($B3,Régions!$A$2:$A$6,0))),0)</f>
        <v/>
      </c>
      <c r="AS3">
        <f>Régions!$Q$2*U3/SUM($Q3:$V3)*100+(1-Régions!$Q$2)*MAX(O3*100+(INDEX(Régions!$AP$2:$AP$6,MATCH($B3,Régions!$A$2:$A$6,0))),0)</f>
        <v/>
      </c>
      <c r="AT3">
        <f>Régions!$Q$2*V3/SUM($Q3:$V3)*100+(1-Régions!$Q$2)*MAX(P3*100+(INDEX(Régions!$AQ$2:$AQ$6,MATCH($B3,Régions!$A$2:$A$6,0))),0)</f>
        <v/>
      </c>
      <c r="AU3">
        <f>INDEX({"CAQ","PLQ","QS","PQ","PCQ","Autre"},MATCH(MAX(Q3:V3),Q3:V3,0))</f>
        <v/>
      </c>
      <c r="AV3">
        <f>INDEX({"CAQ","PLQ","QS","PQ","PCQ","Autre"},MATCH(MAX(W3:AB3),W3:AB3,0))</f>
        <v/>
      </c>
      <c r="AW3">
        <f>INDEX({"CAQ","PLQ","QS","PQ","PCQ","Autre"},MATCH(MAX(AC3:AH3),AC3:AH3,0))</f>
        <v/>
      </c>
      <c r="AX3">
        <f>INDEX({"CAQ","PLQ","QS","PQ","PCQ","Autre"},MATCH(MAX(AI3:AN3),AI3:AN3,0))</f>
        <v/>
      </c>
      <c r="AY3">
        <f>INDEX({"CAQ","PLQ","QS","PQ","PCQ","Autre"},MATCH(MAX(AO3:AT3),AO3:AT3,0))</f>
        <v/>
      </c>
      <c r="AZ3">
        <f>(MAX(K3:P3)-LARGE(K3:P3,2))*100</f>
        <v/>
      </c>
      <c r="BA3">
        <f>IF(AZ3&lt;5,"Oui","Non")</f>
        <v/>
      </c>
      <c r="BB3" t="n">
        <v>5.222</v>
      </c>
      <c r="BC3" t="n">
        <v>6.979</v>
      </c>
      <c r="BD3" t="n">
        <v>0.875</v>
      </c>
      <c r="BE3" t="n">
        <v>-8.33</v>
      </c>
    </row>
    <row r="4">
      <c r="A4" t="inlineStr">
        <is>
          <t>Acadie</t>
        </is>
      </c>
      <c r="B4" t="inlineStr">
        <is>
          <t>Île de Montréal</t>
        </is>
      </c>
      <c r="C4">
        <f>INDEX({"CAQ","PLQ","QS","PQ","PCQ","Autre"},MATCH(MAX(D4:I4),D4:I4,0))</f>
        <v/>
      </c>
      <c r="D4" t="n">
        <v>4446</v>
      </c>
      <c r="E4" t="n">
        <v>10981</v>
      </c>
      <c r="F4" t="n">
        <v>4468</v>
      </c>
      <c r="G4" t="n">
        <v>2565</v>
      </c>
      <c r="H4" t="n">
        <v>2955</v>
      </c>
      <c r="I4" t="n">
        <v>569</v>
      </c>
      <c r="J4">
        <f>SUM(D4:I4)</f>
        <v/>
      </c>
      <c r="K4">
        <f>IFERROR(D4/$J4,0)</f>
        <v/>
      </c>
      <c r="L4">
        <f>IFERROR(E4/$J4,0)</f>
        <v/>
      </c>
      <c r="M4">
        <f>IFERROR(F4/$J4,0)</f>
        <v/>
      </c>
      <c r="N4">
        <f>IFERROR(G4/$J4,0)</f>
        <v/>
      </c>
      <c r="O4">
        <f>IFERROR(H4/$J4,0)</f>
        <v/>
      </c>
      <c r="P4">
        <f>IFERROR(I4/$J4,0)</f>
        <v/>
      </c>
      <c r="Q4">
        <f>D4*INDEX(Régions!$T$2:$T$6,MATCH($B4,Régions!$A$2:$A$6,0))</f>
        <v/>
      </c>
      <c r="R4">
        <f>E4*INDEX(Régions!$U$2:$U$6,MATCH($B4,Régions!$A$2:$A$6,0))</f>
        <v/>
      </c>
      <c r="S4">
        <f>F4*INDEX(Régions!$V$2:$V$6,MATCH($B4,Régions!$A$2:$A$6,0))</f>
        <v/>
      </c>
      <c r="T4">
        <f>G4*INDEX(Régions!$W$2:$W$6,MATCH($B4,Régions!$A$2:$A$6,0))</f>
        <v/>
      </c>
      <c r="U4">
        <f>H4*INDEX(Régions!$X$2:$X$6,MATCH($B4,Régions!$A$2:$A$6,0))</f>
        <v/>
      </c>
      <c r="V4">
        <f>I4*INDEX(Régions!$Y$2:$Y$6,MATCH($B4,Régions!$A$2:$A$6,0))</f>
        <v/>
      </c>
      <c r="W4">
        <f>Q4+(BB4/100)*$J4*Régions!$O$2</f>
        <v/>
      </c>
      <c r="X4">
        <f>R4+(BC4/100)*$J4*Régions!$O$2</f>
        <v/>
      </c>
      <c r="Y4">
        <f>S4+(BD4/100)*$J4*Régions!$O$2</f>
        <v/>
      </c>
      <c r="Z4">
        <f>T4+(BE4/100)*$J4*Régions!$O$2</f>
        <v/>
      </c>
      <c r="AA4">
        <f>U4</f>
        <v/>
      </c>
      <c r="AB4">
        <f>V4</f>
        <v/>
      </c>
      <c r="AC4">
        <f>D4*INDEX(Régions!$Z$2:$Z$6,MATCH($B4,Régions!$A$2:$A$6,0))</f>
        <v/>
      </c>
      <c r="AD4">
        <f>E4*INDEX(Régions!$AA$2:$AA$6,MATCH($B4,Régions!$A$2:$A$6,0))</f>
        <v/>
      </c>
      <c r="AE4">
        <f>F4*INDEX(Régions!$AB$2:$AB$6,MATCH($B4,Régions!$A$2:$A$6,0))</f>
        <v/>
      </c>
      <c r="AF4">
        <f>G4*INDEX(Régions!$AC$2:$AC$6,MATCH($B4,Régions!$A$2:$A$6,0))</f>
        <v/>
      </c>
      <c r="AG4">
        <f>H4*INDEX(Régions!$AD$2:$AD$6,MATCH($B4,Régions!$A$2:$A$6,0))</f>
        <v/>
      </c>
      <c r="AH4">
        <f>I4*INDEX(Régions!$AE$2:$AE$6,MATCH($B4,Régions!$A$2:$A$6,0))</f>
        <v/>
      </c>
      <c r="AI4">
        <f>D4*INDEX(Régions!$AF$2:$AF$6,MATCH($B4,Régions!$A$2:$A$6,0))</f>
        <v/>
      </c>
      <c r="AJ4">
        <f>E4*INDEX(Régions!$AG$2:$AG$6,MATCH($B4,Régions!$A$2:$A$6,0))</f>
        <v/>
      </c>
      <c r="AK4">
        <f>F4*INDEX(Régions!$AH$2:$AH$6,MATCH($B4,Régions!$A$2:$A$6,0))</f>
        <v/>
      </c>
      <c r="AL4">
        <f>G4*INDEX(Régions!$AI$2:$AI$6,MATCH($B4,Régions!$A$2:$A$6,0))</f>
        <v/>
      </c>
      <c r="AM4">
        <f>H4*INDEX(Régions!$AJ$2:$AJ$6,MATCH($B4,Régions!$A$2:$A$6,0))</f>
        <v/>
      </c>
      <c r="AN4">
        <f>I4*INDEX(Régions!$AK$2:$AK$6,MATCH($B4,Régions!$A$2:$A$6,0))</f>
        <v/>
      </c>
      <c r="AO4">
        <f>Régions!$Q$2*Q4/SUM($Q4:$V4)*100+(1-Régions!$Q$2)*MAX(K4*100+(INDEX(Régions!$AL$2:$AL$6,MATCH($B4,Régions!$A$2:$A$6,0))),0)</f>
        <v/>
      </c>
      <c r="AP4">
        <f>Régions!$Q$2*R4/SUM($Q4:$V4)*100+(1-Régions!$Q$2)*MAX(L4*100+(INDEX(Régions!$AM$2:$AM$6,MATCH($B4,Régions!$A$2:$A$6,0))),0)</f>
        <v/>
      </c>
      <c r="AQ4">
        <f>Régions!$Q$2*S4/SUM($Q4:$V4)*100+(1-Régions!$Q$2)*MAX(M4*100+(INDEX(Régions!$AN$2:$AN$6,MATCH($B4,Régions!$A$2:$A$6,0))),0)</f>
        <v/>
      </c>
      <c r="AR4">
        <f>Régions!$Q$2*T4/SUM($Q4:$V4)*100+(1-Régions!$Q$2)*MAX(N4*100+(INDEX(Régions!$AO$2:$AO$6,MATCH($B4,Régions!$A$2:$A$6,0))),0)</f>
        <v/>
      </c>
      <c r="AS4">
        <f>Régions!$Q$2*U4/SUM($Q4:$V4)*100+(1-Régions!$Q$2)*MAX(O4*100+(INDEX(Régions!$AP$2:$AP$6,MATCH($B4,Régions!$A$2:$A$6,0))),0)</f>
        <v/>
      </c>
      <c r="AT4">
        <f>Régions!$Q$2*V4/SUM($Q4:$V4)*100+(1-Régions!$Q$2)*MAX(P4*100+(INDEX(Régions!$AQ$2:$AQ$6,MATCH($B4,Régions!$A$2:$A$6,0))),0)</f>
        <v/>
      </c>
      <c r="AU4">
        <f>INDEX({"CAQ","PLQ","QS","PQ","PCQ","Autre"},MATCH(MAX(Q4:V4),Q4:V4,0))</f>
        <v/>
      </c>
      <c r="AV4">
        <f>INDEX({"CAQ","PLQ","QS","PQ","PCQ","Autre"},MATCH(MAX(W4:AB4),W4:AB4,0))</f>
        <v/>
      </c>
      <c r="AW4">
        <f>INDEX({"CAQ","PLQ","QS","PQ","PCQ","Autre"},MATCH(MAX(AC4:AH4),AC4:AH4,0))</f>
        <v/>
      </c>
      <c r="AX4">
        <f>INDEX({"CAQ","PLQ","QS","PQ","PCQ","Autre"},MATCH(MAX(AI4:AN4),AI4:AN4,0))</f>
        <v/>
      </c>
      <c r="AY4">
        <f>INDEX({"CAQ","PLQ","QS","PQ","PCQ","Autre"},MATCH(MAX(AO4:AT4),AO4:AT4,0))</f>
        <v/>
      </c>
      <c r="AZ4">
        <f>(MAX(K4:P4)-LARGE(K4:P4,2))*100</f>
        <v/>
      </c>
      <c r="BA4">
        <f>IF(AZ4&lt;5,"Oui","Non")</f>
        <v/>
      </c>
      <c r="BB4" t="n">
        <v>-1.354</v>
      </c>
      <c r="BC4" t="n">
        <v>-2.737</v>
      </c>
      <c r="BD4" t="n">
        <v>2.672</v>
      </c>
      <c r="BE4" t="n">
        <v>1.972</v>
      </c>
    </row>
    <row r="5">
      <c r="A5" t="inlineStr">
        <is>
          <t>Anjou-Louis-Riel</t>
        </is>
      </c>
      <c r="B5" t="inlineStr">
        <is>
          <t>Île de Montréal</t>
        </is>
      </c>
      <c r="C5">
        <f>INDEX({"CAQ","PLQ","QS","PQ","PCQ","Autre"},MATCH(MAX(D5:I5),D5:I5,0))</f>
        <v/>
      </c>
      <c r="D5" t="n">
        <v>9376</v>
      </c>
      <c r="E5" t="n">
        <v>8045</v>
      </c>
      <c r="F5" t="n">
        <v>3893</v>
      </c>
      <c r="G5" t="n">
        <v>2910</v>
      </c>
      <c r="H5" t="n">
        <v>1887</v>
      </c>
      <c r="I5" t="n">
        <v>252</v>
      </c>
      <c r="J5">
        <f>SUM(D5:I5)</f>
        <v/>
      </c>
      <c r="K5">
        <f>IFERROR(D5/$J5,0)</f>
        <v/>
      </c>
      <c r="L5">
        <f>IFERROR(E5/$J5,0)</f>
        <v/>
      </c>
      <c r="M5">
        <f>IFERROR(F5/$J5,0)</f>
        <v/>
      </c>
      <c r="N5">
        <f>IFERROR(G5/$J5,0)</f>
        <v/>
      </c>
      <c r="O5">
        <f>IFERROR(H5/$J5,0)</f>
        <v/>
      </c>
      <c r="P5">
        <f>IFERROR(I5/$J5,0)</f>
        <v/>
      </c>
      <c r="Q5">
        <f>D5*INDEX(Régions!$T$2:$T$6,MATCH($B5,Régions!$A$2:$A$6,0))</f>
        <v/>
      </c>
      <c r="R5">
        <f>E5*INDEX(Régions!$U$2:$U$6,MATCH($B5,Régions!$A$2:$A$6,0))</f>
        <v/>
      </c>
      <c r="S5">
        <f>F5*INDEX(Régions!$V$2:$V$6,MATCH($B5,Régions!$A$2:$A$6,0))</f>
        <v/>
      </c>
      <c r="T5">
        <f>G5*INDEX(Régions!$W$2:$W$6,MATCH($B5,Régions!$A$2:$A$6,0))</f>
        <v/>
      </c>
      <c r="U5">
        <f>H5*INDEX(Régions!$X$2:$X$6,MATCH($B5,Régions!$A$2:$A$6,0))</f>
        <v/>
      </c>
      <c r="V5">
        <f>I5*INDEX(Régions!$Y$2:$Y$6,MATCH($B5,Régions!$A$2:$A$6,0))</f>
        <v/>
      </c>
      <c r="W5">
        <f>Q5+(BB5/100)*$J5*Régions!$O$2</f>
        <v/>
      </c>
      <c r="X5">
        <f>R5+(BC5/100)*$J5*Régions!$O$2</f>
        <v/>
      </c>
      <c r="Y5">
        <f>S5+(BD5/100)*$J5*Régions!$O$2</f>
        <v/>
      </c>
      <c r="Z5">
        <f>T5+(BE5/100)*$J5*Régions!$O$2</f>
        <v/>
      </c>
      <c r="AA5">
        <f>U5</f>
        <v/>
      </c>
      <c r="AB5">
        <f>V5</f>
        <v/>
      </c>
      <c r="AC5">
        <f>D5*INDEX(Régions!$Z$2:$Z$6,MATCH($B5,Régions!$A$2:$A$6,0))</f>
        <v/>
      </c>
      <c r="AD5">
        <f>E5*INDEX(Régions!$AA$2:$AA$6,MATCH($B5,Régions!$A$2:$A$6,0))</f>
        <v/>
      </c>
      <c r="AE5">
        <f>F5*INDEX(Régions!$AB$2:$AB$6,MATCH($B5,Régions!$A$2:$A$6,0))</f>
        <v/>
      </c>
      <c r="AF5">
        <f>G5*INDEX(Régions!$AC$2:$AC$6,MATCH($B5,Régions!$A$2:$A$6,0))</f>
        <v/>
      </c>
      <c r="AG5">
        <f>H5*INDEX(Régions!$AD$2:$AD$6,MATCH($B5,Régions!$A$2:$A$6,0))</f>
        <v/>
      </c>
      <c r="AH5">
        <f>I5*INDEX(Régions!$AE$2:$AE$6,MATCH($B5,Régions!$A$2:$A$6,0))</f>
        <v/>
      </c>
      <c r="AI5">
        <f>D5*INDEX(Régions!$AF$2:$AF$6,MATCH($B5,Régions!$A$2:$A$6,0))</f>
        <v/>
      </c>
      <c r="AJ5">
        <f>E5*INDEX(Régions!$AG$2:$AG$6,MATCH($B5,Régions!$A$2:$A$6,0))</f>
        <v/>
      </c>
      <c r="AK5">
        <f>F5*INDEX(Régions!$AH$2:$AH$6,MATCH($B5,Régions!$A$2:$A$6,0))</f>
        <v/>
      </c>
      <c r="AL5">
        <f>G5*INDEX(Régions!$AI$2:$AI$6,MATCH($B5,Régions!$A$2:$A$6,0))</f>
        <v/>
      </c>
      <c r="AM5">
        <f>H5*INDEX(Régions!$AJ$2:$AJ$6,MATCH($B5,Régions!$A$2:$A$6,0))</f>
        <v/>
      </c>
      <c r="AN5">
        <f>I5*INDEX(Régions!$AK$2:$AK$6,MATCH($B5,Régions!$A$2:$A$6,0))</f>
        <v/>
      </c>
      <c r="AO5">
        <f>Régions!$Q$2*Q5/SUM($Q5:$V5)*100+(1-Régions!$Q$2)*MAX(K5*100+(INDEX(Régions!$AL$2:$AL$6,MATCH($B5,Régions!$A$2:$A$6,0))),0)</f>
        <v/>
      </c>
      <c r="AP5">
        <f>Régions!$Q$2*R5/SUM($Q5:$V5)*100+(1-Régions!$Q$2)*MAX(L5*100+(INDEX(Régions!$AM$2:$AM$6,MATCH($B5,Régions!$A$2:$A$6,0))),0)</f>
        <v/>
      </c>
      <c r="AQ5">
        <f>Régions!$Q$2*S5/SUM($Q5:$V5)*100+(1-Régions!$Q$2)*MAX(M5*100+(INDEX(Régions!$AN$2:$AN$6,MATCH($B5,Régions!$A$2:$A$6,0))),0)</f>
        <v/>
      </c>
      <c r="AR5">
        <f>Régions!$Q$2*T5/SUM($Q5:$V5)*100+(1-Régions!$Q$2)*MAX(N5*100+(INDEX(Régions!$AO$2:$AO$6,MATCH($B5,Régions!$A$2:$A$6,0))),0)</f>
        <v/>
      </c>
      <c r="AS5">
        <f>Régions!$Q$2*U5/SUM($Q5:$V5)*100+(1-Régions!$Q$2)*MAX(O5*100+(INDEX(Régions!$AP$2:$AP$6,MATCH($B5,Régions!$A$2:$A$6,0))),0)</f>
        <v/>
      </c>
      <c r="AT5">
        <f>Régions!$Q$2*V5/SUM($Q5:$V5)*100+(1-Régions!$Q$2)*MAX(P5*100+(INDEX(Régions!$AQ$2:$AQ$6,MATCH($B5,Régions!$A$2:$A$6,0))),0)</f>
        <v/>
      </c>
      <c r="AU5">
        <f>INDEX({"CAQ","PLQ","QS","PQ","PCQ","Autre"},MATCH(MAX(Q5:V5),Q5:V5,0))</f>
        <v/>
      </c>
      <c r="AV5">
        <f>INDEX({"CAQ","PLQ","QS","PQ","PCQ","Autre"},MATCH(MAX(W5:AB5),W5:AB5,0))</f>
        <v/>
      </c>
      <c r="AW5">
        <f>INDEX({"CAQ","PLQ","QS","PQ","PCQ","Autre"},MATCH(MAX(AC5:AH5),AC5:AH5,0))</f>
        <v/>
      </c>
      <c r="AX5">
        <f>INDEX({"CAQ","PLQ","QS","PQ","PCQ","Autre"},MATCH(MAX(AI5:AN5),AI5:AN5,0))</f>
        <v/>
      </c>
      <c r="AY5">
        <f>INDEX({"CAQ","PLQ","QS","PQ","PCQ","Autre"},MATCH(MAX(AO5:AT5),AO5:AT5,0))</f>
        <v/>
      </c>
      <c r="AZ5">
        <f>(MAX(K5:P5)-LARGE(K5:P5,2))*100</f>
        <v/>
      </c>
      <c r="BA5">
        <f>IF(AZ5&lt;5,"Oui","Non")</f>
        <v/>
      </c>
      <c r="BB5" t="n">
        <v>4.703</v>
      </c>
      <c r="BC5" t="n">
        <v>0.254</v>
      </c>
      <c r="BD5" t="n">
        <v>-0.537</v>
      </c>
      <c r="BE5" t="n">
        <v>-2.554</v>
      </c>
    </row>
    <row r="6">
      <c r="A6" t="inlineStr">
        <is>
          <t>Argenteuil</t>
        </is>
      </c>
      <c r="B6" t="inlineStr">
        <is>
          <t>Reste du Québec</t>
        </is>
      </c>
      <c r="C6">
        <f>INDEX({"CAQ","PLQ","QS","PQ","PCQ","Autre"},MATCH(MAX(D6:I6),D6:I6,0))</f>
        <v/>
      </c>
      <c r="D6" t="n">
        <v>11414.3</v>
      </c>
      <c r="E6" t="n">
        <v>2535.1</v>
      </c>
      <c r="F6" t="n">
        <v>2753.4</v>
      </c>
      <c r="G6" t="n">
        <v>4090</v>
      </c>
      <c r="H6" t="n">
        <v>4004.6</v>
      </c>
      <c r="I6" t="n">
        <v>407.8</v>
      </c>
      <c r="J6">
        <f>SUM(D6:I6)</f>
        <v/>
      </c>
      <c r="K6">
        <f>IFERROR(D6/$J6,0)</f>
        <v/>
      </c>
      <c r="L6">
        <f>IFERROR(E6/$J6,0)</f>
        <v/>
      </c>
      <c r="M6">
        <f>IFERROR(F6/$J6,0)</f>
        <v/>
      </c>
      <c r="N6">
        <f>IFERROR(G6/$J6,0)</f>
        <v/>
      </c>
      <c r="O6">
        <f>IFERROR(H6/$J6,0)</f>
        <v/>
      </c>
      <c r="P6">
        <f>IFERROR(I6/$J6,0)</f>
        <v/>
      </c>
      <c r="Q6">
        <f>D6*INDEX(Régions!$T$2:$T$6,MATCH($B6,Régions!$A$2:$A$6,0))</f>
        <v/>
      </c>
      <c r="R6">
        <f>E6*INDEX(Régions!$U$2:$U$6,MATCH($B6,Régions!$A$2:$A$6,0))</f>
        <v/>
      </c>
      <c r="S6">
        <f>F6*INDEX(Régions!$V$2:$V$6,MATCH($B6,Régions!$A$2:$A$6,0))</f>
        <v/>
      </c>
      <c r="T6">
        <f>G6*INDEX(Régions!$W$2:$W$6,MATCH($B6,Régions!$A$2:$A$6,0))</f>
        <v/>
      </c>
      <c r="U6">
        <f>H6*INDEX(Régions!$X$2:$X$6,MATCH($B6,Régions!$A$2:$A$6,0))</f>
        <v/>
      </c>
      <c r="V6">
        <f>I6*INDEX(Régions!$Y$2:$Y$6,MATCH($B6,Régions!$A$2:$A$6,0))</f>
        <v/>
      </c>
      <c r="W6">
        <f>Q6+(BB6/100)*$J6*Régions!$O$2</f>
        <v/>
      </c>
      <c r="X6">
        <f>R6+(BC6/100)*$J6*Régions!$O$2</f>
        <v/>
      </c>
      <c r="Y6">
        <f>S6+(BD6/100)*$J6*Régions!$O$2</f>
        <v/>
      </c>
      <c r="Z6">
        <f>T6+(BE6/100)*$J6*Régions!$O$2</f>
        <v/>
      </c>
      <c r="AA6">
        <f>U6</f>
        <v/>
      </c>
      <c r="AB6">
        <f>V6</f>
        <v/>
      </c>
      <c r="AC6">
        <f>D6*INDEX(Régions!$Z$2:$Z$6,MATCH($B6,Régions!$A$2:$A$6,0))</f>
        <v/>
      </c>
      <c r="AD6">
        <f>E6*INDEX(Régions!$AA$2:$AA$6,MATCH($B6,Régions!$A$2:$A$6,0))</f>
        <v/>
      </c>
      <c r="AE6">
        <f>F6*INDEX(Régions!$AB$2:$AB$6,MATCH($B6,Régions!$A$2:$A$6,0))</f>
        <v/>
      </c>
      <c r="AF6">
        <f>G6*INDEX(Régions!$AC$2:$AC$6,MATCH($B6,Régions!$A$2:$A$6,0))</f>
        <v/>
      </c>
      <c r="AG6">
        <f>H6*INDEX(Régions!$AD$2:$AD$6,MATCH($B6,Régions!$A$2:$A$6,0))</f>
        <v/>
      </c>
      <c r="AH6">
        <f>I6*INDEX(Régions!$AE$2:$AE$6,MATCH($B6,Régions!$A$2:$A$6,0))</f>
        <v/>
      </c>
      <c r="AI6">
        <f>D6*INDEX(Régions!$AF$2:$AF$6,MATCH($B6,Régions!$A$2:$A$6,0))</f>
        <v/>
      </c>
      <c r="AJ6">
        <f>E6*INDEX(Régions!$AG$2:$AG$6,MATCH($B6,Régions!$A$2:$A$6,0))</f>
        <v/>
      </c>
      <c r="AK6">
        <f>F6*INDEX(Régions!$AH$2:$AH$6,MATCH($B6,Régions!$A$2:$A$6,0))</f>
        <v/>
      </c>
      <c r="AL6">
        <f>G6*INDEX(Régions!$AI$2:$AI$6,MATCH($B6,Régions!$A$2:$A$6,0))</f>
        <v/>
      </c>
      <c r="AM6">
        <f>H6*INDEX(Régions!$AJ$2:$AJ$6,MATCH($B6,Régions!$A$2:$A$6,0))</f>
        <v/>
      </c>
      <c r="AN6">
        <f>I6*INDEX(Régions!$AK$2:$AK$6,MATCH($B6,Régions!$A$2:$A$6,0))</f>
        <v/>
      </c>
      <c r="AO6">
        <f>Régions!$Q$2*Q6/SUM($Q6:$V6)*100+(1-Régions!$Q$2)*MAX(K6*100+(INDEX(Régions!$AL$2:$AL$6,MATCH($B6,Régions!$A$2:$A$6,0))),0)</f>
        <v/>
      </c>
      <c r="AP6">
        <f>Régions!$Q$2*R6/SUM($Q6:$V6)*100+(1-Régions!$Q$2)*MAX(L6*100+(INDEX(Régions!$AM$2:$AM$6,MATCH($B6,Régions!$A$2:$A$6,0))),0)</f>
        <v/>
      </c>
      <c r="AQ6">
        <f>Régions!$Q$2*S6/SUM($Q6:$V6)*100+(1-Régions!$Q$2)*MAX(M6*100+(INDEX(Régions!$AN$2:$AN$6,MATCH($B6,Régions!$A$2:$A$6,0))),0)</f>
        <v/>
      </c>
      <c r="AR6">
        <f>Régions!$Q$2*T6/SUM($Q6:$V6)*100+(1-Régions!$Q$2)*MAX(N6*100+(INDEX(Régions!$AO$2:$AO$6,MATCH($B6,Régions!$A$2:$A$6,0))),0)</f>
        <v/>
      </c>
      <c r="AS6">
        <f>Régions!$Q$2*U6/SUM($Q6:$V6)*100+(1-Régions!$Q$2)*MAX(O6*100+(INDEX(Régions!$AP$2:$AP$6,MATCH($B6,Régions!$A$2:$A$6,0))),0)</f>
        <v/>
      </c>
      <c r="AT6">
        <f>Régions!$Q$2*V6/SUM($Q6:$V6)*100+(1-Régions!$Q$2)*MAX(P6*100+(INDEX(Régions!$AQ$2:$AQ$6,MATCH($B6,Régions!$A$2:$A$6,0))),0)</f>
        <v/>
      </c>
      <c r="AU6">
        <f>INDEX({"CAQ","PLQ","QS","PQ","PCQ","Autre"},MATCH(MAX(Q6:V6),Q6:V6,0))</f>
        <v/>
      </c>
      <c r="AV6">
        <f>INDEX({"CAQ","PLQ","QS","PQ","PCQ","Autre"},MATCH(MAX(W6:AB6),W6:AB6,0))</f>
        <v/>
      </c>
      <c r="AW6">
        <f>INDEX({"CAQ","PLQ","QS","PQ","PCQ","Autre"},MATCH(MAX(AC6:AH6),AC6:AH6,0))</f>
        <v/>
      </c>
      <c r="AX6">
        <f>INDEX({"CAQ","PLQ","QS","PQ","PCQ","Autre"},MATCH(MAX(AI6:AN6),AI6:AN6,0))</f>
        <v/>
      </c>
      <c r="AY6">
        <f>INDEX({"CAQ","PLQ","QS","PQ","PCQ","Autre"},MATCH(MAX(AO6:AT6),AO6:AT6,0))</f>
        <v/>
      </c>
      <c r="AZ6">
        <f>(MAX(K6:P6)-LARGE(K6:P6,2))*100</f>
        <v/>
      </c>
      <c r="BA6">
        <f>IF(AZ6&lt;5,"Oui","Non")</f>
        <v/>
      </c>
      <c r="BB6" t="n">
        <v>-1.563</v>
      </c>
      <c r="BC6" t="n">
        <v>6.06</v>
      </c>
      <c r="BD6" t="n">
        <v>-0.168</v>
      </c>
      <c r="BE6" t="n">
        <v>-0.639</v>
      </c>
    </row>
    <row r="7">
      <c r="A7" t="inlineStr">
        <is>
          <t>Arthabaska-L'Érable</t>
        </is>
      </c>
      <c r="B7" t="inlineStr">
        <is>
          <t>Reste du Québec</t>
        </is>
      </c>
      <c r="C7">
        <f>INDEX({"CAQ","PLQ","QS","PQ","PCQ","Autre"},MATCH(MAX(D7:I7),D7:I7,0))</f>
        <v/>
      </c>
      <c r="D7" t="n">
        <v>22986.3</v>
      </c>
      <c r="E7" t="n">
        <v>1669.1</v>
      </c>
      <c r="F7" t="n">
        <v>4100.1</v>
      </c>
      <c r="G7" t="n">
        <v>4460</v>
      </c>
      <c r="H7" t="n">
        <v>10951.2</v>
      </c>
      <c r="I7" t="n">
        <v>252.5</v>
      </c>
      <c r="J7">
        <f>SUM(D7:I7)</f>
        <v/>
      </c>
      <c r="K7">
        <f>IFERROR(D7/$J7,0)</f>
        <v/>
      </c>
      <c r="L7">
        <f>IFERROR(E7/$J7,0)</f>
        <v/>
      </c>
      <c r="M7">
        <f>IFERROR(F7/$J7,0)</f>
        <v/>
      </c>
      <c r="N7">
        <f>IFERROR(G7/$J7,0)</f>
        <v/>
      </c>
      <c r="O7">
        <f>IFERROR(H7/$J7,0)</f>
        <v/>
      </c>
      <c r="P7">
        <f>IFERROR(I7/$J7,0)</f>
        <v/>
      </c>
      <c r="Q7">
        <f>D7*INDEX(Régions!$T$2:$T$6,MATCH($B7,Régions!$A$2:$A$6,0))</f>
        <v/>
      </c>
      <c r="R7">
        <f>E7*INDEX(Régions!$U$2:$U$6,MATCH($B7,Régions!$A$2:$A$6,0))</f>
        <v/>
      </c>
      <c r="S7">
        <f>F7*INDEX(Régions!$V$2:$V$6,MATCH($B7,Régions!$A$2:$A$6,0))</f>
        <v/>
      </c>
      <c r="T7">
        <f>G7*INDEX(Régions!$W$2:$W$6,MATCH($B7,Régions!$A$2:$A$6,0))</f>
        <v/>
      </c>
      <c r="U7">
        <f>H7*INDEX(Régions!$X$2:$X$6,MATCH($B7,Régions!$A$2:$A$6,0))</f>
        <v/>
      </c>
      <c r="V7">
        <f>I7*INDEX(Régions!$Y$2:$Y$6,MATCH($B7,Régions!$A$2:$A$6,0))</f>
        <v/>
      </c>
      <c r="W7">
        <f>Q7+(BB7/100)*$J7*Régions!$O$2</f>
        <v/>
      </c>
      <c r="X7">
        <f>R7+(BC7/100)*$J7*Régions!$O$2</f>
        <v/>
      </c>
      <c r="Y7">
        <f>S7+(BD7/100)*$J7*Régions!$O$2</f>
        <v/>
      </c>
      <c r="Z7">
        <f>T7+(BE7/100)*$J7*Régions!$O$2</f>
        <v/>
      </c>
      <c r="AA7">
        <f>U7</f>
        <v/>
      </c>
      <c r="AB7">
        <f>V7</f>
        <v/>
      </c>
      <c r="AC7">
        <f>D7*INDEX(Régions!$Z$2:$Z$6,MATCH($B7,Régions!$A$2:$A$6,0))</f>
        <v/>
      </c>
      <c r="AD7">
        <f>E7*INDEX(Régions!$AA$2:$AA$6,MATCH($B7,Régions!$A$2:$A$6,0))</f>
        <v/>
      </c>
      <c r="AE7">
        <f>F7*INDEX(Régions!$AB$2:$AB$6,MATCH($B7,Régions!$A$2:$A$6,0))</f>
        <v/>
      </c>
      <c r="AF7">
        <f>G7*INDEX(Régions!$AC$2:$AC$6,MATCH($B7,Régions!$A$2:$A$6,0))</f>
        <v/>
      </c>
      <c r="AG7">
        <f>H7*INDEX(Régions!$AD$2:$AD$6,MATCH($B7,Régions!$A$2:$A$6,0))</f>
        <v/>
      </c>
      <c r="AH7">
        <f>I7*INDEX(Régions!$AE$2:$AE$6,MATCH($B7,Régions!$A$2:$A$6,0))</f>
        <v/>
      </c>
      <c r="AI7">
        <f>D7*INDEX(Régions!$AF$2:$AF$6,MATCH($B7,Régions!$A$2:$A$6,0))</f>
        <v/>
      </c>
      <c r="AJ7">
        <f>E7*INDEX(Régions!$AG$2:$AG$6,MATCH($B7,Régions!$A$2:$A$6,0))</f>
        <v/>
      </c>
      <c r="AK7">
        <f>F7*INDEX(Régions!$AH$2:$AH$6,MATCH($B7,Régions!$A$2:$A$6,0))</f>
        <v/>
      </c>
      <c r="AL7">
        <f>G7*INDEX(Régions!$AI$2:$AI$6,MATCH($B7,Régions!$A$2:$A$6,0))</f>
        <v/>
      </c>
      <c r="AM7">
        <f>H7*INDEX(Régions!$AJ$2:$AJ$6,MATCH($B7,Régions!$A$2:$A$6,0))</f>
        <v/>
      </c>
      <c r="AN7">
        <f>I7*INDEX(Régions!$AK$2:$AK$6,MATCH($B7,Régions!$A$2:$A$6,0))</f>
        <v/>
      </c>
      <c r="AO7">
        <f>Régions!$Q$2*Q7/SUM($Q7:$V7)*100+(1-Régions!$Q$2)*MAX(K7*100+(INDEX(Régions!$AL$2:$AL$6,MATCH($B7,Régions!$A$2:$A$6,0))),0)</f>
        <v/>
      </c>
      <c r="AP7">
        <f>Régions!$Q$2*R7/SUM($Q7:$V7)*100+(1-Régions!$Q$2)*MAX(L7*100+(INDEX(Régions!$AM$2:$AM$6,MATCH($B7,Régions!$A$2:$A$6,0))),0)</f>
        <v/>
      </c>
      <c r="AQ7">
        <f>Régions!$Q$2*S7/SUM($Q7:$V7)*100+(1-Régions!$Q$2)*MAX(M7*100+(INDEX(Régions!$AN$2:$AN$6,MATCH($B7,Régions!$A$2:$A$6,0))),0)</f>
        <v/>
      </c>
      <c r="AR7">
        <f>Régions!$Q$2*T7/SUM($Q7:$V7)*100+(1-Régions!$Q$2)*MAX(N7*100+(INDEX(Régions!$AO$2:$AO$6,MATCH($B7,Régions!$A$2:$A$6,0))),0)</f>
        <v/>
      </c>
      <c r="AS7">
        <f>Régions!$Q$2*U7/SUM($Q7:$V7)*100+(1-Régions!$Q$2)*MAX(O7*100+(INDEX(Régions!$AP$2:$AP$6,MATCH($B7,Régions!$A$2:$A$6,0))),0)</f>
        <v/>
      </c>
      <c r="AT7">
        <f>Régions!$Q$2*V7/SUM($Q7:$V7)*100+(1-Régions!$Q$2)*MAX(P7*100+(INDEX(Régions!$AQ$2:$AQ$6,MATCH($B7,Régions!$A$2:$A$6,0))),0)</f>
        <v/>
      </c>
      <c r="AU7">
        <f>INDEX({"CAQ","PLQ","QS","PQ","PCQ","Autre"},MATCH(MAX(Q7:V7),Q7:V7,0))</f>
        <v/>
      </c>
      <c r="AV7">
        <f>INDEX({"CAQ","PLQ","QS","PQ","PCQ","Autre"},MATCH(MAX(W7:AB7),W7:AB7,0))</f>
        <v/>
      </c>
      <c r="AW7">
        <f>INDEX({"CAQ","PLQ","QS","PQ","PCQ","Autre"},MATCH(MAX(AC7:AH7),AC7:AH7,0))</f>
        <v/>
      </c>
      <c r="AX7">
        <f>INDEX({"CAQ","PLQ","QS","PQ","PCQ","Autre"},MATCH(MAX(AI7:AN7),AI7:AN7,0))</f>
        <v/>
      </c>
      <c r="AY7">
        <f>INDEX({"CAQ","PLQ","QS","PQ","PCQ","Autre"},MATCH(MAX(AO7:AT7),AO7:AT7,0))</f>
        <v/>
      </c>
      <c r="AZ7">
        <f>(MAX(K7:P7)-LARGE(K7:P7,2))*100</f>
        <v/>
      </c>
      <c r="BA7">
        <f>IF(AZ7&lt;5,"Oui","Non")</f>
        <v/>
      </c>
      <c r="BB7" t="n">
        <v>-17.462</v>
      </c>
      <c r="BC7" t="n">
        <v>5.505</v>
      </c>
      <c r="BD7" t="n">
        <v>-2.178</v>
      </c>
      <c r="BE7" t="n">
        <v>4.79</v>
      </c>
    </row>
    <row r="8">
      <c r="A8" t="inlineStr">
        <is>
          <t>Beauce-Nord</t>
        </is>
      </c>
      <c r="B8" t="inlineStr">
        <is>
          <t>Reste du Québec</t>
        </is>
      </c>
      <c r="C8">
        <f>INDEX({"CAQ","PLQ","QS","PQ","PCQ","Autre"},MATCH(MAX(D8:I8),D8:I8,0))</f>
        <v/>
      </c>
      <c r="D8" t="n">
        <v>14590</v>
      </c>
      <c r="E8" t="n">
        <v>951</v>
      </c>
      <c r="F8" t="n">
        <v>1522</v>
      </c>
      <c r="G8" t="n">
        <v>1994</v>
      </c>
      <c r="H8" t="n">
        <v>14388</v>
      </c>
      <c r="I8" t="n">
        <v>146</v>
      </c>
      <c r="J8">
        <f>SUM(D8:I8)</f>
        <v/>
      </c>
      <c r="K8">
        <f>IFERROR(D8/$J8,0)</f>
        <v/>
      </c>
      <c r="L8">
        <f>IFERROR(E8/$J8,0)</f>
        <v/>
      </c>
      <c r="M8">
        <f>IFERROR(F8/$J8,0)</f>
        <v/>
      </c>
      <c r="N8">
        <f>IFERROR(G8/$J8,0)</f>
        <v/>
      </c>
      <c r="O8">
        <f>IFERROR(H8/$J8,0)</f>
        <v/>
      </c>
      <c r="P8">
        <f>IFERROR(I8/$J8,0)</f>
        <v/>
      </c>
      <c r="Q8">
        <f>D8*INDEX(Régions!$T$2:$T$6,MATCH($B8,Régions!$A$2:$A$6,0))</f>
        <v/>
      </c>
      <c r="R8">
        <f>E8*INDEX(Régions!$U$2:$U$6,MATCH($B8,Régions!$A$2:$A$6,0))</f>
        <v/>
      </c>
      <c r="S8">
        <f>F8*INDEX(Régions!$V$2:$V$6,MATCH($B8,Régions!$A$2:$A$6,0))</f>
        <v/>
      </c>
      <c r="T8">
        <f>G8*INDEX(Régions!$W$2:$W$6,MATCH($B8,Régions!$A$2:$A$6,0))</f>
        <v/>
      </c>
      <c r="U8">
        <f>H8*INDEX(Régions!$X$2:$X$6,MATCH($B8,Régions!$A$2:$A$6,0))</f>
        <v/>
      </c>
      <c r="V8">
        <f>I8*INDEX(Régions!$Y$2:$Y$6,MATCH($B8,Régions!$A$2:$A$6,0))</f>
        <v/>
      </c>
      <c r="W8">
        <f>Q8+(BB8/100)*$J8*Régions!$O$2</f>
        <v/>
      </c>
      <c r="X8">
        <f>R8+(BC8/100)*$J8*Régions!$O$2</f>
        <v/>
      </c>
      <c r="Y8">
        <f>S8+(BD8/100)*$J8*Régions!$O$2</f>
        <v/>
      </c>
      <c r="Z8">
        <f>T8+(BE8/100)*$J8*Régions!$O$2</f>
        <v/>
      </c>
      <c r="AA8">
        <f>U8</f>
        <v/>
      </c>
      <c r="AB8">
        <f>V8</f>
        <v/>
      </c>
      <c r="AC8">
        <f>D8*INDEX(Régions!$Z$2:$Z$6,MATCH($B8,Régions!$A$2:$A$6,0))</f>
        <v/>
      </c>
      <c r="AD8">
        <f>E8*INDEX(Régions!$AA$2:$AA$6,MATCH($B8,Régions!$A$2:$A$6,0))</f>
        <v/>
      </c>
      <c r="AE8">
        <f>F8*INDEX(Régions!$AB$2:$AB$6,MATCH($B8,Régions!$A$2:$A$6,0))</f>
        <v/>
      </c>
      <c r="AF8">
        <f>G8*INDEX(Régions!$AC$2:$AC$6,MATCH($B8,Régions!$A$2:$A$6,0))</f>
        <v/>
      </c>
      <c r="AG8">
        <f>H8*INDEX(Régions!$AD$2:$AD$6,MATCH($B8,Régions!$A$2:$A$6,0))</f>
        <v/>
      </c>
      <c r="AH8">
        <f>I8*INDEX(Régions!$AE$2:$AE$6,MATCH($B8,Régions!$A$2:$A$6,0))</f>
        <v/>
      </c>
      <c r="AI8">
        <f>D8*INDEX(Régions!$AF$2:$AF$6,MATCH($B8,Régions!$A$2:$A$6,0))</f>
        <v/>
      </c>
      <c r="AJ8">
        <f>E8*INDEX(Régions!$AG$2:$AG$6,MATCH($B8,Régions!$A$2:$A$6,0))</f>
        <v/>
      </c>
      <c r="AK8">
        <f>F8*INDEX(Régions!$AH$2:$AH$6,MATCH($B8,Régions!$A$2:$A$6,0))</f>
        <v/>
      </c>
      <c r="AL8">
        <f>G8*INDEX(Régions!$AI$2:$AI$6,MATCH($B8,Régions!$A$2:$A$6,0))</f>
        <v/>
      </c>
      <c r="AM8">
        <f>H8*INDEX(Régions!$AJ$2:$AJ$6,MATCH($B8,Régions!$A$2:$A$6,0))</f>
        <v/>
      </c>
      <c r="AN8">
        <f>I8*INDEX(Régions!$AK$2:$AK$6,MATCH($B8,Régions!$A$2:$A$6,0))</f>
        <v/>
      </c>
      <c r="AO8">
        <f>Régions!$Q$2*Q8/SUM($Q8:$V8)*100+(1-Régions!$Q$2)*MAX(K8*100+(INDEX(Régions!$AL$2:$AL$6,MATCH($B8,Régions!$A$2:$A$6,0))),0)</f>
        <v/>
      </c>
      <c r="AP8">
        <f>Régions!$Q$2*R8/SUM($Q8:$V8)*100+(1-Régions!$Q$2)*MAX(L8*100+(INDEX(Régions!$AM$2:$AM$6,MATCH($B8,Régions!$A$2:$A$6,0))),0)</f>
        <v/>
      </c>
      <c r="AQ8">
        <f>Régions!$Q$2*S8/SUM($Q8:$V8)*100+(1-Régions!$Q$2)*MAX(M8*100+(INDEX(Régions!$AN$2:$AN$6,MATCH($B8,Régions!$A$2:$A$6,0))),0)</f>
        <v/>
      </c>
      <c r="AR8">
        <f>Régions!$Q$2*T8/SUM($Q8:$V8)*100+(1-Régions!$Q$2)*MAX(N8*100+(INDEX(Régions!$AO$2:$AO$6,MATCH($B8,Régions!$A$2:$A$6,0))),0)</f>
        <v/>
      </c>
      <c r="AS8">
        <f>Régions!$Q$2*U8/SUM($Q8:$V8)*100+(1-Régions!$Q$2)*MAX(O8*100+(INDEX(Régions!$AP$2:$AP$6,MATCH($B8,Régions!$A$2:$A$6,0))),0)</f>
        <v/>
      </c>
      <c r="AT8">
        <f>Régions!$Q$2*V8/SUM($Q8:$V8)*100+(1-Régions!$Q$2)*MAX(P8*100+(INDEX(Régions!$AQ$2:$AQ$6,MATCH($B8,Régions!$A$2:$A$6,0))),0)</f>
        <v/>
      </c>
      <c r="AU8">
        <f>INDEX({"CAQ","PLQ","QS","PQ","PCQ","Autre"},MATCH(MAX(Q8:V8),Q8:V8,0))</f>
        <v/>
      </c>
      <c r="AV8">
        <f>INDEX({"CAQ","PLQ","QS","PQ","PCQ","Autre"},MATCH(MAX(W8:AB8),W8:AB8,0))</f>
        <v/>
      </c>
      <c r="AW8">
        <f>INDEX({"CAQ","PLQ","QS","PQ","PCQ","Autre"},MATCH(MAX(AC8:AH8),AC8:AH8,0))</f>
        <v/>
      </c>
      <c r="AX8">
        <f>INDEX({"CAQ","PLQ","QS","PQ","PCQ","Autre"},MATCH(MAX(AI8:AN8),AI8:AN8,0))</f>
        <v/>
      </c>
      <c r="AY8">
        <f>INDEX({"CAQ","PLQ","QS","PQ","PCQ","Autre"},MATCH(MAX(AO8:AT8),AO8:AT8,0))</f>
        <v/>
      </c>
      <c r="AZ8">
        <f>(MAX(K8:P8)-LARGE(K8:P8,2))*100</f>
        <v/>
      </c>
      <c r="BA8">
        <f>IF(AZ8&lt;5,"Oui","Non")</f>
        <v/>
      </c>
      <c r="BB8" t="n">
        <v>-30.339</v>
      </c>
      <c r="BC8" t="n">
        <v>0.275</v>
      </c>
      <c r="BD8" t="n">
        <v>-1.345</v>
      </c>
      <c r="BE8" t="n">
        <v>4.98</v>
      </c>
    </row>
    <row r="9">
      <c r="A9" t="inlineStr">
        <is>
          <t>Beauce-Sud</t>
        </is>
      </c>
      <c r="B9" t="inlineStr">
        <is>
          <t>Reste du Québec</t>
        </is>
      </c>
      <c r="C9">
        <f>INDEX({"CAQ","PLQ","QS","PQ","PCQ","Autre"},MATCH(MAX(D9:I9),D9:I9,0))</f>
        <v/>
      </c>
      <c r="D9" t="n">
        <v>16615</v>
      </c>
      <c r="E9" t="n">
        <v>1057</v>
      </c>
      <c r="F9" t="n">
        <v>1623</v>
      </c>
      <c r="G9" t="n">
        <v>1505</v>
      </c>
      <c r="H9" t="n">
        <v>16187</v>
      </c>
      <c r="I9" t="n">
        <v>306</v>
      </c>
      <c r="J9">
        <f>SUM(D9:I9)</f>
        <v/>
      </c>
      <c r="K9">
        <f>IFERROR(D9/$J9,0)</f>
        <v/>
      </c>
      <c r="L9">
        <f>IFERROR(E9/$J9,0)</f>
        <v/>
      </c>
      <c r="M9">
        <f>IFERROR(F9/$J9,0)</f>
        <v/>
      </c>
      <c r="N9">
        <f>IFERROR(G9/$J9,0)</f>
        <v/>
      </c>
      <c r="O9">
        <f>IFERROR(H9/$J9,0)</f>
        <v/>
      </c>
      <c r="P9">
        <f>IFERROR(I9/$J9,0)</f>
        <v/>
      </c>
      <c r="Q9">
        <f>D9*INDEX(Régions!$T$2:$T$6,MATCH($B9,Régions!$A$2:$A$6,0))</f>
        <v/>
      </c>
      <c r="R9">
        <f>E9*INDEX(Régions!$U$2:$U$6,MATCH($B9,Régions!$A$2:$A$6,0))</f>
        <v/>
      </c>
      <c r="S9">
        <f>F9*INDEX(Régions!$V$2:$V$6,MATCH($B9,Régions!$A$2:$A$6,0))</f>
        <v/>
      </c>
      <c r="T9">
        <f>G9*INDEX(Régions!$W$2:$W$6,MATCH($B9,Régions!$A$2:$A$6,0))</f>
        <v/>
      </c>
      <c r="U9">
        <f>H9*INDEX(Régions!$X$2:$X$6,MATCH($B9,Régions!$A$2:$A$6,0))</f>
        <v/>
      </c>
      <c r="V9">
        <f>I9*INDEX(Régions!$Y$2:$Y$6,MATCH($B9,Régions!$A$2:$A$6,0))</f>
        <v/>
      </c>
      <c r="W9">
        <f>Q9+(BB9/100)*$J9*Régions!$O$2</f>
        <v/>
      </c>
      <c r="X9">
        <f>R9+(BC9/100)*$J9*Régions!$O$2</f>
        <v/>
      </c>
      <c r="Y9">
        <f>S9+(BD9/100)*$J9*Régions!$O$2</f>
        <v/>
      </c>
      <c r="Z9">
        <f>T9+(BE9/100)*$J9*Régions!$O$2</f>
        <v/>
      </c>
      <c r="AA9">
        <f>U9</f>
        <v/>
      </c>
      <c r="AB9">
        <f>V9</f>
        <v/>
      </c>
      <c r="AC9">
        <f>D9*INDEX(Régions!$Z$2:$Z$6,MATCH($B9,Régions!$A$2:$A$6,0))</f>
        <v/>
      </c>
      <c r="AD9">
        <f>E9*INDEX(Régions!$AA$2:$AA$6,MATCH($B9,Régions!$A$2:$A$6,0))</f>
        <v/>
      </c>
      <c r="AE9">
        <f>F9*INDEX(Régions!$AB$2:$AB$6,MATCH($B9,Régions!$A$2:$A$6,0))</f>
        <v/>
      </c>
      <c r="AF9">
        <f>G9*INDEX(Régions!$AC$2:$AC$6,MATCH($B9,Régions!$A$2:$A$6,0))</f>
        <v/>
      </c>
      <c r="AG9">
        <f>H9*INDEX(Régions!$AD$2:$AD$6,MATCH($B9,Régions!$A$2:$A$6,0))</f>
        <v/>
      </c>
      <c r="AH9">
        <f>I9*INDEX(Régions!$AE$2:$AE$6,MATCH($B9,Régions!$A$2:$A$6,0))</f>
        <v/>
      </c>
      <c r="AI9">
        <f>D9*INDEX(Régions!$AF$2:$AF$6,MATCH($B9,Régions!$A$2:$A$6,0))</f>
        <v/>
      </c>
      <c r="AJ9">
        <f>E9*INDEX(Régions!$AG$2:$AG$6,MATCH($B9,Régions!$A$2:$A$6,0))</f>
        <v/>
      </c>
      <c r="AK9">
        <f>F9*INDEX(Régions!$AH$2:$AH$6,MATCH($B9,Régions!$A$2:$A$6,0))</f>
        <v/>
      </c>
      <c r="AL9">
        <f>G9*INDEX(Régions!$AI$2:$AI$6,MATCH($B9,Régions!$A$2:$A$6,0))</f>
        <v/>
      </c>
      <c r="AM9">
        <f>H9*INDEX(Régions!$AJ$2:$AJ$6,MATCH($B9,Régions!$A$2:$A$6,0))</f>
        <v/>
      </c>
      <c r="AN9">
        <f>I9*INDEX(Régions!$AK$2:$AK$6,MATCH($B9,Régions!$A$2:$A$6,0))</f>
        <v/>
      </c>
      <c r="AO9">
        <f>Régions!$Q$2*Q9/SUM($Q9:$V9)*100+(1-Régions!$Q$2)*MAX(K9*100+(INDEX(Régions!$AL$2:$AL$6,MATCH($B9,Régions!$A$2:$A$6,0))),0)</f>
        <v/>
      </c>
      <c r="AP9">
        <f>Régions!$Q$2*R9/SUM($Q9:$V9)*100+(1-Régions!$Q$2)*MAX(L9*100+(INDEX(Régions!$AM$2:$AM$6,MATCH($B9,Régions!$A$2:$A$6,0))),0)</f>
        <v/>
      </c>
      <c r="AQ9">
        <f>Régions!$Q$2*S9/SUM($Q9:$V9)*100+(1-Régions!$Q$2)*MAX(M9*100+(INDEX(Régions!$AN$2:$AN$6,MATCH($B9,Régions!$A$2:$A$6,0))),0)</f>
        <v/>
      </c>
      <c r="AR9">
        <f>Régions!$Q$2*T9/SUM($Q9:$V9)*100+(1-Régions!$Q$2)*MAX(N9*100+(INDEX(Régions!$AO$2:$AO$6,MATCH($B9,Régions!$A$2:$A$6,0))),0)</f>
        <v/>
      </c>
      <c r="AS9">
        <f>Régions!$Q$2*U9/SUM($Q9:$V9)*100+(1-Régions!$Q$2)*MAX(O9*100+(INDEX(Régions!$AP$2:$AP$6,MATCH($B9,Régions!$A$2:$A$6,0))),0)</f>
        <v/>
      </c>
      <c r="AT9">
        <f>Régions!$Q$2*V9/SUM($Q9:$V9)*100+(1-Régions!$Q$2)*MAX(P9*100+(INDEX(Régions!$AQ$2:$AQ$6,MATCH($B9,Régions!$A$2:$A$6,0))),0)</f>
        <v/>
      </c>
      <c r="AU9">
        <f>INDEX({"CAQ","PLQ","QS","PQ","PCQ","Autre"},MATCH(MAX(Q9:V9),Q9:V9,0))</f>
        <v/>
      </c>
      <c r="AV9">
        <f>INDEX({"CAQ","PLQ","QS","PQ","PCQ","Autre"},MATCH(MAX(W9:AB9),W9:AB9,0))</f>
        <v/>
      </c>
      <c r="AW9">
        <f>INDEX({"CAQ","PLQ","QS","PQ","PCQ","Autre"},MATCH(MAX(AC9:AH9),AC9:AH9,0))</f>
        <v/>
      </c>
      <c r="AX9">
        <f>INDEX({"CAQ","PLQ","QS","PQ","PCQ","Autre"},MATCH(MAX(AI9:AN9),AI9:AN9,0))</f>
        <v/>
      </c>
      <c r="AY9">
        <f>INDEX({"CAQ","PLQ","QS","PQ","PCQ","Autre"},MATCH(MAX(AO9:AT9),AO9:AT9,0))</f>
        <v/>
      </c>
      <c r="AZ9">
        <f>(MAX(K9:P9)-LARGE(K9:P9,2))*100</f>
        <v/>
      </c>
      <c r="BA9">
        <f>IF(AZ9&lt;5,"Oui","Non")</f>
        <v/>
      </c>
      <c r="BB9" t="n">
        <v>-25.532</v>
      </c>
      <c r="BC9" t="n">
        <v>-4.889</v>
      </c>
      <c r="BD9" t="n">
        <v>-0.256</v>
      </c>
      <c r="BE9" t="n">
        <v>4.087</v>
      </c>
    </row>
    <row r="10">
      <c r="A10" t="inlineStr">
        <is>
          <t>Beauharnois</t>
        </is>
      </c>
      <c r="B10" t="inlineStr">
        <is>
          <t>Banlieue de Montréal</t>
        </is>
      </c>
      <c r="C10">
        <f>INDEX({"CAQ","PLQ","QS","PQ","PCQ","Autre"},MATCH(MAX(D10:I10),D10:I10,0))</f>
        <v/>
      </c>
      <c r="D10" t="n">
        <v>19553.9</v>
      </c>
      <c r="E10" t="n">
        <v>2795.9</v>
      </c>
      <c r="F10" t="n">
        <v>4724.3</v>
      </c>
      <c r="G10" t="n">
        <v>6042.9</v>
      </c>
      <c r="H10" t="n">
        <v>3601.1</v>
      </c>
      <c r="I10" t="n">
        <v>456.7</v>
      </c>
      <c r="J10">
        <f>SUM(D10:I10)</f>
        <v/>
      </c>
      <c r="K10">
        <f>IFERROR(D10/$J10,0)</f>
        <v/>
      </c>
      <c r="L10">
        <f>IFERROR(E10/$J10,0)</f>
        <v/>
      </c>
      <c r="M10">
        <f>IFERROR(F10/$J10,0)</f>
        <v/>
      </c>
      <c r="N10">
        <f>IFERROR(G10/$J10,0)</f>
        <v/>
      </c>
      <c r="O10">
        <f>IFERROR(H10/$J10,0)</f>
        <v/>
      </c>
      <c r="P10">
        <f>IFERROR(I10/$J10,0)</f>
        <v/>
      </c>
      <c r="Q10">
        <f>D10*INDEX(Régions!$T$2:$T$6,MATCH($B10,Régions!$A$2:$A$6,0))</f>
        <v/>
      </c>
      <c r="R10">
        <f>E10*INDEX(Régions!$U$2:$U$6,MATCH($B10,Régions!$A$2:$A$6,0))</f>
        <v/>
      </c>
      <c r="S10">
        <f>F10*INDEX(Régions!$V$2:$V$6,MATCH($B10,Régions!$A$2:$A$6,0))</f>
        <v/>
      </c>
      <c r="T10">
        <f>G10*INDEX(Régions!$W$2:$W$6,MATCH($B10,Régions!$A$2:$A$6,0))</f>
        <v/>
      </c>
      <c r="U10">
        <f>H10*INDEX(Régions!$X$2:$X$6,MATCH($B10,Régions!$A$2:$A$6,0))</f>
        <v/>
      </c>
      <c r="V10">
        <f>I10*INDEX(Régions!$Y$2:$Y$6,MATCH($B10,Régions!$A$2:$A$6,0))</f>
        <v/>
      </c>
      <c r="W10">
        <f>Q10+(BB10/100)*$J10*Régions!$O$2</f>
        <v/>
      </c>
      <c r="X10">
        <f>R10+(BC10/100)*$J10*Régions!$O$2</f>
        <v/>
      </c>
      <c r="Y10">
        <f>S10+(BD10/100)*$J10*Régions!$O$2</f>
        <v/>
      </c>
      <c r="Z10">
        <f>T10+(BE10/100)*$J10*Régions!$O$2</f>
        <v/>
      </c>
      <c r="AA10">
        <f>U10</f>
        <v/>
      </c>
      <c r="AB10">
        <f>V10</f>
        <v/>
      </c>
      <c r="AC10">
        <f>D10*INDEX(Régions!$Z$2:$Z$6,MATCH($B10,Régions!$A$2:$A$6,0))</f>
        <v/>
      </c>
      <c r="AD10">
        <f>E10*INDEX(Régions!$AA$2:$AA$6,MATCH($B10,Régions!$A$2:$A$6,0))</f>
        <v/>
      </c>
      <c r="AE10">
        <f>F10*INDEX(Régions!$AB$2:$AB$6,MATCH($B10,Régions!$A$2:$A$6,0))</f>
        <v/>
      </c>
      <c r="AF10">
        <f>G10*INDEX(Régions!$AC$2:$AC$6,MATCH($B10,Régions!$A$2:$A$6,0))</f>
        <v/>
      </c>
      <c r="AG10">
        <f>H10*INDEX(Régions!$AD$2:$AD$6,MATCH($B10,Régions!$A$2:$A$6,0))</f>
        <v/>
      </c>
      <c r="AH10">
        <f>I10*INDEX(Régions!$AE$2:$AE$6,MATCH($B10,Régions!$A$2:$A$6,0))</f>
        <v/>
      </c>
      <c r="AI10">
        <f>D10*INDEX(Régions!$AF$2:$AF$6,MATCH($B10,Régions!$A$2:$A$6,0))</f>
        <v/>
      </c>
      <c r="AJ10">
        <f>E10*INDEX(Régions!$AG$2:$AG$6,MATCH($B10,Régions!$A$2:$A$6,0))</f>
        <v/>
      </c>
      <c r="AK10">
        <f>F10*INDEX(Régions!$AH$2:$AH$6,MATCH($B10,Régions!$A$2:$A$6,0))</f>
        <v/>
      </c>
      <c r="AL10">
        <f>G10*INDEX(Régions!$AI$2:$AI$6,MATCH($B10,Régions!$A$2:$A$6,0))</f>
        <v/>
      </c>
      <c r="AM10">
        <f>H10*INDEX(Régions!$AJ$2:$AJ$6,MATCH($B10,Régions!$A$2:$A$6,0))</f>
        <v/>
      </c>
      <c r="AN10">
        <f>I10*INDEX(Régions!$AK$2:$AK$6,MATCH($B10,Régions!$A$2:$A$6,0))</f>
        <v/>
      </c>
      <c r="AO10">
        <f>Régions!$Q$2*Q10/SUM($Q10:$V10)*100+(1-Régions!$Q$2)*MAX(K10*100+(INDEX(Régions!$AL$2:$AL$6,MATCH($B10,Régions!$A$2:$A$6,0))),0)</f>
        <v/>
      </c>
      <c r="AP10">
        <f>Régions!$Q$2*R10/SUM($Q10:$V10)*100+(1-Régions!$Q$2)*MAX(L10*100+(INDEX(Régions!$AM$2:$AM$6,MATCH($B10,Régions!$A$2:$A$6,0))),0)</f>
        <v/>
      </c>
      <c r="AQ10">
        <f>Régions!$Q$2*S10/SUM($Q10:$V10)*100+(1-Régions!$Q$2)*MAX(M10*100+(INDEX(Régions!$AN$2:$AN$6,MATCH($B10,Régions!$A$2:$A$6,0))),0)</f>
        <v/>
      </c>
      <c r="AR10">
        <f>Régions!$Q$2*T10/SUM($Q10:$V10)*100+(1-Régions!$Q$2)*MAX(N10*100+(INDEX(Régions!$AO$2:$AO$6,MATCH($B10,Régions!$A$2:$A$6,0))),0)</f>
        <v/>
      </c>
      <c r="AS10">
        <f>Régions!$Q$2*U10/SUM($Q10:$V10)*100+(1-Régions!$Q$2)*MAX(O10*100+(INDEX(Régions!$AP$2:$AP$6,MATCH($B10,Régions!$A$2:$A$6,0))),0)</f>
        <v/>
      </c>
      <c r="AT10">
        <f>Régions!$Q$2*V10/SUM($Q10:$V10)*100+(1-Régions!$Q$2)*MAX(P10*100+(INDEX(Régions!$AQ$2:$AQ$6,MATCH($B10,Régions!$A$2:$A$6,0))),0)</f>
        <v/>
      </c>
      <c r="AU10">
        <f>INDEX({"CAQ","PLQ","QS","PQ","PCQ","Autre"},MATCH(MAX(Q10:V10),Q10:V10,0))</f>
        <v/>
      </c>
      <c r="AV10">
        <f>INDEX({"CAQ","PLQ","QS","PQ","PCQ","Autre"},MATCH(MAX(W10:AB10),W10:AB10,0))</f>
        <v/>
      </c>
      <c r="AW10">
        <f>INDEX({"CAQ","PLQ","QS","PQ","PCQ","Autre"},MATCH(MAX(AC10:AH10),AC10:AH10,0))</f>
        <v/>
      </c>
      <c r="AX10">
        <f>INDEX({"CAQ","PLQ","QS","PQ","PCQ","Autre"},MATCH(MAX(AI10:AN10),AI10:AN10,0))</f>
        <v/>
      </c>
      <c r="AY10">
        <f>INDEX({"CAQ","PLQ","QS","PQ","PCQ","Autre"},MATCH(MAX(AO10:AT10),AO10:AT10,0))</f>
        <v/>
      </c>
      <c r="AZ10">
        <f>(MAX(K10:P10)-LARGE(K10:P10,2))*100</f>
        <v/>
      </c>
      <c r="BA10">
        <f>IF(AZ10&lt;5,"Oui","Non")</f>
        <v/>
      </c>
      <c r="BB10" t="n">
        <v>3.579</v>
      </c>
      <c r="BC10" t="n">
        <v>-0.5580000000000001</v>
      </c>
      <c r="BD10" t="n">
        <v>-1.36</v>
      </c>
      <c r="BE10" t="n">
        <v>-1.198</v>
      </c>
    </row>
    <row r="11">
      <c r="A11" t="inlineStr">
        <is>
          <t>Bellechasse</t>
        </is>
      </c>
      <c r="B11" t="inlineStr">
        <is>
          <t>Reste du Québec</t>
        </is>
      </c>
      <c r="C11">
        <f>INDEX({"CAQ","PLQ","QS","PQ","PCQ","Autre"},MATCH(MAX(D11:I11),D11:I11,0))</f>
        <v/>
      </c>
      <c r="D11" t="n">
        <v>15065</v>
      </c>
      <c r="E11" t="n">
        <v>1360</v>
      </c>
      <c r="F11" t="n">
        <v>1988</v>
      </c>
      <c r="G11" t="n">
        <v>2908</v>
      </c>
      <c r="H11" t="n">
        <v>11612</v>
      </c>
      <c r="I11" t="n">
        <v>0</v>
      </c>
      <c r="J11">
        <f>SUM(D11:I11)</f>
        <v/>
      </c>
      <c r="K11">
        <f>IFERROR(D11/$J11,0)</f>
        <v/>
      </c>
      <c r="L11">
        <f>IFERROR(E11/$J11,0)</f>
        <v/>
      </c>
      <c r="M11">
        <f>IFERROR(F11/$J11,0)</f>
        <v/>
      </c>
      <c r="N11">
        <f>IFERROR(G11/$J11,0)</f>
        <v/>
      </c>
      <c r="O11">
        <f>IFERROR(H11/$J11,0)</f>
        <v/>
      </c>
      <c r="P11">
        <f>IFERROR(I11/$J11,0)</f>
        <v/>
      </c>
      <c r="Q11">
        <f>D11*INDEX(Régions!$T$2:$T$6,MATCH($B11,Régions!$A$2:$A$6,0))</f>
        <v/>
      </c>
      <c r="R11">
        <f>E11*INDEX(Régions!$U$2:$U$6,MATCH($B11,Régions!$A$2:$A$6,0))</f>
        <v/>
      </c>
      <c r="S11">
        <f>F11*INDEX(Régions!$V$2:$V$6,MATCH($B11,Régions!$A$2:$A$6,0))</f>
        <v/>
      </c>
      <c r="T11">
        <f>G11*INDEX(Régions!$W$2:$W$6,MATCH($B11,Régions!$A$2:$A$6,0))</f>
        <v/>
      </c>
      <c r="U11">
        <f>H11*INDEX(Régions!$X$2:$X$6,MATCH($B11,Régions!$A$2:$A$6,0))</f>
        <v/>
      </c>
      <c r="V11">
        <f>I11*INDEX(Régions!$Y$2:$Y$6,MATCH($B11,Régions!$A$2:$A$6,0))</f>
        <v/>
      </c>
      <c r="W11">
        <f>Q11+(BB11/100)*$J11*Régions!$O$2</f>
        <v/>
      </c>
      <c r="X11">
        <f>R11+(BC11/100)*$J11*Régions!$O$2</f>
        <v/>
      </c>
      <c r="Y11">
        <f>S11+(BD11/100)*$J11*Régions!$O$2</f>
        <v/>
      </c>
      <c r="Z11">
        <f>T11+(BE11/100)*$J11*Régions!$O$2</f>
        <v/>
      </c>
      <c r="AA11">
        <f>U11</f>
        <v/>
      </c>
      <c r="AB11">
        <f>V11</f>
        <v/>
      </c>
      <c r="AC11">
        <f>D11*INDEX(Régions!$Z$2:$Z$6,MATCH($B11,Régions!$A$2:$A$6,0))</f>
        <v/>
      </c>
      <c r="AD11">
        <f>E11*INDEX(Régions!$AA$2:$AA$6,MATCH($B11,Régions!$A$2:$A$6,0))</f>
        <v/>
      </c>
      <c r="AE11">
        <f>F11*INDEX(Régions!$AB$2:$AB$6,MATCH($B11,Régions!$A$2:$A$6,0))</f>
        <v/>
      </c>
      <c r="AF11">
        <f>G11*INDEX(Régions!$AC$2:$AC$6,MATCH($B11,Régions!$A$2:$A$6,0))</f>
        <v/>
      </c>
      <c r="AG11">
        <f>H11*INDEX(Régions!$AD$2:$AD$6,MATCH($B11,Régions!$A$2:$A$6,0))</f>
        <v/>
      </c>
      <c r="AH11">
        <f>I11*INDEX(Régions!$AE$2:$AE$6,MATCH($B11,Régions!$A$2:$A$6,0))</f>
        <v/>
      </c>
      <c r="AI11">
        <f>D11*INDEX(Régions!$AF$2:$AF$6,MATCH($B11,Régions!$A$2:$A$6,0))</f>
        <v/>
      </c>
      <c r="AJ11">
        <f>E11*INDEX(Régions!$AG$2:$AG$6,MATCH($B11,Régions!$A$2:$A$6,0))</f>
        <v/>
      </c>
      <c r="AK11">
        <f>F11*INDEX(Régions!$AH$2:$AH$6,MATCH($B11,Régions!$A$2:$A$6,0))</f>
        <v/>
      </c>
      <c r="AL11">
        <f>G11*INDEX(Régions!$AI$2:$AI$6,MATCH($B11,Régions!$A$2:$A$6,0))</f>
        <v/>
      </c>
      <c r="AM11">
        <f>H11*INDEX(Régions!$AJ$2:$AJ$6,MATCH($B11,Régions!$A$2:$A$6,0))</f>
        <v/>
      </c>
      <c r="AN11">
        <f>I11*INDEX(Régions!$AK$2:$AK$6,MATCH($B11,Régions!$A$2:$A$6,0))</f>
        <v/>
      </c>
      <c r="AO11">
        <f>Régions!$Q$2*Q11/SUM($Q11:$V11)*100+(1-Régions!$Q$2)*MAX(K11*100+(INDEX(Régions!$AL$2:$AL$6,MATCH($B11,Régions!$A$2:$A$6,0))),0)</f>
        <v/>
      </c>
      <c r="AP11">
        <f>Régions!$Q$2*R11/SUM($Q11:$V11)*100+(1-Régions!$Q$2)*MAX(L11*100+(INDEX(Régions!$AM$2:$AM$6,MATCH($B11,Régions!$A$2:$A$6,0))),0)</f>
        <v/>
      </c>
      <c r="AQ11">
        <f>Régions!$Q$2*S11/SUM($Q11:$V11)*100+(1-Régions!$Q$2)*MAX(M11*100+(INDEX(Régions!$AN$2:$AN$6,MATCH($B11,Régions!$A$2:$A$6,0))),0)</f>
        <v/>
      </c>
      <c r="AR11">
        <f>Régions!$Q$2*T11/SUM($Q11:$V11)*100+(1-Régions!$Q$2)*MAX(N11*100+(INDEX(Régions!$AO$2:$AO$6,MATCH($B11,Régions!$A$2:$A$6,0))),0)</f>
        <v/>
      </c>
      <c r="AS11">
        <f>Régions!$Q$2*U11/SUM($Q11:$V11)*100+(1-Régions!$Q$2)*MAX(O11*100+(INDEX(Régions!$AP$2:$AP$6,MATCH($B11,Régions!$A$2:$A$6,0))),0)</f>
        <v/>
      </c>
      <c r="AT11">
        <f>Régions!$Q$2*V11/SUM($Q11:$V11)*100+(1-Régions!$Q$2)*MAX(P11*100+(INDEX(Régions!$AQ$2:$AQ$6,MATCH($B11,Régions!$A$2:$A$6,0))),0)</f>
        <v/>
      </c>
      <c r="AU11">
        <f>INDEX({"CAQ","PLQ","QS","PQ","PCQ","Autre"},MATCH(MAX(Q11:V11),Q11:V11,0))</f>
        <v/>
      </c>
      <c r="AV11">
        <f>INDEX({"CAQ","PLQ","QS","PQ","PCQ","Autre"},MATCH(MAX(W11:AB11),W11:AB11,0))</f>
        <v/>
      </c>
      <c r="AW11">
        <f>INDEX({"CAQ","PLQ","QS","PQ","PCQ","Autre"},MATCH(MAX(AC11:AH11),AC11:AH11,0))</f>
        <v/>
      </c>
      <c r="AX11">
        <f>INDEX({"CAQ","PLQ","QS","PQ","PCQ","Autre"},MATCH(MAX(AI11:AN11),AI11:AN11,0))</f>
        <v/>
      </c>
      <c r="AY11">
        <f>INDEX({"CAQ","PLQ","QS","PQ","PCQ","Autre"},MATCH(MAX(AO11:AT11),AO11:AT11,0))</f>
        <v/>
      </c>
      <c r="AZ11">
        <f>(MAX(K11:P11)-LARGE(K11:P11,2))*100</f>
        <v/>
      </c>
      <c r="BA11">
        <f>IF(AZ11&lt;5,"Oui","Non")</f>
        <v/>
      </c>
      <c r="BB11" t="n">
        <v>-15.508</v>
      </c>
      <c r="BC11" t="n">
        <v>-9.925000000000001</v>
      </c>
      <c r="BD11" t="n">
        <v>-0.286</v>
      </c>
      <c r="BE11" t="n">
        <v>5.734</v>
      </c>
    </row>
    <row r="12">
      <c r="A12" t="inlineStr">
        <is>
          <t>Bellefeuille</t>
        </is>
      </c>
      <c r="B12" t="inlineStr">
        <is>
          <t>Banlieue de Montréal</t>
        </is>
      </c>
      <c r="C12">
        <f>INDEX({"CAQ","PLQ","QS","PQ","PCQ","Autre"},MATCH(MAX(D12:I12),D12:I12,0))</f>
        <v/>
      </c>
      <c r="D12" t="n">
        <v>13523.5</v>
      </c>
      <c r="E12" t="n">
        <v>1898.4</v>
      </c>
      <c r="F12" t="n">
        <v>3856.4</v>
      </c>
      <c r="G12" t="n">
        <v>4872.8</v>
      </c>
      <c r="H12" t="n">
        <v>3366</v>
      </c>
      <c r="I12" t="n">
        <v>329.6</v>
      </c>
      <c r="J12">
        <f>SUM(D12:I12)</f>
        <v/>
      </c>
      <c r="K12">
        <f>IFERROR(D12/$J12,0)</f>
        <v/>
      </c>
      <c r="L12">
        <f>IFERROR(E12/$J12,0)</f>
        <v/>
      </c>
      <c r="M12">
        <f>IFERROR(F12/$J12,0)</f>
        <v/>
      </c>
      <c r="N12">
        <f>IFERROR(G12/$J12,0)</f>
        <v/>
      </c>
      <c r="O12">
        <f>IFERROR(H12/$J12,0)</f>
        <v/>
      </c>
      <c r="P12">
        <f>IFERROR(I12/$J12,0)</f>
        <v/>
      </c>
      <c r="Q12">
        <f>D12*INDEX(Régions!$T$2:$T$6,MATCH($B12,Régions!$A$2:$A$6,0))</f>
        <v/>
      </c>
      <c r="R12">
        <f>E12*INDEX(Régions!$U$2:$U$6,MATCH($B12,Régions!$A$2:$A$6,0))</f>
        <v/>
      </c>
      <c r="S12">
        <f>F12*INDEX(Régions!$V$2:$V$6,MATCH($B12,Régions!$A$2:$A$6,0))</f>
        <v/>
      </c>
      <c r="T12">
        <f>G12*INDEX(Régions!$W$2:$W$6,MATCH($B12,Régions!$A$2:$A$6,0))</f>
        <v/>
      </c>
      <c r="U12">
        <f>H12*INDEX(Régions!$X$2:$X$6,MATCH($B12,Régions!$A$2:$A$6,0))</f>
        <v/>
      </c>
      <c r="V12">
        <f>I12*INDEX(Régions!$Y$2:$Y$6,MATCH($B12,Régions!$A$2:$A$6,0))</f>
        <v/>
      </c>
      <c r="W12">
        <f>Q12+(BB12/100)*$J12*Régions!$O$2</f>
        <v/>
      </c>
      <c r="X12">
        <f>R12+(BC12/100)*$J12*Régions!$O$2</f>
        <v/>
      </c>
      <c r="Y12">
        <f>S12+(BD12/100)*$J12*Régions!$O$2</f>
        <v/>
      </c>
      <c r="Z12">
        <f>T12+(BE12/100)*$J12*Régions!$O$2</f>
        <v/>
      </c>
      <c r="AA12">
        <f>U12</f>
        <v/>
      </c>
      <c r="AB12">
        <f>V12</f>
        <v/>
      </c>
      <c r="AC12">
        <f>D12*INDEX(Régions!$Z$2:$Z$6,MATCH($B12,Régions!$A$2:$A$6,0))</f>
        <v/>
      </c>
      <c r="AD12">
        <f>E12*INDEX(Régions!$AA$2:$AA$6,MATCH($B12,Régions!$A$2:$A$6,0))</f>
        <v/>
      </c>
      <c r="AE12">
        <f>F12*INDEX(Régions!$AB$2:$AB$6,MATCH($B12,Régions!$A$2:$A$6,0))</f>
        <v/>
      </c>
      <c r="AF12">
        <f>G12*INDEX(Régions!$AC$2:$AC$6,MATCH($B12,Régions!$A$2:$A$6,0))</f>
        <v/>
      </c>
      <c r="AG12">
        <f>H12*INDEX(Régions!$AD$2:$AD$6,MATCH($B12,Régions!$A$2:$A$6,0))</f>
        <v/>
      </c>
      <c r="AH12">
        <f>I12*INDEX(Régions!$AE$2:$AE$6,MATCH($B12,Régions!$A$2:$A$6,0))</f>
        <v/>
      </c>
      <c r="AI12">
        <f>D12*INDEX(Régions!$AF$2:$AF$6,MATCH($B12,Régions!$A$2:$A$6,0))</f>
        <v/>
      </c>
      <c r="AJ12">
        <f>E12*INDEX(Régions!$AG$2:$AG$6,MATCH($B12,Régions!$A$2:$A$6,0))</f>
        <v/>
      </c>
      <c r="AK12">
        <f>F12*INDEX(Régions!$AH$2:$AH$6,MATCH($B12,Régions!$A$2:$A$6,0))</f>
        <v/>
      </c>
      <c r="AL12">
        <f>G12*INDEX(Régions!$AI$2:$AI$6,MATCH($B12,Régions!$A$2:$A$6,0))</f>
        <v/>
      </c>
      <c r="AM12">
        <f>H12*INDEX(Régions!$AJ$2:$AJ$6,MATCH($B12,Régions!$A$2:$A$6,0))</f>
        <v/>
      </c>
      <c r="AN12">
        <f>I12*INDEX(Régions!$AK$2:$AK$6,MATCH($B12,Régions!$A$2:$A$6,0))</f>
        <v/>
      </c>
      <c r="AO12">
        <f>Régions!$Q$2*Q12/SUM($Q12:$V12)*100+(1-Régions!$Q$2)*MAX(K12*100+(INDEX(Régions!$AL$2:$AL$6,MATCH($B12,Régions!$A$2:$A$6,0))),0)</f>
        <v/>
      </c>
      <c r="AP12">
        <f>Régions!$Q$2*R12/SUM($Q12:$V12)*100+(1-Régions!$Q$2)*MAX(L12*100+(INDEX(Régions!$AM$2:$AM$6,MATCH($B12,Régions!$A$2:$A$6,0))),0)</f>
        <v/>
      </c>
      <c r="AQ12">
        <f>Régions!$Q$2*S12/SUM($Q12:$V12)*100+(1-Régions!$Q$2)*MAX(M12*100+(INDEX(Régions!$AN$2:$AN$6,MATCH($B12,Régions!$A$2:$A$6,0))),0)</f>
        <v/>
      </c>
      <c r="AR12">
        <f>Régions!$Q$2*T12/SUM($Q12:$V12)*100+(1-Régions!$Q$2)*MAX(N12*100+(INDEX(Régions!$AO$2:$AO$6,MATCH($B12,Régions!$A$2:$A$6,0))),0)</f>
        <v/>
      </c>
      <c r="AS12">
        <f>Régions!$Q$2*U12/SUM($Q12:$V12)*100+(1-Régions!$Q$2)*MAX(O12*100+(INDEX(Régions!$AP$2:$AP$6,MATCH($B12,Régions!$A$2:$A$6,0))),0)</f>
        <v/>
      </c>
      <c r="AT12">
        <f>Régions!$Q$2*V12/SUM($Q12:$V12)*100+(1-Régions!$Q$2)*MAX(P12*100+(INDEX(Régions!$AQ$2:$AQ$6,MATCH($B12,Régions!$A$2:$A$6,0))),0)</f>
        <v/>
      </c>
      <c r="AU12">
        <f>INDEX({"CAQ","PLQ","QS","PQ","PCQ","Autre"},MATCH(MAX(Q12:V12),Q12:V12,0))</f>
        <v/>
      </c>
      <c r="AV12">
        <f>INDEX({"CAQ","PLQ","QS","PQ","PCQ","Autre"},MATCH(MAX(W12:AB12),W12:AB12,0))</f>
        <v/>
      </c>
      <c r="AW12">
        <f>INDEX({"CAQ","PLQ","QS","PQ","PCQ","Autre"},MATCH(MAX(AC12:AH12),AC12:AH12,0))</f>
        <v/>
      </c>
      <c r="AX12">
        <f>INDEX({"CAQ","PLQ","QS","PQ","PCQ","Autre"},MATCH(MAX(AI12:AN12),AI12:AN12,0))</f>
        <v/>
      </c>
      <c r="AY12">
        <f>INDEX({"CAQ","PLQ","QS","PQ","PCQ","Autre"},MATCH(MAX(AO12:AT12),AO12:AT12,0))</f>
        <v/>
      </c>
      <c r="AZ12">
        <f>(MAX(K12:P12)-LARGE(K12:P12,2))*100</f>
        <v/>
      </c>
      <c r="BA12">
        <f>IF(AZ12&lt;5,"Oui","Non")</f>
        <v/>
      </c>
      <c r="BB12" t="n">
        <v>0.363</v>
      </c>
      <c r="BC12" t="n">
        <v>2.213</v>
      </c>
      <c r="BD12" t="n">
        <v>-0.07000000000000001</v>
      </c>
      <c r="BE12" t="n">
        <v>-2.482</v>
      </c>
    </row>
    <row r="13">
      <c r="A13" t="inlineStr">
        <is>
          <t>Berthier</t>
        </is>
      </c>
      <c r="B13" t="inlineStr">
        <is>
          <t>Reste du Québec</t>
        </is>
      </c>
      <c r="C13">
        <f>INDEX({"CAQ","PLQ","QS","PQ","PCQ","Autre"},MATCH(MAX(D13:I13),D13:I13,0))</f>
        <v/>
      </c>
      <c r="D13" t="n">
        <v>17316.2</v>
      </c>
      <c r="E13" t="n">
        <v>867.1</v>
      </c>
      <c r="F13" t="n">
        <v>4787.9</v>
      </c>
      <c r="G13" t="n">
        <v>7073.4</v>
      </c>
      <c r="H13" t="n">
        <v>3735.1</v>
      </c>
      <c r="I13" t="n">
        <v>197.2</v>
      </c>
      <c r="J13">
        <f>SUM(D13:I13)</f>
        <v/>
      </c>
      <c r="K13">
        <f>IFERROR(D13/$J13,0)</f>
        <v/>
      </c>
      <c r="L13">
        <f>IFERROR(E13/$J13,0)</f>
        <v/>
      </c>
      <c r="M13">
        <f>IFERROR(F13/$J13,0)</f>
        <v/>
      </c>
      <c r="N13">
        <f>IFERROR(G13/$J13,0)</f>
        <v/>
      </c>
      <c r="O13">
        <f>IFERROR(H13/$J13,0)</f>
        <v/>
      </c>
      <c r="P13">
        <f>IFERROR(I13/$J13,0)</f>
        <v/>
      </c>
      <c r="Q13">
        <f>D13*INDEX(Régions!$T$2:$T$6,MATCH($B13,Régions!$A$2:$A$6,0))</f>
        <v/>
      </c>
      <c r="R13">
        <f>E13*INDEX(Régions!$U$2:$U$6,MATCH($B13,Régions!$A$2:$A$6,0))</f>
        <v/>
      </c>
      <c r="S13">
        <f>F13*INDEX(Régions!$V$2:$V$6,MATCH($B13,Régions!$A$2:$A$6,0))</f>
        <v/>
      </c>
      <c r="T13">
        <f>G13*INDEX(Régions!$W$2:$W$6,MATCH($B13,Régions!$A$2:$A$6,0))</f>
        <v/>
      </c>
      <c r="U13">
        <f>H13*INDEX(Régions!$X$2:$X$6,MATCH($B13,Régions!$A$2:$A$6,0))</f>
        <v/>
      </c>
      <c r="V13">
        <f>I13*INDEX(Régions!$Y$2:$Y$6,MATCH($B13,Régions!$A$2:$A$6,0))</f>
        <v/>
      </c>
      <c r="W13">
        <f>Q13+(BB13/100)*$J13*Régions!$O$2</f>
        <v/>
      </c>
      <c r="X13">
        <f>R13+(BC13/100)*$J13*Régions!$O$2</f>
        <v/>
      </c>
      <c r="Y13">
        <f>S13+(BD13/100)*$J13*Régions!$O$2</f>
        <v/>
      </c>
      <c r="Z13">
        <f>T13+(BE13/100)*$J13*Régions!$O$2</f>
        <v/>
      </c>
      <c r="AA13">
        <f>U13</f>
        <v/>
      </c>
      <c r="AB13">
        <f>V13</f>
        <v/>
      </c>
      <c r="AC13">
        <f>D13*INDEX(Régions!$Z$2:$Z$6,MATCH($B13,Régions!$A$2:$A$6,0))</f>
        <v/>
      </c>
      <c r="AD13">
        <f>E13*INDEX(Régions!$AA$2:$AA$6,MATCH($B13,Régions!$A$2:$A$6,0))</f>
        <v/>
      </c>
      <c r="AE13">
        <f>F13*INDEX(Régions!$AB$2:$AB$6,MATCH($B13,Régions!$A$2:$A$6,0))</f>
        <v/>
      </c>
      <c r="AF13">
        <f>G13*INDEX(Régions!$AC$2:$AC$6,MATCH($B13,Régions!$A$2:$A$6,0))</f>
        <v/>
      </c>
      <c r="AG13">
        <f>H13*INDEX(Régions!$AD$2:$AD$6,MATCH($B13,Régions!$A$2:$A$6,0))</f>
        <v/>
      </c>
      <c r="AH13">
        <f>I13*INDEX(Régions!$AE$2:$AE$6,MATCH($B13,Régions!$A$2:$A$6,0))</f>
        <v/>
      </c>
      <c r="AI13">
        <f>D13*INDEX(Régions!$AF$2:$AF$6,MATCH($B13,Régions!$A$2:$A$6,0))</f>
        <v/>
      </c>
      <c r="AJ13">
        <f>E13*INDEX(Régions!$AG$2:$AG$6,MATCH($B13,Régions!$A$2:$A$6,0))</f>
        <v/>
      </c>
      <c r="AK13">
        <f>F13*INDEX(Régions!$AH$2:$AH$6,MATCH($B13,Régions!$A$2:$A$6,0))</f>
        <v/>
      </c>
      <c r="AL13">
        <f>G13*INDEX(Régions!$AI$2:$AI$6,MATCH($B13,Régions!$A$2:$A$6,0))</f>
        <v/>
      </c>
      <c r="AM13">
        <f>H13*INDEX(Régions!$AJ$2:$AJ$6,MATCH($B13,Régions!$A$2:$A$6,0))</f>
        <v/>
      </c>
      <c r="AN13">
        <f>I13*INDEX(Régions!$AK$2:$AK$6,MATCH($B13,Régions!$A$2:$A$6,0))</f>
        <v/>
      </c>
      <c r="AO13">
        <f>Régions!$Q$2*Q13/SUM($Q13:$V13)*100+(1-Régions!$Q$2)*MAX(K13*100+(INDEX(Régions!$AL$2:$AL$6,MATCH($B13,Régions!$A$2:$A$6,0))),0)</f>
        <v/>
      </c>
      <c r="AP13">
        <f>Régions!$Q$2*R13/SUM($Q13:$V13)*100+(1-Régions!$Q$2)*MAX(L13*100+(INDEX(Régions!$AM$2:$AM$6,MATCH($B13,Régions!$A$2:$A$6,0))),0)</f>
        <v/>
      </c>
      <c r="AQ13">
        <f>Régions!$Q$2*S13/SUM($Q13:$V13)*100+(1-Régions!$Q$2)*MAX(M13*100+(INDEX(Régions!$AN$2:$AN$6,MATCH($B13,Régions!$A$2:$A$6,0))),0)</f>
        <v/>
      </c>
      <c r="AR13">
        <f>Régions!$Q$2*T13/SUM($Q13:$V13)*100+(1-Régions!$Q$2)*MAX(N13*100+(INDEX(Régions!$AO$2:$AO$6,MATCH($B13,Régions!$A$2:$A$6,0))),0)</f>
        <v/>
      </c>
      <c r="AS13">
        <f>Régions!$Q$2*U13/SUM($Q13:$V13)*100+(1-Régions!$Q$2)*MAX(O13*100+(INDEX(Régions!$AP$2:$AP$6,MATCH($B13,Régions!$A$2:$A$6,0))),0)</f>
        <v/>
      </c>
      <c r="AT13">
        <f>Régions!$Q$2*V13/SUM($Q13:$V13)*100+(1-Régions!$Q$2)*MAX(P13*100+(INDEX(Régions!$AQ$2:$AQ$6,MATCH($B13,Régions!$A$2:$A$6,0))),0)</f>
        <v/>
      </c>
      <c r="AU13">
        <f>INDEX({"CAQ","PLQ","QS","PQ","PCQ","Autre"},MATCH(MAX(Q13:V13),Q13:V13,0))</f>
        <v/>
      </c>
      <c r="AV13">
        <f>INDEX({"CAQ","PLQ","QS","PQ","PCQ","Autre"},MATCH(MAX(W13:AB13),W13:AB13,0))</f>
        <v/>
      </c>
      <c r="AW13">
        <f>INDEX({"CAQ","PLQ","QS","PQ","PCQ","Autre"},MATCH(MAX(AC13:AH13),AC13:AH13,0))</f>
        <v/>
      </c>
      <c r="AX13">
        <f>INDEX({"CAQ","PLQ","QS","PQ","PCQ","Autre"},MATCH(MAX(AI13:AN13),AI13:AN13,0))</f>
        <v/>
      </c>
      <c r="AY13">
        <f>INDEX({"CAQ","PLQ","QS","PQ","PCQ","Autre"},MATCH(MAX(AO13:AT13),AO13:AT13,0))</f>
        <v/>
      </c>
      <c r="AZ13">
        <f>(MAX(K13:P13)-LARGE(K13:P13,2))*100</f>
        <v/>
      </c>
      <c r="BA13">
        <f>IF(AZ13&lt;5,"Oui","Non")</f>
        <v/>
      </c>
      <c r="BB13" t="n">
        <v>-1.57</v>
      </c>
      <c r="BC13" t="n">
        <v>8.025</v>
      </c>
      <c r="BD13" t="n">
        <v>-0.153</v>
      </c>
      <c r="BE13" t="n">
        <v>-3.941</v>
      </c>
    </row>
    <row r="14">
      <c r="A14" t="inlineStr">
        <is>
          <t>Bertrand</t>
        </is>
      </c>
      <c r="B14" t="inlineStr">
        <is>
          <t>Banlieue de Montréal</t>
        </is>
      </c>
      <c r="C14">
        <f>INDEX({"CAQ","PLQ","QS","PQ","PCQ","Autre"},MATCH(MAX(D14:I14),D14:I14,0))</f>
        <v/>
      </c>
      <c r="D14" t="n">
        <v>15921.7</v>
      </c>
      <c r="E14" t="n">
        <v>2114.1</v>
      </c>
      <c r="F14" t="n">
        <v>5679.8</v>
      </c>
      <c r="G14" t="n">
        <v>7256.3</v>
      </c>
      <c r="H14" t="n">
        <v>3443.1</v>
      </c>
      <c r="I14" t="n">
        <v>760.6</v>
      </c>
      <c r="J14">
        <f>SUM(D14:I14)</f>
        <v/>
      </c>
      <c r="K14">
        <f>IFERROR(D14/$J14,0)</f>
        <v/>
      </c>
      <c r="L14">
        <f>IFERROR(E14/$J14,0)</f>
        <v/>
      </c>
      <c r="M14">
        <f>IFERROR(F14/$J14,0)</f>
        <v/>
      </c>
      <c r="N14">
        <f>IFERROR(G14/$J14,0)</f>
        <v/>
      </c>
      <c r="O14">
        <f>IFERROR(H14/$J14,0)</f>
        <v/>
      </c>
      <c r="P14">
        <f>IFERROR(I14/$J14,0)</f>
        <v/>
      </c>
      <c r="Q14">
        <f>D14*INDEX(Régions!$T$2:$T$6,MATCH($B14,Régions!$A$2:$A$6,0))</f>
        <v/>
      </c>
      <c r="R14">
        <f>E14*INDEX(Régions!$U$2:$U$6,MATCH($B14,Régions!$A$2:$A$6,0))</f>
        <v/>
      </c>
      <c r="S14">
        <f>F14*INDEX(Régions!$V$2:$V$6,MATCH($B14,Régions!$A$2:$A$6,0))</f>
        <v/>
      </c>
      <c r="T14">
        <f>G14*INDEX(Régions!$W$2:$W$6,MATCH($B14,Régions!$A$2:$A$6,0))</f>
        <v/>
      </c>
      <c r="U14">
        <f>H14*INDEX(Régions!$X$2:$X$6,MATCH($B14,Régions!$A$2:$A$6,0))</f>
        <v/>
      </c>
      <c r="V14">
        <f>I14*INDEX(Régions!$Y$2:$Y$6,MATCH($B14,Régions!$A$2:$A$6,0))</f>
        <v/>
      </c>
      <c r="W14">
        <f>Q14+(BB14/100)*$J14*Régions!$O$2</f>
        <v/>
      </c>
      <c r="X14">
        <f>R14+(BC14/100)*$J14*Régions!$O$2</f>
        <v/>
      </c>
      <c r="Y14">
        <f>S14+(BD14/100)*$J14*Régions!$O$2</f>
        <v/>
      </c>
      <c r="Z14">
        <f>T14+(BE14/100)*$J14*Régions!$O$2</f>
        <v/>
      </c>
      <c r="AA14">
        <f>U14</f>
        <v/>
      </c>
      <c r="AB14">
        <f>V14</f>
        <v/>
      </c>
      <c r="AC14">
        <f>D14*INDEX(Régions!$Z$2:$Z$6,MATCH($B14,Régions!$A$2:$A$6,0))</f>
        <v/>
      </c>
      <c r="AD14">
        <f>E14*INDEX(Régions!$AA$2:$AA$6,MATCH($B14,Régions!$A$2:$A$6,0))</f>
        <v/>
      </c>
      <c r="AE14">
        <f>F14*INDEX(Régions!$AB$2:$AB$6,MATCH($B14,Régions!$A$2:$A$6,0))</f>
        <v/>
      </c>
      <c r="AF14">
        <f>G14*INDEX(Régions!$AC$2:$AC$6,MATCH($B14,Régions!$A$2:$A$6,0))</f>
        <v/>
      </c>
      <c r="AG14">
        <f>H14*INDEX(Régions!$AD$2:$AD$6,MATCH($B14,Régions!$A$2:$A$6,0))</f>
        <v/>
      </c>
      <c r="AH14">
        <f>I14*INDEX(Régions!$AE$2:$AE$6,MATCH($B14,Régions!$A$2:$A$6,0))</f>
        <v/>
      </c>
      <c r="AI14">
        <f>D14*INDEX(Régions!$AF$2:$AF$6,MATCH($B14,Régions!$A$2:$A$6,0))</f>
        <v/>
      </c>
      <c r="AJ14">
        <f>E14*INDEX(Régions!$AG$2:$AG$6,MATCH($B14,Régions!$A$2:$A$6,0))</f>
        <v/>
      </c>
      <c r="AK14">
        <f>F14*INDEX(Régions!$AH$2:$AH$6,MATCH($B14,Régions!$A$2:$A$6,0))</f>
        <v/>
      </c>
      <c r="AL14">
        <f>G14*INDEX(Régions!$AI$2:$AI$6,MATCH($B14,Régions!$A$2:$A$6,0))</f>
        <v/>
      </c>
      <c r="AM14">
        <f>H14*INDEX(Régions!$AJ$2:$AJ$6,MATCH($B14,Régions!$A$2:$A$6,0))</f>
        <v/>
      </c>
      <c r="AN14">
        <f>I14*INDEX(Régions!$AK$2:$AK$6,MATCH($B14,Régions!$A$2:$A$6,0))</f>
        <v/>
      </c>
      <c r="AO14">
        <f>Régions!$Q$2*Q14/SUM($Q14:$V14)*100+(1-Régions!$Q$2)*MAX(K14*100+(INDEX(Régions!$AL$2:$AL$6,MATCH($B14,Régions!$A$2:$A$6,0))),0)</f>
        <v/>
      </c>
      <c r="AP14">
        <f>Régions!$Q$2*R14/SUM($Q14:$V14)*100+(1-Régions!$Q$2)*MAX(L14*100+(INDEX(Régions!$AM$2:$AM$6,MATCH($B14,Régions!$A$2:$A$6,0))),0)</f>
        <v/>
      </c>
      <c r="AQ14">
        <f>Régions!$Q$2*S14/SUM($Q14:$V14)*100+(1-Régions!$Q$2)*MAX(M14*100+(INDEX(Régions!$AN$2:$AN$6,MATCH($B14,Régions!$A$2:$A$6,0))),0)</f>
        <v/>
      </c>
      <c r="AR14">
        <f>Régions!$Q$2*T14/SUM($Q14:$V14)*100+(1-Régions!$Q$2)*MAX(N14*100+(INDEX(Régions!$AO$2:$AO$6,MATCH($B14,Régions!$A$2:$A$6,0))),0)</f>
        <v/>
      </c>
      <c r="AS14">
        <f>Régions!$Q$2*U14/SUM($Q14:$V14)*100+(1-Régions!$Q$2)*MAX(O14*100+(INDEX(Régions!$AP$2:$AP$6,MATCH($B14,Régions!$A$2:$A$6,0))),0)</f>
        <v/>
      </c>
      <c r="AT14">
        <f>Régions!$Q$2*V14/SUM($Q14:$V14)*100+(1-Régions!$Q$2)*MAX(P14*100+(INDEX(Régions!$AQ$2:$AQ$6,MATCH($B14,Régions!$A$2:$A$6,0))),0)</f>
        <v/>
      </c>
      <c r="AU14">
        <f>INDEX({"CAQ","PLQ","QS","PQ","PCQ","Autre"},MATCH(MAX(Q14:V14),Q14:V14,0))</f>
        <v/>
      </c>
      <c r="AV14">
        <f>INDEX({"CAQ","PLQ","QS","PQ","PCQ","Autre"},MATCH(MAX(W14:AB14),W14:AB14,0))</f>
        <v/>
      </c>
      <c r="AW14">
        <f>INDEX({"CAQ","PLQ","QS","PQ","PCQ","Autre"},MATCH(MAX(AC14:AH14),AC14:AH14,0))</f>
        <v/>
      </c>
      <c r="AX14">
        <f>INDEX({"CAQ","PLQ","QS","PQ","PCQ","Autre"},MATCH(MAX(AI14:AN14),AI14:AN14,0))</f>
        <v/>
      </c>
      <c r="AY14">
        <f>INDEX({"CAQ","PLQ","QS","PQ","PCQ","Autre"},MATCH(MAX(AO14:AT14),AO14:AT14,0))</f>
        <v/>
      </c>
      <c r="AZ14">
        <f>(MAX(K14:P14)-LARGE(K14:P14,2))*100</f>
        <v/>
      </c>
      <c r="BA14">
        <f>IF(AZ14&lt;5,"Oui","Non")</f>
        <v/>
      </c>
      <c r="BB14" t="n">
        <v>0.605</v>
      </c>
      <c r="BC14" t="n">
        <v>-0.509</v>
      </c>
      <c r="BD14" t="n">
        <v>-1.361</v>
      </c>
      <c r="BE14" t="n">
        <v>0.384</v>
      </c>
    </row>
    <row r="15">
      <c r="A15" t="inlineStr">
        <is>
          <t>Blainville</t>
        </is>
      </c>
      <c r="B15" t="inlineStr">
        <is>
          <t>Banlieue de Montréal</t>
        </is>
      </c>
      <c r="C15">
        <f>INDEX({"CAQ","PLQ","QS","PQ","PCQ","Autre"},MATCH(MAX(D15:I15),D15:I15,0))</f>
        <v/>
      </c>
      <c r="D15" t="n">
        <v>21151.5</v>
      </c>
      <c r="E15" t="n">
        <v>4718.5</v>
      </c>
      <c r="F15" t="n">
        <v>5987.6</v>
      </c>
      <c r="G15" t="n">
        <v>6601</v>
      </c>
      <c r="H15" t="n">
        <v>4175.4</v>
      </c>
      <c r="I15" t="n">
        <v>140</v>
      </c>
      <c r="J15">
        <f>SUM(D15:I15)</f>
        <v/>
      </c>
      <c r="K15">
        <f>IFERROR(D15/$J15,0)</f>
        <v/>
      </c>
      <c r="L15">
        <f>IFERROR(E15/$J15,0)</f>
        <v/>
      </c>
      <c r="M15">
        <f>IFERROR(F15/$J15,0)</f>
        <v/>
      </c>
      <c r="N15">
        <f>IFERROR(G15/$J15,0)</f>
        <v/>
      </c>
      <c r="O15">
        <f>IFERROR(H15/$J15,0)</f>
        <v/>
      </c>
      <c r="P15">
        <f>IFERROR(I15/$J15,0)</f>
        <v/>
      </c>
      <c r="Q15">
        <f>D15*INDEX(Régions!$T$2:$T$6,MATCH($B15,Régions!$A$2:$A$6,0))</f>
        <v/>
      </c>
      <c r="R15">
        <f>E15*INDEX(Régions!$U$2:$U$6,MATCH($B15,Régions!$A$2:$A$6,0))</f>
        <v/>
      </c>
      <c r="S15">
        <f>F15*INDEX(Régions!$V$2:$V$6,MATCH($B15,Régions!$A$2:$A$6,0))</f>
        <v/>
      </c>
      <c r="T15">
        <f>G15*INDEX(Régions!$W$2:$W$6,MATCH($B15,Régions!$A$2:$A$6,0))</f>
        <v/>
      </c>
      <c r="U15">
        <f>H15*INDEX(Régions!$X$2:$X$6,MATCH($B15,Régions!$A$2:$A$6,0))</f>
        <v/>
      </c>
      <c r="V15">
        <f>I15*INDEX(Régions!$Y$2:$Y$6,MATCH($B15,Régions!$A$2:$A$6,0))</f>
        <v/>
      </c>
      <c r="W15">
        <f>Q15+(BB15/100)*$J15*Régions!$O$2</f>
        <v/>
      </c>
      <c r="X15">
        <f>R15+(BC15/100)*$J15*Régions!$O$2</f>
        <v/>
      </c>
      <c r="Y15">
        <f>S15+(BD15/100)*$J15*Régions!$O$2</f>
        <v/>
      </c>
      <c r="Z15">
        <f>T15+(BE15/100)*$J15*Régions!$O$2</f>
        <v/>
      </c>
      <c r="AA15">
        <f>U15</f>
        <v/>
      </c>
      <c r="AB15">
        <f>V15</f>
        <v/>
      </c>
      <c r="AC15">
        <f>D15*INDEX(Régions!$Z$2:$Z$6,MATCH($B15,Régions!$A$2:$A$6,0))</f>
        <v/>
      </c>
      <c r="AD15">
        <f>E15*INDEX(Régions!$AA$2:$AA$6,MATCH($B15,Régions!$A$2:$A$6,0))</f>
        <v/>
      </c>
      <c r="AE15">
        <f>F15*INDEX(Régions!$AB$2:$AB$6,MATCH($B15,Régions!$A$2:$A$6,0))</f>
        <v/>
      </c>
      <c r="AF15">
        <f>G15*INDEX(Régions!$AC$2:$AC$6,MATCH($B15,Régions!$A$2:$A$6,0))</f>
        <v/>
      </c>
      <c r="AG15">
        <f>H15*INDEX(Régions!$AD$2:$AD$6,MATCH($B15,Régions!$A$2:$A$6,0))</f>
        <v/>
      </c>
      <c r="AH15">
        <f>I15*INDEX(Régions!$AE$2:$AE$6,MATCH($B15,Régions!$A$2:$A$6,0))</f>
        <v/>
      </c>
      <c r="AI15">
        <f>D15*INDEX(Régions!$AF$2:$AF$6,MATCH($B15,Régions!$A$2:$A$6,0))</f>
        <v/>
      </c>
      <c r="AJ15">
        <f>E15*INDEX(Régions!$AG$2:$AG$6,MATCH($B15,Régions!$A$2:$A$6,0))</f>
        <v/>
      </c>
      <c r="AK15">
        <f>F15*INDEX(Régions!$AH$2:$AH$6,MATCH($B15,Régions!$A$2:$A$6,0))</f>
        <v/>
      </c>
      <c r="AL15">
        <f>G15*INDEX(Régions!$AI$2:$AI$6,MATCH($B15,Régions!$A$2:$A$6,0))</f>
        <v/>
      </c>
      <c r="AM15">
        <f>H15*INDEX(Régions!$AJ$2:$AJ$6,MATCH($B15,Régions!$A$2:$A$6,0))</f>
        <v/>
      </c>
      <c r="AN15">
        <f>I15*INDEX(Régions!$AK$2:$AK$6,MATCH($B15,Régions!$A$2:$A$6,0))</f>
        <v/>
      </c>
      <c r="AO15">
        <f>Régions!$Q$2*Q15/SUM($Q15:$V15)*100+(1-Régions!$Q$2)*MAX(K15*100+(INDEX(Régions!$AL$2:$AL$6,MATCH($B15,Régions!$A$2:$A$6,0))),0)</f>
        <v/>
      </c>
      <c r="AP15">
        <f>Régions!$Q$2*R15/SUM($Q15:$V15)*100+(1-Régions!$Q$2)*MAX(L15*100+(INDEX(Régions!$AM$2:$AM$6,MATCH($B15,Régions!$A$2:$A$6,0))),0)</f>
        <v/>
      </c>
      <c r="AQ15">
        <f>Régions!$Q$2*S15/SUM($Q15:$V15)*100+(1-Régions!$Q$2)*MAX(M15*100+(INDEX(Régions!$AN$2:$AN$6,MATCH($B15,Régions!$A$2:$A$6,0))),0)</f>
        <v/>
      </c>
      <c r="AR15">
        <f>Régions!$Q$2*T15/SUM($Q15:$V15)*100+(1-Régions!$Q$2)*MAX(N15*100+(INDEX(Régions!$AO$2:$AO$6,MATCH($B15,Régions!$A$2:$A$6,0))),0)</f>
        <v/>
      </c>
      <c r="AS15">
        <f>Régions!$Q$2*U15/SUM($Q15:$V15)*100+(1-Régions!$Q$2)*MAX(O15*100+(INDEX(Régions!$AP$2:$AP$6,MATCH($B15,Régions!$A$2:$A$6,0))),0)</f>
        <v/>
      </c>
      <c r="AT15">
        <f>Régions!$Q$2*V15/SUM($Q15:$V15)*100+(1-Régions!$Q$2)*MAX(P15*100+(INDEX(Régions!$AQ$2:$AQ$6,MATCH($B15,Régions!$A$2:$A$6,0))),0)</f>
        <v/>
      </c>
      <c r="AU15">
        <f>INDEX({"CAQ","PLQ","QS","PQ","PCQ","Autre"},MATCH(MAX(Q15:V15),Q15:V15,0))</f>
        <v/>
      </c>
      <c r="AV15">
        <f>INDEX({"CAQ","PLQ","QS","PQ","PCQ","Autre"},MATCH(MAX(W15:AB15),W15:AB15,0))</f>
        <v/>
      </c>
      <c r="AW15">
        <f>INDEX({"CAQ","PLQ","QS","PQ","PCQ","Autre"},MATCH(MAX(AC15:AH15),AC15:AH15,0))</f>
        <v/>
      </c>
      <c r="AX15">
        <f>INDEX({"CAQ","PLQ","QS","PQ","PCQ","Autre"},MATCH(MAX(AI15:AN15),AI15:AN15,0))</f>
        <v/>
      </c>
      <c r="AY15">
        <f>INDEX({"CAQ","PLQ","QS","PQ","PCQ","Autre"},MATCH(MAX(AO15:AT15),AO15:AT15,0))</f>
        <v/>
      </c>
      <c r="AZ15">
        <f>(MAX(K15:P15)-LARGE(K15:P15,2))*100</f>
        <v/>
      </c>
      <c r="BA15">
        <f>IF(AZ15&lt;5,"Oui","Non")</f>
        <v/>
      </c>
      <c r="BB15" t="n">
        <v>-1.935</v>
      </c>
      <c r="BC15" t="n">
        <v>-1.167</v>
      </c>
      <c r="BD15" t="n">
        <v>-0.516</v>
      </c>
      <c r="BE15" t="n">
        <v>5.046</v>
      </c>
    </row>
    <row r="16">
      <c r="A16" t="inlineStr">
        <is>
          <t>Bonaventure</t>
        </is>
      </c>
      <c r="B16" t="inlineStr">
        <is>
          <t>Reste du Québec</t>
        </is>
      </c>
      <c r="C16">
        <f>INDEX({"CAQ","PLQ","QS","PQ","PCQ","Autre"},MATCH(MAX(D16:I16),D16:I16,0))</f>
        <v/>
      </c>
      <c r="D16" t="n">
        <v>9919</v>
      </c>
      <c r="E16" t="n">
        <v>1911</v>
      </c>
      <c r="F16" t="n">
        <v>2417</v>
      </c>
      <c r="G16" t="n">
        <v>6708</v>
      </c>
      <c r="H16" t="n">
        <v>1219</v>
      </c>
      <c r="I16" t="n">
        <v>139</v>
      </c>
      <c r="J16">
        <f>SUM(D16:I16)</f>
        <v/>
      </c>
      <c r="K16">
        <f>IFERROR(D16/$J16,0)</f>
        <v/>
      </c>
      <c r="L16">
        <f>IFERROR(E16/$J16,0)</f>
        <v/>
      </c>
      <c r="M16">
        <f>IFERROR(F16/$J16,0)</f>
        <v/>
      </c>
      <c r="N16">
        <f>IFERROR(G16/$J16,0)</f>
        <v/>
      </c>
      <c r="O16">
        <f>IFERROR(H16/$J16,0)</f>
        <v/>
      </c>
      <c r="P16">
        <f>IFERROR(I16/$J16,0)</f>
        <v/>
      </c>
      <c r="Q16">
        <f>D16*INDEX(Régions!$T$2:$T$6,MATCH($B16,Régions!$A$2:$A$6,0))</f>
        <v/>
      </c>
      <c r="R16">
        <f>E16*INDEX(Régions!$U$2:$U$6,MATCH($B16,Régions!$A$2:$A$6,0))</f>
        <v/>
      </c>
      <c r="S16">
        <f>F16*INDEX(Régions!$V$2:$V$6,MATCH($B16,Régions!$A$2:$A$6,0))</f>
        <v/>
      </c>
      <c r="T16">
        <f>G16*INDEX(Régions!$W$2:$W$6,MATCH($B16,Régions!$A$2:$A$6,0))</f>
        <v/>
      </c>
      <c r="U16">
        <f>H16*INDEX(Régions!$X$2:$X$6,MATCH($B16,Régions!$A$2:$A$6,0))</f>
        <v/>
      </c>
      <c r="V16">
        <f>I16*INDEX(Régions!$Y$2:$Y$6,MATCH($B16,Régions!$A$2:$A$6,0))</f>
        <v/>
      </c>
      <c r="W16">
        <f>Q16+(BB16/100)*$J16*Régions!$O$2</f>
        <v/>
      </c>
      <c r="X16">
        <f>R16+(BC16/100)*$J16*Régions!$O$2</f>
        <v/>
      </c>
      <c r="Y16">
        <f>S16+(BD16/100)*$J16*Régions!$O$2</f>
        <v/>
      </c>
      <c r="Z16">
        <f>T16+(BE16/100)*$J16*Régions!$O$2</f>
        <v/>
      </c>
      <c r="AA16">
        <f>U16</f>
        <v/>
      </c>
      <c r="AB16">
        <f>V16</f>
        <v/>
      </c>
      <c r="AC16">
        <f>D16*INDEX(Régions!$Z$2:$Z$6,MATCH($B16,Régions!$A$2:$A$6,0))</f>
        <v/>
      </c>
      <c r="AD16">
        <f>E16*INDEX(Régions!$AA$2:$AA$6,MATCH($B16,Régions!$A$2:$A$6,0))</f>
        <v/>
      </c>
      <c r="AE16">
        <f>F16*INDEX(Régions!$AB$2:$AB$6,MATCH($B16,Régions!$A$2:$A$6,0))</f>
        <v/>
      </c>
      <c r="AF16">
        <f>G16*INDEX(Régions!$AC$2:$AC$6,MATCH($B16,Régions!$A$2:$A$6,0))</f>
        <v/>
      </c>
      <c r="AG16">
        <f>H16*INDEX(Régions!$AD$2:$AD$6,MATCH($B16,Régions!$A$2:$A$6,0))</f>
        <v/>
      </c>
      <c r="AH16">
        <f>I16*INDEX(Régions!$AE$2:$AE$6,MATCH($B16,Régions!$A$2:$A$6,0))</f>
        <v/>
      </c>
      <c r="AI16">
        <f>D16*INDEX(Régions!$AF$2:$AF$6,MATCH($B16,Régions!$A$2:$A$6,0))</f>
        <v/>
      </c>
      <c r="AJ16">
        <f>E16*INDEX(Régions!$AG$2:$AG$6,MATCH($B16,Régions!$A$2:$A$6,0))</f>
        <v/>
      </c>
      <c r="AK16">
        <f>F16*INDEX(Régions!$AH$2:$AH$6,MATCH($B16,Régions!$A$2:$A$6,0))</f>
        <v/>
      </c>
      <c r="AL16">
        <f>G16*INDEX(Régions!$AI$2:$AI$6,MATCH($B16,Régions!$A$2:$A$6,0))</f>
        <v/>
      </c>
      <c r="AM16">
        <f>H16*INDEX(Régions!$AJ$2:$AJ$6,MATCH($B16,Régions!$A$2:$A$6,0))</f>
        <v/>
      </c>
      <c r="AN16">
        <f>I16*INDEX(Régions!$AK$2:$AK$6,MATCH($B16,Régions!$A$2:$A$6,0))</f>
        <v/>
      </c>
      <c r="AO16">
        <f>Régions!$Q$2*Q16/SUM($Q16:$V16)*100+(1-Régions!$Q$2)*MAX(K16*100+(INDEX(Régions!$AL$2:$AL$6,MATCH($B16,Régions!$A$2:$A$6,0))),0)</f>
        <v/>
      </c>
      <c r="AP16">
        <f>Régions!$Q$2*R16/SUM($Q16:$V16)*100+(1-Régions!$Q$2)*MAX(L16*100+(INDEX(Régions!$AM$2:$AM$6,MATCH($B16,Régions!$A$2:$A$6,0))),0)</f>
        <v/>
      </c>
      <c r="AQ16">
        <f>Régions!$Q$2*S16/SUM($Q16:$V16)*100+(1-Régions!$Q$2)*MAX(M16*100+(INDEX(Régions!$AN$2:$AN$6,MATCH($B16,Régions!$A$2:$A$6,0))),0)</f>
        <v/>
      </c>
      <c r="AR16">
        <f>Régions!$Q$2*T16/SUM($Q16:$V16)*100+(1-Régions!$Q$2)*MAX(N16*100+(INDEX(Régions!$AO$2:$AO$6,MATCH($B16,Régions!$A$2:$A$6,0))),0)</f>
        <v/>
      </c>
      <c r="AS16">
        <f>Régions!$Q$2*U16/SUM($Q16:$V16)*100+(1-Régions!$Q$2)*MAX(O16*100+(INDEX(Régions!$AP$2:$AP$6,MATCH($B16,Régions!$A$2:$A$6,0))),0)</f>
        <v/>
      </c>
      <c r="AT16">
        <f>Régions!$Q$2*V16/SUM($Q16:$V16)*100+(1-Régions!$Q$2)*MAX(P16*100+(INDEX(Régions!$AQ$2:$AQ$6,MATCH($B16,Régions!$A$2:$A$6,0))),0)</f>
        <v/>
      </c>
      <c r="AU16">
        <f>INDEX({"CAQ","PLQ","QS","PQ","PCQ","Autre"},MATCH(MAX(Q16:V16),Q16:V16,0))</f>
        <v/>
      </c>
      <c r="AV16">
        <f>INDEX({"CAQ","PLQ","QS","PQ","PCQ","Autre"},MATCH(MAX(W16:AB16),W16:AB16,0))</f>
        <v/>
      </c>
      <c r="AW16">
        <f>INDEX({"CAQ","PLQ","QS","PQ","PCQ","Autre"},MATCH(MAX(AC16:AH16),AC16:AH16,0))</f>
        <v/>
      </c>
      <c r="AX16">
        <f>INDEX({"CAQ","PLQ","QS","PQ","PCQ","Autre"},MATCH(MAX(AI16:AN16),AI16:AN16,0))</f>
        <v/>
      </c>
      <c r="AY16">
        <f>INDEX({"CAQ","PLQ","QS","PQ","PCQ","Autre"},MATCH(MAX(AO16:AT16),AO16:AT16,0))</f>
        <v/>
      </c>
      <c r="AZ16">
        <f>(MAX(K16:P16)-LARGE(K16:P16,2))*100</f>
        <v/>
      </c>
      <c r="BA16">
        <f>IF(AZ16&lt;5,"Oui","Non")</f>
        <v/>
      </c>
      <c r="BB16" t="n">
        <v>21.045</v>
      </c>
      <c r="BC16" t="n">
        <v>-3.857</v>
      </c>
      <c r="BD16" t="n">
        <v>-2.985</v>
      </c>
      <c r="BE16" t="n">
        <v>-4.23</v>
      </c>
    </row>
    <row r="17">
      <c r="A17" t="inlineStr">
        <is>
          <t>Borduas</t>
        </is>
      </c>
      <c r="B17" t="inlineStr">
        <is>
          <t>Banlieue de Montréal</t>
        </is>
      </c>
      <c r="C17">
        <f>INDEX({"CAQ","PLQ","QS","PQ","PCQ","Autre"},MATCH(MAX(D17:I17),D17:I17,0))</f>
        <v/>
      </c>
      <c r="D17" t="n">
        <v>21264.2</v>
      </c>
      <c r="E17" t="n">
        <v>2173.1</v>
      </c>
      <c r="F17" t="n">
        <v>6284</v>
      </c>
      <c r="G17" t="n">
        <v>8077.8</v>
      </c>
      <c r="H17" t="n">
        <v>3136.4</v>
      </c>
      <c r="I17" t="n">
        <v>573.6</v>
      </c>
      <c r="J17">
        <f>SUM(D17:I17)</f>
        <v/>
      </c>
      <c r="K17">
        <f>IFERROR(D17/$J17,0)</f>
        <v/>
      </c>
      <c r="L17">
        <f>IFERROR(E17/$J17,0)</f>
        <v/>
      </c>
      <c r="M17">
        <f>IFERROR(F17/$J17,0)</f>
        <v/>
      </c>
      <c r="N17">
        <f>IFERROR(G17/$J17,0)</f>
        <v/>
      </c>
      <c r="O17">
        <f>IFERROR(H17/$J17,0)</f>
        <v/>
      </c>
      <c r="P17">
        <f>IFERROR(I17/$J17,0)</f>
        <v/>
      </c>
      <c r="Q17">
        <f>D17*INDEX(Régions!$T$2:$T$6,MATCH($B17,Régions!$A$2:$A$6,0))</f>
        <v/>
      </c>
      <c r="R17">
        <f>E17*INDEX(Régions!$U$2:$U$6,MATCH($B17,Régions!$A$2:$A$6,0))</f>
        <v/>
      </c>
      <c r="S17">
        <f>F17*INDEX(Régions!$V$2:$V$6,MATCH($B17,Régions!$A$2:$A$6,0))</f>
        <v/>
      </c>
      <c r="T17">
        <f>G17*INDEX(Régions!$W$2:$W$6,MATCH($B17,Régions!$A$2:$A$6,0))</f>
        <v/>
      </c>
      <c r="U17">
        <f>H17*INDEX(Régions!$X$2:$X$6,MATCH($B17,Régions!$A$2:$A$6,0))</f>
        <v/>
      </c>
      <c r="V17">
        <f>I17*INDEX(Régions!$Y$2:$Y$6,MATCH($B17,Régions!$A$2:$A$6,0))</f>
        <v/>
      </c>
      <c r="W17">
        <f>Q17+(BB17/100)*$J17*Régions!$O$2</f>
        <v/>
      </c>
      <c r="X17">
        <f>R17+(BC17/100)*$J17*Régions!$O$2</f>
        <v/>
      </c>
      <c r="Y17">
        <f>S17+(BD17/100)*$J17*Régions!$O$2</f>
        <v/>
      </c>
      <c r="Z17">
        <f>T17+(BE17/100)*$J17*Régions!$O$2</f>
        <v/>
      </c>
      <c r="AA17">
        <f>U17</f>
        <v/>
      </c>
      <c r="AB17">
        <f>V17</f>
        <v/>
      </c>
      <c r="AC17">
        <f>D17*INDEX(Régions!$Z$2:$Z$6,MATCH($B17,Régions!$A$2:$A$6,0))</f>
        <v/>
      </c>
      <c r="AD17">
        <f>E17*INDEX(Régions!$AA$2:$AA$6,MATCH($B17,Régions!$A$2:$A$6,0))</f>
        <v/>
      </c>
      <c r="AE17">
        <f>F17*INDEX(Régions!$AB$2:$AB$6,MATCH($B17,Régions!$A$2:$A$6,0))</f>
        <v/>
      </c>
      <c r="AF17">
        <f>G17*INDEX(Régions!$AC$2:$AC$6,MATCH($B17,Régions!$A$2:$A$6,0))</f>
        <v/>
      </c>
      <c r="AG17">
        <f>H17*INDEX(Régions!$AD$2:$AD$6,MATCH($B17,Régions!$A$2:$A$6,0))</f>
        <v/>
      </c>
      <c r="AH17">
        <f>I17*INDEX(Régions!$AE$2:$AE$6,MATCH($B17,Régions!$A$2:$A$6,0))</f>
        <v/>
      </c>
      <c r="AI17">
        <f>D17*INDEX(Régions!$AF$2:$AF$6,MATCH($B17,Régions!$A$2:$A$6,0))</f>
        <v/>
      </c>
      <c r="AJ17">
        <f>E17*INDEX(Régions!$AG$2:$AG$6,MATCH($B17,Régions!$A$2:$A$6,0))</f>
        <v/>
      </c>
      <c r="AK17">
        <f>F17*INDEX(Régions!$AH$2:$AH$6,MATCH($B17,Régions!$A$2:$A$6,0))</f>
        <v/>
      </c>
      <c r="AL17">
        <f>G17*INDEX(Régions!$AI$2:$AI$6,MATCH($B17,Régions!$A$2:$A$6,0))</f>
        <v/>
      </c>
      <c r="AM17">
        <f>H17*INDEX(Régions!$AJ$2:$AJ$6,MATCH($B17,Régions!$A$2:$A$6,0))</f>
        <v/>
      </c>
      <c r="AN17">
        <f>I17*INDEX(Régions!$AK$2:$AK$6,MATCH($B17,Régions!$A$2:$A$6,0))</f>
        <v/>
      </c>
      <c r="AO17">
        <f>Régions!$Q$2*Q17/SUM($Q17:$V17)*100+(1-Régions!$Q$2)*MAX(K17*100+(INDEX(Régions!$AL$2:$AL$6,MATCH($B17,Régions!$A$2:$A$6,0))),0)</f>
        <v/>
      </c>
      <c r="AP17">
        <f>Régions!$Q$2*R17/SUM($Q17:$V17)*100+(1-Régions!$Q$2)*MAX(L17*100+(INDEX(Régions!$AM$2:$AM$6,MATCH($B17,Régions!$A$2:$A$6,0))),0)</f>
        <v/>
      </c>
      <c r="AQ17">
        <f>Régions!$Q$2*S17/SUM($Q17:$V17)*100+(1-Régions!$Q$2)*MAX(M17*100+(INDEX(Régions!$AN$2:$AN$6,MATCH($B17,Régions!$A$2:$A$6,0))),0)</f>
        <v/>
      </c>
      <c r="AR17">
        <f>Régions!$Q$2*T17/SUM($Q17:$V17)*100+(1-Régions!$Q$2)*MAX(N17*100+(INDEX(Régions!$AO$2:$AO$6,MATCH($B17,Régions!$A$2:$A$6,0))),0)</f>
        <v/>
      </c>
      <c r="AS17">
        <f>Régions!$Q$2*U17/SUM($Q17:$V17)*100+(1-Régions!$Q$2)*MAX(O17*100+(INDEX(Régions!$AP$2:$AP$6,MATCH($B17,Régions!$A$2:$A$6,0))),0)</f>
        <v/>
      </c>
      <c r="AT17">
        <f>Régions!$Q$2*V17/SUM($Q17:$V17)*100+(1-Régions!$Q$2)*MAX(P17*100+(INDEX(Régions!$AQ$2:$AQ$6,MATCH($B17,Régions!$A$2:$A$6,0))),0)</f>
        <v/>
      </c>
      <c r="AU17">
        <f>INDEX({"CAQ","PLQ","QS","PQ","PCQ","Autre"},MATCH(MAX(Q17:V17),Q17:V17,0))</f>
        <v/>
      </c>
      <c r="AV17">
        <f>INDEX({"CAQ","PLQ","QS","PQ","PCQ","Autre"},MATCH(MAX(W17:AB17),W17:AB17,0))</f>
        <v/>
      </c>
      <c r="AW17">
        <f>INDEX({"CAQ","PLQ","QS","PQ","PCQ","Autre"},MATCH(MAX(AC17:AH17),AC17:AH17,0))</f>
        <v/>
      </c>
      <c r="AX17">
        <f>INDEX({"CAQ","PLQ","QS","PQ","PCQ","Autre"},MATCH(MAX(AI17:AN17),AI17:AN17,0))</f>
        <v/>
      </c>
      <c r="AY17">
        <f>INDEX({"CAQ","PLQ","QS","PQ","PCQ","Autre"},MATCH(MAX(AO17:AT17),AO17:AT17,0))</f>
        <v/>
      </c>
      <c r="AZ17">
        <f>(MAX(K17:P17)-LARGE(K17:P17,2))*100</f>
        <v/>
      </c>
      <c r="BA17">
        <f>IF(AZ17&lt;5,"Oui","Non")</f>
        <v/>
      </c>
      <c r="BB17" t="n">
        <v>0.334</v>
      </c>
      <c r="BC17" t="n">
        <v>0.623</v>
      </c>
      <c r="BD17" t="n">
        <v>0.101</v>
      </c>
      <c r="BE17" t="n">
        <v>1.23</v>
      </c>
    </row>
    <row r="18">
      <c r="A18" t="inlineStr">
        <is>
          <t>Bourassa-Sauvé</t>
        </is>
      </c>
      <c r="B18" t="inlineStr">
        <is>
          <t>Île de Montréal</t>
        </is>
      </c>
      <c r="C18">
        <f>INDEX({"CAQ","PLQ","QS","PQ","PCQ","Autre"},MATCH(MAX(D18:I18),D18:I18,0))</f>
        <v/>
      </c>
      <c r="D18" t="n">
        <v>6049</v>
      </c>
      <c r="E18" t="n">
        <v>9704</v>
      </c>
      <c r="F18" t="n">
        <v>3737</v>
      </c>
      <c r="G18" t="n">
        <v>2101</v>
      </c>
      <c r="H18" t="n">
        <v>2161</v>
      </c>
      <c r="I18" t="n">
        <v>430</v>
      </c>
      <c r="J18">
        <f>SUM(D18:I18)</f>
        <v/>
      </c>
      <c r="K18">
        <f>IFERROR(D18/$J18,0)</f>
        <v/>
      </c>
      <c r="L18">
        <f>IFERROR(E18/$J18,0)</f>
        <v/>
      </c>
      <c r="M18">
        <f>IFERROR(F18/$J18,0)</f>
        <v/>
      </c>
      <c r="N18">
        <f>IFERROR(G18/$J18,0)</f>
        <v/>
      </c>
      <c r="O18">
        <f>IFERROR(H18/$J18,0)</f>
        <v/>
      </c>
      <c r="P18">
        <f>IFERROR(I18/$J18,0)</f>
        <v/>
      </c>
      <c r="Q18">
        <f>D18*INDEX(Régions!$T$2:$T$6,MATCH($B18,Régions!$A$2:$A$6,0))</f>
        <v/>
      </c>
      <c r="R18">
        <f>E18*INDEX(Régions!$U$2:$U$6,MATCH($B18,Régions!$A$2:$A$6,0))</f>
        <v/>
      </c>
      <c r="S18">
        <f>F18*INDEX(Régions!$V$2:$V$6,MATCH($B18,Régions!$A$2:$A$6,0))</f>
        <v/>
      </c>
      <c r="T18">
        <f>G18*INDEX(Régions!$W$2:$W$6,MATCH($B18,Régions!$A$2:$A$6,0))</f>
        <v/>
      </c>
      <c r="U18">
        <f>H18*INDEX(Régions!$X$2:$X$6,MATCH($B18,Régions!$A$2:$A$6,0))</f>
        <v/>
      </c>
      <c r="V18">
        <f>I18*INDEX(Régions!$Y$2:$Y$6,MATCH($B18,Régions!$A$2:$A$6,0))</f>
        <v/>
      </c>
      <c r="W18">
        <f>Q18+(BB18/100)*$J18*Régions!$O$2</f>
        <v/>
      </c>
      <c r="X18">
        <f>R18+(BC18/100)*$J18*Régions!$O$2</f>
        <v/>
      </c>
      <c r="Y18">
        <f>S18+(BD18/100)*$J18*Régions!$O$2</f>
        <v/>
      </c>
      <c r="Z18">
        <f>T18+(BE18/100)*$J18*Régions!$O$2</f>
        <v/>
      </c>
      <c r="AA18">
        <f>U18</f>
        <v/>
      </c>
      <c r="AB18">
        <f>V18</f>
        <v/>
      </c>
      <c r="AC18">
        <f>D18*INDEX(Régions!$Z$2:$Z$6,MATCH($B18,Régions!$A$2:$A$6,0))</f>
        <v/>
      </c>
      <c r="AD18">
        <f>E18*INDEX(Régions!$AA$2:$AA$6,MATCH($B18,Régions!$A$2:$A$6,0))</f>
        <v/>
      </c>
      <c r="AE18">
        <f>F18*INDEX(Régions!$AB$2:$AB$6,MATCH($B18,Régions!$A$2:$A$6,0))</f>
        <v/>
      </c>
      <c r="AF18">
        <f>G18*INDEX(Régions!$AC$2:$AC$6,MATCH($B18,Régions!$A$2:$A$6,0))</f>
        <v/>
      </c>
      <c r="AG18">
        <f>H18*INDEX(Régions!$AD$2:$AD$6,MATCH($B18,Régions!$A$2:$A$6,0))</f>
        <v/>
      </c>
      <c r="AH18">
        <f>I18*INDEX(Régions!$AE$2:$AE$6,MATCH($B18,Régions!$A$2:$A$6,0))</f>
        <v/>
      </c>
      <c r="AI18">
        <f>D18*INDEX(Régions!$AF$2:$AF$6,MATCH($B18,Régions!$A$2:$A$6,0))</f>
        <v/>
      </c>
      <c r="AJ18">
        <f>E18*INDEX(Régions!$AG$2:$AG$6,MATCH($B18,Régions!$A$2:$A$6,0))</f>
        <v/>
      </c>
      <c r="AK18">
        <f>F18*INDEX(Régions!$AH$2:$AH$6,MATCH($B18,Régions!$A$2:$A$6,0))</f>
        <v/>
      </c>
      <c r="AL18">
        <f>G18*INDEX(Régions!$AI$2:$AI$6,MATCH($B18,Régions!$A$2:$A$6,0))</f>
        <v/>
      </c>
      <c r="AM18">
        <f>H18*INDEX(Régions!$AJ$2:$AJ$6,MATCH($B18,Régions!$A$2:$A$6,0))</f>
        <v/>
      </c>
      <c r="AN18">
        <f>I18*INDEX(Régions!$AK$2:$AK$6,MATCH($B18,Régions!$A$2:$A$6,0))</f>
        <v/>
      </c>
      <c r="AO18">
        <f>Régions!$Q$2*Q18/SUM($Q18:$V18)*100+(1-Régions!$Q$2)*MAX(K18*100+(INDEX(Régions!$AL$2:$AL$6,MATCH($B18,Régions!$A$2:$A$6,0))),0)</f>
        <v/>
      </c>
      <c r="AP18">
        <f>Régions!$Q$2*R18/SUM($Q18:$V18)*100+(1-Régions!$Q$2)*MAX(L18*100+(INDEX(Régions!$AM$2:$AM$6,MATCH($B18,Régions!$A$2:$A$6,0))),0)</f>
        <v/>
      </c>
      <c r="AQ18">
        <f>Régions!$Q$2*S18/SUM($Q18:$V18)*100+(1-Régions!$Q$2)*MAX(M18*100+(INDEX(Régions!$AN$2:$AN$6,MATCH($B18,Régions!$A$2:$A$6,0))),0)</f>
        <v/>
      </c>
      <c r="AR18">
        <f>Régions!$Q$2*T18/SUM($Q18:$V18)*100+(1-Régions!$Q$2)*MAX(N18*100+(INDEX(Régions!$AO$2:$AO$6,MATCH($B18,Régions!$A$2:$A$6,0))),0)</f>
        <v/>
      </c>
      <c r="AS18">
        <f>Régions!$Q$2*U18/SUM($Q18:$V18)*100+(1-Régions!$Q$2)*MAX(O18*100+(INDEX(Régions!$AP$2:$AP$6,MATCH($B18,Régions!$A$2:$A$6,0))),0)</f>
        <v/>
      </c>
      <c r="AT18">
        <f>Régions!$Q$2*V18/SUM($Q18:$V18)*100+(1-Régions!$Q$2)*MAX(P18*100+(INDEX(Régions!$AQ$2:$AQ$6,MATCH($B18,Régions!$A$2:$A$6,0))),0)</f>
        <v/>
      </c>
      <c r="AU18">
        <f>INDEX({"CAQ","PLQ","QS","PQ","PCQ","Autre"},MATCH(MAX(Q18:V18),Q18:V18,0))</f>
        <v/>
      </c>
      <c r="AV18">
        <f>INDEX({"CAQ","PLQ","QS","PQ","PCQ","Autre"},MATCH(MAX(W18:AB18),W18:AB18,0))</f>
        <v/>
      </c>
      <c r="AW18">
        <f>INDEX({"CAQ","PLQ","QS","PQ","PCQ","Autre"},MATCH(MAX(AC18:AH18),AC18:AH18,0))</f>
        <v/>
      </c>
      <c r="AX18">
        <f>INDEX({"CAQ","PLQ","QS","PQ","PCQ","Autre"},MATCH(MAX(AI18:AN18),AI18:AN18,0))</f>
        <v/>
      </c>
      <c r="AY18">
        <f>INDEX({"CAQ","PLQ","QS","PQ","PCQ","Autre"},MATCH(MAX(AO18:AT18),AO18:AT18,0))</f>
        <v/>
      </c>
      <c r="AZ18">
        <f>(MAX(K18:P18)-LARGE(K18:P18,2))*100</f>
        <v/>
      </c>
      <c r="BA18">
        <f>IF(AZ18&lt;5,"Oui","Non")</f>
        <v/>
      </c>
      <c r="BB18" t="n">
        <v>-0.413</v>
      </c>
      <c r="BC18" t="n">
        <v>2.766</v>
      </c>
      <c r="BD18" t="n">
        <v>0.701</v>
      </c>
      <c r="BE18" t="n">
        <v>-0.846</v>
      </c>
    </row>
    <row r="19">
      <c r="A19" t="inlineStr">
        <is>
          <t>Brome-Missisquoi</t>
        </is>
      </c>
      <c r="B19" t="inlineStr">
        <is>
          <t>Banlieue de Montréal</t>
        </is>
      </c>
      <c r="C19">
        <f>INDEX({"CAQ","PLQ","QS","PQ","PCQ","Autre"},MATCH(MAX(D19:I19),D19:I19,0))</f>
        <v/>
      </c>
      <c r="D19" t="n">
        <v>16476.8</v>
      </c>
      <c r="E19" t="n">
        <v>4279.3</v>
      </c>
      <c r="F19" t="n">
        <v>5715.9</v>
      </c>
      <c r="G19" t="n">
        <v>4291.4</v>
      </c>
      <c r="H19" t="n">
        <v>4417.9</v>
      </c>
      <c r="I19" t="n">
        <v>738.3</v>
      </c>
      <c r="J19">
        <f>SUM(D19:I19)</f>
        <v/>
      </c>
      <c r="K19">
        <f>IFERROR(D19/$J19,0)</f>
        <v/>
      </c>
      <c r="L19">
        <f>IFERROR(E19/$J19,0)</f>
        <v/>
      </c>
      <c r="M19">
        <f>IFERROR(F19/$J19,0)</f>
        <v/>
      </c>
      <c r="N19">
        <f>IFERROR(G19/$J19,0)</f>
        <v/>
      </c>
      <c r="O19">
        <f>IFERROR(H19/$J19,0)</f>
        <v/>
      </c>
      <c r="P19">
        <f>IFERROR(I19/$J19,0)</f>
        <v/>
      </c>
      <c r="Q19">
        <f>D19*INDEX(Régions!$T$2:$T$6,MATCH($B19,Régions!$A$2:$A$6,0))</f>
        <v/>
      </c>
      <c r="R19">
        <f>E19*INDEX(Régions!$U$2:$U$6,MATCH($B19,Régions!$A$2:$A$6,0))</f>
        <v/>
      </c>
      <c r="S19">
        <f>F19*INDEX(Régions!$V$2:$V$6,MATCH($B19,Régions!$A$2:$A$6,0))</f>
        <v/>
      </c>
      <c r="T19">
        <f>G19*INDEX(Régions!$W$2:$W$6,MATCH($B19,Régions!$A$2:$A$6,0))</f>
        <v/>
      </c>
      <c r="U19">
        <f>H19*INDEX(Régions!$X$2:$X$6,MATCH($B19,Régions!$A$2:$A$6,0))</f>
        <v/>
      </c>
      <c r="V19">
        <f>I19*INDEX(Régions!$Y$2:$Y$6,MATCH($B19,Régions!$A$2:$A$6,0))</f>
        <v/>
      </c>
      <c r="W19">
        <f>Q19+(BB19/100)*$J19*Régions!$O$2</f>
        <v/>
      </c>
      <c r="X19">
        <f>R19+(BC19/100)*$J19*Régions!$O$2</f>
        <v/>
      </c>
      <c r="Y19">
        <f>S19+(BD19/100)*$J19*Régions!$O$2</f>
        <v/>
      </c>
      <c r="Z19">
        <f>T19+(BE19/100)*$J19*Régions!$O$2</f>
        <v/>
      </c>
      <c r="AA19">
        <f>U19</f>
        <v/>
      </c>
      <c r="AB19">
        <f>V19</f>
        <v/>
      </c>
      <c r="AC19">
        <f>D19*INDEX(Régions!$Z$2:$Z$6,MATCH($B19,Régions!$A$2:$A$6,0))</f>
        <v/>
      </c>
      <c r="AD19">
        <f>E19*INDEX(Régions!$AA$2:$AA$6,MATCH($B19,Régions!$A$2:$A$6,0))</f>
        <v/>
      </c>
      <c r="AE19">
        <f>F19*INDEX(Régions!$AB$2:$AB$6,MATCH($B19,Régions!$A$2:$A$6,0))</f>
        <v/>
      </c>
      <c r="AF19">
        <f>G19*INDEX(Régions!$AC$2:$AC$6,MATCH($B19,Régions!$A$2:$A$6,0))</f>
        <v/>
      </c>
      <c r="AG19">
        <f>H19*INDEX(Régions!$AD$2:$AD$6,MATCH($B19,Régions!$A$2:$A$6,0))</f>
        <v/>
      </c>
      <c r="AH19">
        <f>I19*INDEX(Régions!$AE$2:$AE$6,MATCH($B19,Régions!$A$2:$A$6,0))</f>
        <v/>
      </c>
      <c r="AI19">
        <f>D19*INDEX(Régions!$AF$2:$AF$6,MATCH($B19,Régions!$A$2:$A$6,0))</f>
        <v/>
      </c>
      <c r="AJ19">
        <f>E19*INDEX(Régions!$AG$2:$AG$6,MATCH($B19,Régions!$A$2:$A$6,0))</f>
        <v/>
      </c>
      <c r="AK19">
        <f>F19*INDEX(Régions!$AH$2:$AH$6,MATCH($B19,Régions!$A$2:$A$6,0))</f>
        <v/>
      </c>
      <c r="AL19">
        <f>G19*INDEX(Régions!$AI$2:$AI$6,MATCH($B19,Régions!$A$2:$A$6,0))</f>
        <v/>
      </c>
      <c r="AM19">
        <f>H19*INDEX(Régions!$AJ$2:$AJ$6,MATCH($B19,Régions!$A$2:$A$6,0))</f>
        <v/>
      </c>
      <c r="AN19">
        <f>I19*INDEX(Régions!$AK$2:$AK$6,MATCH($B19,Régions!$A$2:$A$6,0))</f>
        <v/>
      </c>
      <c r="AO19">
        <f>Régions!$Q$2*Q19/SUM($Q19:$V19)*100+(1-Régions!$Q$2)*MAX(K19*100+(INDEX(Régions!$AL$2:$AL$6,MATCH($B19,Régions!$A$2:$A$6,0))),0)</f>
        <v/>
      </c>
      <c r="AP19">
        <f>Régions!$Q$2*R19/SUM($Q19:$V19)*100+(1-Régions!$Q$2)*MAX(L19*100+(INDEX(Régions!$AM$2:$AM$6,MATCH($B19,Régions!$A$2:$A$6,0))),0)</f>
        <v/>
      </c>
      <c r="AQ19">
        <f>Régions!$Q$2*S19/SUM($Q19:$V19)*100+(1-Régions!$Q$2)*MAX(M19*100+(INDEX(Régions!$AN$2:$AN$6,MATCH($B19,Régions!$A$2:$A$6,0))),0)</f>
        <v/>
      </c>
      <c r="AR19">
        <f>Régions!$Q$2*T19/SUM($Q19:$V19)*100+(1-Régions!$Q$2)*MAX(N19*100+(INDEX(Régions!$AO$2:$AO$6,MATCH($B19,Régions!$A$2:$A$6,0))),0)</f>
        <v/>
      </c>
      <c r="AS19">
        <f>Régions!$Q$2*U19/SUM($Q19:$V19)*100+(1-Régions!$Q$2)*MAX(O19*100+(INDEX(Régions!$AP$2:$AP$6,MATCH($B19,Régions!$A$2:$A$6,0))),0)</f>
        <v/>
      </c>
      <c r="AT19">
        <f>Régions!$Q$2*V19/SUM($Q19:$V19)*100+(1-Régions!$Q$2)*MAX(P19*100+(INDEX(Régions!$AQ$2:$AQ$6,MATCH($B19,Régions!$A$2:$A$6,0))),0)</f>
        <v/>
      </c>
      <c r="AU19">
        <f>INDEX({"CAQ","PLQ","QS","PQ","PCQ","Autre"},MATCH(MAX(Q19:V19),Q19:V19,0))</f>
        <v/>
      </c>
      <c r="AV19">
        <f>INDEX({"CAQ","PLQ","QS","PQ","PCQ","Autre"},MATCH(MAX(W19:AB19),W19:AB19,0))</f>
        <v/>
      </c>
      <c r="AW19">
        <f>INDEX({"CAQ","PLQ","QS","PQ","PCQ","Autre"},MATCH(MAX(AC19:AH19),AC19:AH19,0))</f>
        <v/>
      </c>
      <c r="AX19">
        <f>INDEX({"CAQ","PLQ","QS","PQ","PCQ","Autre"},MATCH(MAX(AI19:AN19),AI19:AN19,0))</f>
        <v/>
      </c>
      <c r="AY19">
        <f>INDEX({"CAQ","PLQ","QS","PQ","PCQ","Autre"},MATCH(MAX(AO19:AT19),AO19:AT19,0))</f>
        <v/>
      </c>
      <c r="AZ19">
        <f>(MAX(K19:P19)-LARGE(K19:P19,2))*100</f>
        <v/>
      </c>
      <c r="BA19">
        <f>IF(AZ19&lt;5,"Oui","Non")</f>
        <v/>
      </c>
      <c r="BB19" t="n">
        <v>-1.624</v>
      </c>
      <c r="BC19" t="n">
        <v>-5.416</v>
      </c>
      <c r="BD19" t="n">
        <v>-0.76</v>
      </c>
      <c r="BE19" t="n">
        <v>4.397</v>
      </c>
    </row>
    <row r="20">
      <c r="A20" t="inlineStr">
        <is>
          <t>Camille-Laurin</t>
        </is>
      </c>
      <c r="B20" t="inlineStr">
        <is>
          <t>Île de Montréal</t>
        </is>
      </c>
      <c r="C20">
        <f>INDEX({"CAQ","PLQ","QS","PQ","PCQ","Autre"},MATCH(MAX(D20:I20),D20:I20,0))</f>
        <v/>
      </c>
      <c r="D20" t="n">
        <v>9165</v>
      </c>
      <c r="E20" t="n">
        <v>4724</v>
      </c>
      <c r="F20" t="n">
        <v>0</v>
      </c>
      <c r="G20" t="n">
        <v>11959</v>
      </c>
      <c r="H20" t="n">
        <v>1869</v>
      </c>
      <c r="I20" t="n">
        <v>973</v>
      </c>
      <c r="J20">
        <f>SUM(D20:I20)</f>
        <v/>
      </c>
      <c r="K20">
        <f>IFERROR(D20/$J20,0)</f>
        <v/>
      </c>
      <c r="L20">
        <f>IFERROR(E20/$J20,0)</f>
        <v/>
      </c>
      <c r="M20">
        <f>IFERROR(F20/$J20,0)</f>
        <v/>
      </c>
      <c r="N20">
        <f>IFERROR(G20/$J20,0)</f>
        <v/>
      </c>
      <c r="O20">
        <f>IFERROR(H20/$J20,0)</f>
        <v/>
      </c>
      <c r="P20">
        <f>IFERROR(I20/$J20,0)</f>
        <v/>
      </c>
      <c r="Q20">
        <f>D20*INDEX(Régions!$T$2:$T$6,MATCH($B20,Régions!$A$2:$A$6,0))</f>
        <v/>
      </c>
      <c r="R20">
        <f>E20*INDEX(Régions!$U$2:$U$6,MATCH($B20,Régions!$A$2:$A$6,0))</f>
        <v/>
      </c>
      <c r="S20">
        <f>F20*INDEX(Régions!$V$2:$V$6,MATCH($B20,Régions!$A$2:$A$6,0))</f>
        <v/>
      </c>
      <c r="T20">
        <f>G20*INDEX(Régions!$W$2:$W$6,MATCH($B20,Régions!$A$2:$A$6,0))</f>
        <v/>
      </c>
      <c r="U20">
        <f>H20*INDEX(Régions!$X$2:$X$6,MATCH($B20,Régions!$A$2:$A$6,0))</f>
        <v/>
      </c>
      <c r="V20">
        <f>I20*INDEX(Régions!$Y$2:$Y$6,MATCH($B20,Régions!$A$2:$A$6,0))</f>
        <v/>
      </c>
      <c r="W20">
        <f>Q20+(BB20/100)*$J20*Régions!$O$2</f>
        <v/>
      </c>
      <c r="X20">
        <f>R20+(BC20/100)*$J20*Régions!$O$2</f>
        <v/>
      </c>
      <c r="Y20">
        <f>S20+(BD20/100)*$J20*Régions!$O$2</f>
        <v/>
      </c>
      <c r="Z20">
        <f>T20+(BE20/100)*$J20*Régions!$O$2</f>
        <v/>
      </c>
      <c r="AA20">
        <f>U20</f>
        <v/>
      </c>
      <c r="AB20">
        <f>V20</f>
        <v/>
      </c>
      <c r="AC20">
        <f>D20*INDEX(Régions!$Z$2:$Z$6,MATCH($B20,Régions!$A$2:$A$6,0))</f>
        <v/>
      </c>
      <c r="AD20">
        <f>E20*INDEX(Régions!$AA$2:$AA$6,MATCH($B20,Régions!$A$2:$A$6,0))</f>
        <v/>
      </c>
      <c r="AE20">
        <f>F20*INDEX(Régions!$AB$2:$AB$6,MATCH($B20,Régions!$A$2:$A$6,0))</f>
        <v/>
      </c>
      <c r="AF20">
        <f>G20*INDEX(Régions!$AC$2:$AC$6,MATCH($B20,Régions!$A$2:$A$6,0))</f>
        <v/>
      </c>
      <c r="AG20">
        <f>H20*INDEX(Régions!$AD$2:$AD$6,MATCH($B20,Régions!$A$2:$A$6,0))</f>
        <v/>
      </c>
      <c r="AH20">
        <f>I20*INDEX(Régions!$AE$2:$AE$6,MATCH($B20,Régions!$A$2:$A$6,0))</f>
        <v/>
      </c>
      <c r="AI20">
        <f>D20*INDEX(Régions!$AF$2:$AF$6,MATCH($B20,Régions!$A$2:$A$6,0))</f>
        <v/>
      </c>
      <c r="AJ20">
        <f>E20*INDEX(Régions!$AG$2:$AG$6,MATCH($B20,Régions!$A$2:$A$6,0))</f>
        <v/>
      </c>
      <c r="AK20">
        <f>F20*INDEX(Régions!$AH$2:$AH$6,MATCH($B20,Régions!$A$2:$A$6,0))</f>
        <v/>
      </c>
      <c r="AL20">
        <f>G20*INDEX(Régions!$AI$2:$AI$6,MATCH($B20,Régions!$A$2:$A$6,0))</f>
        <v/>
      </c>
      <c r="AM20">
        <f>H20*INDEX(Régions!$AJ$2:$AJ$6,MATCH($B20,Régions!$A$2:$A$6,0))</f>
        <v/>
      </c>
      <c r="AN20">
        <f>I20*INDEX(Régions!$AK$2:$AK$6,MATCH($B20,Régions!$A$2:$A$6,0))</f>
        <v/>
      </c>
      <c r="AO20">
        <f>Régions!$Q$2*Q20/SUM($Q20:$V20)*100+(1-Régions!$Q$2)*MAX(K20*100+(INDEX(Régions!$AL$2:$AL$6,MATCH($B20,Régions!$A$2:$A$6,0))),0)</f>
        <v/>
      </c>
      <c r="AP20">
        <f>Régions!$Q$2*R20/SUM($Q20:$V20)*100+(1-Régions!$Q$2)*MAX(L20*100+(INDEX(Régions!$AM$2:$AM$6,MATCH($B20,Régions!$A$2:$A$6,0))),0)</f>
        <v/>
      </c>
      <c r="AQ20">
        <f>Régions!$Q$2*S20/SUM($Q20:$V20)*100+(1-Régions!$Q$2)*MAX(M20*100+(INDEX(Régions!$AN$2:$AN$6,MATCH($B20,Régions!$A$2:$A$6,0))),0)</f>
        <v/>
      </c>
      <c r="AR20">
        <f>Régions!$Q$2*T20/SUM($Q20:$V20)*100+(1-Régions!$Q$2)*MAX(N20*100+(INDEX(Régions!$AO$2:$AO$6,MATCH($B20,Régions!$A$2:$A$6,0))),0)</f>
        <v/>
      </c>
      <c r="AS20">
        <f>Régions!$Q$2*U20/SUM($Q20:$V20)*100+(1-Régions!$Q$2)*MAX(O20*100+(INDEX(Régions!$AP$2:$AP$6,MATCH($B20,Régions!$A$2:$A$6,0))),0)</f>
        <v/>
      </c>
      <c r="AT20">
        <f>Régions!$Q$2*V20/SUM($Q20:$V20)*100+(1-Régions!$Q$2)*MAX(P20*100+(INDEX(Régions!$AQ$2:$AQ$6,MATCH($B20,Régions!$A$2:$A$6,0))),0)</f>
        <v/>
      </c>
      <c r="AU20">
        <f>INDEX({"CAQ","PLQ","QS","PQ","PCQ","Autre"},MATCH(MAX(Q20:V20),Q20:V20,0))</f>
        <v/>
      </c>
      <c r="AV20">
        <f>INDEX({"CAQ","PLQ","QS","PQ","PCQ","Autre"},MATCH(MAX(W20:AB20),W20:AB20,0))</f>
        <v/>
      </c>
      <c r="AW20">
        <f>INDEX({"CAQ","PLQ","QS","PQ","PCQ","Autre"},MATCH(MAX(AC20:AH20),AC20:AH20,0))</f>
        <v/>
      </c>
      <c r="AX20">
        <f>INDEX({"CAQ","PLQ","QS","PQ","PCQ","Autre"},MATCH(MAX(AI20:AN20),AI20:AN20,0))</f>
        <v/>
      </c>
      <c r="AY20">
        <f>INDEX({"CAQ","PLQ","QS","PQ","PCQ","Autre"},MATCH(MAX(AO20:AT20),AO20:AT20,0))</f>
        <v/>
      </c>
      <c r="AZ20">
        <f>(MAX(K20:P20)-LARGE(K20:P20,2))*100</f>
        <v/>
      </c>
      <c r="BA20">
        <f>IF(AZ20&lt;5,"Oui","Non")</f>
        <v/>
      </c>
      <c r="BB20" t="n">
        <v>2.428</v>
      </c>
      <c r="BC20" t="n">
        <v>6.388</v>
      </c>
      <c r="BD20" t="n">
        <v>-25.217</v>
      </c>
      <c r="BE20" t="n">
        <v>16.775</v>
      </c>
    </row>
    <row r="21">
      <c r="A21" t="inlineStr">
        <is>
          <t>Chambly</t>
        </is>
      </c>
      <c r="B21" t="inlineStr">
        <is>
          <t>Banlieue de Montréal</t>
        </is>
      </c>
      <c r="C21">
        <f>INDEX({"CAQ","PLQ","QS","PQ","PCQ","Autre"},MATCH(MAX(D21:I21),D21:I21,0))</f>
        <v/>
      </c>
      <c r="D21" t="n">
        <v>18500</v>
      </c>
      <c r="E21" t="n">
        <v>2997</v>
      </c>
      <c r="F21" t="n">
        <v>6250</v>
      </c>
      <c r="G21" t="n">
        <v>6831</v>
      </c>
      <c r="H21" t="n">
        <v>3181</v>
      </c>
      <c r="I21" t="n">
        <v>411</v>
      </c>
      <c r="J21">
        <f>SUM(D21:I21)</f>
        <v/>
      </c>
      <c r="K21">
        <f>IFERROR(D21/$J21,0)</f>
        <v/>
      </c>
      <c r="L21">
        <f>IFERROR(E21/$J21,0)</f>
        <v/>
      </c>
      <c r="M21">
        <f>IFERROR(F21/$J21,0)</f>
        <v/>
      </c>
      <c r="N21">
        <f>IFERROR(G21/$J21,0)</f>
        <v/>
      </c>
      <c r="O21">
        <f>IFERROR(H21/$J21,0)</f>
        <v/>
      </c>
      <c r="P21">
        <f>IFERROR(I21/$J21,0)</f>
        <v/>
      </c>
      <c r="Q21">
        <f>D21*INDEX(Régions!$T$2:$T$6,MATCH($B21,Régions!$A$2:$A$6,0))</f>
        <v/>
      </c>
      <c r="R21">
        <f>E21*INDEX(Régions!$U$2:$U$6,MATCH($B21,Régions!$A$2:$A$6,0))</f>
        <v/>
      </c>
      <c r="S21">
        <f>F21*INDEX(Régions!$V$2:$V$6,MATCH($B21,Régions!$A$2:$A$6,0))</f>
        <v/>
      </c>
      <c r="T21">
        <f>G21*INDEX(Régions!$W$2:$W$6,MATCH($B21,Régions!$A$2:$A$6,0))</f>
        <v/>
      </c>
      <c r="U21">
        <f>H21*INDEX(Régions!$X$2:$X$6,MATCH($B21,Régions!$A$2:$A$6,0))</f>
        <v/>
      </c>
      <c r="V21">
        <f>I21*INDEX(Régions!$Y$2:$Y$6,MATCH($B21,Régions!$A$2:$A$6,0))</f>
        <v/>
      </c>
      <c r="W21">
        <f>Q21+(BB21/100)*$J21*Régions!$O$2</f>
        <v/>
      </c>
      <c r="X21">
        <f>R21+(BC21/100)*$J21*Régions!$O$2</f>
        <v/>
      </c>
      <c r="Y21">
        <f>S21+(BD21/100)*$J21*Régions!$O$2</f>
        <v/>
      </c>
      <c r="Z21">
        <f>T21+(BE21/100)*$J21*Régions!$O$2</f>
        <v/>
      </c>
      <c r="AA21">
        <f>U21</f>
        <v/>
      </c>
      <c r="AB21">
        <f>V21</f>
        <v/>
      </c>
      <c r="AC21">
        <f>D21*INDEX(Régions!$Z$2:$Z$6,MATCH($B21,Régions!$A$2:$A$6,0))</f>
        <v/>
      </c>
      <c r="AD21">
        <f>E21*INDEX(Régions!$AA$2:$AA$6,MATCH($B21,Régions!$A$2:$A$6,0))</f>
        <v/>
      </c>
      <c r="AE21">
        <f>F21*INDEX(Régions!$AB$2:$AB$6,MATCH($B21,Régions!$A$2:$A$6,0))</f>
        <v/>
      </c>
      <c r="AF21">
        <f>G21*INDEX(Régions!$AC$2:$AC$6,MATCH($B21,Régions!$A$2:$A$6,0))</f>
        <v/>
      </c>
      <c r="AG21">
        <f>H21*INDEX(Régions!$AD$2:$AD$6,MATCH($B21,Régions!$A$2:$A$6,0))</f>
        <v/>
      </c>
      <c r="AH21">
        <f>I21*INDEX(Régions!$AE$2:$AE$6,MATCH($B21,Régions!$A$2:$A$6,0))</f>
        <v/>
      </c>
      <c r="AI21">
        <f>D21*INDEX(Régions!$AF$2:$AF$6,MATCH($B21,Régions!$A$2:$A$6,0))</f>
        <v/>
      </c>
      <c r="AJ21">
        <f>E21*INDEX(Régions!$AG$2:$AG$6,MATCH($B21,Régions!$A$2:$A$6,0))</f>
        <v/>
      </c>
      <c r="AK21">
        <f>F21*INDEX(Régions!$AH$2:$AH$6,MATCH($B21,Régions!$A$2:$A$6,0))</f>
        <v/>
      </c>
      <c r="AL21">
        <f>G21*INDEX(Régions!$AI$2:$AI$6,MATCH($B21,Régions!$A$2:$A$6,0))</f>
        <v/>
      </c>
      <c r="AM21">
        <f>H21*INDEX(Régions!$AJ$2:$AJ$6,MATCH($B21,Régions!$A$2:$A$6,0))</f>
        <v/>
      </c>
      <c r="AN21">
        <f>I21*INDEX(Régions!$AK$2:$AK$6,MATCH($B21,Régions!$A$2:$A$6,0))</f>
        <v/>
      </c>
      <c r="AO21">
        <f>Régions!$Q$2*Q21/SUM($Q21:$V21)*100+(1-Régions!$Q$2)*MAX(K21*100+(INDEX(Régions!$AL$2:$AL$6,MATCH($B21,Régions!$A$2:$A$6,0))),0)</f>
        <v/>
      </c>
      <c r="AP21">
        <f>Régions!$Q$2*R21/SUM($Q21:$V21)*100+(1-Régions!$Q$2)*MAX(L21*100+(INDEX(Régions!$AM$2:$AM$6,MATCH($B21,Régions!$A$2:$A$6,0))),0)</f>
        <v/>
      </c>
      <c r="AQ21">
        <f>Régions!$Q$2*S21/SUM($Q21:$V21)*100+(1-Régions!$Q$2)*MAX(M21*100+(INDEX(Régions!$AN$2:$AN$6,MATCH($B21,Régions!$A$2:$A$6,0))),0)</f>
        <v/>
      </c>
      <c r="AR21">
        <f>Régions!$Q$2*T21/SUM($Q21:$V21)*100+(1-Régions!$Q$2)*MAX(N21*100+(INDEX(Régions!$AO$2:$AO$6,MATCH($B21,Régions!$A$2:$A$6,0))),0)</f>
        <v/>
      </c>
      <c r="AS21">
        <f>Régions!$Q$2*U21/SUM($Q21:$V21)*100+(1-Régions!$Q$2)*MAX(O21*100+(INDEX(Régions!$AP$2:$AP$6,MATCH($B21,Régions!$A$2:$A$6,0))),0)</f>
        <v/>
      </c>
      <c r="AT21">
        <f>Régions!$Q$2*V21/SUM($Q21:$V21)*100+(1-Régions!$Q$2)*MAX(P21*100+(INDEX(Régions!$AQ$2:$AQ$6,MATCH($B21,Régions!$A$2:$A$6,0))),0)</f>
        <v/>
      </c>
      <c r="AU21">
        <f>INDEX({"CAQ","PLQ","QS","PQ","PCQ","Autre"},MATCH(MAX(Q21:V21),Q21:V21,0))</f>
        <v/>
      </c>
      <c r="AV21">
        <f>INDEX({"CAQ","PLQ","QS","PQ","PCQ","Autre"},MATCH(MAX(W21:AB21),W21:AB21,0))</f>
        <v/>
      </c>
      <c r="AW21">
        <f>INDEX({"CAQ","PLQ","QS","PQ","PCQ","Autre"},MATCH(MAX(AC21:AH21),AC21:AH21,0))</f>
        <v/>
      </c>
      <c r="AX21">
        <f>INDEX({"CAQ","PLQ","QS","PQ","PCQ","Autre"},MATCH(MAX(AI21:AN21),AI21:AN21,0))</f>
        <v/>
      </c>
      <c r="AY21">
        <f>INDEX({"CAQ","PLQ","QS","PQ","PCQ","Autre"},MATCH(MAX(AO21:AT21),AO21:AT21,0))</f>
        <v/>
      </c>
      <c r="AZ21">
        <f>(MAX(K21:P21)-LARGE(K21:P21,2))*100</f>
        <v/>
      </c>
      <c r="BA21">
        <f>IF(AZ21&lt;5,"Oui","Non")</f>
        <v/>
      </c>
      <c r="BB21" t="n">
        <v>-4.902</v>
      </c>
      <c r="BC21" t="n">
        <v>2.521</v>
      </c>
      <c r="BD21" t="n">
        <v>0.59</v>
      </c>
      <c r="BE21" t="n">
        <v>3.648</v>
      </c>
    </row>
    <row r="22">
      <c r="A22" t="inlineStr">
        <is>
          <t>Champlain</t>
        </is>
      </c>
      <c r="B22" t="inlineStr">
        <is>
          <t>Reste du Québec</t>
        </is>
      </c>
      <c r="C22">
        <f>INDEX({"CAQ","PLQ","QS","PQ","PCQ","Autre"},MATCH(MAX(D22:I22),D22:I22,0))</f>
        <v/>
      </c>
      <c r="D22" t="n">
        <v>23513</v>
      </c>
      <c r="E22" t="n">
        <v>2138</v>
      </c>
      <c r="F22" t="n">
        <v>3775</v>
      </c>
      <c r="G22" t="n">
        <v>5065</v>
      </c>
      <c r="H22" t="n">
        <v>7383</v>
      </c>
      <c r="I22" t="n">
        <v>194</v>
      </c>
      <c r="J22">
        <f>SUM(D22:I22)</f>
        <v/>
      </c>
      <c r="K22">
        <f>IFERROR(D22/$J22,0)</f>
        <v/>
      </c>
      <c r="L22">
        <f>IFERROR(E22/$J22,0)</f>
        <v/>
      </c>
      <c r="M22">
        <f>IFERROR(F22/$J22,0)</f>
        <v/>
      </c>
      <c r="N22">
        <f>IFERROR(G22/$J22,0)</f>
        <v/>
      </c>
      <c r="O22">
        <f>IFERROR(H22/$J22,0)</f>
        <v/>
      </c>
      <c r="P22">
        <f>IFERROR(I22/$J22,0)</f>
        <v/>
      </c>
      <c r="Q22">
        <f>D22*INDEX(Régions!$T$2:$T$6,MATCH($B22,Régions!$A$2:$A$6,0))</f>
        <v/>
      </c>
      <c r="R22">
        <f>E22*INDEX(Régions!$U$2:$U$6,MATCH($B22,Régions!$A$2:$A$6,0))</f>
        <v/>
      </c>
      <c r="S22">
        <f>F22*INDEX(Régions!$V$2:$V$6,MATCH($B22,Régions!$A$2:$A$6,0))</f>
        <v/>
      </c>
      <c r="T22">
        <f>G22*INDEX(Régions!$W$2:$W$6,MATCH($B22,Régions!$A$2:$A$6,0))</f>
        <v/>
      </c>
      <c r="U22">
        <f>H22*INDEX(Régions!$X$2:$X$6,MATCH($B22,Régions!$A$2:$A$6,0))</f>
        <v/>
      </c>
      <c r="V22">
        <f>I22*INDEX(Régions!$Y$2:$Y$6,MATCH($B22,Régions!$A$2:$A$6,0))</f>
        <v/>
      </c>
      <c r="W22">
        <f>Q22+(BB22/100)*$J22*Régions!$O$2</f>
        <v/>
      </c>
      <c r="X22">
        <f>R22+(BC22/100)*$J22*Régions!$O$2</f>
        <v/>
      </c>
      <c r="Y22">
        <f>S22+(BD22/100)*$J22*Régions!$O$2</f>
        <v/>
      </c>
      <c r="Z22">
        <f>T22+(BE22/100)*$J22*Régions!$O$2</f>
        <v/>
      </c>
      <c r="AA22">
        <f>U22</f>
        <v/>
      </c>
      <c r="AB22">
        <f>V22</f>
        <v/>
      </c>
      <c r="AC22">
        <f>D22*INDEX(Régions!$Z$2:$Z$6,MATCH($B22,Régions!$A$2:$A$6,0))</f>
        <v/>
      </c>
      <c r="AD22">
        <f>E22*INDEX(Régions!$AA$2:$AA$6,MATCH($B22,Régions!$A$2:$A$6,0))</f>
        <v/>
      </c>
      <c r="AE22">
        <f>F22*INDEX(Régions!$AB$2:$AB$6,MATCH($B22,Régions!$A$2:$A$6,0))</f>
        <v/>
      </c>
      <c r="AF22">
        <f>G22*INDEX(Régions!$AC$2:$AC$6,MATCH($B22,Régions!$A$2:$A$6,0))</f>
        <v/>
      </c>
      <c r="AG22">
        <f>H22*INDEX(Régions!$AD$2:$AD$6,MATCH($B22,Régions!$A$2:$A$6,0))</f>
        <v/>
      </c>
      <c r="AH22">
        <f>I22*INDEX(Régions!$AE$2:$AE$6,MATCH($B22,Régions!$A$2:$A$6,0))</f>
        <v/>
      </c>
      <c r="AI22">
        <f>D22*INDEX(Régions!$AF$2:$AF$6,MATCH($B22,Régions!$A$2:$A$6,0))</f>
        <v/>
      </c>
      <c r="AJ22">
        <f>E22*INDEX(Régions!$AG$2:$AG$6,MATCH($B22,Régions!$A$2:$A$6,0))</f>
        <v/>
      </c>
      <c r="AK22">
        <f>F22*INDEX(Régions!$AH$2:$AH$6,MATCH($B22,Régions!$A$2:$A$6,0))</f>
        <v/>
      </c>
      <c r="AL22">
        <f>G22*INDEX(Régions!$AI$2:$AI$6,MATCH($B22,Régions!$A$2:$A$6,0))</f>
        <v/>
      </c>
      <c r="AM22">
        <f>H22*INDEX(Régions!$AJ$2:$AJ$6,MATCH($B22,Régions!$A$2:$A$6,0))</f>
        <v/>
      </c>
      <c r="AN22">
        <f>I22*INDEX(Régions!$AK$2:$AK$6,MATCH($B22,Régions!$A$2:$A$6,0))</f>
        <v/>
      </c>
      <c r="AO22">
        <f>Régions!$Q$2*Q22/SUM($Q22:$V22)*100+(1-Régions!$Q$2)*MAX(K22*100+(INDEX(Régions!$AL$2:$AL$6,MATCH($B22,Régions!$A$2:$A$6,0))),0)</f>
        <v/>
      </c>
      <c r="AP22">
        <f>Régions!$Q$2*R22/SUM($Q22:$V22)*100+(1-Régions!$Q$2)*MAX(L22*100+(INDEX(Régions!$AM$2:$AM$6,MATCH($B22,Régions!$A$2:$A$6,0))),0)</f>
        <v/>
      </c>
      <c r="AQ22">
        <f>Régions!$Q$2*S22/SUM($Q22:$V22)*100+(1-Régions!$Q$2)*MAX(M22*100+(INDEX(Régions!$AN$2:$AN$6,MATCH($B22,Régions!$A$2:$A$6,0))),0)</f>
        <v/>
      </c>
      <c r="AR22">
        <f>Régions!$Q$2*T22/SUM($Q22:$V22)*100+(1-Régions!$Q$2)*MAX(N22*100+(INDEX(Régions!$AO$2:$AO$6,MATCH($B22,Régions!$A$2:$A$6,0))),0)</f>
        <v/>
      </c>
      <c r="AS22">
        <f>Régions!$Q$2*U22/SUM($Q22:$V22)*100+(1-Régions!$Q$2)*MAX(O22*100+(INDEX(Régions!$AP$2:$AP$6,MATCH($B22,Régions!$A$2:$A$6,0))),0)</f>
        <v/>
      </c>
      <c r="AT22">
        <f>Régions!$Q$2*V22/SUM($Q22:$V22)*100+(1-Régions!$Q$2)*MAX(P22*100+(INDEX(Régions!$AQ$2:$AQ$6,MATCH($B22,Régions!$A$2:$A$6,0))),0)</f>
        <v/>
      </c>
      <c r="AU22">
        <f>INDEX({"CAQ","PLQ","QS","PQ","PCQ","Autre"},MATCH(MAX(Q22:V22),Q22:V22,0))</f>
        <v/>
      </c>
      <c r="AV22">
        <f>INDEX({"CAQ","PLQ","QS","PQ","PCQ","Autre"},MATCH(MAX(W22:AB22),W22:AB22,0))</f>
        <v/>
      </c>
      <c r="AW22">
        <f>INDEX({"CAQ","PLQ","QS","PQ","PCQ","Autre"},MATCH(MAX(AC22:AH22),AC22:AH22,0))</f>
        <v/>
      </c>
      <c r="AX22">
        <f>INDEX({"CAQ","PLQ","QS","PQ","PCQ","Autre"},MATCH(MAX(AI22:AN22),AI22:AN22,0))</f>
        <v/>
      </c>
      <c r="AY22">
        <f>INDEX({"CAQ","PLQ","QS","PQ","PCQ","Autre"},MATCH(MAX(AO22:AT22),AO22:AT22,0))</f>
        <v/>
      </c>
      <c r="AZ22">
        <f>(MAX(K22:P22)-LARGE(K22:P22,2))*100</f>
        <v/>
      </c>
      <c r="BA22">
        <f>IF(AZ22&lt;5,"Oui","Non")</f>
        <v/>
      </c>
      <c r="BB22" t="n">
        <v>-3.372</v>
      </c>
      <c r="BC22" t="n">
        <v>-0.468</v>
      </c>
      <c r="BD22" t="n">
        <v>-2.802</v>
      </c>
      <c r="BE22" t="n">
        <v>4.122</v>
      </c>
    </row>
    <row r="23">
      <c r="A23" t="inlineStr">
        <is>
          <t>Chapleau</t>
        </is>
      </c>
      <c r="B23" t="inlineStr">
        <is>
          <t>Île de Montréal</t>
        </is>
      </c>
      <c r="C23">
        <f>INDEX({"CAQ","PLQ","QS","PQ","PCQ","Autre"},MATCH(MAX(D23:I23),D23:I23,0))</f>
        <v/>
      </c>
      <c r="D23" t="n">
        <v>17989.1</v>
      </c>
      <c r="E23" t="n">
        <v>4517.9</v>
      </c>
      <c r="F23" t="n">
        <v>4553.3</v>
      </c>
      <c r="G23" t="n">
        <v>3348</v>
      </c>
      <c r="H23" t="n">
        <v>3569.4</v>
      </c>
      <c r="I23" t="n">
        <v>384.5</v>
      </c>
      <c r="J23">
        <f>SUM(D23:I23)</f>
        <v/>
      </c>
      <c r="K23">
        <f>IFERROR(D23/$J23,0)</f>
        <v/>
      </c>
      <c r="L23">
        <f>IFERROR(E23/$J23,0)</f>
        <v/>
      </c>
      <c r="M23">
        <f>IFERROR(F23/$J23,0)</f>
        <v/>
      </c>
      <c r="N23">
        <f>IFERROR(G23/$J23,0)</f>
        <v/>
      </c>
      <c r="O23">
        <f>IFERROR(H23/$J23,0)</f>
        <v/>
      </c>
      <c r="P23">
        <f>IFERROR(I23/$J23,0)</f>
        <v/>
      </c>
      <c r="Q23">
        <f>D23*INDEX(Régions!$T$2:$T$6,MATCH($B23,Régions!$A$2:$A$6,0))</f>
        <v/>
      </c>
      <c r="R23">
        <f>E23*INDEX(Régions!$U$2:$U$6,MATCH($B23,Régions!$A$2:$A$6,0))</f>
        <v/>
      </c>
      <c r="S23">
        <f>F23*INDEX(Régions!$V$2:$V$6,MATCH($B23,Régions!$A$2:$A$6,0))</f>
        <v/>
      </c>
      <c r="T23">
        <f>G23*INDEX(Régions!$W$2:$W$6,MATCH($B23,Régions!$A$2:$A$6,0))</f>
        <v/>
      </c>
      <c r="U23">
        <f>H23*INDEX(Régions!$X$2:$X$6,MATCH($B23,Régions!$A$2:$A$6,0))</f>
        <v/>
      </c>
      <c r="V23">
        <f>I23*INDEX(Régions!$Y$2:$Y$6,MATCH($B23,Régions!$A$2:$A$6,0))</f>
        <v/>
      </c>
      <c r="W23">
        <f>Q23+(BB23/100)*$J23*Régions!$O$2</f>
        <v/>
      </c>
      <c r="X23">
        <f>R23+(BC23/100)*$J23*Régions!$O$2</f>
        <v/>
      </c>
      <c r="Y23">
        <f>S23+(BD23/100)*$J23*Régions!$O$2</f>
        <v/>
      </c>
      <c r="Z23">
        <f>T23+(BE23/100)*$J23*Régions!$O$2</f>
        <v/>
      </c>
      <c r="AA23">
        <f>U23</f>
        <v/>
      </c>
      <c r="AB23">
        <f>V23</f>
        <v/>
      </c>
      <c r="AC23">
        <f>D23*INDEX(Régions!$Z$2:$Z$6,MATCH($B23,Régions!$A$2:$A$6,0))</f>
        <v/>
      </c>
      <c r="AD23">
        <f>E23*INDEX(Régions!$AA$2:$AA$6,MATCH($B23,Régions!$A$2:$A$6,0))</f>
        <v/>
      </c>
      <c r="AE23">
        <f>F23*INDEX(Régions!$AB$2:$AB$6,MATCH($B23,Régions!$A$2:$A$6,0))</f>
        <v/>
      </c>
      <c r="AF23">
        <f>G23*INDEX(Régions!$AC$2:$AC$6,MATCH($B23,Régions!$A$2:$A$6,0))</f>
        <v/>
      </c>
      <c r="AG23">
        <f>H23*INDEX(Régions!$AD$2:$AD$6,MATCH($B23,Régions!$A$2:$A$6,0))</f>
        <v/>
      </c>
      <c r="AH23">
        <f>I23*INDEX(Régions!$AE$2:$AE$6,MATCH($B23,Régions!$A$2:$A$6,0))</f>
        <v/>
      </c>
      <c r="AI23">
        <f>D23*INDEX(Régions!$AF$2:$AF$6,MATCH($B23,Régions!$A$2:$A$6,0))</f>
        <v/>
      </c>
      <c r="AJ23">
        <f>E23*INDEX(Régions!$AG$2:$AG$6,MATCH($B23,Régions!$A$2:$A$6,0))</f>
        <v/>
      </c>
      <c r="AK23">
        <f>F23*INDEX(Régions!$AH$2:$AH$6,MATCH($B23,Régions!$A$2:$A$6,0))</f>
        <v/>
      </c>
      <c r="AL23">
        <f>G23*INDEX(Régions!$AI$2:$AI$6,MATCH($B23,Régions!$A$2:$A$6,0))</f>
        <v/>
      </c>
      <c r="AM23">
        <f>H23*INDEX(Régions!$AJ$2:$AJ$6,MATCH($B23,Régions!$A$2:$A$6,0))</f>
        <v/>
      </c>
      <c r="AN23">
        <f>I23*INDEX(Régions!$AK$2:$AK$6,MATCH($B23,Régions!$A$2:$A$6,0))</f>
        <v/>
      </c>
      <c r="AO23">
        <f>Régions!$Q$2*Q23/SUM($Q23:$V23)*100+(1-Régions!$Q$2)*MAX(K23*100+(INDEX(Régions!$AL$2:$AL$6,MATCH($B23,Régions!$A$2:$A$6,0))),0)</f>
        <v/>
      </c>
      <c r="AP23">
        <f>Régions!$Q$2*R23/SUM($Q23:$V23)*100+(1-Régions!$Q$2)*MAX(L23*100+(INDEX(Régions!$AM$2:$AM$6,MATCH($B23,Régions!$A$2:$A$6,0))),0)</f>
        <v/>
      </c>
      <c r="AQ23">
        <f>Régions!$Q$2*S23/SUM($Q23:$V23)*100+(1-Régions!$Q$2)*MAX(M23*100+(INDEX(Régions!$AN$2:$AN$6,MATCH($B23,Régions!$A$2:$A$6,0))),0)</f>
        <v/>
      </c>
      <c r="AR23">
        <f>Régions!$Q$2*T23/SUM($Q23:$V23)*100+(1-Régions!$Q$2)*MAX(N23*100+(INDEX(Régions!$AO$2:$AO$6,MATCH($B23,Régions!$A$2:$A$6,0))),0)</f>
        <v/>
      </c>
      <c r="AS23">
        <f>Régions!$Q$2*U23/SUM($Q23:$V23)*100+(1-Régions!$Q$2)*MAX(O23*100+(INDEX(Régions!$AP$2:$AP$6,MATCH($B23,Régions!$A$2:$A$6,0))),0)</f>
        <v/>
      </c>
      <c r="AT23">
        <f>Régions!$Q$2*V23/SUM($Q23:$V23)*100+(1-Régions!$Q$2)*MAX(P23*100+(INDEX(Régions!$AQ$2:$AQ$6,MATCH($B23,Régions!$A$2:$A$6,0))),0)</f>
        <v/>
      </c>
      <c r="AU23">
        <f>INDEX({"CAQ","PLQ","QS","PQ","PCQ","Autre"},MATCH(MAX(Q23:V23),Q23:V23,0))</f>
        <v/>
      </c>
      <c r="AV23">
        <f>INDEX({"CAQ","PLQ","QS","PQ","PCQ","Autre"},MATCH(MAX(W23:AB23),W23:AB23,0))</f>
        <v/>
      </c>
      <c r="AW23">
        <f>INDEX({"CAQ","PLQ","QS","PQ","PCQ","Autre"},MATCH(MAX(AC23:AH23),AC23:AH23,0))</f>
        <v/>
      </c>
      <c r="AX23">
        <f>INDEX({"CAQ","PLQ","QS","PQ","PCQ","Autre"},MATCH(MAX(AI23:AN23),AI23:AN23,0))</f>
        <v/>
      </c>
      <c r="AY23">
        <f>INDEX({"CAQ","PLQ","QS","PQ","PCQ","Autre"},MATCH(MAX(AO23:AT23),AO23:AT23,0))</f>
        <v/>
      </c>
      <c r="AZ23">
        <f>(MAX(K23:P23)-LARGE(K23:P23,2))*100</f>
        <v/>
      </c>
      <c r="BA23">
        <f>IF(AZ23&lt;5,"Oui","Non")</f>
        <v/>
      </c>
      <c r="BB23" t="n">
        <v>9.427</v>
      </c>
      <c r="BC23" t="n">
        <v>-9.827999999999999</v>
      </c>
      <c r="BD23" t="n">
        <v>-3.311</v>
      </c>
      <c r="BE23" t="n">
        <v>1.672</v>
      </c>
    </row>
    <row r="24">
      <c r="A24" t="inlineStr">
        <is>
          <t>Charlesbourg</t>
        </is>
      </c>
      <c r="B24" t="inlineStr">
        <is>
          <t>Québec RMR</t>
        </is>
      </c>
      <c r="C24">
        <f>INDEX({"CAQ","PLQ","QS","PQ","PCQ","Autre"},MATCH(MAX(D24:I24),D24:I24,0))</f>
        <v/>
      </c>
      <c r="D24" t="n">
        <v>18921</v>
      </c>
      <c r="E24" t="n">
        <v>2518</v>
      </c>
      <c r="F24" t="n">
        <v>5486</v>
      </c>
      <c r="G24" t="n">
        <v>5967</v>
      </c>
      <c r="H24" t="n">
        <v>8564</v>
      </c>
      <c r="I24" t="n">
        <v>586</v>
      </c>
      <c r="J24">
        <f>SUM(D24:I24)</f>
        <v/>
      </c>
      <c r="K24">
        <f>IFERROR(D24/$J24,0)</f>
        <v/>
      </c>
      <c r="L24">
        <f>IFERROR(E24/$J24,0)</f>
        <v/>
      </c>
      <c r="M24">
        <f>IFERROR(F24/$J24,0)</f>
        <v/>
      </c>
      <c r="N24">
        <f>IFERROR(G24/$J24,0)</f>
        <v/>
      </c>
      <c r="O24">
        <f>IFERROR(H24/$J24,0)</f>
        <v/>
      </c>
      <c r="P24">
        <f>IFERROR(I24/$J24,0)</f>
        <v/>
      </c>
      <c r="Q24">
        <f>D24*INDEX(Régions!$T$2:$T$6,MATCH($B24,Régions!$A$2:$A$6,0))</f>
        <v/>
      </c>
      <c r="R24">
        <f>E24*INDEX(Régions!$U$2:$U$6,MATCH($B24,Régions!$A$2:$A$6,0))</f>
        <v/>
      </c>
      <c r="S24">
        <f>F24*INDEX(Régions!$V$2:$V$6,MATCH($B24,Régions!$A$2:$A$6,0))</f>
        <v/>
      </c>
      <c r="T24">
        <f>G24*INDEX(Régions!$W$2:$W$6,MATCH($B24,Régions!$A$2:$A$6,0))</f>
        <v/>
      </c>
      <c r="U24">
        <f>H24*INDEX(Régions!$X$2:$X$6,MATCH($B24,Régions!$A$2:$A$6,0))</f>
        <v/>
      </c>
      <c r="V24">
        <f>I24*INDEX(Régions!$Y$2:$Y$6,MATCH($B24,Régions!$A$2:$A$6,0))</f>
        <v/>
      </c>
      <c r="W24">
        <f>Q24+(BB24/100)*$J24*Régions!$O$2</f>
        <v/>
      </c>
      <c r="X24">
        <f>R24+(BC24/100)*$J24*Régions!$O$2</f>
        <v/>
      </c>
      <c r="Y24">
        <f>S24+(BD24/100)*$J24*Régions!$O$2</f>
        <v/>
      </c>
      <c r="Z24">
        <f>T24+(BE24/100)*$J24*Régions!$O$2</f>
        <v/>
      </c>
      <c r="AA24">
        <f>U24</f>
        <v/>
      </c>
      <c r="AB24">
        <f>V24</f>
        <v/>
      </c>
      <c r="AC24">
        <f>D24*INDEX(Régions!$Z$2:$Z$6,MATCH($B24,Régions!$A$2:$A$6,0))</f>
        <v/>
      </c>
      <c r="AD24">
        <f>E24*INDEX(Régions!$AA$2:$AA$6,MATCH($B24,Régions!$A$2:$A$6,0))</f>
        <v/>
      </c>
      <c r="AE24">
        <f>F24*INDEX(Régions!$AB$2:$AB$6,MATCH($B24,Régions!$A$2:$A$6,0))</f>
        <v/>
      </c>
      <c r="AF24">
        <f>G24*INDEX(Régions!$AC$2:$AC$6,MATCH($B24,Régions!$A$2:$A$6,0))</f>
        <v/>
      </c>
      <c r="AG24">
        <f>H24*INDEX(Régions!$AD$2:$AD$6,MATCH($B24,Régions!$A$2:$A$6,0))</f>
        <v/>
      </c>
      <c r="AH24">
        <f>I24*INDEX(Régions!$AE$2:$AE$6,MATCH($B24,Régions!$A$2:$A$6,0))</f>
        <v/>
      </c>
      <c r="AI24">
        <f>D24*INDEX(Régions!$AF$2:$AF$6,MATCH($B24,Régions!$A$2:$A$6,0))</f>
        <v/>
      </c>
      <c r="AJ24">
        <f>E24*INDEX(Régions!$AG$2:$AG$6,MATCH($B24,Régions!$A$2:$A$6,0))</f>
        <v/>
      </c>
      <c r="AK24">
        <f>F24*INDEX(Régions!$AH$2:$AH$6,MATCH($B24,Régions!$A$2:$A$6,0))</f>
        <v/>
      </c>
      <c r="AL24">
        <f>G24*INDEX(Régions!$AI$2:$AI$6,MATCH($B24,Régions!$A$2:$A$6,0))</f>
        <v/>
      </c>
      <c r="AM24">
        <f>H24*INDEX(Régions!$AJ$2:$AJ$6,MATCH($B24,Régions!$A$2:$A$6,0))</f>
        <v/>
      </c>
      <c r="AN24">
        <f>I24*INDEX(Régions!$AK$2:$AK$6,MATCH($B24,Régions!$A$2:$A$6,0))</f>
        <v/>
      </c>
      <c r="AO24">
        <f>Régions!$Q$2*Q24/SUM($Q24:$V24)*100+(1-Régions!$Q$2)*MAX(K24*100+(INDEX(Régions!$AL$2:$AL$6,MATCH($B24,Régions!$A$2:$A$6,0))),0)</f>
        <v/>
      </c>
      <c r="AP24">
        <f>Régions!$Q$2*R24/SUM($Q24:$V24)*100+(1-Régions!$Q$2)*MAX(L24*100+(INDEX(Régions!$AM$2:$AM$6,MATCH($B24,Régions!$A$2:$A$6,0))),0)</f>
        <v/>
      </c>
      <c r="AQ24">
        <f>Régions!$Q$2*S24/SUM($Q24:$V24)*100+(1-Régions!$Q$2)*MAX(M24*100+(INDEX(Régions!$AN$2:$AN$6,MATCH($B24,Régions!$A$2:$A$6,0))),0)</f>
        <v/>
      </c>
      <c r="AR24">
        <f>Régions!$Q$2*T24/SUM($Q24:$V24)*100+(1-Régions!$Q$2)*MAX(N24*100+(INDEX(Régions!$AO$2:$AO$6,MATCH($B24,Régions!$A$2:$A$6,0))),0)</f>
        <v/>
      </c>
      <c r="AS24">
        <f>Régions!$Q$2*U24/SUM($Q24:$V24)*100+(1-Régions!$Q$2)*MAX(O24*100+(INDEX(Régions!$AP$2:$AP$6,MATCH($B24,Régions!$A$2:$A$6,0))),0)</f>
        <v/>
      </c>
      <c r="AT24">
        <f>Régions!$Q$2*V24/SUM($Q24:$V24)*100+(1-Régions!$Q$2)*MAX(P24*100+(INDEX(Régions!$AQ$2:$AQ$6,MATCH($B24,Régions!$A$2:$A$6,0))),0)</f>
        <v/>
      </c>
      <c r="AU24">
        <f>INDEX({"CAQ","PLQ","QS","PQ","PCQ","Autre"},MATCH(MAX(Q24:V24),Q24:V24,0))</f>
        <v/>
      </c>
      <c r="AV24">
        <f>INDEX({"CAQ","PLQ","QS","PQ","PCQ","Autre"},MATCH(MAX(W24:AB24),W24:AB24,0))</f>
        <v/>
      </c>
      <c r="AW24">
        <f>INDEX({"CAQ","PLQ","QS","PQ","PCQ","Autre"},MATCH(MAX(AC24:AH24),AC24:AH24,0))</f>
        <v/>
      </c>
      <c r="AX24">
        <f>INDEX({"CAQ","PLQ","QS","PQ","PCQ","Autre"},MATCH(MAX(AI24:AN24),AI24:AN24,0))</f>
        <v/>
      </c>
      <c r="AY24">
        <f>INDEX({"CAQ","PLQ","QS","PQ","PCQ","Autre"},MATCH(MAX(AO24:AT24),AO24:AT24,0))</f>
        <v/>
      </c>
      <c r="AZ24">
        <f>(MAX(K24:P24)-LARGE(K24:P24,2))*100</f>
        <v/>
      </c>
      <c r="BA24">
        <f>IF(AZ24&lt;5,"Oui","Non")</f>
        <v/>
      </c>
      <c r="BB24" t="n">
        <v>-0.335</v>
      </c>
      <c r="BC24" t="n">
        <v>-1.551</v>
      </c>
      <c r="BD24" t="n">
        <v>-0.159</v>
      </c>
      <c r="BE24" t="n">
        <v>0.446</v>
      </c>
    </row>
    <row r="25">
      <c r="A25" t="inlineStr">
        <is>
          <t>Charlevoix-Côte-de-Beaupré</t>
        </is>
      </c>
      <c r="B25" t="inlineStr">
        <is>
          <t>Québec RMR</t>
        </is>
      </c>
      <c r="C25">
        <f>INDEX({"CAQ","PLQ","QS","PQ","PCQ","Autre"},MATCH(MAX(D25:I25),D25:I25,0))</f>
        <v/>
      </c>
      <c r="D25" t="n">
        <v>17979</v>
      </c>
      <c r="E25" t="n">
        <v>1756</v>
      </c>
      <c r="F25" t="n">
        <v>4677</v>
      </c>
      <c r="G25" t="n">
        <v>6041</v>
      </c>
      <c r="H25" t="n">
        <v>6763</v>
      </c>
      <c r="I25" t="n">
        <v>106</v>
      </c>
      <c r="J25">
        <f>SUM(D25:I25)</f>
        <v/>
      </c>
      <c r="K25">
        <f>IFERROR(D25/$J25,0)</f>
        <v/>
      </c>
      <c r="L25">
        <f>IFERROR(E25/$J25,0)</f>
        <v/>
      </c>
      <c r="M25">
        <f>IFERROR(F25/$J25,0)</f>
        <v/>
      </c>
      <c r="N25">
        <f>IFERROR(G25/$J25,0)</f>
        <v/>
      </c>
      <c r="O25">
        <f>IFERROR(H25/$J25,0)</f>
        <v/>
      </c>
      <c r="P25">
        <f>IFERROR(I25/$J25,0)</f>
        <v/>
      </c>
      <c r="Q25">
        <f>D25*INDEX(Régions!$T$2:$T$6,MATCH($B25,Régions!$A$2:$A$6,0))</f>
        <v/>
      </c>
      <c r="R25">
        <f>E25*INDEX(Régions!$U$2:$U$6,MATCH($B25,Régions!$A$2:$A$6,0))</f>
        <v/>
      </c>
      <c r="S25">
        <f>F25*INDEX(Régions!$V$2:$V$6,MATCH($B25,Régions!$A$2:$A$6,0))</f>
        <v/>
      </c>
      <c r="T25">
        <f>G25*INDEX(Régions!$W$2:$W$6,MATCH($B25,Régions!$A$2:$A$6,0))</f>
        <v/>
      </c>
      <c r="U25">
        <f>H25*INDEX(Régions!$X$2:$X$6,MATCH($B25,Régions!$A$2:$A$6,0))</f>
        <v/>
      </c>
      <c r="V25">
        <f>I25*INDEX(Régions!$Y$2:$Y$6,MATCH($B25,Régions!$A$2:$A$6,0))</f>
        <v/>
      </c>
      <c r="W25">
        <f>Q25+(BB25/100)*$J25*Régions!$O$2</f>
        <v/>
      </c>
      <c r="X25">
        <f>R25+(BC25/100)*$J25*Régions!$O$2</f>
        <v/>
      </c>
      <c r="Y25">
        <f>S25+(BD25/100)*$J25*Régions!$O$2</f>
        <v/>
      </c>
      <c r="Z25">
        <f>T25+(BE25/100)*$J25*Régions!$O$2</f>
        <v/>
      </c>
      <c r="AA25">
        <f>U25</f>
        <v/>
      </c>
      <c r="AB25">
        <f>V25</f>
        <v/>
      </c>
      <c r="AC25">
        <f>D25*INDEX(Régions!$Z$2:$Z$6,MATCH($B25,Régions!$A$2:$A$6,0))</f>
        <v/>
      </c>
      <c r="AD25">
        <f>E25*INDEX(Régions!$AA$2:$AA$6,MATCH($B25,Régions!$A$2:$A$6,0))</f>
        <v/>
      </c>
      <c r="AE25">
        <f>F25*INDEX(Régions!$AB$2:$AB$6,MATCH($B25,Régions!$A$2:$A$6,0))</f>
        <v/>
      </c>
      <c r="AF25">
        <f>G25*INDEX(Régions!$AC$2:$AC$6,MATCH($B25,Régions!$A$2:$A$6,0))</f>
        <v/>
      </c>
      <c r="AG25">
        <f>H25*INDEX(Régions!$AD$2:$AD$6,MATCH($B25,Régions!$A$2:$A$6,0))</f>
        <v/>
      </c>
      <c r="AH25">
        <f>I25*INDEX(Régions!$AE$2:$AE$6,MATCH($B25,Régions!$A$2:$A$6,0))</f>
        <v/>
      </c>
      <c r="AI25">
        <f>D25*INDEX(Régions!$AF$2:$AF$6,MATCH($B25,Régions!$A$2:$A$6,0))</f>
        <v/>
      </c>
      <c r="AJ25">
        <f>E25*INDEX(Régions!$AG$2:$AG$6,MATCH($B25,Régions!$A$2:$A$6,0))</f>
        <v/>
      </c>
      <c r="AK25">
        <f>F25*INDEX(Régions!$AH$2:$AH$6,MATCH($B25,Régions!$A$2:$A$6,0))</f>
        <v/>
      </c>
      <c r="AL25">
        <f>G25*INDEX(Régions!$AI$2:$AI$6,MATCH($B25,Régions!$A$2:$A$6,0))</f>
        <v/>
      </c>
      <c r="AM25">
        <f>H25*INDEX(Régions!$AJ$2:$AJ$6,MATCH($B25,Régions!$A$2:$A$6,0))</f>
        <v/>
      </c>
      <c r="AN25">
        <f>I25*INDEX(Régions!$AK$2:$AK$6,MATCH($B25,Régions!$A$2:$A$6,0))</f>
        <v/>
      </c>
      <c r="AO25">
        <f>Régions!$Q$2*Q25/SUM($Q25:$V25)*100+(1-Régions!$Q$2)*MAX(K25*100+(INDEX(Régions!$AL$2:$AL$6,MATCH($B25,Régions!$A$2:$A$6,0))),0)</f>
        <v/>
      </c>
      <c r="AP25">
        <f>Régions!$Q$2*R25/SUM($Q25:$V25)*100+(1-Régions!$Q$2)*MAX(L25*100+(INDEX(Régions!$AM$2:$AM$6,MATCH($B25,Régions!$A$2:$A$6,0))),0)</f>
        <v/>
      </c>
      <c r="AQ25">
        <f>Régions!$Q$2*S25/SUM($Q25:$V25)*100+(1-Régions!$Q$2)*MAX(M25*100+(INDEX(Régions!$AN$2:$AN$6,MATCH($B25,Régions!$A$2:$A$6,0))),0)</f>
        <v/>
      </c>
      <c r="AR25">
        <f>Régions!$Q$2*T25/SUM($Q25:$V25)*100+(1-Régions!$Q$2)*MAX(N25*100+(INDEX(Régions!$AO$2:$AO$6,MATCH($B25,Régions!$A$2:$A$6,0))),0)</f>
        <v/>
      </c>
      <c r="AS25">
        <f>Régions!$Q$2*U25/SUM($Q25:$V25)*100+(1-Régions!$Q$2)*MAX(O25*100+(INDEX(Régions!$AP$2:$AP$6,MATCH($B25,Régions!$A$2:$A$6,0))),0)</f>
        <v/>
      </c>
      <c r="AT25">
        <f>Régions!$Q$2*V25/SUM($Q25:$V25)*100+(1-Régions!$Q$2)*MAX(P25*100+(INDEX(Régions!$AQ$2:$AQ$6,MATCH($B25,Régions!$A$2:$A$6,0))),0)</f>
        <v/>
      </c>
      <c r="AU25">
        <f>INDEX({"CAQ","PLQ","QS","PQ","PCQ","Autre"},MATCH(MAX(Q25:V25),Q25:V25,0))</f>
        <v/>
      </c>
      <c r="AV25">
        <f>INDEX({"CAQ","PLQ","QS","PQ","PCQ","Autre"},MATCH(MAX(W25:AB25),W25:AB25,0))</f>
        <v/>
      </c>
      <c r="AW25">
        <f>INDEX({"CAQ","PLQ","QS","PQ","PCQ","Autre"},MATCH(MAX(AC25:AH25),AC25:AH25,0))</f>
        <v/>
      </c>
      <c r="AX25">
        <f>INDEX({"CAQ","PLQ","QS","PQ","PCQ","Autre"},MATCH(MAX(AI25:AN25),AI25:AN25,0))</f>
        <v/>
      </c>
      <c r="AY25">
        <f>INDEX({"CAQ","PLQ","QS","PQ","PCQ","Autre"},MATCH(MAX(AO25:AT25),AO25:AT25,0))</f>
        <v/>
      </c>
      <c r="AZ25">
        <f>(MAX(K25:P25)-LARGE(K25:P25,2))*100</f>
        <v/>
      </c>
      <c r="BA25">
        <f>IF(AZ25&lt;5,"Oui","Non")</f>
        <v/>
      </c>
      <c r="BB25" t="n">
        <v>5.585</v>
      </c>
      <c r="BC25" t="n">
        <v>-3.052</v>
      </c>
      <c r="BD25" t="n">
        <v>-0.033</v>
      </c>
      <c r="BE25" t="n">
        <v>-3.144</v>
      </c>
    </row>
    <row r="26">
      <c r="A26" t="inlineStr">
        <is>
          <t>Châteauguay</t>
        </is>
      </c>
      <c r="B26" t="inlineStr">
        <is>
          <t>Banlieue de Montréal</t>
        </is>
      </c>
      <c r="C26">
        <f>INDEX({"CAQ","PLQ","QS","PQ","PCQ","Autre"},MATCH(MAX(D26:I26),D26:I26,0))</f>
        <v/>
      </c>
      <c r="D26" t="n">
        <v>13038</v>
      </c>
      <c r="E26" t="n">
        <v>8260</v>
      </c>
      <c r="F26" t="n">
        <v>4261</v>
      </c>
      <c r="G26" t="n">
        <v>3947</v>
      </c>
      <c r="H26" t="n">
        <v>3363</v>
      </c>
      <c r="I26" t="n">
        <v>463</v>
      </c>
      <c r="J26">
        <f>SUM(D26:I26)</f>
        <v/>
      </c>
      <c r="K26">
        <f>IFERROR(D26/$J26,0)</f>
        <v/>
      </c>
      <c r="L26">
        <f>IFERROR(E26/$J26,0)</f>
        <v/>
      </c>
      <c r="M26">
        <f>IFERROR(F26/$J26,0)</f>
        <v/>
      </c>
      <c r="N26">
        <f>IFERROR(G26/$J26,0)</f>
        <v/>
      </c>
      <c r="O26">
        <f>IFERROR(H26/$J26,0)</f>
        <v/>
      </c>
      <c r="P26">
        <f>IFERROR(I26/$J26,0)</f>
        <v/>
      </c>
      <c r="Q26">
        <f>D26*INDEX(Régions!$T$2:$T$6,MATCH($B26,Régions!$A$2:$A$6,0))</f>
        <v/>
      </c>
      <c r="R26">
        <f>E26*INDEX(Régions!$U$2:$U$6,MATCH($B26,Régions!$A$2:$A$6,0))</f>
        <v/>
      </c>
      <c r="S26">
        <f>F26*INDEX(Régions!$V$2:$V$6,MATCH($B26,Régions!$A$2:$A$6,0))</f>
        <v/>
      </c>
      <c r="T26">
        <f>G26*INDEX(Régions!$W$2:$W$6,MATCH($B26,Régions!$A$2:$A$6,0))</f>
        <v/>
      </c>
      <c r="U26">
        <f>H26*INDEX(Régions!$X$2:$X$6,MATCH($B26,Régions!$A$2:$A$6,0))</f>
        <v/>
      </c>
      <c r="V26">
        <f>I26*INDEX(Régions!$Y$2:$Y$6,MATCH($B26,Régions!$A$2:$A$6,0))</f>
        <v/>
      </c>
      <c r="W26">
        <f>Q26+(BB26/100)*$J26*Régions!$O$2</f>
        <v/>
      </c>
      <c r="X26">
        <f>R26+(BC26/100)*$J26*Régions!$O$2</f>
        <v/>
      </c>
      <c r="Y26">
        <f>S26+(BD26/100)*$J26*Régions!$O$2</f>
        <v/>
      </c>
      <c r="Z26">
        <f>T26+(BE26/100)*$J26*Régions!$O$2</f>
        <v/>
      </c>
      <c r="AA26">
        <f>U26</f>
        <v/>
      </c>
      <c r="AB26">
        <f>V26</f>
        <v/>
      </c>
      <c r="AC26">
        <f>D26*INDEX(Régions!$Z$2:$Z$6,MATCH($B26,Régions!$A$2:$A$6,0))</f>
        <v/>
      </c>
      <c r="AD26">
        <f>E26*INDEX(Régions!$AA$2:$AA$6,MATCH($B26,Régions!$A$2:$A$6,0))</f>
        <v/>
      </c>
      <c r="AE26">
        <f>F26*INDEX(Régions!$AB$2:$AB$6,MATCH($B26,Régions!$A$2:$A$6,0))</f>
        <v/>
      </c>
      <c r="AF26">
        <f>G26*INDEX(Régions!$AC$2:$AC$6,MATCH($B26,Régions!$A$2:$A$6,0))</f>
        <v/>
      </c>
      <c r="AG26">
        <f>H26*INDEX(Régions!$AD$2:$AD$6,MATCH($B26,Régions!$A$2:$A$6,0))</f>
        <v/>
      </c>
      <c r="AH26">
        <f>I26*INDEX(Régions!$AE$2:$AE$6,MATCH($B26,Régions!$A$2:$A$6,0))</f>
        <v/>
      </c>
      <c r="AI26">
        <f>D26*INDEX(Régions!$AF$2:$AF$6,MATCH($B26,Régions!$A$2:$A$6,0))</f>
        <v/>
      </c>
      <c r="AJ26">
        <f>E26*INDEX(Régions!$AG$2:$AG$6,MATCH($B26,Régions!$A$2:$A$6,0))</f>
        <v/>
      </c>
      <c r="AK26">
        <f>F26*INDEX(Régions!$AH$2:$AH$6,MATCH($B26,Régions!$A$2:$A$6,0))</f>
        <v/>
      </c>
      <c r="AL26">
        <f>G26*INDEX(Régions!$AI$2:$AI$6,MATCH($B26,Régions!$A$2:$A$6,0))</f>
        <v/>
      </c>
      <c r="AM26">
        <f>H26*INDEX(Régions!$AJ$2:$AJ$6,MATCH($B26,Régions!$A$2:$A$6,0))</f>
        <v/>
      </c>
      <c r="AN26">
        <f>I26*INDEX(Régions!$AK$2:$AK$6,MATCH($B26,Régions!$A$2:$A$6,0))</f>
        <v/>
      </c>
      <c r="AO26">
        <f>Régions!$Q$2*Q26/SUM($Q26:$V26)*100+(1-Régions!$Q$2)*MAX(K26*100+(INDEX(Régions!$AL$2:$AL$6,MATCH($B26,Régions!$A$2:$A$6,0))),0)</f>
        <v/>
      </c>
      <c r="AP26">
        <f>Régions!$Q$2*R26/SUM($Q26:$V26)*100+(1-Régions!$Q$2)*MAX(L26*100+(INDEX(Régions!$AM$2:$AM$6,MATCH($B26,Régions!$A$2:$A$6,0))),0)</f>
        <v/>
      </c>
      <c r="AQ26">
        <f>Régions!$Q$2*S26/SUM($Q26:$V26)*100+(1-Régions!$Q$2)*MAX(M26*100+(INDEX(Régions!$AN$2:$AN$6,MATCH($B26,Régions!$A$2:$A$6,0))),0)</f>
        <v/>
      </c>
      <c r="AR26">
        <f>Régions!$Q$2*T26/SUM($Q26:$V26)*100+(1-Régions!$Q$2)*MAX(N26*100+(INDEX(Régions!$AO$2:$AO$6,MATCH($B26,Régions!$A$2:$A$6,0))),0)</f>
        <v/>
      </c>
      <c r="AS26">
        <f>Régions!$Q$2*U26/SUM($Q26:$V26)*100+(1-Régions!$Q$2)*MAX(O26*100+(INDEX(Régions!$AP$2:$AP$6,MATCH($B26,Régions!$A$2:$A$6,0))),0)</f>
        <v/>
      </c>
      <c r="AT26">
        <f>Régions!$Q$2*V26/SUM($Q26:$V26)*100+(1-Régions!$Q$2)*MAX(P26*100+(INDEX(Régions!$AQ$2:$AQ$6,MATCH($B26,Régions!$A$2:$A$6,0))),0)</f>
        <v/>
      </c>
      <c r="AU26">
        <f>INDEX({"CAQ","PLQ","QS","PQ","PCQ","Autre"},MATCH(MAX(Q26:V26),Q26:V26,0))</f>
        <v/>
      </c>
      <c r="AV26">
        <f>INDEX({"CAQ","PLQ","QS","PQ","PCQ","Autre"},MATCH(MAX(W26:AB26),W26:AB26,0))</f>
        <v/>
      </c>
      <c r="AW26">
        <f>INDEX({"CAQ","PLQ","QS","PQ","PCQ","Autre"},MATCH(MAX(AC26:AH26),AC26:AH26,0))</f>
        <v/>
      </c>
      <c r="AX26">
        <f>INDEX({"CAQ","PLQ","QS","PQ","PCQ","Autre"},MATCH(MAX(AI26:AN26),AI26:AN26,0))</f>
        <v/>
      </c>
      <c r="AY26">
        <f>INDEX({"CAQ","PLQ","QS","PQ","PCQ","Autre"},MATCH(MAX(AO26:AT26),AO26:AT26,0))</f>
        <v/>
      </c>
      <c r="AZ26">
        <f>(MAX(K26:P26)-LARGE(K26:P26,2))*100</f>
        <v/>
      </c>
      <c r="BA26">
        <f>IF(AZ26&lt;5,"Oui","Non")</f>
        <v/>
      </c>
      <c r="BB26" t="n">
        <v>-1.053</v>
      </c>
      <c r="BC26" t="n">
        <v>-2.014</v>
      </c>
      <c r="BD26" t="n">
        <v>0.585</v>
      </c>
      <c r="BE26" t="n">
        <v>2.752</v>
      </c>
    </row>
    <row r="27">
      <c r="A27" t="inlineStr">
        <is>
          <t>Chauveau</t>
        </is>
      </c>
      <c r="B27" t="inlineStr">
        <is>
          <t>Québec RMR</t>
        </is>
      </c>
      <c r="C27">
        <f>INDEX({"CAQ","PLQ","QS","PQ","PCQ","Autre"},MATCH(MAX(D27:I27),D27:I27,0))</f>
        <v/>
      </c>
      <c r="D27" t="n">
        <v>20292</v>
      </c>
      <c r="E27" t="n">
        <v>1651</v>
      </c>
      <c r="F27" t="n">
        <v>3816</v>
      </c>
      <c r="G27" t="n">
        <v>3307</v>
      </c>
      <c r="H27" t="n">
        <v>13794</v>
      </c>
      <c r="I27" t="n">
        <v>458</v>
      </c>
      <c r="J27">
        <f>SUM(D27:I27)</f>
        <v/>
      </c>
      <c r="K27">
        <f>IFERROR(D27/$J27,0)</f>
        <v/>
      </c>
      <c r="L27">
        <f>IFERROR(E27/$J27,0)</f>
        <v/>
      </c>
      <c r="M27">
        <f>IFERROR(F27/$J27,0)</f>
        <v/>
      </c>
      <c r="N27">
        <f>IFERROR(G27/$J27,0)</f>
        <v/>
      </c>
      <c r="O27">
        <f>IFERROR(H27/$J27,0)</f>
        <v/>
      </c>
      <c r="P27">
        <f>IFERROR(I27/$J27,0)</f>
        <v/>
      </c>
      <c r="Q27">
        <f>D27*INDEX(Régions!$T$2:$T$6,MATCH($B27,Régions!$A$2:$A$6,0))</f>
        <v/>
      </c>
      <c r="R27">
        <f>E27*INDEX(Régions!$U$2:$U$6,MATCH($B27,Régions!$A$2:$A$6,0))</f>
        <v/>
      </c>
      <c r="S27">
        <f>F27*INDEX(Régions!$V$2:$V$6,MATCH($B27,Régions!$A$2:$A$6,0))</f>
        <v/>
      </c>
      <c r="T27">
        <f>G27*INDEX(Régions!$W$2:$W$6,MATCH($B27,Régions!$A$2:$A$6,0))</f>
        <v/>
      </c>
      <c r="U27">
        <f>H27*INDEX(Régions!$X$2:$X$6,MATCH($B27,Régions!$A$2:$A$6,0))</f>
        <v/>
      </c>
      <c r="V27">
        <f>I27*INDEX(Régions!$Y$2:$Y$6,MATCH($B27,Régions!$A$2:$A$6,0))</f>
        <v/>
      </c>
      <c r="W27">
        <f>Q27+(BB27/100)*$J27*Régions!$O$2</f>
        <v/>
      </c>
      <c r="X27">
        <f>R27+(BC27/100)*$J27*Régions!$O$2</f>
        <v/>
      </c>
      <c r="Y27">
        <f>S27+(BD27/100)*$J27*Régions!$O$2</f>
        <v/>
      </c>
      <c r="Z27">
        <f>T27+(BE27/100)*$J27*Régions!$O$2</f>
        <v/>
      </c>
      <c r="AA27">
        <f>U27</f>
        <v/>
      </c>
      <c r="AB27">
        <f>V27</f>
        <v/>
      </c>
      <c r="AC27">
        <f>D27*INDEX(Régions!$Z$2:$Z$6,MATCH($B27,Régions!$A$2:$A$6,0))</f>
        <v/>
      </c>
      <c r="AD27">
        <f>E27*INDEX(Régions!$AA$2:$AA$6,MATCH($B27,Régions!$A$2:$A$6,0))</f>
        <v/>
      </c>
      <c r="AE27">
        <f>F27*INDEX(Régions!$AB$2:$AB$6,MATCH($B27,Régions!$A$2:$A$6,0))</f>
        <v/>
      </c>
      <c r="AF27">
        <f>G27*INDEX(Régions!$AC$2:$AC$6,MATCH($B27,Régions!$A$2:$A$6,0))</f>
        <v/>
      </c>
      <c r="AG27">
        <f>H27*INDEX(Régions!$AD$2:$AD$6,MATCH($B27,Régions!$A$2:$A$6,0))</f>
        <v/>
      </c>
      <c r="AH27">
        <f>I27*INDEX(Régions!$AE$2:$AE$6,MATCH($B27,Régions!$A$2:$A$6,0))</f>
        <v/>
      </c>
      <c r="AI27">
        <f>D27*INDEX(Régions!$AF$2:$AF$6,MATCH($B27,Régions!$A$2:$A$6,0))</f>
        <v/>
      </c>
      <c r="AJ27">
        <f>E27*INDEX(Régions!$AG$2:$AG$6,MATCH($B27,Régions!$A$2:$A$6,0))</f>
        <v/>
      </c>
      <c r="AK27">
        <f>F27*INDEX(Régions!$AH$2:$AH$6,MATCH($B27,Régions!$A$2:$A$6,0))</f>
        <v/>
      </c>
      <c r="AL27">
        <f>G27*INDEX(Régions!$AI$2:$AI$6,MATCH($B27,Régions!$A$2:$A$6,0))</f>
        <v/>
      </c>
      <c r="AM27">
        <f>H27*INDEX(Régions!$AJ$2:$AJ$6,MATCH($B27,Régions!$A$2:$A$6,0))</f>
        <v/>
      </c>
      <c r="AN27">
        <f>I27*INDEX(Régions!$AK$2:$AK$6,MATCH($B27,Régions!$A$2:$A$6,0))</f>
        <v/>
      </c>
      <c r="AO27">
        <f>Régions!$Q$2*Q27/SUM($Q27:$V27)*100+(1-Régions!$Q$2)*MAX(K27*100+(INDEX(Régions!$AL$2:$AL$6,MATCH($B27,Régions!$A$2:$A$6,0))),0)</f>
        <v/>
      </c>
      <c r="AP27">
        <f>Régions!$Q$2*R27/SUM($Q27:$V27)*100+(1-Régions!$Q$2)*MAX(L27*100+(INDEX(Régions!$AM$2:$AM$6,MATCH($B27,Régions!$A$2:$A$6,0))),0)</f>
        <v/>
      </c>
      <c r="AQ27">
        <f>Régions!$Q$2*S27/SUM($Q27:$V27)*100+(1-Régions!$Q$2)*MAX(M27*100+(INDEX(Régions!$AN$2:$AN$6,MATCH($B27,Régions!$A$2:$A$6,0))),0)</f>
        <v/>
      </c>
      <c r="AR27">
        <f>Régions!$Q$2*T27/SUM($Q27:$V27)*100+(1-Régions!$Q$2)*MAX(N27*100+(INDEX(Régions!$AO$2:$AO$6,MATCH($B27,Régions!$A$2:$A$6,0))),0)</f>
        <v/>
      </c>
      <c r="AS27">
        <f>Régions!$Q$2*U27/SUM($Q27:$V27)*100+(1-Régions!$Q$2)*MAX(O27*100+(INDEX(Régions!$AP$2:$AP$6,MATCH($B27,Régions!$A$2:$A$6,0))),0)</f>
        <v/>
      </c>
      <c r="AT27">
        <f>Régions!$Q$2*V27/SUM($Q27:$V27)*100+(1-Régions!$Q$2)*MAX(P27*100+(INDEX(Régions!$AQ$2:$AQ$6,MATCH($B27,Régions!$A$2:$A$6,0))),0)</f>
        <v/>
      </c>
      <c r="AU27">
        <f>INDEX({"CAQ","PLQ","QS","PQ","PCQ","Autre"},MATCH(MAX(Q27:V27),Q27:V27,0))</f>
        <v/>
      </c>
      <c r="AV27">
        <f>INDEX({"CAQ","PLQ","QS","PQ","PCQ","Autre"},MATCH(MAX(W27:AB27),W27:AB27,0))</f>
        <v/>
      </c>
      <c r="AW27">
        <f>INDEX({"CAQ","PLQ","QS","PQ","PCQ","Autre"},MATCH(MAX(AC27:AH27),AC27:AH27,0))</f>
        <v/>
      </c>
      <c r="AX27">
        <f>INDEX({"CAQ","PLQ","QS","PQ","PCQ","Autre"},MATCH(MAX(AI27:AN27),AI27:AN27,0))</f>
        <v/>
      </c>
      <c r="AY27">
        <f>INDEX({"CAQ","PLQ","QS","PQ","PCQ","Autre"},MATCH(MAX(AO27:AT27),AO27:AT27,0))</f>
        <v/>
      </c>
      <c r="AZ27">
        <f>(MAX(K27:P27)-LARGE(K27:P27,2))*100</f>
        <v/>
      </c>
      <c r="BA27">
        <f>IF(AZ27&lt;5,"Oui","Non")</f>
        <v/>
      </c>
      <c r="BB27" t="n">
        <v>2.564</v>
      </c>
      <c r="BC27" t="n">
        <v>-3.76</v>
      </c>
      <c r="BD27" t="n">
        <v>-1.233</v>
      </c>
      <c r="BE27" t="n">
        <v>-3.594</v>
      </c>
    </row>
    <row r="28">
      <c r="A28" t="inlineStr">
        <is>
          <t>Chicoutimi</t>
        </is>
      </c>
      <c r="B28" t="inlineStr">
        <is>
          <t>Reste du Québec</t>
        </is>
      </c>
      <c r="C28">
        <f>INDEX({"CAQ","PLQ","QS","PQ","PCQ","Autre"},MATCH(MAX(D28:I28),D28:I28,0))</f>
        <v/>
      </c>
      <c r="D28" t="n">
        <v>19296.8</v>
      </c>
      <c r="E28" t="n">
        <v>940.6</v>
      </c>
      <c r="F28" t="n">
        <v>3731.6</v>
      </c>
      <c r="G28" t="n">
        <v>4404.5</v>
      </c>
      <c r="H28" t="n">
        <v>2612.8</v>
      </c>
      <c r="I28" t="n">
        <v>0.1</v>
      </c>
      <c r="J28">
        <f>SUM(D28:I28)</f>
        <v/>
      </c>
      <c r="K28">
        <f>IFERROR(D28/$J28,0)</f>
        <v/>
      </c>
      <c r="L28">
        <f>IFERROR(E28/$J28,0)</f>
        <v/>
      </c>
      <c r="M28">
        <f>IFERROR(F28/$J28,0)</f>
        <v/>
      </c>
      <c r="N28">
        <f>IFERROR(G28/$J28,0)</f>
        <v/>
      </c>
      <c r="O28">
        <f>IFERROR(H28/$J28,0)</f>
        <v/>
      </c>
      <c r="P28">
        <f>IFERROR(I28/$J28,0)</f>
        <v/>
      </c>
      <c r="Q28">
        <f>D28*INDEX(Régions!$T$2:$T$6,MATCH($B28,Régions!$A$2:$A$6,0))</f>
        <v/>
      </c>
      <c r="R28">
        <f>E28*INDEX(Régions!$U$2:$U$6,MATCH($B28,Régions!$A$2:$A$6,0))</f>
        <v/>
      </c>
      <c r="S28">
        <f>F28*INDEX(Régions!$V$2:$V$6,MATCH($B28,Régions!$A$2:$A$6,0))</f>
        <v/>
      </c>
      <c r="T28">
        <f>G28*INDEX(Régions!$W$2:$W$6,MATCH($B28,Régions!$A$2:$A$6,0))</f>
        <v/>
      </c>
      <c r="U28">
        <f>H28*INDEX(Régions!$X$2:$X$6,MATCH($B28,Régions!$A$2:$A$6,0))</f>
        <v/>
      </c>
      <c r="V28">
        <f>I28*INDEX(Régions!$Y$2:$Y$6,MATCH($B28,Régions!$A$2:$A$6,0))</f>
        <v/>
      </c>
      <c r="W28">
        <f>Q28+(BB28/100)*$J28*Régions!$O$2</f>
        <v/>
      </c>
      <c r="X28">
        <f>R28+(BC28/100)*$J28*Régions!$O$2</f>
        <v/>
      </c>
      <c r="Y28">
        <f>S28+(BD28/100)*$J28*Régions!$O$2</f>
        <v/>
      </c>
      <c r="Z28">
        <f>T28+(BE28/100)*$J28*Régions!$O$2</f>
        <v/>
      </c>
      <c r="AA28">
        <f>U28</f>
        <v/>
      </c>
      <c r="AB28">
        <f>V28</f>
        <v/>
      </c>
      <c r="AC28">
        <f>D28*INDEX(Régions!$Z$2:$Z$6,MATCH($B28,Régions!$A$2:$A$6,0))</f>
        <v/>
      </c>
      <c r="AD28">
        <f>E28*INDEX(Régions!$AA$2:$AA$6,MATCH($B28,Régions!$A$2:$A$6,0))</f>
        <v/>
      </c>
      <c r="AE28">
        <f>F28*INDEX(Régions!$AB$2:$AB$6,MATCH($B28,Régions!$A$2:$A$6,0))</f>
        <v/>
      </c>
      <c r="AF28">
        <f>G28*INDEX(Régions!$AC$2:$AC$6,MATCH($B28,Régions!$A$2:$A$6,0))</f>
        <v/>
      </c>
      <c r="AG28">
        <f>H28*INDEX(Régions!$AD$2:$AD$6,MATCH($B28,Régions!$A$2:$A$6,0))</f>
        <v/>
      </c>
      <c r="AH28">
        <f>I28*INDEX(Régions!$AE$2:$AE$6,MATCH($B28,Régions!$A$2:$A$6,0))</f>
        <v/>
      </c>
      <c r="AI28">
        <f>D28*INDEX(Régions!$AF$2:$AF$6,MATCH($B28,Régions!$A$2:$A$6,0))</f>
        <v/>
      </c>
      <c r="AJ28">
        <f>E28*INDEX(Régions!$AG$2:$AG$6,MATCH($B28,Régions!$A$2:$A$6,0))</f>
        <v/>
      </c>
      <c r="AK28">
        <f>F28*INDEX(Régions!$AH$2:$AH$6,MATCH($B28,Régions!$A$2:$A$6,0))</f>
        <v/>
      </c>
      <c r="AL28">
        <f>G28*INDEX(Régions!$AI$2:$AI$6,MATCH($B28,Régions!$A$2:$A$6,0))</f>
        <v/>
      </c>
      <c r="AM28">
        <f>H28*INDEX(Régions!$AJ$2:$AJ$6,MATCH($B28,Régions!$A$2:$A$6,0))</f>
        <v/>
      </c>
      <c r="AN28">
        <f>I28*INDEX(Régions!$AK$2:$AK$6,MATCH($B28,Régions!$A$2:$A$6,0))</f>
        <v/>
      </c>
      <c r="AO28">
        <f>Régions!$Q$2*Q28/SUM($Q28:$V28)*100+(1-Régions!$Q$2)*MAX(K28*100+(INDEX(Régions!$AL$2:$AL$6,MATCH($B28,Régions!$A$2:$A$6,0))),0)</f>
        <v/>
      </c>
      <c r="AP28">
        <f>Régions!$Q$2*R28/SUM($Q28:$V28)*100+(1-Régions!$Q$2)*MAX(L28*100+(INDEX(Régions!$AM$2:$AM$6,MATCH($B28,Régions!$A$2:$A$6,0))),0)</f>
        <v/>
      </c>
      <c r="AQ28">
        <f>Régions!$Q$2*S28/SUM($Q28:$V28)*100+(1-Régions!$Q$2)*MAX(M28*100+(INDEX(Régions!$AN$2:$AN$6,MATCH($B28,Régions!$A$2:$A$6,0))),0)</f>
        <v/>
      </c>
      <c r="AR28">
        <f>Régions!$Q$2*T28/SUM($Q28:$V28)*100+(1-Régions!$Q$2)*MAX(N28*100+(INDEX(Régions!$AO$2:$AO$6,MATCH($B28,Régions!$A$2:$A$6,0))),0)</f>
        <v/>
      </c>
      <c r="AS28">
        <f>Régions!$Q$2*U28/SUM($Q28:$V28)*100+(1-Régions!$Q$2)*MAX(O28*100+(INDEX(Régions!$AP$2:$AP$6,MATCH($B28,Régions!$A$2:$A$6,0))),0)</f>
        <v/>
      </c>
      <c r="AT28">
        <f>Régions!$Q$2*V28/SUM($Q28:$V28)*100+(1-Régions!$Q$2)*MAX(P28*100+(INDEX(Régions!$AQ$2:$AQ$6,MATCH($B28,Régions!$A$2:$A$6,0))),0)</f>
        <v/>
      </c>
      <c r="AU28">
        <f>INDEX({"CAQ","PLQ","QS","PQ","PCQ","Autre"},MATCH(MAX(Q28:V28),Q28:V28,0))</f>
        <v/>
      </c>
      <c r="AV28">
        <f>INDEX({"CAQ","PLQ","QS","PQ","PCQ","Autre"},MATCH(MAX(W28:AB28),W28:AB28,0))</f>
        <v/>
      </c>
      <c r="AW28">
        <f>INDEX({"CAQ","PLQ","QS","PQ","PCQ","Autre"},MATCH(MAX(AC28:AH28),AC28:AH28,0))</f>
        <v/>
      </c>
      <c r="AX28">
        <f>INDEX({"CAQ","PLQ","QS","PQ","PCQ","Autre"},MATCH(MAX(AI28:AN28),AI28:AN28,0))</f>
        <v/>
      </c>
      <c r="AY28">
        <f>INDEX({"CAQ","PLQ","QS","PQ","PCQ","Autre"},MATCH(MAX(AO28:AT28),AO28:AT28,0))</f>
        <v/>
      </c>
      <c r="AZ28">
        <f>(MAX(K28:P28)-LARGE(K28:P28,2))*100</f>
        <v/>
      </c>
      <c r="BA28">
        <f>IF(AZ28&lt;5,"Oui","Non")</f>
        <v/>
      </c>
      <c r="BB28" t="n">
        <v>15.61</v>
      </c>
      <c r="BC28" t="n">
        <v>-3.593</v>
      </c>
      <c r="BD28" t="n">
        <v>0.346</v>
      </c>
      <c r="BE28" t="n">
        <v>-6.581</v>
      </c>
    </row>
    <row r="29">
      <c r="A29" t="inlineStr">
        <is>
          <t>Chomedey</t>
        </is>
      </c>
      <c r="B29" t="inlineStr">
        <is>
          <t>Banlieue de Montréal</t>
        </is>
      </c>
      <c r="C29">
        <f>INDEX({"CAQ","PLQ","QS","PQ","PCQ","Autre"},MATCH(MAX(D29:I29),D29:I29,0))</f>
        <v/>
      </c>
      <c r="D29" t="n">
        <v>7795.8</v>
      </c>
      <c r="E29" t="n">
        <v>10663.7</v>
      </c>
      <c r="F29" t="n">
        <v>2304</v>
      </c>
      <c r="G29" t="n">
        <v>2100.5</v>
      </c>
      <c r="H29" t="n">
        <v>5797.6</v>
      </c>
      <c r="I29" t="n">
        <v>538.8</v>
      </c>
      <c r="J29">
        <f>SUM(D29:I29)</f>
        <v/>
      </c>
      <c r="K29">
        <f>IFERROR(D29/$J29,0)</f>
        <v/>
      </c>
      <c r="L29">
        <f>IFERROR(E29/$J29,0)</f>
        <v/>
      </c>
      <c r="M29">
        <f>IFERROR(F29/$J29,0)</f>
        <v/>
      </c>
      <c r="N29">
        <f>IFERROR(G29/$J29,0)</f>
        <v/>
      </c>
      <c r="O29">
        <f>IFERROR(H29/$J29,0)</f>
        <v/>
      </c>
      <c r="P29">
        <f>IFERROR(I29/$J29,0)</f>
        <v/>
      </c>
      <c r="Q29">
        <f>D29*INDEX(Régions!$T$2:$T$6,MATCH($B29,Régions!$A$2:$A$6,0))</f>
        <v/>
      </c>
      <c r="R29">
        <f>E29*INDEX(Régions!$U$2:$U$6,MATCH($B29,Régions!$A$2:$A$6,0))</f>
        <v/>
      </c>
      <c r="S29">
        <f>F29*INDEX(Régions!$V$2:$V$6,MATCH($B29,Régions!$A$2:$A$6,0))</f>
        <v/>
      </c>
      <c r="T29">
        <f>G29*INDEX(Régions!$W$2:$W$6,MATCH($B29,Régions!$A$2:$A$6,0))</f>
        <v/>
      </c>
      <c r="U29">
        <f>H29*INDEX(Régions!$X$2:$X$6,MATCH($B29,Régions!$A$2:$A$6,0))</f>
        <v/>
      </c>
      <c r="V29">
        <f>I29*INDEX(Régions!$Y$2:$Y$6,MATCH($B29,Régions!$A$2:$A$6,0))</f>
        <v/>
      </c>
      <c r="W29">
        <f>Q29+(BB29/100)*$J29*Régions!$O$2</f>
        <v/>
      </c>
      <c r="X29">
        <f>R29+(BC29/100)*$J29*Régions!$O$2</f>
        <v/>
      </c>
      <c r="Y29">
        <f>S29+(BD29/100)*$J29*Régions!$O$2</f>
        <v/>
      </c>
      <c r="Z29">
        <f>T29+(BE29/100)*$J29*Régions!$O$2</f>
        <v/>
      </c>
      <c r="AA29">
        <f>U29</f>
        <v/>
      </c>
      <c r="AB29">
        <f>V29</f>
        <v/>
      </c>
      <c r="AC29">
        <f>D29*INDEX(Régions!$Z$2:$Z$6,MATCH($B29,Régions!$A$2:$A$6,0))</f>
        <v/>
      </c>
      <c r="AD29">
        <f>E29*INDEX(Régions!$AA$2:$AA$6,MATCH($B29,Régions!$A$2:$A$6,0))</f>
        <v/>
      </c>
      <c r="AE29">
        <f>F29*INDEX(Régions!$AB$2:$AB$6,MATCH($B29,Régions!$A$2:$A$6,0))</f>
        <v/>
      </c>
      <c r="AF29">
        <f>G29*INDEX(Régions!$AC$2:$AC$6,MATCH($B29,Régions!$A$2:$A$6,0))</f>
        <v/>
      </c>
      <c r="AG29">
        <f>H29*INDEX(Régions!$AD$2:$AD$6,MATCH($B29,Régions!$A$2:$A$6,0))</f>
        <v/>
      </c>
      <c r="AH29">
        <f>I29*INDEX(Régions!$AE$2:$AE$6,MATCH($B29,Régions!$A$2:$A$6,0))</f>
        <v/>
      </c>
      <c r="AI29">
        <f>D29*INDEX(Régions!$AF$2:$AF$6,MATCH($B29,Régions!$A$2:$A$6,0))</f>
        <v/>
      </c>
      <c r="AJ29">
        <f>E29*INDEX(Régions!$AG$2:$AG$6,MATCH($B29,Régions!$A$2:$A$6,0))</f>
        <v/>
      </c>
      <c r="AK29">
        <f>F29*INDEX(Régions!$AH$2:$AH$6,MATCH($B29,Régions!$A$2:$A$6,0))</f>
        <v/>
      </c>
      <c r="AL29">
        <f>G29*INDEX(Régions!$AI$2:$AI$6,MATCH($B29,Régions!$A$2:$A$6,0))</f>
        <v/>
      </c>
      <c r="AM29">
        <f>H29*INDEX(Régions!$AJ$2:$AJ$6,MATCH($B29,Régions!$A$2:$A$6,0))</f>
        <v/>
      </c>
      <c r="AN29">
        <f>I29*INDEX(Régions!$AK$2:$AK$6,MATCH($B29,Régions!$A$2:$A$6,0))</f>
        <v/>
      </c>
      <c r="AO29">
        <f>Régions!$Q$2*Q29/SUM($Q29:$V29)*100+(1-Régions!$Q$2)*MAX(K29*100+(INDEX(Régions!$AL$2:$AL$6,MATCH($B29,Régions!$A$2:$A$6,0))),0)</f>
        <v/>
      </c>
      <c r="AP29">
        <f>Régions!$Q$2*R29/SUM($Q29:$V29)*100+(1-Régions!$Q$2)*MAX(L29*100+(INDEX(Régions!$AM$2:$AM$6,MATCH($B29,Régions!$A$2:$A$6,0))),0)</f>
        <v/>
      </c>
      <c r="AQ29">
        <f>Régions!$Q$2*S29/SUM($Q29:$V29)*100+(1-Régions!$Q$2)*MAX(M29*100+(INDEX(Régions!$AN$2:$AN$6,MATCH($B29,Régions!$A$2:$A$6,0))),0)</f>
        <v/>
      </c>
      <c r="AR29">
        <f>Régions!$Q$2*T29/SUM($Q29:$V29)*100+(1-Régions!$Q$2)*MAX(N29*100+(INDEX(Régions!$AO$2:$AO$6,MATCH($B29,Régions!$A$2:$A$6,0))),0)</f>
        <v/>
      </c>
      <c r="AS29">
        <f>Régions!$Q$2*U29/SUM($Q29:$V29)*100+(1-Régions!$Q$2)*MAX(O29*100+(INDEX(Régions!$AP$2:$AP$6,MATCH($B29,Régions!$A$2:$A$6,0))),0)</f>
        <v/>
      </c>
      <c r="AT29">
        <f>Régions!$Q$2*V29/SUM($Q29:$V29)*100+(1-Régions!$Q$2)*MAX(P29*100+(INDEX(Régions!$AQ$2:$AQ$6,MATCH($B29,Régions!$A$2:$A$6,0))),0)</f>
        <v/>
      </c>
      <c r="AU29">
        <f>INDEX({"CAQ","PLQ","QS","PQ","PCQ","Autre"},MATCH(MAX(Q29:V29),Q29:V29,0))</f>
        <v/>
      </c>
      <c r="AV29">
        <f>INDEX({"CAQ","PLQ","QS","PQ","PCQ","Autre"},MATCH(MAX(W29:AB29),W29:AB29,0))</f>
        <v/>
      </c>
      <c r="AW29">
        <f>INDEX({"CAQ","PLQ","QS","PQ","PCQ","Autre"},MATCH(MAX(AC29:AH29),AC29:AH29,0))</f>
        <v/>
      </c>
      <c r="AX29">
        <f>INDEX({"CAQ","PLQ","QS","PQ","PCQ","Autre"},MATCH(MAX(AI29:AN29),AI29:AN29,0))</f>
        <v/>
      </c>
      <c r="AY29">
        <f>INDEX({"CAQ","PLQ","QS","PQ","PCQ","Autre"},MATCH(MAX(AO29:AT29),AO29:AT29,0))</f>
        <v/>
      </c>
      <c r="AZ29">
        <f>(MAX(K29:P29)-LARGE(K29:P29,2))*100</f>
        <v/>
      </c>
      <c r="BA29">
        <f>IF(AZ29&lt;5,"Oui","Non")</f>
        <v/>
      </c>
      <c r="BB29" t="n">
        <v>-2.826</v>
      </c>
      <c r="BC29" t="n">
        <v>-9.286</v>
      </c>
      <c r="BD29" t="n">
        <v>1.431</v>
      </c>
      <c r="BE29" t="n">
        <v>2.778</v>
      </c>
    </row>
    <row r="30">
      <c r="A30" t="inlineStr">
        <is>
          <t>Chutes-de-la-Chaudière</t>
        </is>
      </c>
      <c r="B30" t="inlineStr">
        <is>
          <t>Québec RMR</t>
        </is>
      </c>
      <c r="C30">
        <f>INDEX({"CAQ","PLQ","QS","PQ","PCQ","Autre"},MATCH(MAX(D30:I30),D30:I30,0))</f>
        <v/>
      </c>
      <c r="D30" t="n">
        <v>22055</v>
      </c>
      <c r="E30" t="n">
        <v>2298</v>
      </c>
      <c r="F30" t="n">
        <v>4311</v>
      </c>
      <c r="G30" t="n">
        <v>5163</v>
      </c>
      <c r="H30" t="n">
        <v>12640</v>
      </c>
      <c r="I30" t="n">
        <v>0</v>
      </c>
      <c r="J30">
        <f>SUM(D30:I30)</f>
        <v/>
      </c>
      <c r="K30">
        <f>IFERROR(D30/$J30,0)</f>
        <v/>
      </c>
      <c r="L30">
        <f>IFERROR(E30/$J30,0)</f>
        <v/>
      </c>
      <c r="M30">
        <f>IFERROR(F30/$J30,0)</f>
        <v/>
      </c>
      <c r="N30">
        <f>IFERROR(G30/$J30,0)</f>
        <v/>
      </c>
      <c r="O30">
        <f>IFERROR(H30/$J30,0)</f>
        <v/>
      </c>
      <c r="P30">
        <f>IFERROR(I30/$J30,0)</f>
        <v/>
      </c>
      <c r="Q30">
        <f>D30*INDEX(Régions!$T$2:$T$6,MATCH($B30,Régions!$A$2:$A$6,0))</f>
        <v/>
      </c>
      <c r="R30">
        <f>E30*INDEX(Régions!$U$2:$U$6,MATCH($B30,Régions!$A$2:$A$6,0))</f>
        <v/>
      </c>
      <c r="S30">
        <f>F30*INDEX(Régions!$V$2:$V$6,MATCH($B30,Régions!$A$2:$A$6,0))</f>
        <v/>
      </c>
      <c r="T30">
        <f>G30*INDEX(Régions!$W$2:$W$6,MATCH($B30,Régions!$A$2:$A$6,0))</f>
        <v/>
      </c>
      <c r="U30">
        <f>H30*INDEX(Régions!$X$2:$X$6,MATCH($B30,Régions!$A$2:$A$6,0))</f>
        <v/>
      </c>
      <c r="V30">
        <f>I30*INDEX(Régions!$Y$2:$Y$6,MATCH($B30,Régions!$A$2:$A$6,0))</f>
        <v/>
      </c>
      <c r="W30">
        <f>Q30+(BB30/100)*$J30*Régions!$O$2</f>
        <v/>
      </c>
      <c r="X30">
        <f>R30+(BC30/100)*$J30*Régions!$O$2</f>
        <v/>
      </c>
      <c r="Y30">
        <f>S30+(BD30/100)*$J30*Régions!$O$2</f>
        <v/>
      </c>
      <c r="Z30">
        <f>T30+(BE30/100)*$J30*Régions!$O$2</f>
        <v/>
      </c>
      <c r="AA30">
        <f>U30</f>
        <v/>
      </c>
      <c r="AB30">
        <f>V30</f>
        <v/>
      </c>
      <c r="AC30">
        <f>D30*INDEX(Régions!$Z$2:$Z$6,MATCH($B30,Régions!$A$2:$A$6,0))</f>
        <v/>
      </c>
      <c r="AD30">
        <f>E30*INDEX(Régions!$AA$2:$AA$6,MATCH($B30,Régions!$A$2:$A$6,0))</f>
        <v/>
      </c>
      <c r="AE30">
        <f>F30*INDEX(Régions!$AB$2:$AB$6,MATCH($B30,Régions!$A$2:$A$6,0))</f>
        <v/>
      </c>
      <c r="AF30">
        <f>G30*INDEX(Régions!$AC$2:$AC$6,MATCH($B30,Régions!$A$2:$A$6,0))</f>
        <v/>
      </c>
      <c r="AG30">
        <f>H30*INDEX(Régions!$AD$2:$AD$6,MATCH($B30,Régions!$A$2:$A$6,0))</f>
        <v/>
      </c>
      <c r="AH30">
        <f>I30*INDEX(Régions!$AE$2:$AE$6,MATCH($B30,Régions!$A$2:$A$6,0))</f>
        <v/>
      </c>
      <c r="AI30">
        <f>D30*INDEX(Régions!$AF$2:$AF$6,MATCH($B30,Régions!$A$2:$A$6,0))</f>
        <v/>
      </c>
      <c r="AJ30">
        <f>E30*INDEX(Régions!$AG$2:$AG$6,MATCH($B30,Régions!$A$2:$A$6,0))</f>
        <v/>
      </c>
      <c r="AK30">
        <f>F30*INDEX(Régions!$AH$2:$AH$6,MATCH($B30,Régions!$A$2:$A$6,0))</f>
        <v/>
      </c>
      <c r="AL30">
        <f>G30*INDEX(Régions!$AI$2:$AI$6,MATCH($B30,Régions!$A$2:$A$6,0))</f>
        <v/>
      </c>
      <c r="AM30">
        <f>H30*INDEX(Régions!$AJ$2:$AJ$6,MATCH($B30,Régions!$A$2:$A$6,0))</f>
        <v/>
      </c>
      <c r="AN30">
        <f>I30*INDEX(Régions!$AK$2:$AK$6,MATCH($B30,Régions!$A$2:$A$6,0))</f>
        <v/>
      </c>
      <c r="AO30">
        <f>Régions!$Q$2*Q30/SUM($Q30:$V30)*100+(1-Régions!$Q$2)*MAX(K30*100+(INDEX(Régions!$AL$2:$AL$6,MATCH($B30,Régions!$A$2:$A$6,0))),0)</f>
        <v/>
      </c>
      <c r="AP30">
        <f>Régions!$Q$2*R30/SUM($Q30:$V30)*100+(1-Régions!$Q$2)*MAX(L30*100+(INDEX(Régions!$AM$2:$AM$6,MATCH($B30,Régions!$A$2:$A$6,0))),0)</f>
        <v/>
      </c>
      <c r="AQ30">
        <f>Régions!$Q$2*S30/SUM($Q30:$V30)*100+(1-Régions!$Q$2)*MAX(M30*100+(INDEX(Régions!$AN$2:$AN$6,MATCH($B30,Régions!$A$2:$A$6,0))),0)</f>
        <v/>
      </c>
      <c r="AR30">
        <f>Régions!$Q$2*T30/SUM($Q30:$V30)*100+(1-Régions!$Q$2)*MAX(N30*100+(INDEX(Régions!$AO$2:$AO$6,MATCH($B30,Régions!$A$2:$A$6,0))),0)</f>
        <v/>
      </c>
      <c r="AS30">
        <f>Régions!$Q$2*U30/SUM($Q30:$V30)*100+(1-Régions!$Q$2)*MAX(O30*100+(INDEX(Régions!$AP$2:$AP$6,MATCH($B30,Régions!$A$2:$A$6,0))),0)</f>
        <v/>
      </c>
      <c r="AT30">
        <f>Régions!$Q$2*V30/SUM($Q30:$V30)*100+(1-Régions!$Q$2)*MAX(P30*100+(INDEX(Régions!$AQ$2:$AQ$6,MATCH($B30,Régions!$A$2:$A$6,0))),0)</f>
        <v/>
      </c>
      <c r="AU30">
        <f>INDEX({"CAQ","PLQ","QS","PQ","PCQ","Autre"},MATCH(MAX(Q30:V30),Q30:V30,0))</f>
        <v/>
      </c>
      <c r="AV30">
        <f>INDEX({"CAQ","PLQ","QS","PQ","PCQ","Autre"},MATCH(MAX(W30:AB30),W30:AB30,0))</f>
        <v/>
      </c>
      <c r="AW30">
        <f>INDEX({"CAQ","PLQ","QS","PQ","PCQ","Autre"},MATCH(MAX(AC30:AH30),AC30:AH30,0))</f>
        <v/>
      </c>
      <c r="AX30">
        <f>INDEX({"CAQ","PLQ","QS","PQ","PCQ","Autre"},MATCH(MAX(AI30:AN30),AI30:AN30,0))</f>
        <v/>
      </c>
      <c r="AY30">
        <f>INDEX({"CAQ","PLQ","QS","PQ","PCQ","Autre"},MATCH(MAX(AO30:AT30),AO30:AT30,0))</f>
        <v/>
      </c>
      <c r="AZ30">
        <f>(MAX(K30:P30)-LARGE(K30:P30,2))*100</f>
        <v/>
      </c>
      <c r="BA30">
        <f>IF(AZ30&lt;5,"Oui","Non")</f>
        <v/>
      </c>
      <c r="BB30" t="n">
        <v>-9.26</v>
      </c>
      <c r="BC30" t="n">
        <v>5.907</v>
      </c>
      <c r="BD30" t="n">
        <v>-1.841</v>
      </c>
      <c r="BE30" t="n">
        <v>-0.275</v>
      </c>
    </row>
    <row r="31">
      <c r="A31" t="inlineStr">
        <is>
          <t>Côte-du-Sud</t>
        </is>
      </c>
      <c r="B31" t="inlineStr">
        <is>
          <t>Reste du Québec</t>
        </is>
      </c>
      <c r="C31">
        <f>INDEX({"CAQ","PLQ","QS","PQ","PCQ","Autre"},MATCH(MAX(D31:I31),D31:I31,0))</f>
        <v/>
      </c>
      <c r="D31" t="n">
        <v>16116</v>
      </c>
      <c r="E31" t="n">
        <v>2132</v>
      </c>
      <c r="F31" t="n">
        <v>3154</v>
      </c>
      <c r="G31" t="n">
        <v>4316</v>
      </c>
      <c r="H31" t="n">
        <v>7910</v>
      </c>
      <c r="I31" t="n">
        <v>164</v>
      </c>
      <c r="J31">
        <f>SUM(D31:I31)</f>
        <v/>
      </c>
      <c r="K31">
        <f>IFERROR(D31/$J31,0)</f>
        <v/>
      </c>
      <c r="L31">
        <f>IFERROR(E31/$J31,0)</f>
        <v/>
      </c>
      <c r="M31">
        <f>IFERROR(F31/$J31,0)</f>
        <v/>
      </c>
      <c r="N31">
        <f>IFERROR(G31/$J31,0)</f>
        <v/>
      </c>
      <c r="O31">
        <f>IFERROR(H31/$J31,0)</f>
        <v/>
      </c>
      <c r="P31">
        <f>IFERROR(I31/$J31,0)</f>
        <v/>
      </c>
      <c r="Q31">
        <f>D31*INDEX(Régions!$T$2:$T$6,MATCH($B31,Régions!$A$2:$A$6,0))</f>
        <v/>
      </c>
      <c r="R31">
        <f>E31*INDEX(Régions!$U$2:$U$6,MATCH($B31,Régions!$A$2:$A$6,0))</f>
        <v/>
      </c>
      <c r="S31">
        <f>F31*INDEX(Régions!$V$2:$V$6,MATCH($B31,Régions!$A$2:$A$6,0))</f>
        <v/>
      </c>
      <c r="T31">
        <f>G31*INDEX(Régions!$W$2:$W$6,MATCH($B31,Régions!$A$2:$A$6,0))</f>
        <v/>
      </c>
      <c r="U31">
        <f>H31*INDEX(Régions!$X$2:$X$6,MATCH($B31,Régions!$A$2:$A$6,0))</f>
        <v/>
      </c>
      <c r="V31">
        <f>I31*INDEX(Régions!$Y$2:$Y$6,MATCH($B31,Régions!$A$2:$A$6,0))</f>
        <v/>
      </c>
      <c r="W31">
        <f>Q31+(BB31/100)*$J31*Régions!$O$2</f>
        <v/>
      </c>
      <c r="X31">
        <f>R31+(BC31/100)*$J31*Régions!$O$2</f>
        <v/>
      </c>
      <c r="Y31">
        <f>S31+(BD31/100)*$J31*Régions!$O$2</f>
        <v/>
      </c>
      <c r="Z31">
        <f>T31+(BE31/100)*$J31*Régions!$O$2</f>
        <v/>
      </c>
      <c r="AA31">
        <f>U31</f>
        <v/>
      </c>
      <c r="AB31">
        <f>V31</f>
        <v/>
      </c>
      <c r="AC31">
        <f>D31*INDEX(Régions!$Z$2:$Z$6,MATCH($B31,Régions!$A$2:$A$6,0))</f>
        <v/>
      </c>
      <c r="AD31">
        <f>E31*INDEX(Régions!$AA$2:$AA$6,MATCH($B31,Régions!$A$2:$A$6,0))</f>
        <v/>
      </c>
      <c r="AE31">
        <f>F31*INDEX(Régions!$AB$2:$AB$6,MATCH($B31,Régions!$A$2:$A$6,0))</f>
        <v/>
      </c>
      <c r="AF31">
        <f>G31*INDEX(Régions!$AC$2:$AC$6,MATCH($B31,Régions!$A$2:$A$6,0))</f>
        <v/>
      </c>
      <c r="AG31">
        <f>H31*INDEX(Régions!$AD$2:$AD$6,MATCH($B31,Régions!$A$2:$A$6,0))</f>
        <v/>
      </c>
      <c r="AH31">
        <f>I31*INDEX(Régions!$AE$2:$AE$6,MATCH($B31,Régions!$A$2:$A$6,0))</f>
        <v/>
      </c>
      <c r="AI31">
        <f>D31*INDEX(Régions!$AF$2:$AF$6,MATCH($B31,Régions!$A$2:$A$6,0))</f>
        <v/>
      </c>
      <c r="AJ31">
        <f>E31*INDEX(Régions!$AG$2:$AG$6,MATCH($B31,Régions!$A$2:$A$6,0))</f>
        <v/>
      </c>
      <c r="AK31">
        <f>F31*INDEX(Régions!$AH$2:$AH$6,MATCH($B31,Régions!$A$2:$A$6,0))</f>
        <v/>
      </c>
      <c r="AL31">
        <f>G31*INDEX(Régions!$AI$2:$AI$6,MATCH($B31,Régions!$A$2:$A$6,0))</f>
        <v/>
      </c>
      <c r="AM31">
        <f>H31*INDEX(Régions!$AJ$2:$AJ$6,MATCH($B31,Régions!$A$2:$A$6,0))</f>
        <v/>
      </c>
      <c r="AN31">
        <f>I31*INDEX(Régions!$AK$2:$AK$6,MATCH($B31,Régions!$A$2:$A$6,0))</f>
        <v/>
      </c>
      <c r="AO31">
        <f>Régions!$Q$2*Q31/SUM($Q31:$V31)*100+(1-Régions!$Q$2)*MAX(K31*100+(INDEX(Régions!$AL$2:$AL$6,MATCH($B31,Régions!$A$2:$A$6,0))),0)</f>
        <v/>
      </c>
      <c r="AP31">
        <f>Régions!$Q$2*R31/SUM($Q31:$V31)*100+(1-Régions!$Q$2)*MAX(L31*100+(INDEX(Régions!$AM$2:$AM$6,MATCH($B31,Régions!$A$2:$A$6,0))),0)</f>
        <v/>
      </c>
      <c r="AQ31">
        <f>Régions!$Q$2*S31/SUM($Q31:$V31)*100+(1-Régions!$Q$2)*MAX(M31*100+(INDEX(Régions!$AN$2:$AN$6,MATCH($B31,Régions!$A$2:$A$6,0))),0)</f>
        <v/>
      </c>
      <c r="AR31">
        <f>Régions!$Q$2*T31/SUM($Q31:$V31)*100+(1-Régions!$Q$2)*MAX(N31*100+(INDEX(Régions!$AO$2:$AO$6,MATCH($B31,Régions!$A$2:$A$6,0))),0)</f>
        <v/>
      </c>
      <c r="AS31">
        <f>Régions!$Q$2*U31/SUM($Q31:$V31)*100+(1-Régions!$Q$2)*MAX(O31*100+(INDEX(Régions!$AP$2:$AP$6,MATCH($B31,Régions!$A$2:$A$6,0))),0)</f>
        <v/>
      </c>
      <c r="AT31">
        <f>Régions!$Q$2*V31/SUM($Q31:$V31)*100+(1-Régions!$Q$2)*MAX(P31*100+(INDEX(Régions!$AQ$2:$AQ$6,MATCH($B31,Régions!$A$2:$A$6,0))),0)</f>
        <v/>
      </c>
      <c r="AU31">
        <f>INDEX({"CAQ","PLQ","QS","PQ","PCQ","Autre"},MATCH(MAX(Q31:V31),Q31:V31,0))</f>
        <v/>
      </c>
      <c r="AV31">
        <f>INDEX({"CAQ","PLQ","QS","PQ","PCQ","Autre"},MATCH(MAX(W31:AB31),W31:AB31,0))</f>
        <v/>
      </c>
      <c r="AW31">
        <f>INDEX({"CAQ","PLQ","QS","PQ","PCQ","Autre"},MATCH(MAX(AC31:AH31),AC31:AH31,0))</f>
        <v/>
      </c>
      <c r="AX31">
        <f>INDEX({"CAQ","PLQ","QS","PQ","PCQ","Autre"},MATCH(MAX(AI31:AN31),AI31:AN31,0))</f>
        <v/>
      </c>
      <c r="AY31">
        <f>INDEX({"CAQ","PLQ","QS","PQ","PCQ","Autre"},MATCH(MAX(AO31:AT31),AO31:AT31,0))</f>
        <v/>
      </c>
      <c r="AZ31">
        <f>(MAX(K31:P31)-LARGE(K31:P31,2))*100</f>
        <v/>
      </c>
      <c r="BA31">
        <f>IF(AZ31&lt;5,"Oui","Non")</f>
        <v/>
      </c>
      <c r="BB31" t="n">
        <v>-13.357</v>
      </c>
      <c r="BC31" t="n">
        <v>-2.572</v>
      </c>
      <c r="BD31" t="n">
        <v>-0.338</v>
      </c>
      <c r="BE31" t="n">
        <v>6.83</v>
      </c>
    </row>
    <row r="32">
      <c r="A32" t="inlineStr">
        <is>
          <t>Daniel-Johnson</t>
        </is>
      </c>
      <c r="B32" t="inlineStr">
        <is>
          <t>Banlieue de Montréal</t>
        </is>
      </c>
      <c r="C32">
        <f>INDEX({"CAQ","PLQ","QS","PQ","PCQ","Autre"},MATCH(MAX(D32:I32),D32:I32,0))</f>
        <v/>
      </c>
      <c r="D32" t="n">
        <v>16209.4</v>
      </c>
      <c r="E32" t="n">
        <v>1949.5</v>
      </c>
      <c r="F32" t="n">
        <v>4767.7</v>
      </c>
      <c r="G32" t="n">
        <v>4530</v>
      </c>
      <c r="H32" t="n">
        <v>4268.4</v>
      </c>
      <c r="I32" t="n">
        <v>341.3</v>
      </c>
      <c r="J32">
        <f>SUM(D32:I32)</f>
        <v/>
      </c>
      <c r="K32">
        <f>IFERROR(D32/$J32,0)</f>
        <v/>
      </c>
      <c r="L32">
        <f>IFERROR(E32/$J32,0)</f>
        <v/>
      </c>
      <c r="M32">
        <f>IFERROR(F32/$J32,0)</f>
        <v/>
      </c>
      <c r="N32">
        <f>IFERROR(G32/$J32,0)</f>
        <v/>
      </c>
      <c r="O32">
        <f>IFERROR(H32/$J32,0)</f>
        <v/>
      </c>
      <c r="P32">
        <f>IFERROR(I32/$J32,0)</f>
        <v/>
      </c>
      <c r="Q32">
        <f>D32*INDEX(Régions!$T$2:$T$6,MATCH($B32,Régions!$A$2:$A$6,0))</f>
        <v/>
      </c>
      <c r="R32">
        <f>E32*INDEX(Régions!$U$2:$U$6,MATCH($B32,Régions!$A$2:$A$6,0))</f>
        <v/>
      </c>
      <c r="S32">
        <f>F32*INDEX(Régions!$V$2:$V$6,MATCH($B32,Régions!$A$2:$A$6,0))</f>
        <v/>
      </c>
      <c r="T32">
        <f>G32*INDEX(Régions!$W$2:$W$6,MATCH($B32,Régions!$A$2:$A$6,0))</f>
        <v/>
      </c>
      <c r="U32">
        <f>H32*INDEX(Régions!$X$2:$X$6,MATCH($B32,Régions!$A$2:$A$6,0))</f>
        <v/>
      </c>
      <c r="V32">
        <f>I32*INDEX(Régions!$Y$2:$Y$6,MATCH($B32,Régions!$A$2:$A$6,0))</f>
        <v/>
      </c>
      <c r="W32">
        <f>Q32+(BB32/100)*$J32*Régions!$O$2</f>
        <v/>
      </c>
      <c r="X32">
        <f>R32+(BC32/100)*$J32*Régions!$O$2</f>
        <v/>
      </c>
      <c r="Y32">
        <f>S32+(BD32/100)*$J32*Régions!$O$2</f>
        <v/>
      </c>
      <c r="Z32">
        <f>T32+(BE32/100)*$J32*Régions!$O$2</f>
        <v/>
      </c>
      <c r="AA32">
        <f>U32</f>
        <v/>
      </c>
      <c r="AB32">
        <f>V32</f>
        <v/>
      </c>
      <c r="AC32">
        <f>D32*INDEX(Régions!$Z$2:$Z$6,MATCH($B32,Régions!$A$2:$A$6,0))</f>
        <v/>
      </c>
      <c r="AD32">
        <f>E32*INDEX(Régions!$AA$2:$AA$6,MATCH($B32,Régions!$A$2:$A$6,0))</f>
        <v/>
      </c>
      <c r="AE32">
        <f>F32*INDEX(Régions!$AB$2:$AB$6,MATCH($B32,Régions!$A$2:$A$6,0))</f>
        <v/>
      </c>
      <c r="AF32">
        <f>G32*INDEX(Régions!$AC$2:$AC$6,MATCH($B32,Régions!$A$2:$A$6,0))</f>
        <v/>
      </c>
      <c r="AG32">
        <f>H32*INDEX(Régions!$AD$2:$AD$6,MATCH($B32,Régions!$A$2:$A$6,0))</f>
        <v/>
      </c>
      <c r="AH32">
        <f>I32*INDEX(Régions!$AE$2:$AE$6,MATCH($B32,Régions!$A$2:$A$6,0))</f>
        <v/>
      </c>
      <c r="AI32">
        <f>D32*INDEX(Régions!$AF$2:$AF$6,MATCH($B32,Régions!$A$2:$A$6,0))</f>
        <v/>
      </c>
      <c r="AJ32">
        <f>E32*INDEX(Régions!$AG$2:$AG$6,MATCH($B32,Régions!$A$2:$A$6,0))</f>
        <v/>
      </c>
      <c r="AK32">
        <f>F32*INDEX(Régions!$AH$2:$AH$6,MATCH($B32,Régions!$A$2:$A$6,0))</f>
        <v/>
      </c>
      <c r="AL32">
        <f>G32*INDEX(Régions!$AI$2:$AI$6,MATCH($B32,Régions!$A$2:$A$6,0))</f>
        <v/>
      </c>
      <c r="AM32">
        <f>H32*INDEX(Régions!$AJ$2:$AJ$6,MATCH($B32,Régions!$A$2:$A$6,0))</f>
        <v/>
      </c>
      <c r="AN32">
        <f>I32*INDEX(Régions!$AK$2:$AK$6,MATCH($B32,Régions!$A$2:$A$6,0))</f>
        <v/>
      </c>
      <c r="AO32">
        <f>Régions!$Q$2*Q32/SUM($Q32:$V32)*100+(1-Régions!$Q$2)*MAX(K32*100+(INDEX(Régions!$AL$2:$AL$6,MATCH($B32,Régions!$A$2:$A$6,0))),0)</f>
        <v/>
      </c>
      <c r="AP32">
        <f>Régions!$Q$2*R32/SUM($Q32:$V32)*100+(1-Régions!$Q$2)*MAX(L32*100+(INDEX(Régions!$AM$2:$AM$6,MATCH($B32,Régions!$A$2:$A$6,0))),0)</f>
        <v/>
      </c>
      <c r="AQ32">
        <f>Régions!$Q$2*S32/SUM($Q32:$V32)*100+(1-Régions!$Q$2)*MAX(M32*100+(INDEX(Régions!$AN$2:$AN$6,MATCH($B32,Régions!$A$2:$A$6,0))),0)</f>
        <v/>
      </c>
      <c r="AR32">
        <f>Régions!$Q$2*T32/SUM($Q32:$V32)*100+(1-Régions!$Q$2)*MAX(N32*100+(INDEX(Régions!$AO$2:$AO$6,MATCH($B32,Régions!$A$2:$A$6,0))),0)</f>
        <v/>
      </c>
      <c r="AS32">
        <f>Régions!$Q$2*U32/SUM($Q32:$V32)*100+(1-Régions!$Q$2)*MAX(O32*100+(INDEX(Régions!$AP$2:$AP$6,MATCH($B32,Régions!$A$2:$A$6,0))),0)</f>
        <v/>
      </c>
      <c r="AT32">
        <f>Régions!$Q$2*V32/SUM($Q32:$V32)*100+(1-Régions!$Q$2)*MAX(P32*100+(INDEX(Régions!$AQ$2:$AQ$6,MATCH($B32,Régions!$A$2:$A$6,0))),0)</f>
        <v/>
      </c>
      <c r="AU32">
        <f>INDEX({"CAQ","PLQ","QS","PQ","PCQ","Autre"},MATCH(MAX(Q32:V32),Q32:V32,0))</f>
        <v/>
      </c>
      <c r="AV32">
        <f>INDEX({"CAQ","PLQ","QS","PQ","PCQ","Autre"},MATCH(MAX(W32:AB32),W32:AB32,0))</f>
        <v/>
      </c>
      <c r="AW32">
        <f>INDEX({"CAQ","PLQ","QS","PQ","PCQ","Autre"},MATCH(MAX(AC32:AH32),AC32:AH32,0))</f>
        <v/>
      </c>
      <c r="AX32">
        <f>INDEX({"CAQ","PLQ","QS","PQ","PCQ","Autre"},MATCH(MAX(AI32:AN32),AI32:AN32,0))</f>
        <v/>
      </c>
      <c r="AY32">
        <f>INDEX({"CAQ","PLQ","QS","PQ","PCQ","Autre"},MATCH(MAX(AO32:AT32),AO32:AT32,0))</f>
        <v/>
      </c>
      <c r="AZ32">
        <f>(MAX(K32:P32)-LARGE(K32:P32,2))*100</f>
        <v/>
      </c>
      <c r="BA32">
        <f>IF(AZ32&lt;5,"Oui","Non")</f>
        <v/>
      </c>
      <c r="BB32" t="n">
        <v>-1.836</v>
      </c>
      <c r="BC32" t="n">
        <v>-2.847</v>
      </c>
      <c r="BD32" t="n">
        <v>-2.118</v>
      </c>
      <c r="BE32" t="n">
        <v>3.704</v>
      </c>
    </row>
    <row r="33">
      <c r="A33" t="inlineStr">
        <is>
          <t>D'Arcy-McGee</t>
        </is>
      </c>
      <c r="B33" t="inlineStr">
        <is>
          <t>Île de Montréal</t>
        </is>
      </c>
      <c r="C33">
        <f>INDEX({"CAQ","PLQ","QS","PQ","PCQ","Autre"},MATCH(MAX(D33:I33),D33:I33,0))</f>
        <v/>
      </c>
      <c r="D33" t="n">
        <v>1529</v>
      </c>
      <c r="E33" t="n">
        <v>13298</v>
      </c>
      <c r="F33" t="n">
        <v>2203</v>
      </c>
      <c r="G33" t="n">
        <v>648</v>
      </c>
      <c r="H33" t="n">
        <v>6962</v>
      </c>
      <c r="I33" t="n">
        <v>1226</v>
      </c>
      <c r="J33">
        <f>SUM(D33:I33)</f>
        <v/>
      </c>
      <c r="K33">
        <f>IFERROR(D33/$J33,0)</f>
        <v/>
      </c>
      <c r="L33">
        <f>IFERROR(E33/$J33,0)</f>
        <v/>
      </c>
      <c r="M33">
        <f>IFERROR(F33/$J33,0)</f>
        <v/>
      </c>
      <c r="N33">
        <f>IFERROR(G33/$J33,0)</f>
        <v/>
      </c>
      <c r="O33">
        <f>IFERROR(H33/$J33,0)</f>
        <v/>
      </c>
      <c r="P33">
        <f>IFERROR(I33/$J33,0)</f>
        <v/>
      </c>
      <c r="Q33">
        <f>D33*INDEX(Régions!$T$2:$T$6,MATCH($B33,Régions!$A$2:$A$6,0))</f>
        <v/>
      </c>
      <c r="R33">
        <f>E33*INDEX(Régions!$U$2:$U$6,MATCH($B33,Régions!$A$2:$A$6,0))</f>
        <v/>
      </c>
      <c r="S33">
        <f>F33*INDEX(Régions!$V$2:$V$6,MATCH($B33,Régions!$A$2:$A$6,0))</f>
        <v/>
      </c>
      <c r="T33">
        <f>G33*INDEX(Régions!$W$2:$W$6,MATCH($B33,Régions!$A$2:$A$6,0))</f>
        <v/>
      </c>
      <c r="U33">
        <f>H33*INDEX(Régions!$X$2:$X$6,MATCH($B33,Régions!$A$2:$A$6,0))</f>
        <v/>
      </c>
      <c r="V33">
        <f>I33*INDEX(Régions!$Y$2:$Y$6,MATCH($B33,Régions!$A$2:$A$6,0))</f>
        <v/>
      </c>
      <c r="W33">
        <f>Q33+(BB33/100)*$J33*Régions!$O$2</f>
        <v/>
      </c>
      <c r="X33">
        <f>R33+(BC33/100)*$J33*Régions!$O$2</f>
        <v/>
      </c>
      <c r="Y33">
        <f>S33+(BD33/100)*$J33*Régions!$O$2</f>
        <v/>
      </c>
      <c r="Z33">
        <f>T33+(BE33/100)*$J33*Régions!$O$2</f>
        <v/>
      </c>
      <c r="AA33">
        <f>U33</f>
        <v/>
      </c>
      <c r="AB33">
        <f>V33</f>
        <v/>
      </c>
      <c r="AC33">
        <f>D33*INDEX(Régions!$Z$2:$Z$6,MATCH($B33,Régions!$A$2:$A$6,0))</f>
        <v/>
      </c>
      <c r="AD33">
        <f>E33*INDEX(Régions!$AA$2:$AA$6,MATCH($B33,Régions!$A$2:$A$6,0))</f>
        <v/>
      </c>
      <c r="AE33">
        <f>F33*INDEX(Régions!$AB$2:$AB$6,MATCH($B33,Régions!$A$2:$A$6,0))</f>
        <v/>
      </c>
      <c r="AF33">
        <f>G33*INDEX(Régions!$AC$2:$AC$6,MATCH($B33,Régions!$A$2:$A$6,0))</f>
        <v/>
      </c>
      <c r="AG33">
        <f>H33*INDEX(Régions!$AD$2:$AD$6,MATCH($B33,Régions!$A$2:$A$6,0))</f>
        <v/>
      </c>
      <c r="AH33">
        <f>I33*INDEX(Régions!$AE$2:$AE$6,MATCH($B33,Régions!$A$2:$A$6,0))</f>
        <v/>
      </c>
      <c r="AI33">
        <f>D33*INDEX(Régions!$AF$2:$AF$6,MATCH($B33,Régions!$A$2:$A$6,0))</f>
        <v/>
      </c>
      <c r="AJ33">
        <f>E33*INDEX(Régions!$AG$2:$AG$6,MATCH($B33,Régions!$A$2:$A$6,0))</f>
        <v/>
      </c>
      <c r="AK33">
        <f>F33*INDEX(Régions!$AH$2:$AH$6,MATCH($B33,Régions!$A$2:$A$6,0))</f>
        <v/>
      </c>
      <c r="AL33">
        <f>G33*INDEX(Régions!$AI$2:$AI$6,MATCH($B33,Régions!$A$2:$A$6,0))</f>
        <v/>
      </c>
      <c r="AM33">
        <f>H33*INDEX(Régions!$AJ$2:$AJ$6,MATCH($B33,Régions!$A$2:$A$6,0))</f>
        <v/>
      </c>
      <c r="AN33">
        <f>I33*INDEX(Régions!$AK$2:$AK$6,MATCH($B33,Régions!$A$2:$A$6,0))</f>
        <v/>
      </c>
      <c r="AO33">
        <f>Régions!$Q$2*Q33/SUM($Q33:$V33)*100+(1-Régions!$Q$2)*MAX(K33*100+(INDEX(Régions!$AL$2:$AL$6,MATCH($B33,Régions!$A$2:$A$6,0))),0)</f>
        <v/>
      </c>
      <c r="AP33">
        <f>Régions!$Q$2*R33/SUM($Q33:$V33)*100+(1-Régions!$Q$2)*MAX(L33*100+(INDEX(Régions!$AM$2:$AM$6,MATCH($B33,Régions!$A$2:$A$6,0))),0)</f>
        <v/>
      </c>
      <c r="AQ33">
        <f>Régions!$Q$2*S33/SUM($Q33:$V33)*100+(1-Régions!$Q$2)*MAX(M33*100+(INDEX(Régions!$AN$2:$AN$6,MATCH($B33,Régions!$A$2:$A$6,0))),0)</f>
        <v/>
      </c>
      <c r="AR33">
        <f>Régions!$Q$2*T33/SUM($Q33:$V33)*100+(1-Régions!$Q$2)*MAX(N33*100+(INDEX(Régions!$AO$2:$AO$6,MATCH($B33,Régions!$A$2:$A$6,0))),0)</f>
        <v/>
      </c>
      <c r="AS33">
        <f>Régions!$Q$2*U33/SUM($Q33:$V33)*100+(1-Régions!$Q$2)*MAX(O33*100+(INDEX(Régions!$AP$2:$AP$6,MATCH($B33,Régions!$A$2:$A$6,0))),0)</f>
        <v/>
      </c>
      <c r="AT33">
        <f>Régions!$Q$2*V33/SUM($Q33:$V33)*100+(1-Régions!$Q$2)*MAX(P33*100+(INDEX(Régions!$AQ$2:$AQ$6,MATCH($B33,Régions!$A$2:$A$6,0))),0)</f>
        <v/>
      </c>
      <c r="AU33">
        <f>INDEX({"CAQ","PLQ","QS","PQ","PCQ","Autre"},MATCH(MAX(Q33:V33),Q33:V33,0))</f>
        <v/>
      </c>
      <c r="AV33">
        <f>INDEX({"CAQ","PLQ","QS","PQ","PCQ","Autre"},MATCH(MAX(W33:AB33),W33:AB33,0))</f>
        <v/>
      </c>
      <c r="AW33">
        <f>INDEX({"CAQ","PLQ","QS","PQ","PCQ","Autre"},MATCH(MAX(AC33:AH33),AC33:AH33,0))</f>
        <v/>
      </c>
      <c r="AX33">
        <f>INDEX({"CAQ","PLQ","QS","PQ","PCQ","Autre"},MATCH(MAX(AI33:AN33),AI33:AN33,0))</f>
        <v/>
      </c>
      <c r="AY33">
        <f>INDEX({"CAQ","PLQ","QS","PQ","PCQ","Autre"},MATCH(MAX(AO33:AT33),AO33:AT33,0))</f>
        <v/>
      </c>
      <c r="AZ33">
        <f>(MAX(K33:P33)-LARGE(K33:P33,2))*100</f>
        <v/>
      </c>
      <c r="BA33">
        <f>IF(AZ33&lt;5,"Oui","Non")</f>
        <v/>
      </c>
      <c r="BB33" t="n">
        <v>-2.438</v>
      </c>
      <c r="BC33" t="n">
        <v>-14.106</v>
      </c>
      <c r="BD33" t="n">
        <v>0.496</v>
      </c>
      <c r="BE33" t="n">
        <v>1.05</v>
      </c>
    </row>
    <row r="34">
      <c r="A34" t="inlineStr">
        <is>
          <t>Deux-Montagnes</t>
        </is>
      </c>
      <c r="B34" t="inlineStr">
        <is>
          <t>Banlieue de Montréal</t>
        </is>
      </c>
      <c r="C34">
        <f>INDEX({"CAQ","PLQ","QS","PQ","PCQ","Autre"},MATCH(MAX(D34:I34),D34:I34,0))</f>
        <v/>
      </c>
      <c r="D34" t="n">
        <v>15854</v>
      </c>
      <c r="E34" t="n">
        <v>3460</v>
      </c>
      <c r="F34" t="n">
        <v>4766</v>
      </c>
      <c r="G34" t="n">
        <v>5777</v>
      </c>
      <c r="H34" t="n">
        <v>3308</v>
      </c>
      <c r="I34" t="n">
        <v>510</v>
      </c>
      <c r="J34">
        <f>SUM(D34:I34)</f>
        <v/>
      </c>
      <c r="K34">
        <f>IFERROR(D34/$J34,0)</f>
        <v/>
      </c>
      <c r="L34">
        <f>IFERROR(E34/$J34,0)</f>
        <v/>
      </c>
      <c r="M34">
        <f>IFERROR(F34/$J34,0)</f>
        <v/>
      </c>
      <c r="N34">
        <f>IFERROR(G34/$J34,0)</f>
        <v/>
      </c>
      <c r="O34">
        <f>IFERROR(H34/$J34,0)</f>
        <v/>
      </c>
      <c r="P34">
        <f>IFERROR(I34/$J34,0)</f>
        <v/>
      </c>
      <c r="Q34">
        <f>D34*INDEX(Régions!$T$2:$T$6,MATCH($B34,Régions!$A$2:$A$6,0))</f>
        <v/>
      </c>
      <c r="R34">
        <f>E34*INDEX(Régions!$U$2:$U$6,MATCH($B34,Régions!$A$2:$A$6,0))</f>
        <v/>
      </c>
      <c r="S34">
        <f>F34*INDEX(Régions!$V$2:$V$6,MATCH($B34,Régions!$A$2:$A$6,0))</f>
        <v/>
      </c>
      <c r="T34">
        <f>G34*INDEX(Régions!$W$2:$W$6,MATCH($B34,Régions!$A$2:$A$6,0))</f>
        <v/>
      </c>
      <c r="U34">
        <f>H34*INDEX(Régions!$X$2:$X$6,MATCH($B34,Régions!$A$2:$A$6,0))</f>
        <v/>
      </c>
      <c r="V34">
        <f>I34*INDEX(Régions!$Y$2:$Y$6,MATCH($B34,Régions!$A$2:$A$6,0))</f>
        <v/>
      </c>
      <c r="W34">
        <f>Q34+(BB34/100)*$J34*Régions!$O$2</f>
        <v/>
      </c>
      <c r="X34">
        <f>R34+(BC34/100)*$J34*Régions!$O$2</f>
        <v/>
      </c>
      <c r="Y34">
        <f>S34+(BD34/100)*$J34*Régions!$O$2</f>
        <v/>
      </c>
      <c r="Z34">
        <f>T34+(BE34/100)*$J34*Régions!$O$2</f>
        <v/>
      </c>
      <c r="AA34">
        <f>U34</f>
        <v/>
      </c>
      <c r="AB34">
        <f>V34</f>
        <v/>
      </c>
      <c r="AC34">
        <f>D34*INDEX(Régions!$Z$2:$Z$6,MATCH($B34,Régions!$A$2:$A$6,0))</f>
        <v/>
      </c>
      <c r="AD34">
        <f>E34*INDEX(Régions!$AA$2:$AA$6,MATCH($B34,Régions!$A$2:$A$6,0))</f>
        <v/>
      </c>
      <c r="AE34">
        <f>F34*INDEX(Régions!$AB$2:$AB$6,MATCH($B34,Régions!$A$2:$A$6,0))</f>
        <v/>
      </c>
      <c r="AF34">
        <f>G34*INDEX(Régions!$AC$2:$AC$6,MATCH($B34,Régions!$A$2:$A$6,0))</f>
        <v/>
      </c>
      <c r="AG34">
        <f>H34*INDEX(Régions!$AD$2:$AD$6,MATCH($B34,Régions!$A$2:$A$6,0))</f>
        <v/>
      </c>
      <c r="AH34">
        <f>I34*INDEX(Régions!$AE$2:$AE$6,MATCH($B34,Régions!$A$2:$A$6,0))</f>
        <v/>
      </c>
      <c r="AI34">
        <f>D34*INDEX(Régions!$AF$2:$AF$6,MATCH($B34,Régions!$A$2:$A$6,0))</f>
        <v/>
      </c>
      <c r="AJ34">
        <f>E34*INDEX(Régions!$AG$2:$AG$6,MATCH($B34,Régions!$A$2:$A$6,0))</f>
        <v/>
      </c>
      <c r="AK34">
        <f>F34*INDEX(Régions!$AH$2:$AH$6,MATCH($B34,Régions!$A$2:$A$6,0))</f>
        <v/>
      </c>
      <c r="AL34">
        <f>G34*INDEX(Régions!$AI$2:$AI$6,MATCH($B34,Régions!$A$2:$A$6,0))</f>
        <v/>
      </c>
      <c r="AM34">
        <f>H34*INDEX(Régions!$AJ$2:$AJ$6,MATCH($B34,Régions!$A$2:$A$6,0))</f>
        <v/>
      </c>
      <c r="AN34">
        <f>I34*INDEX(Régions!$AK$2:$AK$6,MATCH($B34,Régions!$A$2:$A$6,0))</f>
        <v/>
      </c>
      <c r="AO34">
        <f>Régions!$Q$2*Q34/SUM($Q34:$V34)*100+(1-Régions!$Q$2)*MAX(K34*100+(INDEX(Régions!$AL$2:$AL$6,MATCH($B34,Régions!$A$2:$A$6,0))),0)</f>
        <v/>
      </c>
      <c r="AP34">
        <f>Régions!$Q$2*R34/SUM($Q34:$V34)*100+(1-Régions!$Q$2)*MAX(L34*100+(INDEX(Régions!$AM$2:$AM$6,MATCH($B34,Régions!$A$2:$A$6,0))),0)</f>
        <v/>
      </c>
      <c r="AQ34">
        <f>Régions!$Q$2*S34/SUM($Q34:$V34)*100+(1-Régions!$Q$2)*MAX(M34*100+(INDEX(Régions!$AN$2:$AN$6,MATCH($B34,Régions!$A$2:$A$6,0))),0)</f>
        <v/>
      </c>
      <c r="AR34">
        <f>Régions!$Q$2*T34/SUM($Q34:$V34)*100+(1-Régions!$Q$2)*MAX(N34*100+(INDEX(Régions!$AO$2:$AO$6,MATCH($B34,Régions!$A$2:$A$6,0))),0)</f>
        <v/>
      </c>
      <c r="AS34">
        <f>Régions!$Q$2*U34/SUM($Q34:$V34)*100+(1-Régions!$Q$2)*MAX(O34*100+(INDEX(Régions!$AP$2:$AP$6,MATCH($B34,Régions!$A$2:$A$6,0))),0)</f>
        <v/>
      </c>
      <c r="AT34">
        <f>Régions!$Q$2*V34/SUM($Q34:$V34)*100+(1-Régions!$Q$2)*MAX(P34*100+(INDEX(Régions!$AQ$2:$AQ$6,MATCH($B34,Régions!$A$2:$A$6,0))),0)</f>
        <v/>
      </c>
      <c r="AU34">
        <f>INDEX({"CAQ","PLQ","QS","PQ","PCQ","Autre"},MATCH(MAX(Q34:V34),Q34:V34,0))</f>
        <v/>
      </c>
      <c r="AV34">
        <f>INDEX({"CAQ","PLQ","QS","PQ","PCQ","Autre"},MATCH(MAX(W34:AB34),W34:AB34,0))</f>
        <v/>
      </c>
      <c r="AW34">
        <f>INDEX({"CAQ","PLQ","QS","PQ","PCQ","Autre"},MATCH(MAX(AC34:AH34),AC34:AH34,0))</f>
        <v/>
      </c>
      <c r="AX34">
        <f>INDEX({"CAQ","PLQ","QS","PQ","PCQ","Autre"},MATCH(MAX(AI34:AN34),AI34:AN34,0))</f>
        <v/>
      </c>
      <c r="AY34">
        <f>INDEX({"CAQ","PLQ","QS","PQ","PCQ","Autre"},MATCH(MAX(AO34:AT34),AO34:AT34,0))</f>
        <v/>
      </c>
      <c r="AZ34">
        <f>(MAX(K34:P34)-LARGE(K34:P34,2))*100</f>
        <v/>
      </c>
      <c r="BA34">
        <f>IF(AZ34&lt;5,"Oui","Non")</f>
        <v/>
      </c>
      <c r="BB34" t="n">
        <v>-3.473</v>
      </c>
      <c r="BC34" t="n">
        <v>3.767</v>
      </c>
      <c r="BD34" t="n">
        <v>0.231</v>
      </c>
      <c r="BE34" t="n">
        <v>1.205</v>
      </c>
    </row>
    <row r="35">
      <c r="A35" t="inlineStr">
        <is>
          <t>Drummond-Bois-Francs</t>
        </is>
      </c>
      <c r="B35" t="inlineStr">
        <is>
          <t>Reste du Québec</t>
        </is>
      </c>
      <c r="C35">
        <f>INDEX({"CAQ","PLQ","QS","PQ","PCQ","Autre"},MATCH(MAX(D35:I35),D35:I35,0))</f>
        <v/>
      </c>
      <c r="D35" t="n">
        <v>18265.3</v>
      </c>
      <c r="E35" t="n">
        <v>1422.2</v>
      </c>
      <c r="F35" t="n">
        <v>3762.8</v>
      </c>
      <c r="G35" t="n">
        <v>5336.4</v>
      </c>
      <c r="H35" t="n">
        <v>6178.9</v>
      </c>
      <c r="I35" t="n">
        <v>441.3</v>
      </c>
      <c r="J35">
        <f>SUM(D35:I35)</f>
        <v/>
      </c>
      <c r="K35">
        <f>IFERROR(D35/$J35,0)</f>
        <v/>
      </c>
      <c r="L35">
        <f>IFERROR(E35/$J35,0)</f>
        <v/>
      </c>
      <c r="M35">
        <f>IFERROR(F35/$J35,0)</f>
        <v/>
      </c>
      <c r="N35">
        <f>IFERROR(G35/$J35,0)</f>
        <v/>
      </c>
      <c r="O35">
        <f>IFERROR(H35/$J35,0)</f>
        <v/>
      </c>
      <c r="P35">
        <f>IFERROR(I35/$J35,0)</f>
        <v/>
      </c>
      <c r="Q35">
        <f>D35*INDEX(Régions!$T$2:$T$6,MATCH($B35,Régions!$A$2:$A$6,0))</f>
        <v/>
      </c>
      <c r="R35">
        <f>E35*INDEX(Régions!$U$2:$U$6,MATCH($B35,Régions!$A$2:$A$6,0))</f>
        <v/>
      </c>
      <c r="S35">
        <f>F35*INDEX(Régions!$V$2:$V$6,MATCH($B35,Régions!$A$2:$A$6,0))</f>
        <v/>
      </c>
      <c r="T35">
        <f>G35*INDEX(Régions!$W$2:$W$6,MATCH($B35,Régions!$A$2:$A$6,0))</f>
        <v/>
      </c>
      <c r="U35">
        <f>H35*INDEX(Régions!$X$2:$X$6,MATCH($B35,Régions!$A$2:$A$6,0))</f>
        <v/>
      </c>
      <c r="V35">
        <f>I35*INDEX(Régions!$Y$2:$Y$6,MATCH($B35,Régions!$A$2:$A$6,0))</f>
        <v/>
      </c>
      <c r="W35">
        <f>Q35+(BB35/100)*$J35*Régions!$O$2</f>
        <v/>
      </c>
      <c r="X35">
        <f>R35+(BC35/100)*$J35*Régions!$O$2</f>
        <v/>
      </c>
      <c r="Y35">
        <f>S35+(BD35/100)*$J35*Régions!$O$2</f>
        <v/>
      </c>
      <c r="Z35">
        <f>T35+(BE35/100)*$J35*Régions!$O$2</f>
        <v/>
      </c>
      <c r="AA35">
        <f>U35</f>
        <v/>
      </c>
      <c r="AB35">
        <f>V35</f>
        <v/>
      </c>
      <c r="AC35">
        <f>D35*INDEX(Régions!$Z$2:$Z$6,MATCH($B35,Régions!$A$2:$A$6,0))</f>
        <v/>
      </c>
      <c r="AD35">
        <f>E35*INDEX(Régions!$AA$2:$AA$6,MATCH($B35,Régions!$A$2:$A$6,0))</f>
        <v/>
      </c>
      <c r="AE35">
        <f>F35*INDEX(Régions!$AB$2:$AB$6,MATCH($B35,Régions!$A$2:$A$6,0))</f>
        <v/>
      </c>
      <c r="AF35">
        <f>G35*INDEX(Régions!$AC$2:$AC$6,MATCH($B35,Régions!$A$2:$A$6,0))</f>
        <v/>
      </c>
      <c r="AG35">
        <f>H35*INDEX(Régions!$AD$2:$AD$6,MATCH($B35,Régions!$A$2:$A$6,0))</f>
        <v/>
      </c>
      <c r="AH35">
        <f>I35*INDEX(Régions!$AE$2:$AE$6,MATCH($B35,Régions!$A$2:$A$6,0))</f>
        <v/>
      </c>
      <c r="AI35">
        <f>D35*INDEX(Régions!$AF$2:$AF$6,MATCH($B35,Régions!$A$2:$A$6,0))</f>
        <v/>
      </c>
      <c r="AJ35">
        <f>E35*INDEX(Régions!$AG$2:$AG$6,MATCH($B35,Régions!$A$2:$A$6,0))</f>
        <v/>
      </c>
      <c r="AK35">
        <f>F35*INDEX(Régions!$AH$2:$AH$6,MATCH($B35,Régions!$A$2:$A$6,0))</f>
        <v/>
      </c>
      <c r="AL35">
        <f>G35*INDEX(Régions!$AI$2:$AI$6,MATCH($B35,Régions!$A$2:$A$6,0))</f>
        <v/>
      </c>
      <c r="AM35">
        <f>H35*INDEX(Régions!$AJ$2:$AJ$6,MATCH($B35,Régions!$A$2:$A$6,0))</f>
        <v/>
      </c>
      <c r="AN35">
        <f>I35*INDEX(Régions!$AK$2:$AK$6,MATCH($B35,Régions!$A$2:$A$6,0))</f>
        <v/>
      </c>
      <c r="AO35">
        <f>Régions!$Q$2*Q35/SUM($Q35:$V35)*100+(1-Régions!$Q$2)*MAX(K35*100+(INDEX(Régions!$AL$2:$AL$6,MATCH($B35,Régions!$A$2:$A$6,0))),0)</f>
        <v/>
      </c>
      <c r="AP35">
        <f>Régions!$Q$2*R35/SUM($Q35:$V35)*100+(1-Régions!$Q$2)*MAX(L35*100+(INDEX(Régions!$AM$2:$AM$6,MATCH($B35,Régions!$A$2:$A$6,0))),0)</f>
        <v/>
      </c>
      <c r="AQ35">
        <f>Régions!$Q$2*S35/SUM($Q35:$V35)*100+(1-Régions!$Q$2)*MAX(M35*100+(INDEX(Régions!$AN$2:$AN$6,MATCH($B35,Régions!$A$2:$A$6,0))),0)</f>
        <v/>
      </c>
      <c r="AR35">
        <f>Régions!$Q$2*T35/SUM($Q35:$V35)*100+(1-Régions!$Q$2)*MAX(N35*100+(INDEX(Régions!$AO$2:$AO$6,MATCH($B35,Régions!$A$2:$A$6,0))),0)</f>
        <v/>
      </c>
      <c r="AS35">
        <f>Régions!$Q$2*U35/SUM($Q35:$V35)*100+(1-Régions!$Q$2)*MAX(O35*100+(INDEX(Régions!$AP$2:$AP$6,MATCH($B35,Régions!$A$2:$A$6,0))),0)</f>
        <v/>
      </c>
      <c r="AT35">
        <f>Régions!$Q$2*V35/SUM($Q35:$V35)*100+(1-Régions!$Q$2)*MAX(P35*100+(INDEX(Régions!$AQ$2:$AQ$6,MATCH($B35,Régions!$A$2:$A$6,0))),0)</f>
        <v/>
      </c>
      <c r="AU35">
        <f>INDEX({"CAQ","PLQ","QS","PQ","PCQ","Autre"},MATCH(MAX(Q35:V35),Q35:V35,0))</f>
        <v/>
      </c>
      <c r="AV35">
        <f>INDEX({"CAQ","PLQ","QS","PQ","PCQ","Autre"},MATCH(MAX(W35:AB35),W35:AB35,0))</f>
        <v/>
      </c>
      <c r="AW35">
        <f>INDEX({"CAQ","PLQ","QS","PQ","PCQ","Autre"},MATCH(MAX(AC35:AH35),AC35:AH35,0))</f>
        <v/>
      </c>
      <c r="AX35">
        <f>INDEX({"CAQ","PLQ","QS","PQ","PCQ","Autre"},MATCH(MAX(AI35:AN35),AI35:AN35,0))</f>
        <v/>
      </c>
      <c r="AY35">
        <f>INDEX({"CAQ","PLQ","QS","PQ","PCQ","Autre"},MATCH(MAX(AO35:AT35),AO35:AT35,0))</f>
        <v/>
      </c>
      <c r="AZ35">
        <f>(MAX(K35:P35)-LARGE(K35:P35,2))*100</f>
        <v/>
      </c>
      <c r="BA35">
        <f>IF(AZ35&lt;5,"Oui","Non")</f>
        <v/>
      </c>
      <c r="BB35" t="n">
        <v>-12.102</v>
      </c>
      <c r="BC35" t="n">
        <v>4.109</v>
      </c>
      <c r="BD35" t="n">
        <v>-3.172</v>
      </c>
      <c r="BE35" t="n">
        <v>6.66</v>
      </c>
    </row>
    <row r="36">
      <c r="A36" t="inlineStr">
        <is>
          <t>Dubuc</t>
        </is>
      </c>
      <c r="B36" t="inlineStr">
        <is>
          <t>Reste du Québec</t>
        </is>
      </c>
      <c r="C36">
        <f>INDEX({"CAQ","PLQ","QS","PQ","PCQ","Autre"},MATCH(MAX(D36:I36),D36:I36,0))</f>
        <v/>
      </c>
      <c r="D36" t="n">
        <v>15475.2</v>
      </c>
      <c r="E36" t="n">
        <v>668.4</v>
      </c>
      <c r="F36" t="n">
        <v>2842.4</v>
      </c>
      <c r="G36" t="n">
        <v>4709.5</v>
      </c>
      <c r="H36" t="n">
        <v>2962.2</v>
      </c>
      <c r="I36" t="n">
        <v>199.9</v>
      </c>
      <c r="J36">
        <f>SUM(D36:I36)</f>
        <v/>
      </c>
      <c r="K36">
        <f>IFERROR(D36/$J36,0)</f>
        <v/>
      </c>
      <c r="L36">
        <f>IFERROR(E36/$J36,0)</f>
        <v/>
      </c>
      <c r="M36">
        <f>IFERROR(F36/$J36,0)</f>
        <v/>
      </c>
      <c r="N36">
        <f>IFERROR(G36/$J36,0)</f>
        <v/>
      </c>
      <c r="O36">
        <f>IFERROR(H36/$J36,0)</f>
        <v/>
      </c>
      <c r="P36">
        <f>IFERROR(I36/$J36,0)</f>
        <v/>
      </c>
      <c r="Q36">
        <f>D36*INDEX(Régions!$T$2:$T$6,MATCH($B36,Régions!$A$2:$A$6,0))</f>
        <v/>
      </c>
      <c r="R36">
        <f>E36*INDEX(Régions!$U$2:$U$6,MATCH($B36,Régions!$A$2:$A$6,0))</f>
        <v/>
      </c>
      <c r="S36">
        <f>F36*INDEX(Régions!$V$2:$V$6,MATCH($B36,Régions!$A$2:$A$6,0))</f>
        <v/>
      </c>
      <c r="T36">
        <f>G36*INDEX(Régions!$W$2:$W$6,MATCH($B36,Régions!$A$2:$A$6,0))</f>
        <v/>
      </c>
      <c r="U36">
        <f>H36*INDEX(Régions!$X$2:$X$6,MATCH($B36,Régions!$A$2:$A$6,0))</f>
        <v/>
      </c>
      <c r="V36">
        <f>I36*INDEX(Régions!$Y$2:$Y$6,MATCH($B36,Régions!$A$2:$A$6,0))</f>
        <v/>
      </c>
      <c r="W36">
        <f>Q36+(BB36/100)*$J36*Régions!$O$2</f>
        <v/>
      </c>
      <c r="X36">
        <f>R36+(BC36/100)*$J36*Régions!$O$2</f>
        <v/>
      </c>
      <c r="Y36">
        <f>S36+(BD36/100)*$J36*Régions!$O$2</f>
        <v/>
      </c>
      <c r="Z36">
        <f>T36+(BE36/100)*$J36*Régions!$O$2</f>
        <v/>
      </c>
      <c r="AA36">
        <f>U36</f>
        <v/>
      </c>
      <c r="AB36">
        <f>V36</f>
        <v/>
      </c>
      <c r="AC36">
        <f>D36*INDEX(Régions!$Z$2:$Z$6,MATCH($B36,Régions!$A$2:$A$6,0))</f>
        <v/>
      </c>
      <c r="AD36">
        <f>E36*INDEX(Régions!$AA$2:$AA$6,MATCH($B36,Régions!$A$2:$A$6,0))</f>
        <v/>
      </c>
      <c r="AE36">
        <f>F36*INDEX(Régions!$AB$2:$AB$6,MATCH($B36,Régions!$A$2:$A$6,0))</f>
        <v/>
      </c>
      <c r="AF36">
        <f>G36*INDEX(Régions!$AC$2:$AC$6,MATCH($B36,Régions!$A$2:$A$6,0))</f>
        <v/>
      </c>
      <c r="AG36">
        <f>H36*INDEX(Régions!$AD$2:$AD$6,MATCH($B36,Régions!$A$2:$A$6,0))</f>
        <v/>
      </c>
      <c r="AH36">
        <f>I36*INDEX(Régions!$AE$2:$AE$6,MATCH($B36,Régions!$A$2:$A$6,0))</f>
        <v/>
      </c>
      <c r="AI36">
        <f>D36*INDEX(Régions!$AF$2:$AF$6,MATCH($B36,Régions!$A$2:$A$6,0))</f>
        <v/>
      </c>
      <c r="AJ36">
        <f>E36*INDEX(Régions!$AG$2:$AG$6,MATCH($B36,Régions!$A$2:$A$6,0))</f>
        <v/>
      </c>
      <c r="AK36">
        <f>F36*INDEX(Régions!$AH$2:$AH$6,MATCH($B36,Régions!$A$2:$A$6,0))</f>
        <v/>
      </c>
      <c r="AL36">
        <f>G36*INDEX(Régions!$AI$2:$AI$6,MATCH($B36,Régions!$A$2:$A$6,0))</f>
        <v/>
      </c>
      <c r="AM36">
        <f>H36*INDEX(Régions!$AJ$2:$AJ$6,MATCH($B36,Régions!$A$2:$A$6,0))</f>
        <v/>
      </c>
      <c r="AN36">
        <f>I36*INDEX(Régions!$AK$2:$AK$6,MATCH($B36,Régions!$A$2:$A$6,0))</f>
        <v/>
      </c>
      <c r="AO36">
        <f>Régions!$Q$2*Q36/SUM($Q36:$V36)*100+(1-Régions!$Q$2)*MAX(K36*100+(INDEX(Régions!$AL$2:$AL$6,MATCH($B36,Régions!$A$2:$A$6,0))),0)</f>
        <v/>
      </c>
      <c r="AP36">
        <f>Régions!$Q$2*R36/SUM($Q36:$V36)*100+(1-Régions!$Q$2)*MAX(L36*100+(INDEX(Régions!$AM$2:$AM$6,MATCH($B36,Régions!$A$2:$A$6,0))),0)</f>
        <v/>
      </c>
      <c r="AQ36">
        <f>Régions!$Q$2*S36/SUM($Q36:$V36)*100+(1-Régions!$Q$2)*MAX(M36*100+(INDEX(Régions!$AN$2:$AN$6,MATCH($B36,Régions!$A$2:$A$6,0))),0)</f>
        <v/>
      </c>
      <c r="AR36">
        <f>Régions!$Q$2*T36/SUM($Q36:$V36)*100+(1-Régions!$Q$2)*MAX(N36*100+(INDEX(Régions!$AO$2:$AO$6,MATCH($B36,Régions!$A$2:$A$6,0))),0)</f>
        <v/>
      </c>
      <c r="AS36">
        <f>Régions!$Q$2*U36/SUM($Q36:$V36)*100+(1-Régions!$Q$2)*MAX(O36*100+(INDEX(Régions!$AP$2:$AP$6,MATCH($B36,Régions!$A$2:$A$6,0))),0)</f>
        <v/>
      </c>
      <c r="AT36">
        <f>Régions!$Q$2*V36/SUM($Q36:$V36)*100+(1-Régions!$Q$2)*MAX(P36*100+(INDEX(Régions!$AQ$2:$AQ$6,MATCH($B36,Régions!$A$2:$A$6,0))),0)</f>
        <v/>
      </c>
      <c r="AU36">
        <f>INDEX({"CAQ","PLQ","QS","PQ","PCQ","Autre"},MATCH(MAX(Q36:V36),Q36:V36,0))</f>
        <v/>
      </c>
      <c r="AV36">
        <f>INDEX({"CAQ","PLQ","QS","PQ","PCQ","Autre"},MATCH(MAX(W36:AB36),W36:AB36,0))</f>
        <v/>
      </c>
      <c r="AW36">
        <f>INDEX({"CAQ","PLQ","QS","PQ","PCQ","Autre"},MATCH(MAX(AC36:AH36),AC36:AH36,0))</f>
        <v/>
      </c>
      <c r="AX36">
        <f>INDEX({"CAQ","PLQ","QS","PQ","PCQ","Autre"},MATCH(MAX(AI36:AN36),AI36:AN36,0))</f>
        <v/>
      </c>
      <c r="AY36">
        <f>INDEX({"CAQ","PLQ","QS","PQ","PCQ","Autre"},MATCH(MAX(AO36:AT36),AO36:AT36,0))</f>
        <v/>
      </c>
      <c r="AZ36">
        <f>(MAX(K36:P36)-LARGE(K36:P36,2))*100</f>
        <v/>
      </c>
      <c r="BA36">
        <f>IF(AZ36&lt;5,"Oui","Non")</f>
        <v/>
      </c>
      <c r="BB36" t="n">
        <v>9.988</v>
      </c>
      <c r="BC36" t="n">
        <v>-6.768</v>
      </c>
      <c r="BD36" t="n">
        <v>-0.315</v>
      </c>
      <c r="BE36" t="n">
        <v>0.528</v>
      </c>
    </row>
    <row r="37">
      <c r="A37" t="inlineStr">
        <is>
          <t>Duplessis</t>
        </is>
      </c>
      <c r="B37" t="inlineStr">
        <is>
          <t>Reste du Québec</t>
        </is>
      </c>
      <c r="C37">
        <f>INDEX({"CAQ","PLQ","QS","PQ","PCQ","Autre"},MATCH(MAX(D37:I37),D37:I37,0))</f>
        <v/>
      </c>
      <c r="D37" t="n">
        <v>8785</v>
      </c>
      <c r="E37" t="n">
        <v>783</v>
      </c>
      <c r="F37" t="n">
        <v>1821</v>
      </c>
      <c r="G37" t="n">
        <v>4825</v>
      </c>
      <c r="H37" t="n">
        <v>3059</v>
      </c>
      <c r="I37" t="n">
        <v>190</v>
      </c>
      <c r="J37">
        <f>SUM(D37:I37)</f>
        <v/>
      </c>
      <c r="K37">
        <f>IFERROR(D37/$J37,0)</f>
        <v/>
      </c>
      <c r="L37">
        <f>IFERROR(E37/$J37,0)</f>
        <v/>
      </c>
      <c r="M37">
        <f>IFERROR(F37/$J37,0)</f>
        <v/>
      </c>
      <c r="N37">
        <f>IFERROR(G37/$J37,0)</f>
        <v/>
      </c>
      <c r="O37">
        <f>IFERROR(H37/$J37,0)</f>
        <v/>
      </c>
      <c r="P37">
        <f>IFERROR(I37/$J37,0)</f>
        <v/>
      </c>
      <c r="Q37">
        <f>D37*INDEX(Régions!$T$2:$T$6,MATCH($B37,Régions!$A$2:$A$6,0))</f>
        <v/>
      </c>
      <c r="R37">
        <f>E37*INDEX(Régions!$U$2:$U$6,MATCH($B37,Régions!$A$2:$A$6,0))</f>
        <v/>
      </c>
      <c r="S37">
        <f>F37*INDEX(Régions!$V$2:$V$6,MATCH($B37,Régions!$A$2:$A$6,0))</f>
        <v/>
      </c>
      <c r="T37">
        <f>G37*INDEX(Régions!$W$2:$W$6,MATCH($B37,Régions!$A$2:$A$6,0))</f>
        <v/>
      </c>
      <c r="U37">
        <f>H37*INDEX(Régions!$X$2:$X$6,MATCH($B37,Régions!$A$2:$A$6,0))</f>
        <v/>
      </c>
      <c r="V37">
        <f>I37*INDEX(Régions!$Y$2:$Y$6,MATCH($B37,Régions!$A$2:$A$6,0))</f>
        <v/>
      </c>
      <c r="W37">
        <f>Q37+(BB37/100)*$J37*Régions!$O$2</f>
        <v/>
      </c>
      <c r="X37">
        <f>R37+(BC37/100)*$J37*Régions!$O$2</f>
        <v/>
      </c>
      <c r="Y37">
        <f>S37+(BD37/100)*$J37*Régions!$O$2</f>
        <v/>
      </c>
      <c r="Z37">
        <f>T37+(BE37/100)*$J37*Régions!$O$2</f>
        <v/>
      </c>
      <c r="AA37">
        <f>U37</f>
        <v/>
      </c>
      <c r="AB37">
        <f>V37</f>
        <v/>
      </c>
      <c r="AC37">
        <f>D37*INDEX(Régions!$Z$2:$Z$6,MATCH($B37,Régions!$A$2:$A$6,0))</f>
        <v/>
      </c>
      <c r="AD37">
        <f>E37*INDEX(Régions!$AA$2:$AA$6,MATCH($B37,Régions!$A$2:$A$6,0))</f>
        <v/>
      </c>
      <c r="AE37">
        <f>F37*INDEX(Régions!$AB$2:$AB$6,MATCH($B37,Régions!$A$2:$A$6,0))</f>
        <v/>
      </c>
      <c r="AF37">
        <f>G37*INDEX(Régions!$AC$2:$AC$6,MATCH($B37,Régions!$A$2:$A$6,0))</f>
        <v/>
      </c>
      <c r="AG37">
        <f>H37*INDEX(Régions!$AD$2:$AD$6,MATCH($B37,Régions!$A$2:$A$6,0))</f>
        <v/>
      </c>
      <c r="AH37">
        <f>I37*INDEX(Régions!$AE$2:$AE$6,MATCH($B37,Régions!$A$2:$A$6,0))</f>
        <v/>
      </c>
      <c r="AI37">
        <f>D37*INDEX(Régions!$AF$2:$AF$6,MATCH($B37,Régions!$A$2:$A$6,0))</f>
        <v/>
      </c>
      <c r="AJ37">
        <f>E37*INDEX(Régions!$AG$2:$AG$6,MATCH($B37,Régions!$A$2:$A$6,0))</f>
        <v/>
      </c>
      <c r="AK37">
        <f>F37*INDEX(Régions!$AH$2:$AH$6,MATCH($B37,Régions!$A$2:$A$6,0))</f>
        <v/>
      </c>
      <c r="AL37">
        <f>G37*INDEX(Régions!$AI$2:$AI$6,MATCH($B37,Régions!$A$2:$A$6,0))</f>
        <v/>
      </c>
      <c r="AM37">
        <f>H37*INDEX(Régions!$AJ$2:$AJ$6,MATCH($B37,Régions!$A$2:$A$6,0))</f>
        <v/>
      </c>
      <c r="AN37">
        <f>I37*INDEX(Régions!$AK$2:$AK$6,MATCH($B37,Régions!$A$2:$A$6,0))</f>
        <v/>
      </c>
      <c r="AO37">
        <f>Régions!$Q$2*Q37/SUM($Q37:$V37)*100+(1-Régions!$Q$2)*MAX(K37*100+(INDEX(Régions!$AL$2:$AL$6,MATCH($B37,Régions!$A$2:$A$6,0))),0)</f>
        <v/>
      </c>
      <c r="AP37">
        <f>Régions!$Q$2*R37/SUM($Q37:$V37)*100+(1-Régions!$Q$2)*MAX(L37*100+(INDEX(Régions!$AM$2:$AM$6,MATCH($B37,Régions!$A$2:$A$6,0))),0)</f>
        <v/>
      </c>
      <c r="AQ37">
        <f>Régions!$Q$2*S37/SUM($Q37:$V37)*100+(1-Régions!$Q$2)*MAX(M37*100+(INDEX(Régions!$AN$2:$AN$6,MATCH($B37,Régions!$A$2:$A$6,0))),0)</f>
        <v/>
      </c>
      <c r="AR37">
        <f>Régions!$Q$2*T37/SUM($Q37:$V37)*100+(1-Régions!$Q$2)*MAX(N37*100+(INDEX(Régions!$AO$2:$AO$6,MATCH($B37,Régions!$A$2:$A$6,0))),0)</f>
        <v/>
      </c>
      <c r="AS37">
        <f>Régions!$Q$2*U37/SUM($Q37:$V37)*100+(1-Régions!$Q$2)*MAX(O37*100+(INDEX(Régions!$AP$2:$AP$6,MATCH($B37,Régions!$A$2:$A$6,0))),0)</f>
        <v/>
      </c>
      <c r="AT37">
        <f>Régions!$Q$2*V37/SUM($Q37:$V37)*100+(1-Régions!$Q$2)*MAX(P37*100+(INDEX(Régions!$AQ$2:$AQ$6,MATCH($B37,Régions!$A$2:$A$6,0))),0)</f>
        <v/>
      </c>
      <c r="AU37">
        <f>INDEX({"CAQ","PLQ","QS","PQ","PCQ","Autre"},MATCH(MAX(Q37:V37),Q37:V37,0))</f>
        <v/>
      </c>
      <c r="AV37">
        <f>INDEX({"CAQ","PLQ","QS","PQ","PCQ","Autre"},MATCH(MAX(W37:AB37),W37:AB37,0))</f>
        <v/>
      </c>
      <c r="AW37">
        <f>INDEX({"CAQ","PLQ","QS","PQ","PCQ","Autre"},MATCH(MAX(AC37:AH37),AC37:AH37,0))</f>
        <v/>
      </c>
      <c r="AX37">
        <f>INDEX({"CAQ","PLQ","QS","PQ","PCQ","Autre"},MATCH(MAX(AI37:AN37),AI37:AN37,0))</f>
        <v/>
      </c>
      <c r="AY37">
        <f>INDEX({"CAQ","PLQ","QS","PQ","PCQ","Autre"},MATCH(MAX(AO37:AT37),AO37:AT37,0))</f>
        <v/>
      </c>
      <c r="AZ37">
        <f>(MAX(K37:P37)-LARGE(K37:P37,2))*100</f>
        <v/>
      </c>
      <c r="BA37">
        <f>IF(AZ37&lt;5,"Oui","Non")</f>
        <v/>
      </c>
      <c r="BB37" t="n">
        <v>4.036</v>
      </c>
      <c r="BC37" t="n">
        <v>-0.793</v>
      </c>
      <c r="BD37" t="n">
        <v>-1.844</v>
      </c>
      <c r="BE37" t="n">
        <v>-5.362</v>
      </c>
    </row>
    <row r="38">
      <c r="A38" t="inlineStr">
        <is>
          <t>Fabre</t>
        </is>
      </c>
      <c r="B38" t="inlineStr">
        <is>
          <t>Banlieue de Montréal</t>
        </is>
      </c>
      <c r="C38">
        <f>INDEX({"CAQ","PLQ","QS","PQ","PCQ","Autre"},MATCH(MAX(D38:I38),D38:I38,0))</f>
        <v/>
      </c>
      <c r="D38" t="n">
        <v>10912</v>
      </c>
      <c r="E38" t="n">
        <v>10606</v>
      </c>
      <c r="F38" t="n">
        <v>3820</v>
      </c>
      <c r="G38" t="n">
        <v>3346</v>
      </c>
      <c r="H38" t="n">
        <v>5205</v>
      </c>
      <c r="I38" t="n">
        <v>418</v>
      </c>
      <c r="J38">
        <f>SUM(D38:I38)</f>
        <v/>
      </c>
      <c r="K38">
        <f>IFERROR(D38/$J38,0)</f>
        <v/>
      </c>
      <c r="L38">
        <f>IFERROR(E38/$J38,0)</f>
        <v/>
      </c>
      <c r="M38">
        <f>IFERROR(F38/$J38,0)</f>
        <v/>
      </c>
      <c r="N38">
        <f>IFERROR(G38/$J38,0)</f>
        <v/>
      </c>
      <c r="O38">
        <f>IFERROR(H38/$J38,0)</f>
        <v/>
      </c>
      <c r="P38">
        <f>IFERROR(I38/$J38,0)</f>
        <v/>
      </c>
      <c r="Q38">
        <f>D38*INDEX(Régions!$T$2:$T$6,MATCH($B38,Régions!$A$2:$A$6,0))</f>
        <v/>
      </c>
      <c r="R38">
        <f>E38*INDEX(Régions!$U$2:$U$6,MATCH($B38,Régions!$A$2:$A$6,0))</f>
        <v/>
      </c>
      <c r="S38">
        <f>F38*INDEX(Régions!$V$2:$V$6,MATCH($B38,Régions!$A$2:$A$6,0))</f>
        <v/>
      </c>
      <c r="T38">
        <f>G38*INDEX(Régions!$W$2:$W$6,MATCH($B38,Régions!$A$2:$A$6,0))</f>
        <v/>
      </c>
      <c r="U38">
        <f>H38*INDEX(Régions!$X$2:$X$6,MATCH($B38,Régions!$A$2:$A$6,0))</f>
        <v/>
      </c>
      <c r="V38">
        <f>I38*INDEX(Régions!$Y$2:$Y$6,MATCH($B38,Régions!$A$2:$A$6,0))</f>
        <v/>
      </c>
      <c r="W38">
        <f>Q38+(BB38/100)*$J38*Régions!$O$2</f>
        <v/>
      </c>
      <c r="X38">
        <f>R38+(BC38/100)*$J38*Régions!$O$2</f>
        <v/>
      </c>
      <c r="Y38">
        <f>S38+(BD38/100)*$J38*Régions!$O$2</f>
        <v/>
      </c>
      <c r="Z38">
        <f>T38+(BE38/100)*$J38*Régions!$O$2</f>
        <v/>
      </c>
      <c r="AA38">
        <f>U38</f>
        <v/>
      </c>
      <c r="AB38">
        <f>V38</f>
        <v/>
      </c>
      <c r="AC38">
        <f>D38*INDEX(Régions!$Z$2:$Z$6,MATCH($B38,Régions!$A$2:$A$6,0))</f>
        <v/>
      </c>
      <c r="AD38">
        <f>E38*INDEX(Régions!$AA$2:$AA$6,MATCH($B38,Régions!$A$2:$A$6,0))</f>
        <v/>
      </c>
      <c r="AE38">
        <f>F38*INDEX(Régions!$AB$2:$AB$6,MATCH($B38,Régions!$A$2:$A$6,0))</f>
        <v/>
      </c>
      <c r="AF38">
        <f>G38*INDEX(Régions!$AC$2:$AC$6,MATCH($B38,Régions!$A$2:$A$6,0))</f>
        <v/>
      </c>
      <c r="AG38">
        <f>H38*INDEX(Régions!$AD$2:$AD$6,MATCH($B38,Régions!$A$2:$A$6,0))</f>
        <v/>
      </c>
      <c r="AH38">
        <f>I38*INDEX(Régions!$AE$2:$AE$6,MATCH($B38,Régions!$A$2:$A$6,0))</f>
        <v/>
      </c>
      <c r="AI38">
        <f>D38*INDEX(Régions!$AF$2:$AF$6,MATCH($B38,Régions!$A$2:$A$6,0))</f>
        <v/>
      </c>
      <c r="AJ38">
        <f>E38*INDEX(Régions!$AG$2:$AG$6,MATCH($B38,Régions!$A$2:$A$6,0))</f>
        <v/>
      </c>
      <c r="AK38">
        <f>F38*INDEX(Régions!$AH$2:$AH$6,MATCH($B38,Régions!$A$2:$A$6,0))</f>
        <v/>
      </c>
      <c r="AL38">
        <f>G38*INDEX(Régions!$AI$2:$AI$6,MATCH($B38,Régions!$A$2:$A$6,0))</f>
        <v/>
      </c>
      <c r="AM38">
        <f>H38*INDEX(Régions!$AJ$2:$AJ$6,MATCH($B38,Régions!$A$2:$A$6,0))</f>
        <v/>
      </c>
      <c r="AN38">
        <f>I38*INDEX(Régions!$AK$2:$AK$6,MATCH($B38,Régions!$A$2:$A$6,0))</f>
        <v/>
      </c>
      <c r="AO38">
        <f>Régions!$Q$2*Q38/SUM($Q38:$V38)*100+(1-Régions!$Q$2)*MAX(K38*100+(INDEX(Régions!$AL$2:$AL$6,MATCH($B38,Régions!$A$2:$A$6,0))),0)</f>
        <v/>
      </c>
      <c r="AP38">
        <f>Régions!$Q$2*R38/SUM($Q38:$V38)*100+(1-Régions!$Q$2)*MAX(L38*100+(INDEX(Régions!$AM$2:$AM$6,MATCH($B38,Régions!$A$2:$A$6,0))),0)</f>
        <v/>
      </c>
      <c r="AQ38">
        <f>Régions!$Q$2*S38/SUM($Q38:$V38)*100+(1-Régions!$Q$2)*MAX(M38*100+(INDEX(Régions!$AN$2:$AN$6,MATCH($B38,Régions!$A$2:$A$6,0))),0)</f>
        <v/>
      </c>
      <c r="AR38">
        <f>Régions!$Q$2*T38/SUM($Q38:$V38)*100+(1-Régions!$Q$2)*MAX(N38*100+(INDEX(Régions!$AO$2:$AO$6,MATCH($B38,Régions!$A$2:$A$6,0))),0)</f>
        <v/>
      </c>
      <c r="AS38">
        <f>Régions!$Q$2*U38/SUM($Q38:$V38)*100+(1-Régions!$Q$2)*MAX(O38*100+(INDEX(Régions!$AP$2:$AP$6,MATCH($B38,Régions!$A$2:$A$6,0))),0)</f>
        <v/>
      </c>
      <c r="AT38">
        <f>Régions!$Q$2*V38/SUM($Q38:$V38)*100+(1-Régions!$Q$2)*MAX(P38*100+(INDEX(Régions!$AQ$2:$AQ$6,MATCH($B38,Régions!$A$2:$A$6,0))),0)</f>
        <v/>
      </c>
      <c r="AU38">
        <f>INDEX({"CAQ","PLQ","QS","PQ","PCQ","Autre"},MATCH(MAX(Q38:V38),Q38:V38,0))</f>
        <v/>
      </c>
      <c r="AV38">
        <f>INDEX({"CAQ","PLQ","QS","PQ","PCQ","Autre"},MATCH(MAX(W38:AB38),W38:AB38,0))</f>
        <v/>
      </c>
      <c r="AW38">
        <f>INDEX({"CAQ","PLQ","QS","PQ","PCQ","Autre"},MATCH(MAX(AC38:AH38),AC38:AH38,0))</f>
        <v/>
      </c>
      <c r="AX38">
        <f>INDEX({"CAQ","PLQ","QS","PQ","PCQ","Autre"},MATCH(MAX(AI38:AN38),AI38:AN38,0))</f>
        <v/>
      </c>
      <c r="AY38">
        <f>INDEX({"CAQ","PLQ","QS","PQ","PCQ","Autre"},MATCH(MAX(AO38:AT38),AO38:AT38,0))</f>
        <v/>
      </c>
      <c r="AZ38">
        <f>(MAX(K38:P38)-LARGE(K38:P38,2))*100</f>
        <v/>
      </c>
      <c r="BA38">
        <f>IF(AZ38&lt;5,"Oui","Non")</f>
        <v/>
      </c>
      <c r="BB38" t="n">
        <v>-3.861</v>
      </c>
      <c r="BC38" t="n">
        <v>0.268</v>
      </c>
      <c r="BD38" t="n">
        <v>0.971</v>
      </c>
      <c r="BE38" t="n">
        <v>-0.582</v>
      </c>
    </row>
    <row r="39">
      <c r="A39" t="inlineStr">
        <is>
          <t>Gaspé</t>
        </is>
      </c>
      <c r="B39" t="inlineStr">
        <is>
          <t>Reste du Québec</t>
        </is>
      </c>
      <c r="C39">
        <f>INDEX({"CAQ","PLQ","QS","PQ","PCQ","Autre"},MATCH(MAX(D39:I39),D39:I39,0))</f>
        <v/>
      </c>
      <c r="D39" t="n">
        <v>7542</v>
      </c>
      <c r="E39" t="n">
        <v>1255</v>
      </c>
      <c r="F39" t="n">
        <v>1634</v>
      </c>
      <c r="G39" t="n">
        <v>6832</v>
      </c>
      <c r="H39" t="n">
        <v>956</v>
      </c>
      <c r="I39" t="n">
        <v>0</v>
      </c>
      <c r="J39">
        <f>SUM(D39:I39)</f>
        <v/>
      </c>
      <c r="K39">
        <f>IFERROR(D39/$J39,0)</f>
        <v/>
      </c>
      <c r="L39">
        <f>IFERROR(E39/$J39,0)</f>
        <v/>
      </c>
      <c r="M39">
        <f>IFERROR(F39/$J39,0)</f>
        <v/>
      </c>
      <c r="N39">
        <f>IFERROR(G39/$J39,0)</f>
        <v/>
      </c>
      <c r="O39">
        <f>IFERROR(H39/$J39,0)</f>
        <v/>
      </c>
      <c r="P39">
        <f>IFERROR(I39/$J39,0)</f>
        <v/>
      </c>
      <c r="Q39">
        <f>D39*INDEX(Régions!$T$2:$T$6,MATCH($B39,Régions!$A$2:$A$6,0))</f>
        <v/>
      </c>
      <c r="R39">
        <f>E39*INDEX(Régions!$U$2:$U$6,MATCH($B39,Régions!$A$2:$A$6,0))</f>
        <v/>
      </c>
      <c r="S39">
        <f>F39*INDEX(Régions!$V$2:$V$6,MATCH($B39,Régions!$A$2:$A$6,0))</f>
        <v/>
      </c>
      <c r="T39">
        <f>G39*INDEX(Régions!$W$2:$W$6,MATCH($B39,Régions!$A$2:$A$6,0))</f>
        <v/>
      </c>
      <c r="U39">
        <f>H39*INDEX(Régions!$X$2:$X$6,MATCH($B39,Régions!$A$2:$A$6,0))</f>
        <v/>
      </c>
      <c r="V39">
        <f>I39*INDEX(Régions!$Y$2:$Y$6,MATCH($B39,Régions!$A$2:$A$6,0))</f>
        <v/>
      </c>
      <c r="W39">
        <f>Q39+(BB39/100)*$J39*Régions!$O$2</f>
        <v/>
      </c>
      <c r="X39">
        <f>R39+(BC39/100)*$J39*Régions!$O$2</f>
        <v/>
      </c>
      <c r="Y39">
        <f>S39+(BD39/100)*$J39*Régions!$O$2</f>
        <v/>
      </c>
      <c r="Z39">
        <f>T39+(BE39/100)*$J39*Régions!$O$2</f>
        <v/>
      </c>
      <c r="AA39">
        <f>U39</f>
        <v/>
      </c>
      <c r="AB39">
        <f>V39</f>
        <v/>
      </c>
      <c r="AC39">
        <f>D39*INDEX(Régions!$Z$2:$Z$6,MATCH($B39,Régions!$A$2:$A$6,0))</f>
        <v/>
      </c>
      <c r="AD39">
        <f>E39*INDEX(Régions!$AA$2:$AA$6,MATCH($B39,Régions!$A$2:$A$6,0))</f>
        <v/>
      </c>
      <c r="AE39">
        <f>F39*INDEX(Régions!$AB$2:$AB$6,MATCH($B39,Régions!$A$2:$A$6,0))</f>
        <v/>
      </c>
      <c r="AF39">
        <f>G39*INDEX(Régions!$AC$2:$AC$6,MATCH($B39,Régions!$A$2:$A$6,0))</f>
        <v/>
      </c>
      <c r="AG39">
        <f>H39*INDEX(Régions!$AD$2:$AD$6,MATCH($B39,Régions!$A$2:$A$6,0))</f>
        <v/>
      </c>
      <c r="AH39">
        <f>I39*INDEX(Régions!$AE$2:$AE$6,MATCH($B39,Régions!$A$2:$A$6,0))</f>
        <v/>
      </c>
      <c r="AI39">
        <f>D39*INDEX(Régions!$AF$2:$AF$6,MATCH($B39,Régions!$A$2:$A$6,0))</f>
        <v/>
      </c>
      <c r="AJ39">
        <f>E39*INDEX(Régions!$AG$2:$AG$6,MATCH($B39,Régions!$A$2:$A$6,0))</f>
        <v/>
      </c>
      <c r="AK39">
        <f>F39*INDEX(Régions!$AH$2:$AH$6,MATCH($B39,Régions!$A$2:$A$6,0))</f>
        <v/>
      </c>
      <c r="AL39">
        <f>G39*INDEX(Régions!$AI$2:$AI$6,MATCH($B39,Régions!$A$2:$A$6,0))</f>
        <v/>
      </c>
      <c r="AM39">
        <f>H39*INDEX(Régions!$AJ$2:$AJ$6,MATCH($B39,Régions!$A$2:$A$6,0))</f>
        <v/>
      </c>
      <c r="AN39">
        <f>I39*INDEX(Régions!$AK$2:$AK$6,MATCH($B39,Régions!$A$2:$A$6,0))</f>
        <v/>
      </c>
      <c r="AO39">
        <f>Régions!$Q$2*Q39/SUM($Q39:$V39)*100+(1-Régions!$Q$2)*MAX(K39*100+(INDEX(Régions!$AL$2:$AL$6,MATCH($B39,Régions!$A$2:$A$6,0))),0)</f>
        <v/>
      </c>
      <c r="AP39">
        <f>Régions!$Q$2*R39/SUM($Q39:$V39)*100+(1-Régions!$Q$2)*MAX(L39*100+(INDEX(Régions!$AM$2:$AM$6,MATCH($B39,Régions!$A$2:$A$6,0))),0)</f>
        <v/>
      </c>
      <c r="AQ39">
        <f>Régions!$Q$2*S39/SUM($Q39:$V39)*100+(1-Régions!$Q$2)*MAX(M39*100+(INDEX(Régions!$AN$2:$AN$6,MATCH($B39,Régions!$A$2:$A$6,0))),0)</f>
        <v/>
      </c>
      <c r="AR39">
        <f>Régions!$Q$2*T39/SUM($Q39:$V39)*100+(1-Régions!$Q$2)*MAX(N39*100+(INDEX(Régions!$AO$2:$AO$6,MATCH($B39,Régions!$A$2:$A$6,0))),0)</f>
        <v/>
      </c>
      <c r="AS39">
        <f>Régions!$Q$2*U39/SUM($Q39:$V39)*100+(1-Régions!$Q$2)*MAX(O39*100+(INDEX(Régions!$AP$2:$AP$6,MATCH($B39,Régions!$A$2:$A$6,0))),0)</f>
        <v/>
      </c>
      <c r="AT39">
        <f>Régions!$Q$2*V39/SUM($Q39:$V39)*100+(1-Régions!$Q$2)*MAX(P39*100+(INDEX(Régions!$AQ$2:$AQ$6,MATCH($B39,Régions!$A$2:$A$6,0))),0)</f>
        <v/>
      </c>
      <c r="AU39">
        <f>INDEX({"CAQ","PLQ","QS","PQ","PCQ","Autre"},MATCH(MAX(Q39:V39),Q39:V39,0))</f>
        <v/>
      </c>
      <c r="AV39">
        <f>INDEX({"CAQ","PLQ","QS","PQ","PCQ","Autre"},MATCH(MAX(W39:AB39),W39:AB39,0))</f>
        <v/>
      </c>
      <c r="AW39">
        <f>INDEX({"CAQ","PLQ","QS","PQ","PCQ","Autre"},MATCH(MAX(AC39:AH39),AC39:AH39,0))</f>
        <v/>
      </c>
      <c r="AX39">
        <f>INDEX({"CAQ","PLQ","QS","PQ","PCQ","Autre"},MATCH(MAX(AI39:AN39),AI39:AN39,0))</f>
        <v/>
      </c>
      <c r="AY39">
        <f>INDEX({"CAQ","PLQ","QS","PQ","PCQ","Autre"},MATCH(MAX(AO39:AT39),AO39:AT39,0))</f>
        <v/>
      </c>
      <c r="AZ39">
        <f>(MAX(K39:P39)-LARGE(K39:P39,2))*100</f>
        <v/>
      </c>
      <c r="BA39">
        <f>IF(AZ39&lt;5,"Oui","Non")</f>
        <v/>
      </c>
      <c r="BB39" t="n">
        <v>14.397</v>
      </c>
      <c r="BC39" t="n">
        <v>-13.184</v>
      </c>
      <c r="BD39" t="n">
        <v>-3.662</v>
      </c>
      <c r="BE39" t="n">
        <v>8.250999999999999</v>
      </c>
    </row>
    <row r="40">
      <c r="A40" t="inlineStr">
        <is>
          <t>Gatineau</t>
        </is>
      </c>
      <c r="B40" t="inlineStr">
        <is>
          <t>Reste du Québec</t>
        </is>
      </c>
      <c r="C40">
        <f>INDEX({"CAQ","PLQ","QS","PQ","PCQ","Autre"},MATCH(MAX(D40:I40),D40:I40,0))</f>
        <v/>
      </c>
      <c r="D40" t="n">
        <v>15946.7</v>
      </c>
      <c r="E40" t="n">
        <v>6674.5</v>
      </c>
      <c r="F40" t="n">
        <v>4128.2</v>
      </c>
      <c r="G40" t="n">
        <v>3311.9</v>
      </c>
      <c r="H40" t="n">
        <v>3977.8</v>
      </c>
      <c r="I40" t="n">
        <v>82.40000000000001</v>
      </c>
      <c r="J40">
        <f>SUM(D40:I40)</f>
        <v/>
      </c>
      <c r="K40">
        <f>IFERROR(D40/$J40,0)</f>
        <v/>
      </c>
      <c r="L40">
        <f>IFERROR(E40/$J40,0)</f>
        <v/>
      </c>
      <c r="M40">
        <f>IFERROR(F40/$J40,0)</f>
        <v/>
      </c>
      <c r="N40">
        <f>IFERROR(G40/$J40,0)</f>
        <v/>
      </c>
      <c r="O40">
        <f>IFERROR(H40/$J40,0)</f>
        <v/>
      </c>
      <c r="P40">
        <f>IFERROR(I40/$J40,0)</f>
        <v/>
      </c>
      <c r="Q40">
        <f>D40*INDEX(Régions!$T$2:$T$6,MATCH($B40,Régions!$A$2:$A$6,0))</f>
        <v/>
      </c>
      <c r="R40">
        <f>E40*INDEX(Régions!$U$2:$U$6,MATCH($B40,Régions!$A$2:$A$6,0))</f>
        <v/>
      </c>
      <c r="S40">
        <f>F40*INDEX(Régions!$V$2:$V$6,MATCH($B40,Régions!$A$2:$A$6,0))</f>
        <v/>
      </c>
      <c r="T40">
        <f>G40*INDEX(Régions!$W$2:$W$6,MATCH($B40,Régions!$A$2:$A$6,0))</f>
        <v/>
      </c>
      <c r="U40">
        <f>H40*INDEX(Régions!$X$2:$X$6,MATCH($B40,Régions!$A$2:$A$6,0))</f>
        <v/>
      </c>
      <c r="V40">
        <f>I40*INDEX(Régions!$Y$2:$Y$6,MATCH($B40,Régions!$A$2:$A$6,0))</f>
        <v/>
      </c>
      <c r="W40">
        <f>Q40+(BB40/100)*$J40*Régions!$O$2</f>
        <v/>
      </c>
      <c r="X40">
        <f>R40+(BC40/100)*$J40*Régions!$O$2</f>
        <v/>
      </c>
      <c r="Y40">
        <f>S40+(BD40/100)*$J40*Régions!$O$2</f>
        <v/>
      </c>
      <c r="Z40">
        <f>T40+(BE40/100)*$J40*Régions!$O$2</f>
        <v/>
      </c>
      <c r="AA40">
        <f>U40</f>
        <v/>
      </c>
      <c r="AB40">
        <f>V40</f>
        <v/>
      </c>
      <c r="AC40">
        <f>D40*INDEX(Régions!$Z$2:$Z$6,MATCH($B40,Régions!$A$2:$A$6,0))</f>
        <v/>
      </c>
      <c r="AD40">
        <f>E40*INDEX(Régions!$AA$2:$AA$6,MATCH($B40,Régions!$A$2:$A$6,0))</f>
        <v/>
      </c>
      <c r="AE40">
        <f>F40*INDEX(Régions!$AB$2:$AB$6,MATCH($B40,Régions!$A$2:$A$6,0))</f>
        <v/>
      </c>
      <c r="AF40">
        <f>G40*INDEX(Régions!$AC$2:$AC$6,MATCH($B40,Régions!$A$2:$A$6,0))</f>
        <v/>
      </c>
      <c r="AG40">
        <f>H40*INDEX(Régions!$AD$2:$AD$6,MATCH($B40,Régions!$A$2:$A$6,0))</f>
        <v/>
      </c>
      <c r="AH40">
        <f>I40*INDEX(Régions!$AE$2:$AE$6,MATCH($B40,Régions!$A$2:$A$6,0))</f>
        <v/>
      </c>
      <c r="AI40">
        <f>D40*INDEX(Régions!$AF$2:$AF$6,MATCH($B40,Régions!$A$2:$A$6,0))</f>
        <v/>
      </c>
      <c r="AJ40">
        <f>E40*INDEX(Régions!$AG$2:$AG$6,MATCH($B40,Régions!$A$2:$A$6,0))</f>
        <v/>
      </c>
      <c r="AK40">
        <f>F40*INDEX(Régions!$AH$2:$AH$6,MATCH($B40,Régions!$A$2:$A$6,0))</f>
        <v/>
      </c>
      <c r="AL40">
        <f>G40*INDEX(Régions!$AI$2:$AI$6,MATCH($B40,Régions!$A$2:$A$6,0))</f>
        <v/>
      </c>
      <c r="AM40">
        <f>H40*INDEX(Régions!$AJ$2:$AJ$6,MATCH($B40,Régions!$A$2:$A$6,0))</f>
        <v/>
      </c>
      <c r="AN40">
        <f>I40*INDEX(Régions!$AK$2:$AK$6,MATCH($B40,Régions!$A$2:$A$6,0))</f>
        <v/>
      </c>
      <c r="AO40">
        <f>Régions!$Q$2*Q40/SUM($Q40:$V40)*100+(1-Régions!$Q$2)*MAX(K40*100+(INDEX(Régions!$AL$2:$AL$6,MATCH($B40,Régions!$A$2:$A$6,0))),0)</f>
        <v/>
      </c>
      <c r="AP40">
        <f>Régions!$Q$2*R40/SUM($Q40:$V40)*100+(1-Régions!$Q$2)*MAX(L40*100+(INDEX(Régions!$AM$2:$AM$6,MATCH($B40,Régions!$A$2:$A$6,0))),0)</f>
        <v/>
      </c>
      <c r="AQ40">
        <f>Régions!$Q$2*S40/SUM($Q40:$V40)*100+(1-Régions!$Q$2)*MAX(M40*100+(INDEX(Régions!$AN$2:$AN$6,MATCH($B40,Régions!$A$2:$A$6,0))),0)</f>
        <v/>
      </c>
      <c r="AR40">
        <f>Régions!$Q$2*T40/SUM($Q40:$V40)*100+(1-Régions!$Q$2)*MAX(N40*100+(INDEX(Régions!$AO$2:$AO$6,MATCH($B40,Régions!$A$2:$A$6,0))),0)</f>
        <v/>
      </c>
      <c r="AS40">
        <f>Régions!$Q$2*U40/SUM($Q40:$V40)*100+(1-Régions!$Q$2)*MAX(O40*100+(INDEX(Régions!$AP$2:$AP$6,MATCH($B40,Régions!$A$2:$A$6,0))),0)</f>
        <v/>
      </c>
      <c r="AT40">
        <f>Régions!$Q$2*V40/SUM($Q40:$V40)*100+(1-Régions!$Q$2)*MAX(P40*100+(INDEX(Régions!$AQ$2:$AQ$6,MATCH($B40,Régions!$A$2:$A$6,0))),0)</f>
        <v/>
      </c>
      <c r="AU40">
        <f>INDEX({"CAQ","PLQ","QS","PQ","PCQ","Autre"},MATCH(MAX(Q40:V40),Q40:V40,0))</f>
        <v/>
      </c>
      <c r="AV40">
        <f>INDEX({"CAQ","PLQ","QS","PQ","PCQ","Autre"},MATCH(MAX(W40:AB40),W40:AB40,0))</f>
        <v/>
      </c>
      <c r="AW40">
        <f>INDEX({"CAQ","PLQ","QS","PQ","PCQ","Autre"},MATCH(MAX(AC40:AH40),AC40:AH40,0))</f>
        <v/>
      </c>
      <c r="AX40">
        <f>INDEX({"CAQ","PLQ","QS","PQ","PCQ","Autre"},MATCH(MAX(AI40:AN40),AI40:AN40,0))</f>
        <v/>
      </c>
      <c r="AY40">
        <f>INDEX({"CAQ","PLQ","QS","PQ","PCQ","Autre"},MATCH(MAX(AO40:AT40),AO40:AT40,0))</f>
        <v/>
      </c>
      <c r="AZ40">
        <f>(MAX(K40:P40)-LARGE(K40:P40,2))*100</f>
        <v/>
      </c>
      <c r="BA40">
        <f>IF(AZ40&lt;5,"Oui","Non")</f>
        <v/>
      </c>
      <c r="BB40" t="n">
        <v>-2.407</v>
      </c>
      <c r="BC40" t="n">
        <v>2.175</v>
      </c>
      <c r="BD40" t="n">
        <v>0.356</v>
      </c>
      <c r="BE40" t="n">
        <v>4.863</v>
      </c>
    </row>
    <row r="41">
      <c r="A41" t="inlineStr">
        <is>
          <t>Gouin</t>
        </is>
      </c>
      <c r="B41" t="inlineStr">
        <is>
          <t>Île de Montréal</t>
        </is>
      </c>
      <c r="C41">
        <f>INDEX({"CAQ","PLQ","QS","PQ","PCQ","Autre"},MATCH(MAX(D41:I41),D41:I41,0))</f>
        <v/>
      </c>
      <c r="D41" t="n">
        <v>3596</v>
      </c>
      <c r="E41" t="n">
        <v>2444</v>
      </c>
      <c r="F41" t="n">
        <v>17283</v>
      </c>
      <c r="G41" t="n">
        <v>3962</v>
      </c>
      <c r="H41" t="n">
        <v>903</v>
      </c>
      <c r="I41" t="n">
        <v>890</v>
      </c>
      <c r="J41">
        <f>SUM(D41:I41)</f>
        <v/>
      </c>
      <c r="K41">
        <f>IFERROR(D41/$J41,0)</f>
        <v/>
      </c>
      <c r="L41">
        <f>IFERROR(E41/$J41,0)</f>
        <v/>
      </c>
      <c r="M41">
        <f>IFERROR(F41/$J41,0)</f>
        <v/>
      </c>
      <c r="N41">
        <f>IFERROR(G41/$J41,0)</f>
        <v/>
      </c>
      <c r="O41">
        <f>IFERROR(H41/$J41,0)</f>
        <v/>
      </c>
      <c r="P41">
        <f>IFERROR(I41/$J41,0)</f>
        <v/>
      </c>
      <c r="Q41">
        <f>D41*INDEX(Régions!$T$2:$T$6,MATCH($B41,Régions!$A$2:$A$6,0))</f>
        <v/>
      </c>
      <c r="R41">
        <f>E41*INDEX(Régions!$U$2:$U$6,MATCH($B41,Régions!$A$2:$A$6,0))</f>
        <v/>
      </c>
      <c r="S41">
        <f>F41*INDEX(Régions!$V$2:$V$6,MATCH($B41,Régions!$A$2:$A$6,0))</f>
        <v/>
      </c>
      <c r="T41">
        <f>G41*INDEX(Régions!$W$2:$W$6,MATCH($B41,Régions!$A$2:$A$6,0))</f>
        <v/>
      </c>
      <c r="U41">
        <f>H41*INDEX(Régions!$X$2:$X$6,MATCH($B41,Régions!$A$2:$A$6,0))</f>
        <v/>
      </c>
      <c r="V41">
        <f>I41*INDEX(Régions!$Y$2:$Y$6,MATCH($B41,Régions!$A$2:$A$6,0))</f>
        <v/>
      </c>
      <c r="W41">
        <f>Q41+(BB41/100)*$J41*Régions!$O$2</f>
        <v/>
      </c>
      <c r="X41">
        <f>R41+(BC41/100)*$J41*Régions!$O$2</f>
        <v/>
      </c>
      <c r="Y41">
        <f>S41+(BD41/100)*$J41*Régions!$O$2</f>
        <v/>
      </c>
      <c r="Z41">
        <f>T41+(BE41/100)*$J41*Régions!$O$2</f>
        <v/>
      </c>
      <c r="AA41">
        <f>U41</f>
        <v/>
      </c>
      <c r="AB41">
        <f>V41</f>
        <v/>
      </c>
      <c r="AC41">
        <f>D41*INDEX(Régions!$Z$2:$Z$6,MATCH($B41,Régions!$A$2:$A$6,0))</f>
        <v/>
      </c>
      <c r="AD41">
        <f>E41*INDEX(Régions!$AA$2:$AA$6,MATCH($B41,Régions!$A$2:$A$6,0))</f>
        <v/>
      </c>
      <c r="AE41">
        <f>F41*INDEX(Régions!$AB$2:$AB$6,MATCH($B41,Régions!$A$2:$A$6,0))</f>
        <v/>
      </c>
      <c r="AF41">
        <f>G41*INDEX(Régions!$AC$2:$AC$6,MATCH($B41,Régions!$A$2:$A$6,0))</f>
        <v/>
      </c>
      <c r="AG41">
        <f>H41*INDEX(Régions!$AD$2:$AD$6,MATCH($B41,Régions!$A$2:$A$6,0))</f>
        <v/>
      </c>
      <c r="AH41">
        <f>I41*INDEX(Régions!$AE$2:$AE$6,MATCH($B41,Régions!$A$2:$A$6,0))</f>
        <v/>
      </c>
      <c r="AI41">
        <f>D41*INDEX(Régions!$AF$2:$AF$6,MATCH($B41,Régions!$A$2:$A$6,0))</f>
        <v/>
      </c>
      <c r="AJ41">
        <f>E41*INDEX(Régions!$AG$2:$AG$6,MATCH($B41,Régions!$A$2:$A$6,0))</f>
        <v/>
      </c>
      <c r="AK41">
        <f>F41*INDEX(Régions!$AH$2:$AH$6,MATCH($B41,Régions!$A$2:$A$6,0))</f>
        <v/>
      </c>
      <c r="AL41">
        <f>G41*INDEX(Régions!$AI$2:$AI$6,MATCH($B41,Régions!$A$2:$A$6,0))</f>
        <v/>
      </c>
      <c r="AM41">
        <f>H41*INDEX(Régions!$AJ$2:$AJ$6,MATCH($B41,Régions!$A$2:$A$6,0))</f>
        <v/>
      </c>
      <c r="AN41">
        <f>I41*INDEX(Régions!$AK$2:$AK$6,MATCH($B41,Régions!$A$2:$A$6,0))</f>
        <v/>
      </c>
      <c r="AO41">
        <f>Régions!$Q$2*Q41/SUM($Q41:$V41)*100+(1-Régions!$Q$2)*MAX(K41*100+(INDEX(Régions!$AL$2:$AL$6,MATCH($B41,Régions!$A$2:$A$6,0))),0)</f>
        <v/>
      </c>
      <c r="AP41">
        <f>Régions!$Q$2*R41/SUM($Q41:$V41)*100+(1-Régions!$Q$2)*MAX(L41*100+(INDEX(Régions!$AM$2:$AM$6,MATCH($B41,Régions!$A$2:$A$6,0))),0)</f>
        <v/>
      </c>
      <c r="AQ41">
        <f>Régions!$Q$2*S41/SUM($Q41:$V41)*100+(1-Régions!$Q$2)*MAX(M41*100+(INDEX(Régions!$AN$2:$AN$6,MATCH($B41,Régions!$A$2:$A$6,0))),0)</f>
        <v/>
      </c>
      <c r="AR41">
        <f>Régions!$Q$2*T41/SUM($Q41:$V41)*100+(1-Régions!$Q$2)*MAX(N41*100+(INDEX(Régions!$AO$2:$AO$6,MATCH($B41,Régions!$A$2:$A$6,0))),0)</f>
        <v/>
      </c>
      <c r="AS41">
        <f>Régions!$Q$2*U41/SUM($Q41:$V41)*100+(1-Régions!$Q$2)*MAX(O41*100+(INDEX(Régions!$AP$2:$AP$6,MATCH($B41,Régions!$A$2:$A$6,0))),0)</f>
        <v/>
      </c>
      <c r="AT41">
        <f>Régions!$Q$2*V41/SUM($Q41:$V41)*100+(1-Régions!$Q$2)*MAX(P41*100+(INDEX(Régions!$AQ$2:$AQ$6,MATCH($B41,Régions!$A$2:$A$6,0))),0)</f>
        <v/>
      </c>
      <c r="AU41">
        <f>INDEX({"CAQ","PLQ","QS","PQ","PCQ","Autre"},MATCH(MAX(Q41:V41),Q41:V41,0))</f>
        <v/>
      </c>
      <c r="AV41">
        <f>INDEX({"CAQ","PLQ","QS","PQ","PCQ","Autre"},MATCH(MAX(W41:AB41),W41:AB41,0))</f>
        <v/>
      </c>
      <c r="AW41">
        <f>INDEX({"CAQ","PLQ","QS","PQ","PCQ","Autre"},MATCH(MAX(AC41:AH41),AC41:AH41,0))</f>
        <v/>
      </c>
      <c r="AX41">
        <f>INDEX({"CAQ","PLQ","QS","PQ","PCQ","Autre"},MATCH(MAX(AI41:AN41),AI41:AN41,0))</f>
        <v/>
      </c>
      <c r="AY41">
        <f>INDEX({"CAQ","PLQ","QS","PQ","PCQ","Autre"},MATCH(MAX(AO41:AT41),AO41:AT41,0))</f>
        <v/>
      </c>
      <c r="AZ41">
        <f>(MAX(K41:P41)-LARGE(K41:P41,2))*100</f>
        <v/>
      </c>
      <c r="BA41">
        <f>IF(AZ41&lt;5,"Oui","Non")</f>
        <v/>
      </c>
      <c r="BB41" t="n">
        <v>0.51</v>
      </c>
      <c r="BC41" t="n">
        <v>5.746</v>
      </c>
      <c r="BD41" t="n">
        <v>-0.475</v>
      </c>
      <c r="BE41" t="n">
        <v>-0.15</v>
      </c>
    </row>
    <row r="42">
      <c r="A42" t="inlineStr">
        <is>
          <t>Granby</t>
        </is>
      </c>
      <c r="B42" t="inlineStr">
        <is>
          <t>Reste du Québec</t>
        </is>
      </c>
      <c r="C42">
        <f>INDEX({"CAQ","PLQ","QS","PQ","PCQ","Autre"},MATCH(MAX(D42:I42),D42:I42,0))</f>
        <v/>
      </c>
      <c r="D42" t="n">
        <v>22281.6</v>
      </c>
      <c r="E42" t="n">
        <v>1957.1</v>
      </c>
      <c r="F42" t="n">
        <v>5548</v>
      </c>
      <c r="G42" t="n">
        <v>4577.7</v>
      </c>
      <c r="H42" t="n">
        <v>3942.6</v>
      </c>
      <c r="I42" t="n">
        <v>335.4</v>
      </c>
      <c r="J42">
        <f>SUM(D42:I42)</f>
        <v/>
      </c>
      <c r="K42">
        <f>IFERROR(D42/$J42,0)</f>
        <v/>
      </c>
      <c r="L42">
        <f>IFERROR(E42/$J42,0)</f>
        <v/>
      </c>
      <c r="M42">
        <f>IFERROR(F42/$J42,0)</f>
        <v/>
      </c>
      <c r="N42">
        <f>IFERROR(G42/$J42,0)</f>
        <v/>
      </c>
      <c r="O42">
        <f>IFERROR(H42/$J42,0)</f>
        <v/>
      </c>
      <c r="P42">
        <f>IFERROR(I42/$J42,0)</f>
        <v/>
      </c>
      <c r="Q42">
        <f>D42*INDEX(Régions!$T$2:$T$6,MATCH($B42,Régions!$A$2:$A$6,0))</f>
        <v/>
      </c>
      <c r="R42">
        <f>E42*INDEX(Régions!$U$2:$U$6,MATCH($B42,Régions!$A$2:$A$6,0))</f>
        <v/>
      </c>
      <c r="S42">
        <f>F42*INDEX(Régions!$V$2:$V$6,MATCH($B42,Régions!$A$2:$A$6,0))</f>
        <v/>
      </c>
      <c r="T42">
        <f>G42*INDEX(Régions!$W$2:$W$6,MATCH($B42,Régions!$A$2:$A$6,0))</f>
        <v/>
      </c>
      <c r="U42">
        <f>H42*INDEX(Régions!$X$2:$X$6,MATCH($B42,Régions!$A$2:$A$6,0))</f>
        <v/>
      </c>
      <c r="V42">
        <f>I42*INDEX(Régions!$Y$2:$Y$6,MATCH($B42,Régions!$A$2:$A$6,0))</f>
        <v/>
      </c>
      <c r="W42">
        <f>Q42+(BB42/100)*$J42*Régions!$O$2</f>
        <v/>
      </c>
      <c r="X42">
        <f>R42+(BC42/100)*$J42*Régions!$O$2</f>
        <v/>
      </c>
      <c r="Y42">
        <f>S42+(BD42/100)*$J42*Régions!$O$2</f>
        <v/>
      </c>
      <c r="Z42">
        <f>T42+(BE42/100)*$J42*Régions!$O$2</f>
        <v/>
      </c>
      <c r="AA42">
        <f>U42</f>
        <v/>
      </c>
      <c r="AB42">
        <f>V42</f>
        <v/>
      </c>
      <c r="AC42">
        <f>D42*INDEX(Régions!$Z$2:$Z$6,MATCH($B42,Régions!$A$2:$A$6,0))</f>
        <v/>
      </c>
      <c r="AD42">
        <f>E42*INDEX(Régions!$AA$2:$AA$6,MATCH($B42,Régions!$A$2:$A$6,0))</f>
        <v/>
      </c>
      <c r="AE42">
        <f>F42*INDEX(Régions!$AB$2:$AB$6,MATCH($B42,Régions!$A$2:$A$6,0))</f>
        <v/>
      </c>
      <c r="AF42">
        <f>G42*INDEX(Régions!$AC$2:$AC$6,MATCH($B42,Régions!$A$2:$A$6,0))</f>
        <v/>
      </c>
      <c r="AG42">
        <f>H42*INDEX(Régions!$AD$2:$AD$6,MATCH($B42,Régions!$A$2:$A$6,0))</f>
        <v/>
      </c>
      <c r="AH42">
        <f>I42*INDEX(Régions!$AE$2:$AE$6,MATCH($B42,Régions!$A$2:$A$6,0))</f>
        <v/>
      </c>
      <c r="AI42">
        <f>D42*INDEX(Régions!$AF$2:$AF$6,MATCH($B42,Régions!$A$2:$A$6,0))</f>
        <v/>
      </c>
      <c r="AJ42">
        <f>E42*INDEX(Régions!$AG$2:$AG$6,MATCH($B42,Régions!$A$2:$A$6,0))</f>
        <v/>
      </c>
      <c r="AK42">
        <f>F42*INDEX(Régions!$AH$2:$AH$6,MATCH($B42,Régions!$A$2:$A$6,0))</f>
        <v/>
      </c>
      <c r="AL42">
        <f>G42*INDEX(Régions!$AI$2:$AI$6,MATCH($B42,Régions!$A$2:$A$6,0))</f>
        <v/>
      </c>
      <c r="AM42">
        <f>H42*INDEX(Régions!$AJ$2:$AJ$6,MATCH($B42,Régions!$A$2:$A$6,0))</f>
        <v/>
      </c>
      <c r="AN42">
        <f>I42*INDEX(Régions!$AK$2:$AK$6,MATCH($B42,Régions!$A$2:$A$6,0))</f>
        <v/>
      </c>
      <c r="AO42">
        <f>Régions!$Q$2*Q42/SUM($Q42:$V42)*100+(1-Régions!$Q$2)*MAX(K42*100+(INDEX(Régions!$AL$2:$AL$6,MATCH($B42,Régions!$A$2:$A$6,0))),0)</f>
        <v/>
      </c>
      <c r="AP42">
        <f>Régions!$Q$2*R42/SUM($Q42:$V42)*100+(1-Régions!$Q$2)*MAX(L42*100+(INDEX(Régions!$AM$2:$AM$6,MATCH($B42,Régions!$A$2:$A$6,0))),0)</f>
        <v/>
      </c>
      <c r="AQ42">
        <f>Régions!$Q$2*S42/SUM($Q42:$V42)*100+(1-Régions!$Q$2)*MAX(M42*100+(INDEX(Régions!$AN$2:$AN$6,MATCH($B42,Régions!$A$2:$A$6,0))),0)</f>
        <v/>
      </c>
      <c r="AR42">
        <f>Régions!$Q$2*T42/SUM($Q42:$V42)*100+(1-Régions!$Q$2)*MAX(N42*100+(INDEX(Régions!$AO$2:$AO$6,MATCH($B42,Régions!$A$2:$A$6,0))),0)</f>
        <v/>
      </c>
      <c r="AS42">
        <f>Régions!$Q$2*U42/SUM($Q42:$V42)*100+(1-Régions!$Q$2)*MAX(O42*100+(INDEX(Régions!$AP$2:$AP$6,MATCH($B42,Régions!$A$2:$A$6,0))),0)</f>
        <v/>
      </c>
      <c r="AT42">
        <f>Régions!$Q$2*V42/SUM($Q42:$V42)*100+(1-Régions!$Q$2)*MAX(P42*100+(INDEX(Régions!$AQ$2:$AQ$6,MATCH($B42,Régions!$A$2:$A$6,0))),0)</f>
        <v/>
      </c>
      <c r="AU42">
        <f>INDEX({"CAQ","PLQ","QS","PQ","PCQ","Autre"},MATCH(MAX(Q42:V42),Q42:V42,0))</f>
        <v/>
      </c>
      <c r="AV42">
        <f>INDEX({"CAQ","PLQ","QS","PQ","PCQ","Autre"},MATCH(MAX(W42:AB42),W42:AB42,0))</f>
        <v/>
      </c>
      <c r="AW42">
        <f>INDEX({"CAQ","PLQ","QS","PQ","PCQ","Autre"},MATCH(MAX(AC42:AH42),AC42:AH42,0))</f>
        <v/>
      </c>
      <c r="AX42">
        <f>INDEX({"CAQ","PLQ","QS","PQ","PCQ","Autre"},MATCH(MAX(AI42:AN42),AI42:AN42,0))</f>
        <v/>
      </c>
      <c r="AY42">
        <f>INDEX({"CAQ","PLQ","QS","PQ","PCQ","Autre"},MATCH(MAX(AO42:AT42),AO42:AT42,0))</f>
        <v/>
      </c>
      <c r="AZ42">
        <f>(MAX(K42:P42)-LARGE(K42:P42,2))*100</f>
        <v/>
      </c>
      <c r="BA42">
        <f>IF(AZ42&lt;5,"Oui","Non")</f>
        <v/>
      </c>
      <c r="BB42" t="n">
        <v>-11.383</v>
      </c>
      <c r="BC42" t="n">
        <v>6.894</v>
      </c>
      <c r="BD42" t="n">
        <v>1.38</v>
      </c>
      <c r="BE42" t="n">
        <v>6.318</v>
      </c>
    </row>
    <row r="43">
      <c r="A43" t="inlineStr">
        <is>
          <t>Groulx</t>
        </is>
      </c>
      <c r="B43" t="inlineStr">
        <is>
          <t>Banlieue de Montréal</t>
        </is>
      </c>
      <c r="C43">
        <f>INDEX({"CAQ","PLQ","QS","PQ","PCQ","Autre"},MATCH(MAX(D43:I43),D43:I43,0))</f>
        <v/>
      </c>
      <c r="D43" t="n">
        <v>17431</v>
      </c>
      <c r="E43" t="n">
        <v>4024</v>
      </c>
      <c r="F43" t="n">
        <v>5919</v>
      </c>
      <c r="G43" t="n">
        <v>5588</v>
      </c>
      <c r="H43" t="n">
        <v>3177</v>
      </c>
      <c r="I43" t="n">
        <v>368</v>
      </c>
      <c r="J43">
        <f>SUM(D43:I43)</f>
        <v/>
      </c>
      <c r="K43">
        <f>IFERROR(D43/$J43,0)</f>
        <v/>
      </c>
      <c r="L43">
        <f>IFERROR(E43/$J43,0)</f>
        <v/>
      </c>
      <c r="M43">
        <f>IFERROR(F43/$J43,0)</f>
        <v/>
      </c>
      <c r="N43">
        <f>IFERROR(G43/$J43,0)</f>
        <v/>
      </c>
      <c r="O43">
        <f>IFERROR(H43/$J43,0)</f>
        <v/>
      </c>
      <c r="P43">
        <f>IFERROR(I43/$J43,0)</f>
        <v/>
      </c>
      <c r="Q43">
        <f>D43*INDEX(Régions!$T$2:$T$6,MATCH($B43,Régions!$A$2:$A$6,0))</f>
        <v/>
      </c>
      <c r="R43">
        <f>E43*INDEX(Régions!$U$2:$U$6,MATCH($B43,Régions!$A$2:$A$6,0))</f>
        <v/>
      </c>
      <c r="S43">
        <f>F43*INDEX(Régions!$V$2:$V$6,MATCH($B43,Régions!$A$2:$A$6,0))</f>
        <v/>
      </c>
      <c r="T43">
        <f>G43*INDEX(Régions!$W$2:$W$6,MATCH($B43,Régions!$A$2:$A$6,0))</f>
        <v/>
      </c>
      <c r="U43">
        <f>H43*INDEX(Régions!$X$2:$X$6,MATCH($B43,Régions!$A$2:$A$6,0))</f>
        <v/>
      </c>
      <c r="V43">
        <f>I43*INDEX(Régions!$Y$2:$Y$6,MATCH($B43,Régions!$A$2:$A$6,0))</f>
        <v/>
      </c>
      <c r="W43">
        <f>Q43+(BB43/100)*$J43*Régions!$O$2</f>
        <v/>
      </c>
      <c r="X43">
        <f>R43+(BC43/100)*$J43*Régions!$O$2</f>
        <v/>
      </c>
      <c r="Y43">
        <f>S43+(BD43/100)*$J43*Régions!$O$2</f>
        <v/>
      </c>
      <c r="Z43">
        <f>T43+(BE43/100)*$J43*Régions!$O$2</f>
        <v/>
      </c>
      <c r="AA43">
        <f>U43</f>
        <v/>
      </c>
      <c r="AB43">
        <f>V43</f>
        <v/>
      </c>
      <c r="AC43">
        <f>D43*INDEX(Régions!$Z$2:$Z$6,MATCH($B43,Régions!$A$2:$A$6,0))</f>
        <v/>
      </c>
      <c r="AD43">
        <f>E43*INDEX(Régions!$AA$2:$AA$6,MATCH($B43,Régions!$A$2:$A$6,0))</f>
        <v/>
      </c>
      <c r="AE43">
        <f>F43*INDEX(Régions!$AB$2:$AB$6,MATCH($B43,Régions!$A$2:$A$6,0))</f>
        <v/>
      </c>
      <c r="AF43">
        <f>G43*INDEX(Régions!$AC$2:$AC$6,MATCH($B43,Régions!$A$2:$A$6,0))</f>
        <v/>
      </c>
      <c r="AG43">
        <f>H43*INDEX(Régions!$AD$2:$AD$6,MATCH($B43,Régions!$A$2:$A$6,0))</f>
        <v/>
      </c>
      <c r="AH43">
        <f>I43*INDEX(Régions!$AE$2:$AE$6,MATCH($B43,Régions!$A$2:$A$6,0))</f>
        <v/>
      </c>
      <c r="AI43">
        <f>D43*INDEX(Régions!$AF$2:$AF$6,MATCH($B43,Régions!$A$2:$A$6,0))</f>
        <v/>
      </c>
      <c r="AJ43">
        <f>E43*INDEX(Régions!$AG$2:$AG$6,MATCH($B43,Régions!$A$2:$A$6,0))</f>
        <v/>
      </c>
      <c r="AK43">
        <f>F43*INDEX(Régions!$AH$2:$AH$6,MATCH($B43,Régions!$A$2:$A$6,0))</f>
        <v/>
      </c>
      <c r="AL43">
        <f>G43*INDEX(Régions!$AI$2:$AI$6,MATCH($B43,Régions!$A$2:$A$6,0))</f>
        <v/>
      </c>
      <c r="AM43">
        <f>H43*INDEX(Régions!$AJ$2:$AJ$6,MATCH($B43,Régions!$A$2:$A$6,0))</f>
        <v/>
      </c>
      <c r="AN43">
        <f>I43*INDEX(Régions!$AK$2:$AK$6,MATCH($B43,Régions!$A$2:$A$6,0))</f>
        <v/>
      </c>
      <c r="AO43">
        <f>Régions!$Q$2*Q43/SUM($Q43:$V43)*100+(1-Régions!$Q$2)*MAX(K43*100+(INDEX(Régions!$AL$2:$AL$6,MATCH($B43,Régions!$A$2:$A$6,0))),0)</f>
        <v/>
      </c>
      <c r="AP43">
        <f>Régions!$Q$2*R43/SUM($Q43:$V43)*100+(1-Régions!$Q$2)*MAX(L43*100+(INDEX(Régions!$AM$2:$AM$6,MATCH($B43,Régions!$A$2:$A$6,0))),0)</f>
        <v/>
      </c>
      <c r="AQ43">
        <f>Régions!$Q$2*S43/SUM($Q43:$V43)*100+(1-Régions!$Q$2)*MAX(M43*100+(INDEX(Régions!$AN$2:$AN$6,MATCH($B43,Régions!$A$2:$A$6,0))),0)</f>
        <v/>
      </c>
      <c r="AR43">
        <f>Régions!$Q$2*T43/SUM($Q43:$V43)*100+(1-Régions!$Q$2)*MAX(N43*100+(INDEX(Régions!$AO$2:$AO$6,MATCH($B43,Régions!$A$2:$A$6,0))),0)</f>
        <v/>
      </c>
      <c r="AS43">
        <f>Régions!$Q$2*U43/SUM($Q43:$V43)*100+(1-Régions!$Q$2)*MAX(O43*100+(INDEX(Régions!$AP$2:$AP$6,MATCH($B43,Régions!$A$2:$A$6,0))),0)</f>
        <v/>
      </c>
      <c r="AT43">
        <f>Régions!$Q$2*V43/SUM($Q43:$V43)*100+(1-Régions!$Q$2)*MAX(P43*100+(INDEX(Régions!$AQ$2:$AQ$6,MATCH($B43,Régions!$A$2:$A$6,0))),0)</f>
        <v/>
      </c>
      <c r="AU43">
        <f>INDEX({"CAQ","PLQ","QS","PQ","PCQ","Autre"},MATCH(MAX(Q43:V43),Q43:V43,0))</f>
        <v/>
      </c>
      <c r="AV43">
        <f>INDEX({"CAQ","PLQ","QS","PQ","PCQ","Autre"},MATCH(MAX(W43:AB43),W43:AB43,0))</f>
        <v/>
      </c>
      <c r="AW43">
        <f>INDEX({"CAQ","PLQ","QS","PQ","PCQ","Autre"},MATCH(MAX(AC43:AH43),AC43:AH43,0))</f>
        <v/>
      </c>
      <c r="AX43">
        <f>INDEX({"CAQ","PLQ","QS","PQ","PCQ","Autre"},MATCH(MAX(AI43:AN43),AI43:AN43,0))</f>
        <v/>
      </c>
      <c r="AY43">
        <f>INDEX({"CAQ","PLQ","QS","PQ","PCQ","Autre"},MATCH(MAX(AO43:AT43),AO43:AT43,0))</f>
        <v/>
      </c>
      <c r="AZ43">
        <f>(MAX(K43:P43)-LARGE(K43:P43,2))*100</f>
        <v/>
      </c>
      <c r="BA43">
        <f>IF(AZ43&lt;5,"Oui","Non")</f>
        <v/>
      </c>
      <c r="BB43" t="n">
        <v>4.022</v>
      </c>
      <c r="BC43" t="n">
        <v>-2.364</v>
      </c>
      <c r="BD43" t="n">
        <v>-0.412</v>
      </c>
      <c r="BE43" t="n">
        <v>2.679</v>
      </c>
    </row>
    <row r="44">
      <c r="A44" t="inlineStr">
        <is>
          <t>Hochelaga-Maisonneuve</t>
        </is>
      </c>
      <c r="B44" t="inlineStr">
        <is>
          <t>Île de Montréal</t>
        </is>
      </c>
      <c r="C44">
        <f>INDEX({"CAQ","PLQ","QS","PQ","PCQ","Autre"},MATCH(MAX(D44:I44),D44:I44,0))</f>
        <v/>
      </c>
      <c r="D44" t="n">
        <v>4727.1</v>
      </c>
      <c r="E44" t="n">
        <v>1956.6</v>
      </c>
      <c r="F44" t="n">
        <v>12781.5</v>
      </c>
      <c r="G44" t="n">
        <v>4014.2</v>
      </c>
      <c r="H44" t="n">
        <v>1160.8</v>
      </c>
      <c r="I44" t="n">
        <v>498.9</v>
      </c>
      <c r="J44">
        <f>SUM(D44:I44)</f>
        <v/>
      </c>
      <c r="K44">
        <f>IFERROR(D44/$J44,0)</f>
        <v/>
      </c>
      <c r="L44">
        <f>IFERROR(E44/$J44,0)</f>
        <v/>
      </c>
      <c r="M44">
        <f>IFERROR(F44/$J44,0)</f>
        <v/>
      </c>
      <c r="N44">
        <f>IFERROR(G44/$J44,0)</f>
        <v/>
      </c>
      <c r="O44">
        <f>IFERROR(H44/$J44,0)</f>
        <v/>
      </c>
      <c r="P44">
        <f>IFERROR(I44/$J44,0)</f>
        <v/>
      </c>
      <c r="Q44">
        <f>D44*INDEX(Régions!$T$2:$T$6,MATCH($B44,Régions!$A$2:$A$6,0))</f>
        <v/>
      </c>
      <c r="R44">
        <f>E44*INDEX(Régions!$U$2:$U$6,MATCH($B44,Régions!$A$2:$A$6,0))</f>
        <v/>
      </c>
      <c r="S44">
        <f>F44*INDEX(Régions!$V$2:$V$6,MATCH($B44,Régions!$A$2:$A$6,0))</f>
        <v/>
      </c>
      <c r="T44">
        <f>G44*INDEX(Régions!$W$2:$W$6,MATCH($B44,Régions!$A$2:$A$6,0))</f>
        <v/>
      </c>
      <c r="U44">
        <f>H44*INDEX(Régions!$X$2:$X$6,MATCH($B44,Régions!$A$2:$A$6,0))</f>
        <v/>
      </c>
      <c r="V44">
        <f>I44*INDEX(Régions!$Y$2:$Y$6,MATCH($B44,Régions!$A$2:$A$6,0))</f>
        <v/>
      </c>
      <c r="W44">
        <f>Q44+(BB44/100)*$J44*Régions!$O$2</f>
        <v/>
      </c>
      <c r="X44">
        <f>R44+(BC44/100)*$J44*Régions!$O$2</f>
        <v/>
      </c>
      <c r="Y44">
        <f>S44+(BD44/100)*$J44*Régions!$O$2</f>
        <v/>
      </c>
      <c r="Z44">
        <f>T44+(BE44/100)*$J44*Régions!$O$2</f>
        <v/>
      </c>
      <c r="AA44">
        <f>U44</f>
        <v/>
      </c>
      <c r="AB44">
        <f>V44</f>
        <v/>
      </c>
      <c r="AC44">
        <f>D44*INDEX(Régions!$Z$2:$Z$6,MATCH($B44,Régions!$A$2:$A$6,0))</f>
        <v/>
      </c>
      <c r="AD44">
        <f>E44*INDEX(Régions!$AA$2:$AA$6,MATCH($B44,Régions!$A$2:$A$6,0))</f>
        <v/>
      </c>
      <c r="AE44">
        <f>F44*INDEX(Régions!$AB$2:$AB$6,MATCH($B44,Régions!$A$2:$A$6,0))</f>
        <v/>
      </c>
      <c r="AF44">
        <f>G44*INDEX(Régions!$AC$2:$AC$6,MATCH($B44,Régions!$A$2:$A$6,0))</f>
        <v/>
      </c>
      <c r="AG44">
        <f>H44*INDEX(Régions!$AD$2:$AD$6,MATCH($B44,Régions!$A$2:$A$6,0))</f>
        <v/>
      </c>
      <c r="AH44">
        <f>I44*INDEX(Régions!$AE$2:$AE$6,MATCH($B44,Régions!$A$2:$A$6,0))</f>
        <v/>
      </c>
      <c r="AI44">
        <f>D44*INDEX(Régions!$AF$2:$AF$6,MATCH($B44,Régions!$A$2:$A$6,0))</f>
        <v/>
      </c>
      <c r="AJ44">
        <f>E44*INDEX(Régions!$AG$2:$AG$6,MATCH($B44,Régions!$A$2:$A$6,0))</f>
        <v/>
      </c>
      <c r="AK44">
        <f>F44*INDEX(Régions!$AH$2:$AH$6,MATCH($B44,Régions!$A$2:$A$6,0))</f>
        <v/>
      </c>
      <c r="AL44">
        <f>G44*INDEX(Régions!$AI$2:$AI$6,MATCH($B44,Régions!$A$2:$A$6,0))</f>
        <v/>
      </c>
      <c r="AM44">
        <f>H44*INDEX(Régions!$AJ$2:$AJ$6,MATCH($B44,Régions!$A$2:$A$6,0))</f>
        <v/>
      </c>
      <c r="AN44">
        <f>I44*INDEX(Régions!$AK$2:$AK$6,MATCH($B44,Régions!$A$2:$A$6,0))</f>
        <v/>
      </c>
      <c r="AO44">
        <f>Régions!$Q$2*Q44/SUM($Q44:$V44)*100+(1-Régions!$Q$2)*MAX(K44*100+(INDEX(Régions!$AL$2:$AL$6,MATCH($B44,Régions!$A$2:$A$6,0))),0)</f>
        <v/>
      </c>
      <c r="AP44">
        <f>Régions!$Q$2*R44/SUM($Q44:$V44)*100+(1-Régions!$Q$2)*MAX(L44*100+(INDEX(Régions!$AM$2:$AM$6,MATCH($B44,Régions!$A$2:$A$6,0))),0)</f>
        <v/>
      </c>
      <c r="AQ44">
        <f>Régions!$Q$2*S44/SUM($Q44:$V44)*100+(1-Régions!$Q$2)*MAX(M44*100+(INDEX(Régions!$AN$2:$AN$6,MATCH($B44,Régions!$A$2:$A$6,0))),0)</f>
        <v/>
      </c>
      <c r="AR44">
        <f>Régions!$Q$2*T44/SUM($Q44:$V44)*100+(1-Régions!$Q$2)*MAX(N44*100+(INDEX(Régions!$AO$2:$AO$6,MATCH($B44,Régions!$A$2:$A$6,0))),0)</f>
        <v/>
      </c>
      <c r="AS44">
        <f>Régions!$Q$2*U44/SUM($Q44:$V44)*100+(1-Régions!$Q$2)*MAX(O44*100+(INDEX(Régions!$AP$2:$AP$6,MATCH($B44,Régions!$A$2:$A$6,0))),0)</f>
        <v/>
      </c>
      <c r="AT44">
        <f>Régions!$Q$2*V44/SUM($Q44:$V44)*100+(1-Régions!$Q$2)*MAX(P44*100+(INDEX(Régions!$AQ$2:$AQ$6,MATCH($B44,Régions!$A$2:$A$6,0))),0)</f>
        <v/>
      </c>
      <c r="AU44">
        <f>INDEX({"CAQ","PLQ","QS","PQ","PCQ","Autre"},MATCH(MAX(Q44:V44),Q44:V44,0))</f>
        <v/>
      </c>
      <c r="AV44">
        <f>INDEX({"CAQ","PLQ","QS","PQ","PCQ","Autre"},MATCH(MAX(W44:AB44),W44:AB44,0))</f>
        <v/>
      </c>
      <c r="AW44">
        <f>INDEX({"CAQ","PLQ","QS","PQ","PCQ","Autre"},MATCH(MAX(AC44:AH44),AC44:AH44,0))</f>
        <v/>
      </c>
      <c r="AX44">
        <f>INDEX({"CAQ","PLQ","QS","PQ","PCQ","Autre"},MATCH(MAX(AI44:AN44),AI44:AN44,0))</f>
        <v/>
      </c>
      <c r="AY44">
        <f>INDEX({"CAQ","PLQ","QS","PQ","PCQ","Autre"},MATCH(MAX(AO44:AT44),AO44:AT44,0))</f>
        <v/>
      </c>
      <c r="AZ44">
        <f>(MAX(K44:P44)-LARGE(K44:P44,2))*100</f>
        <v/>
      </c>
      <c r="BA44">
        <f>IF(AZ44&lt;5,"Oui","Non")</f>
        <v/>
      </c>
      <c r="BB44" t="n">
        <v>3.969</v>
      </c>
      <c r="BC44" t="n">
        <v>6.241</v>
      </c>
      <c r="BD44" t="n">
        <v>0.02</v>
      </c>
      <c r="BE44" t="n">
        <v>-6.516</v>
      </c>
    </row>
    <row r="45">
      <c r="A45" t="inlineStr">
        <is>
          <t>Hull</t>
        </is>
      </c>
      <c r="B45" t="inlineStr">
        <is>
          <t>Reste du Québec</t>
        </is>
      </c>
      <c r="C45">
        <f>INDEX({"CAQ","PLQ","QS","PQ","PCQ","Autre"},MATCH(MAX(D45:I45),D45:I45,0))</f>
        <v/>
      </c>
      <c r="D45" t="n">
        <v>12169.2</v>
      </c>
      <c r="E45" t="n">
        <v>8740.200000000001</v>
      </c>
      <c r="F45" t="n">
        <v>6910.1</v>
      </c>
      <c r="G45" t="n">
        <v>3352.4</v>
      </c>
      <c r="H45" t="n">
        <v>2465.7</v>
      </c>
      <c r="I45" t="n">
        <v>660.7</v>
      </c>
      <c r="J45">
        <f>SUM(D45:I45)</f>
        <v/>
      </c>
      <c r="K45">
        <f>IFERROR(D45/$J45,0)</f>
        <v/>
      </c>
      <c r="L45">
        <f>IFERROR(E45/$J45,0)</f>
        <v/>
      </c>
      <c r="M45">
        <f>IFERROR(F45/$J45,0)</f>
        <v/>
      </c>
      <c r="N45">
        <f>IFERROR(G45/$J45,0)</f>
        <v/>
      </c>
      <c r="O45">
        <f>IFERROR(H45/$J45,0)</f>
        <v/>
      </c>
      <c r="P45">
        <f>IFERROR(I45/$J45,0)</f>
        <v/>
      </c>
      <c r="Q45">
        <f>D45*INDEX(Régions!$T$2:$T$6,MATCH($B45,Régions!$A$2:$A$6,0))</f>
        <v/>
      </c>
      <c r="R45">
        <f>E45*INDEX(Régions!$U$2:$U$6,MATCH($B45,Régions!$A$2:$A$6,0))</f>
        <v/>
      </c>
      <c r="S45">
        <f>F45*INDEX(Régions!$V$2:$V$6,MATCH($B45,Régions!$A$2:$A$6,0))</f>
        <v/>
      </c>
      <c r="T45">
        <f>G45*INDEX(Régions!$W$2:$W$6,MATCH($B45,Régions!$A$2:$A$6,0))</f>
        <v/>
      </c>
      <c r="U45">
        <f>H45*INDEX(Régions!$X$2:$X$6,MATCH($B45,Régions!$A$2:$A$6,0))</f>
        <v/>
      </c>
      <c r="V45">
        <f>I45*INDEX(Régions!$Y$2:$Y$6,MATCH($B45,Régions!$A$2:$A$6,0))</f>
        <v/>
      </c>
      <c r="W45">
        <f>Q45+(BB45/100)*$J45*Régions!$O$2</f>
        <v/>
      </c>
      <c r="X45">
        <f>R45+(BC45/100)*$J45*Régions!$O$2</f>
        <v/>
      </c>
      <c r="Y45">
        <f>S45+(BD45/100)*$J45*Régions!$O$2</f>
        <v/>
      </c>
      <c r="Z45">
        <f>T45+(BE45/100)*$J45*Régions!$O$2</f>
        <v/>
      </c>
      <c r="AA45">
        <f>U45</f>
        <v/>
      </c>
      <c r="AB45">
        <f>V45</f>
        <v/>
      </c>
      <c r="AC45">
        <f>D45*INDEX(Régions!$Z$2:$Z$6,MATCH($B45,Régions!$A$2:$A$6,0))</f>
        <v/>
      </c>
      <c r="AD45">
        <f>E45*INDEX(Régions!$AA$2:$AA$6,MATCH($B45,Régions!$A$2:$A$6,0))</f>
        <v/>
      </c>
      <c r="AE45">
        <f>F45*INDEX(Régions!$AB$2:$AB$6,MATCH($B45,Régions!$A$2:$A$6,0))</f>
        <v/>
      </c>
      <c r="AF45">
        <f>G45*INDEX(Régions!$AC$2:$AC$6,MATCH($B45,Régions!$A$2:$A$6,0))</f>
        <v/>
      </c>
      <c r="AG45">
        <f>H45*INDEX(Régions!$AD$2:$AD$6,MATCH($B45,Régions!$A$2:$A$6,0))</f>
        <v/>
      </c>
      <c r="AH45">
        <f>I45*INDEX(Régions!$AE$2:$AE$6,MATCH($B45,Régions!$A$2:$A$6,0))</f>
        <v/>
      </c>
      <c r="AI45">
        <f>D45*INDEX(Régions!$AF$2:$AF$6,MATCH($B45,Régions!$A$2:$A$6,0))</f>
        <v/>
      </c>
      <c r="AJ45">
        <f>E45*INDEX(Régions!$AG$2:$AG$6,MATCH($B45,Régions!$A$2:$A$6,0))</f>
        <v/>
      </c>
      <c r="AK45">
        <f>F45*INDEX(Régions!$AH$2:$AH$6,MATCH($B45,Régions!$A$2:$A$6,0))</f>
        <v/>
      </c>
      <c r="AL45">
        <f>G45*INDEX(Régions!$AI$2:$AI$6,MATCH($B45,Régions!$A$2:$A$6,0))</f>
        <v/>
      </c>
      <c r="AM45">
        <f>H45*INDEX(Régions!$AJ$2:$AJ$6,MATCH($B45,Régions!$A$2:$A$6,0))</f>
        <v/>
      </c>
      <c r="AN45">
        <f>I45*INDEX(Régions!$AK$2:$AK$6,MATCH($B45,Régions!$A$2:$A$6,0))</f>
        <v/>
      </c>
      <c r="AO45">
        <f>Régions!$Q$2*Q45/SUM($Q45:$V45)*100+(1-Régions!$Q$2)*MAX(K45*100+(INDEX(Régions!$AL$2:$AL$6,MATCH($B45,Régions!$A$2:$A$6,0))),0)</f>
        <v/>
      </c>
      <c r="AP45">
        <f>Régions!$Q$2*R45/SUM($Q45:$V45)*100+(1-Régions!$Q$2)*MAX(L45*100+(INDEX(Régions!$AM$2:$AM$6,MATCH($B45,Régions!$A$2:$A$6,0))),0)</f>
        <v/>
      </c>
      <c r="AQ45">
        <f>Régions!$Q$2*S45/SUM($Q45:$V45)*100+(1-Régions!$Q$2)*MAX(M45*100+(INDEX(Régions!$AN$2:$AN$6,MATCH($B45,Régions!$A$2:$A$6,0))),0)</f>
        <v/>
      </c>
      <c r="AR45">
        <f>Régions!$Q$2*T45/SUM($Q45:$V45)*100+(1-Régions!$Q$2)*MAX(N45*100+(INDEX(Régions!$AO$2:$AO$6,MATCH($B45,Régions!$A$2:$A$6,0))),0)</f>
        <v/>
      </c>
      <c r="AS45">
        <f>Régions!$Q$2*U45/SUM($Q45:$V45)*100+(1-Régions!$Q$2)*MAX(O45*100+(INDEX(Régions!$AP$2:$AP$6,MATCH($B45,Régions!$A$2:$A$6,0))),0)</f>
        <v/>
      </c>
      <c r="AT45">
        <f>Régions!$Q$2*V45/SUM($Q45:$V45)*100+(1-Régions!$Q$2)*MAX(P45*100+(INDEX(Régions!$AQ$2:$AQ$6,MATCH($B45,Régions!$A$2:$A$6,0))),0)</f>
        <v/>
      </c>
      <c r="AU45">
        <f>INDEX({"CAQ","PLQ","QS","PQ","PCQ","Autre"},MATCH(MAX(Q45:V45),Q45:V45,0))</f>
        <v/>
      </c>
      <c r="AV45">
        <f>INDEX({"CAQ","PLQ","QS","PQ","PCQ","Autre"},MATCH(MAX(W45:AB45),W45:AB45,0))</f>
        <v/>
      </c>
      <c r="AW45">
        <f>INDEX({"CAQ","PLQ","QS","PQ","PCQ","Autre"},MATCH(MAX(AC45:AH45),AC45:AH45,0))</f>
        <v/>
      </c>
      <c r="AX45">
        <f>INDEX({"CAQ","PLQ","QS","PQ","PCQ","Autre"},MATCH(MAX(AI45:AN45),AI45:AN45,0))</f>
        <v/>
      </c>
      <c r="AY45">
        <f>INDEX({"CAQ","PLQ","QS","PQ","PCQ","Autre"},MATCH(MAX(AO45:AT45),AO45:AT45,0))</f>
        <v/>
      </c>
      <c r="AZ45">
        <f>(MAX(K45:P45)-LARGE(K45:P45,2))*100</f>
        <v/>
      </c>
      <c r="BA45">
        <f>IF(AZ45&lt;5,"Oui","Non")</f>
        <v/>
      </c>
      <c r="BB45" t="n">
        <v>0.599</v>
      </c>
      <c r="BC45" t="n">
        <v>5.052</v>
      </c>
      <c r="BD45" t="n">
        <v>3.208</v>
      </c>
      <c r="BE45" t="n">
        <v>0.648</v>
      </c>
    </row>
    <row r="46">
      <c r="A46" t="inlineStr">
        <is>
          <t>Huntingdon</t>
        </is>
      </c>
      <c r="B46" t="inlineStr">
        <is>
          <t>Banlieue de Montréal</t>
        </is>
      </c>
      <c r="C46">
        <f>INDEX({"CAQ","PLQ","QS","PQ","PCQ","Autre"},MATCH(MAX(D46:I46),D46:I46,0))</f>
        <v/>
      </c>
      <c r="D46" t="n">
        <v>14250.3</v>
      </c>
      <c r="E46" t="n">
        <v>4283.2</v>
      </c>
      <c r="F46" t="n">
        <v>3435.9</v>
      </c>
      <c r="G46" t="n">
        <v>3744.5</v>
      </c>
      <c r="H46" t="n">
        <v>4359.2</v>
      </c>
      <c r="I46" t="n">
        <v>378.4</v>
      </c>
      <c r="J46">
        <f>SUM(D46:I46)</f>
        <v/>
      </c>
      <c r="K46">
        <f>IFERROR(D46/$J46,0)</f>
        <v/>
      </c>
      <c r="L46">
        <f>IFERROR(E46/$J46,0)</f>
        <v/>
      </c>
      <c r="M46">
        <f>IFERROR(F46/$J46,0)</f>
        <v/>
      </c>
      <c r="N46">
        <f>IFERROR(G46/$J46,0)</f>
        <v/>
      </c>
      <c r="O46">
        <f>IFERROR(H46/$J46,0)</f>
        <v/>
      </c>
      <c r="P46">
        <f>IFERROR(I46/$J46,0)</f>
        <v/>
      </c>
      <c r="Q46">
        <f>D46*INDEX(Régions!$T$2:$T$6,MATCH($B46,Régions!$A$2:$A$6,0))</f>
        <v/>
      </c>
      <c r="R46">
        <f>E46*INDEX(Régions!$U$2:$U$6,MATCH($B46,Régions!$A$2:$A$6,0))</f>
        <v/>
      </c>
      <c r="S46">
        <f>F46*INDEX(Régions!$V$2:$V$6,MATCH($B46,Régions!$A$2:$A$6,0))</f>
        <v/>
      </c>
      <c r="T46">
        <f>G46*INDEX(Régions!$W$2:$W$6,MATCH($B46,Régions!$A$2:$A$6,0))</f>
        <v/>
      </c>
      <c r="U46">
        <f>H46*INDEX(Régions!$X$2:$X$6,MATCH($B46,Régions!$A$2:$A$6,0))</f>
        <v/>
      </c>
      <c r="V46">
        <f>I46*INDEX(Régions!$Y$2:$Y$6,MATCH($B46,Régions!$A$2:$A$6,0))</f>
        <v/>
      </c>
      <c r="W46">
        <f>Q46+(BB46/100)*$J46*Régions!$O$2</f>
        <v/>
      </c>
      <c r="X46">
        <f>R46+(BC46/100)*$J46*Régions!$O$2</f>
        <v/>
      </c>
      <c r="Y46">
        <f>S46+(BD46/100)*$J46*Régions!$O$2</f>
        <v/>
      </c>
      <c r="Z46">
        <f>T46+(BE46/100)*$J46*Régions!$O$2</f>
        <v/>
      </c>
      <c r="AA46">
        <f>U46</f>
        <v/>
      </c>
      <c r="AB46">
        <f>V46</f>
        <v/>
      </c>
      <c r="AC46">
        <f>D46*INDEX(Régions!$Z$2:$Z$6,MATCH($B46,Régions!$A$2:$A$6,0))</f>
        <v/>
      </c>
      <c r="AD46">
        <f>E46*INDEX(Régions!$AA$2:$AA$6,MATCH($B46,Régions!$A$2:$A$6,0))</f>
        <v/>
      </c>
      <c r="AE46">
        <f>F46*INDEX(Régions!$AB$2:$AB$6,MATCH($B46,Régions!$A$2:$A$6,0))</f>
        <v/>
      </c>
      <c r="AF46">
        <f>G46*INDEX(Régions!$AC$2:$AC$6,MATCH($B46,Régions!$A$2:$A$6,0))</f>
        <v/>
      </c>
      <c r="AG46">
        <f>H46*INDEX(Régions!$AD$2:$AD$6,MATCH($B46,Régions!$A$2:$A$6,0))</f>
        <v/>
      </c>
      <c r="AH46">
        <f>I46*INDEX(Régions!$AE$2:$AE$6,MATCH($B46,Régions!$A$2:$A$6,0))</f>
        <v/>
      </c>
      <c r="AI46">
        <f>D46*INDEX(Régions!$AF$2:$AF$6,MATCH($B46,Régions!$A$2:$A$6,0))</f>
        <v/>
      </c>
      <c r="AJ46">
        <f>E46*INDEX(Régions!$AG$2:$AG$6,MATCH($B46,Régions!$A$2:$A$6,0))</f>
        <v/>
      </c>
      <c r="AK46">
        <f>F46*INDEX(Régions!$AH$2:$AH$6,MATCH($B46,Régions!$A$2:$A$6,0))</f>
        <v/>
      </c>
      <c r="AL46">
        <f>G46*INDEX(Régions!$AI$2:$AI$6,MATCH($B46,Régions!$A$2:$A$6,0))</f>
        <v/>
      </c>
      <c r="AM46">
        <f>H46*INDEX(Régions!$AJ$2:$AJ$6,MATCH($B46,Régions!$A$2:$A$6,0))</f>
        <v/>
      </c>
      <c r="AN46">
        <f>I46*INDEX(Régions!$AK$2:$AK$6,MATCH($B46,Régions!$A$2:$A$6,0))</f>
        <v/>
      </c>
      <c r="AO46">
        <f>Régions!$Q$2*Q46/SUM($Q46:$V46)*100+(1-Régions!$Q$2)*MAX(K46*100+(INDEX(Régions!$AL$2:$AL$6,MATCH($B46,Régions!$A$2:$A$6,0))),0)</f>
        <v/>
      </c>
      <c r="AP46">
        <f>Régions!$Q$2*R46/SUM($Q46:$V46)*100+(1-Régions!$Q$2)*MAX(L46*100+(INDEX(Régions!$AM$2:$AM$6,MATCH($B46,Régions!$A$2:$A$6,0))),0)</f>
        <v/>
      </c>
      <c r="AQ46">
        <f>Régions!$Q$2*S46/SUM($Q46:$V46)*100+(1-Régions!$Q$2)*MAX(M46*100+(INDEX(Régions!$AN$2:$AN$6,MATCH($B46,Régions!$A$2:$A$6,0))),0)</f>
        <v/>
      </c>
      <c r="AR46">
        <f>Régions!$Q$2*T46/SUM($Q46:$V46)*100+(1-Régions!$Q$2)*MAX(N46*100+(INDEX(Régions!$AO$2:$AO$6,MATCH($B46,Régions!$A$2:$A$6,0))),0)</f>
        <v/>
      </c>
      <c r="AS46">
        <f>Régions!$Q$2*U46/SUM($Q46:$V46)*100+(1-Régions!$Q$2)*MAX(O46*100+(INDEX(Régions!$AP$2:$AP$6,MATCH($B46,Régions!$A$2:$A$6,0))),0)</f>
        <v/>
      </c>
      <c r="AT46">
        <f>Régions!$Q$2*V46/SUM($Q46:$V46)*100+(1-Régions!$Q$2)*MAX(P46*100+(INDEX(Régions!$AQ$2:$AQ$6,MATCH($B46,Régions!$A$2:$A$6,0))),0)</f>
        <v/>
      </c>
      <c r="AU46">
        <f>INDEX({"CAQ","PLQ","QS","PQ","PCQ","Autre"},MATCH(MAX(Q46:V46),Q46:V46,0))</f>
        <v/>
      </c>
      <c r="AV46">
        <f>INDEX({"CAQ","PLQ","QS","PQ","PCQ","Autre"},MATCH(MAX(W46:AB46),W46:AB46,0))</f>
        <v/>
      </c>
      <c r="AW46">
        <f>INDEX({"CAQ","PLQ","QS","PQ","PCQ","Autre"},MATCH(MAX(AC46:AH46),AC46:AH46,0))</f>
        <v/>
      </c>
      <c r="AX46">
        <f>INDEX({"CAQ","PLQ","QS","PQ","PCQ","Autre"},MATCH(MAX(AI46:AN46),AI46:AN46,0))</f>
        <v/>
      </c>
      <c r="AY46">
        <f>INDEX({"CAQ","PLQ","QS","PQ","PCQ","Autre"},MATCH(MAX(AO46:AT46),AO46:AT46,0))</f>
        <v/>
      </c>
      <c r="AZ46">
        <f>(MAX(K46:P46)-LARGE(K46:P46,2))*100</f>
        <v/>
      </c>
      <c r="BA46">
        <f>IF(AZ46&lt;5,"Oui","Non")</f>
        <v/>
      </c>
      <c r="BB46" t="n">
        <v>5.93</v>
      </c>
      <c r="BC46" t="n">
        <v>-13.386</v>
      </c>
      <c r="BD46" t="n">
        <v>-0.894</v>
      </c>
      <c r="BE46" t="n">
        <v>3.676</v>
      </c>
    </row>
    <row r="47">
      <c r="A47" t="inlineStr">
        <is>
          <t>Iberville</t>
        </is>
      </c>
      <c r="B47" t="inlineStr">
        <is>
          <t>Banlieue de Montréal</t>
        </is>
      </c>
      <c r="C47">
        <f>INDEX({"CAQ","PLQ","QS","PQ","PCQ","Autre"},MATCH(MAX(D47:I47),D47:I47,0))</f>
        <v/>
      </c>
      <c r="D47" t="n">
        <v>18222.7</v>
      </c>
      <c r="E47" t="n">
        <v>1933.9</v>
      </c>
      <c r="F47" t="n">
        <v>4702.9</v>
      </c>
      <c r="G47" t="n">
        <v>5227</v>
      </c>
      <c r="H47" t="n">
        <v>3862.9</v>
      </c>
      <c r="I47" t="n">
        <v>338</v>
      </c>
      <c r="J47">
        <f>SUM(D47:I47)</f>
        <v/>
      </c>
      <c r="K47">
        <f>IFERROR(D47/$J47,0)</f>
        <v/>
      </c>
      <c r="L47">
        <f>IFERROR(E47/$J47,0)</f>
        <v/>
      </c>
      <c r="M47">
        <f>IFERROR(F47/$J47,0)</f>
        <v/>
      </c>
      <c r="N47">
        <f>IFERROR(G47/$J47,0)</f>
        <v/>
      </c>
      <c r="O47">
        <f>IFERROR(H47/$J47,0)</f>
        <v/>
      </c>
      <c r="P47">
        <f>IFERROR(I47/$J47,0)</f>
        <v/>
      </c>
      <c r="Q47">
        <f>D47*INDEX(Régions!$T$2:$T$6,MATCH($B47,Régions!$A$2:$A$6,0))</f>
        <v/>
      </c>
      <c r="R47">
        <f>E47*INDEX(Régions!$U$2:$U$6,MATCH($B47,Régions!$A$2:$A$6,0))</f>
        <v/>
      </c>
      <c r="S47">
        <f>F47*INDEX(Régions!$V$2:$V$6,MATCH($B47,Régions!$A$2:$A$6,0))</f>
        <v/>
      </c>
      <c r="T47">
        <f>G47*INDEX(Régions!$W$2:$W$6,MATCH($B47,Régions!$A$2:$A$6,0))</f>
        <v/>
      </c>
      <c r="U47">
        <f>H47*INDEX(Régions!$X$2:$X$6,MATCH($B47,Régions!$A$2:$A$6,0))</f>
        <v/>
      </c>
      <c r="V47">
        <f>I47*INDEX(Régions!$Y$2:$Y$6,MATCH($B47,Régions!$A$2:$A$6,0))</f>
        <v/>
      </c>
      <c r="W47">
        <f>Q47+(BB47/100)*$J47*Régions!$O$2</f>
        <v/>
      </c>
      <c r="X47">
        <f>R47+(BC47/100)*$J47*Régions!$O$2</f>
        <v/>
      </c>
      <c r="Y47">
        <f>S47+(BD47/100)*$J47*Régions!$O$2</f>
        <v/>
      </c>
      <c r="Z47">
        <f>T47+(BE47/100)*$J47*Régions!$O$2</f>
        <v/>
      </c>
      <c r="AA47">
        <f>U47</f>
        <v/>
      </c>
      <c r="AB47">
        <f>V47</f>
        <v/>
      </c>
      <c r="AC47">
        <f>D47*INDEX(Régions!$Z$2:$Z$6,MATCH($B47,Régions!$A$2:$A$6,0))</f>
        <v/>
      </c>
      <c r="AD47">
        <f>E47*INDEX(Régions!$AA$2:$AA$6,MATCH($B47,Régions!$A$2:$A$6,0))</f>
        <v/>
      </c>
      <c r="AE47">
        <f>F47*INDEX(Régions!$AB$2:$AB$6,MATCH($B47,Régions!$A$2:$A$6,0))</f>
        <v/>
      </c>
      <c r="AF47">
        <f>G47*INDEX(Régions!$AC$2:$AC$6,MATCH($B47,Régions!$A$2:$A$6,0))</f>
        <v/>
      </c>
      <c r="AG47">
        <f>H47*INDEX(Régions!$AD$2:$AD$6,MATCH($B47,Régions!$A$2:$A$6,0))</f>
        <v/>
      </c>
      <c r="AH47">
        <f>I47*INDEX(Régions!$AE$2:$AE$6,MATCH($B47,Régions!$A$2:$A$6,0))</f>
        <v/>
      </c>
      <c r="AI47">
        <f>D47*INDEX(Régions!$AF$2:$AF$6,MATCH($B47,Régions!$A$2:$A$6,0))</f>
        <v/>
      </c>
      <c r="AJ47">
        <f>E47*INDEX(Régions!$AG$2:$AG$6,MATCH($B47,Régions!$A$2:$A$6,0))</f>
        <v/>
      </c>
      <c r="AK47">
        <f>F47*INDEX(Régions!$AH$2:$AH$6,MATCH($B47,Régions!$A$2:$A$6,0))</f>
        <v/>
      </c>
      <c r="AL47">
        <f>G47*INDEX(Régions!$AI$2:$AI$6,MATCH($B47,Régions!$A$2:$A$6,0))</f>
        <v/>
      </c>
      <c r="AM47">
        <f>H47*INDEX(Régions!$AJ$2:$AJ$6,MATCH($B47,Régions!$A$2:$A$6,0))</f>
        <v/>
      </c>
      <c r="AN47">
        <f>I47*INDEX(Régions!$AK$2:$AK$6,MATCH($B47,Régions!$A$2:$A$6,0))</f>
        <v/>
      </c>
      <c r="AO47">
        <f>Régions!$Q$2*Q47/SUM($Q47:$V47)*100+(1-Régions!$Q$2)*MAX(K47*100+(INDEX(Régions!$AL$2:$AL$6,MATCH($B47,Régions!$A$2:$A$6,0))),0)</f>
        <v/>
      </c>
      <c r="AP47">
        <f>Régions!$Q$2*R47/SUM($Q47:$V47)*100+(1-Régions!$Q$2)*MAX(L47*100+(INDEX(Régions!$AM$2:$AM$6,MATCH($B47,Régions!$A$2:$A$6,0))),0)</f>
        <v/>
      </c>
      <c r="AQ47">
        <f>Régions!$Q$2*S47/SUM($Q47:$V47)*100+(1-Régions!$Q$2)*MAX(M47*100+(INDEX(Régions!$AN$2:$AN$6,MATCH($B47,Régions!$A$2:$A$6,0))),0)</f>
        <v/>
      </c>
      <c r="AR47">
        <f>Régions!$Q$2*T47/SUM($Q47:$V47)*100+(1-Régions!$Q$2)*MAX(N47*100+(INDEX(Régions!$AO$2:$AO$6,MATCH($B47,Régions!$A$2:$A$6,0))),0)</f>
        <v/>
      </c>
      <c r="AS47">
        <f>Régions!$Q$2*U47/SUM($Q47:$V47)*100+(1-Régions!$Q$2)*MAX(O47*100+(INDEX(Régions!$AP$2:$AP$6,MATCH($B47,Régions!$A$2:$A$6,0))),0)</f>
        <v/>
      </c>
      <c r="AT47">
        <f>Régions!$Q$2*V47/SUM($Q47:$V47)*100+(1-Régions!$Q$2)*MAX(P47*100+(INDEX(Régions!$AQ$2:$AQ$6,MATCH($B47,Régions!$A$2:$A$6,0))),0)</f>
        <v/>
      </c>
      <c r="AU47">
        <f>INDEX({"CAQ","PLQ","QS","PQ","PCQ","Autre"},MATCH(MAX(Q47:V47),Q47:V47,0))</f>
        <v/>
      </c>
      <c r="AV47">
        <f>INDEX({"CAQ","PLQ","QS","PQ","PCQ","Autre"},MATCH(MAX(W47:AB47),W47:AB47,0))</f>
        <v/>
      </c>
      <c r="AW47">
        <f>INDEX({"CAQ","PLQ","QS","PQ","PCQ","Autre"},MATCH(MAX(AC47:AH47),AC47:AH47,0))</f>
        <v/>
      </c>
      <c r="AX47">
        <f>INDEX({"CAQ","PLQ","QS","PQ","PCQ","Autre"},MATCH(MAX(AI47:AN47),AI47:AN47,0))</f>
        <v/>
      </c>
      <c r="AY47">
        <f>INDEX({"CAQ","PLQ","QS","PQ","PCQ","Autre"},MATCH(MAX(AO47:AT47),AO47:AT47,0))</f>
        <v/>
      </c>
      <c r="AZ47">
        <f>(MAX(K47:P47)-LARGE(K47:P47,2))*100</f>
        <v/>
      </c>
      <c r="BA47">
        <f>IF(AZ47&lt;5,"Oui","Non")</f>
        <v/>
      </c>
      <c r="BB47" t="n">
        <v>2.415</v>
      </c>
      <c r="BC47" t="n">
        <v>0.211</v>
      </c>
      <c r="BD47" t="n">
        <v>-2.989</v>
      </c>
      <c r="BE47" t="n">
        <v>0.865</v>
      </c>
    </row>
    <row r="48">
      <c r="A48" t="inlineStr">
        <is>
          <t>Îles-de-la-Madeleine</t>
        </is>
      </c>
      <c r="B48" t="inlineStr">
        <is>
          <t>Reste du Québec</t>
        </is>
      </c>
      <c r="C48">
        <f>INDEX({"CAQ","PLQ","QS","PQ","PCQ","Autre"},MATCH(MAX(D48:I48),D48:I48,0))</f>
        <v/>
      </c>
      <c r="D48" t="n">
        <v>3338</v>
      </c>
      <c r="E48" t="n">
        <v>606</v>
      </c>
      <c r="F48" t="n">
        <v>450</v>
      </c>
      <c r="G48" t="n">
        <v>3877</v>
      </c>
      <c r="H48" t="n">
        <v>93</v>
      </c>
      <c r="I48" t="n">
        <v>0</v>
      </c>
      <c r="J48">
        <f>SUM(D48:I48)</f>
        <v/>
      </c>
      <c r="K48">
        <f>IFERROR(D48/$J48,0)</f>
        <v/>
      </c>
      <c r="L48">
        <f>IFERROR(E48/$J48,0)</f>
        <v/>
      </c>
      <c r="M48">
        <f>IFERROR(F48/$J48,0)</f>
        <v/>
      </c>
      <c r="N48">
        <f>IFERROR(G48/$J48,0)</f>
        <v/>
      </c>
      <c r="O48">
        <f>IFERROR(H48/$J48,0)</f>
        <v/>
      </c>
      <c r="P48">
        <f>IFERROR(I48/$J48,0)</f>
        <v/>
      </c>
      <c r="Q48">
        <f>D48*INDEX(Régions!$T$2:$T$6,MATCH($B48,Régions!$A$2:$A$6,0))</f>
        <v/>
      </c>
      <c r="R48">
        <f>E48*INDEX(Régions!$U$2:$U$6,MATCH($B48,Régions!$A$2:$A$6,0))</f>
        <v/>
      </c>
      <c r="S48">
        <f>F48*INDEX(Régions!$V$2:$V$6,MATCH($B48,Régions!$A$2:$A$6,0))</f>
        <v/>
      </c>
      <c r="T48">
        <f>G48*INDEX(Régions!$W$2:$W$6,MATCH($B48,Régions!$A$2:$A$6,0))</f>
        <v/>
      </c>
      <c r="U48">
        <f>H48*INDEX(Régions!$X$2:$X$6,MATCH($B48,Régions!$A$2:$A$6,0))</f>
        <v/>
      </c>
      <c r="V48">
        <f>I48*INDEX(Régions!$Y$2:$Y$6,MATCH($B48,Régions!$A$2:$A$6,0))</f>
        <v/>
      </c>
      <c r="W48">
        <f>Q48+(BB48/100)*$J48*Régions!$O$2</f>
        <v/>
      </c>
      <c r="X48">
        <f>R48+(BC48/100)*$J48*Régions!$O$2</f>
        <v/>
      </c>
      <c r="Y48">
        <f>S48+(BD48/100)*$J48*Régions!$O$2</f>
        <v/>
      </c>
      <c r="Z48">
        <f>T48+(BE48/100)*$J48*Régions!$O$2</f>
        <v/>
      </c>
      <c r="AA48">
        <f>U48</f>
        <v/>
      </c>
      <c r="AB48">
        <f>V48</f>
        <v/>
      </c>
      <c r="AC48">
        <f>D48*INDEX(Régions!$Z$2:$Z$6,MATCH($B48,Régions!$A$2:$A$6,0))</f>
        <v/>
      </c>
      <c r="AD48">
        <f>E48*INDEX(Régions!$AA$2:$AA$6,MATCH($B48,Régions!$A$2:$A$6,0))</f>
        <v/>
      </c>
      <c r="AE48">
        <f>F48*INDEX(Régions!$AB$2:$AB$6,MATCH($B48,Régions!$A$2:$A$6,0))</f>
        <v/>
      </c>
      <c r="AF48">
        <f>G48*INDEX(Régions!$AC$2:$AC$6,MATCH($B48,Régions!$A$2:$A$6,0))</f>
        <v/>
      </c>
      <c r="AG48">
        <f>H48*INDEX(Régions!$AD$2:$AD$6,MATCH($B48,Régions!$A$2:$A$6,0))</f>
        <v/>
      </c>
      <c r="AH48">
        <f>I48*INDEX(Régions!$AE$2:$AE$6,MATCH($B48,Régions!$A$2:$A$6,0))</f>
        <v/>
      </c>
      <c r="AI48">
        <f>D48*INDEX(Régions!$AF$2:$AF$6,MATCH($B48,Régions!$A$2:$A$6,0))</f>
        <v/>
      </c>
      <c r="AJ48">
        <f>E48*INDEX(Régions!$AG$2:$AG$6,MATCH($B48,Régions!$A$2:$A$6,0))</f>
        <v/>
      </c>
      <c r="AK48">
        <f>F48*INDEX(Régions!$AH$2:$AH$6,MATCH($B48,Régions!$A$2:$A$6,0))</f>
        <v/>
      </c>
      <c r="AL48">
        <f>G48*INDEX(Régions!$AI$2:$AI$6,MATCH($B48,Régions!$A$2:$A$6,0))</f>
        <v/>
      </c>
      <c r="AM48">
        <f>H48*INDEX(Régions!$AJ$2:$AJ$6,MATCH($B48,Régions!$A$2:$A$6,0))</f>
        <v/>
      </c>
      <c r="AN48">
        <f>I48*INDEX(Régions!$AK$2:$AK$6,MATCH($B48,Régions!$A$2:$A$6,0))</f>
        <v/>
      </c>
      <c r="AO48">
        <f>Régions!$Q$2*Q48/SUM($Q48:$V48)*100+(1-Régions!$Q$2)*MAX(K48*100+(INDEX(Régions!$AL$2:$AL$6,MATCH($B48,Régions!$A$2:$A$6,0))),0)</f>
        <v/>
      </c>
      <c r="AP48">
        <f>Régions!$Q$2*R48/SUM($Q48:$V48)*100+(1-Régions!$Q$2)*MAX(L48*100+(INDEX(Régions!$AM$2:$AM$6,MATCH($B48,Régions!$A$2:$A$6,0))),0)</f>
        <v/>
      </c>
      <c r="AQ48">
        <f>Régions!$Q$2*S48/SUM($Q48:$V48)*100+(1-Régions!$Q$2)*MAX(M48*100+(INDEX(Régions!$AN$2:$AN$6,MATCH($B48,Régions!$A$2:$A$6,0))),0)</f>
        <v/>
      </c>
      <c r="AR48">
        <f>Régions!$Q$2*T48/SUM($Q48:$V48)*100+(1-Régions!$Q$2)*MAX(N48*100+(INDEX(Régions!$AO$2:$AO$6,MATCH($B48,Régions!$A$2:$A$6,0))),0)</f>
        <v/>
      </c>
      <c r="AS48">
        <f>Régions!$Q$2*U48/SUM($Q48:$V48)*100+(1-Régions!$Q$2)*MAX(O48*100+(INDEX(Régions!$AP$2:$AP$6,MATCH($B48,Régions!$A$2:$A$6,0))),0)</f>
        <v/>
      </c>
      <c r="AT48">
        <f>Régions!$Q$2*V48/SUM($Q48:$V48)*100+(1-Régions!$Q$2)*MAX(P48*100+(INDEX(Régions!$AQ$2:$AQ$6,MATCH($B48,Régions!$A$2:$A$6,0))),0)</f>
        <v/>
      </c>
      <c r="AU48">
        <f>INDEX({"CAQ","PLQ","QS","PQ","PCQ","Autre"},MATCH(MAX(Q48:V48),Q48:V48,0))</f>
        <v/>
      </c>
      <c r="AV48">
        <f>INDEX({"CAQ","PLQ","QS","PQ","PCQ","Autre"},MATCH(MAX(W48:AB48),W48:AB48,0))</f>
        <v/>
      </c>
      <c r="AW48">
        <f>INDEX({"CAQ","PLQ","QS","PQ","PCQ","Autre"},MATCH(MAX(AC48:AH48),AC48:AH48,0))</f>
        <v/>
      </c>
      <c r="AX48">
        <f>INDEX({"CAQ","PLQ","QS","PQ","PCQ","Autre"},MATCH(MAX(AI48:AN48),AI48:AN48,0))</f>
        <v/>
      </c>
      <c r="AY48">
        <f>INDEX({"CAQ","PLQ","QS","PQ","PCQ","Autre"},MATCH(MAX(AO48:AT48),AO48:AT48,0))</f>
        <v/>
      </c>
      <c r="AZ48">
        <f>(MAX(K48:P48)-LARGE(K48:P48,2))*100</f>
        <v/>
      </c>
      <c r="BA48">
        <f>IF(AZ48&lt;5,"Oui","Non")</f>
        <v/>
      </c>
      <c r="BB48" t="n">
        <v>23.165</v>
      </c>
      <c r="BC48" t="n">
        <v>-18.104</v>
      </c>
      <c r="BD48" t="n">
        <v>-6.989</v>
      </c>
      <c r="BE48" t="n">
        <v>11.865</v>
      </c>
    </row>
    <row r="49">
      <c r="A49" t="inlineStr">
        <is>
          <t>Jacques-Cartier</t>
        </is>
      </c>
      <c r="B49" t="inlineStr">
        <is>
          <t>Île de Montréal</t>
        </is>
      </c>
      <c r="C49">
        <f>INDEX({"CAQ","PLQ","QS","PQ","PCQ","Autre"},MATCH(MAX(D49:I49),D49:I49,0))</f>
        <v/>
      </c>
      <c r="D49" t="n">
        <v>2735</v>
      </c>
      <c r="E49" t="n">
        <v>18158</v>
      </c>
      <c r="F49" t="n">
        <v>1456</v>
      </c>
      <c r="G49" t="n">
        <v>877</v>
      </c>
      <c r="H49" t="n">
        <v>4722</v>
      </c>
      <c r="I49" t="n">
        <v>1074</v>
      </c>
      <c r="J49">
        <f>SUM(D49:I49)</f>
        <v/>
      </c>
      <c r="K49">
        <f>IFERROR(D49/$J49,0)</f>
        <v/>
      </c>
      <c r="L49">
        <f>IFERROR(E49/$J49,0)</f>
        <v/>
      </c>
      <c r="M49">
        <f>IFERROR(F49/$J49,0)</f>
        <v/>
      </c>
      <c r="N49">
        <f>IFERROR(G49/$J49,0)</f>
        <v/>
      </c>
      <c r="O49">
        <f>IFERROR(H49/$J49,0)</f>
        <v/>
      </c>
      <c r="P49">
        <f>IFERROR(I49/$J49,0)</f>
        <v/>
      </c>
      <c r="Q49">
        <f>D49*INDEX(Régions!$T$2:$T$6,MATCH($B49,Régions!$A$2:$A$6,0))</f>
        <v/>
      </c>
      <c r="R49">
        <f>E49*INDEX(Régions!$U$2:$U$6,MATCH($B49,Régions!$A$2:$A$6,0))</f>
        <v/>
      </c>
      <c r="S49">
        <f>F49*INDEX(Régions!$V$2:$V$6,MATCH($B49,Régions!$A$2:$A$6,0))</f>
        <v/>
      </c>
      <c r="T49">
        <f>G49*INDEX(Régions!$W$2:$W$6,MATCH($B49,Régions!$A$2:$A$6,0))</f>
        <v/>
      </c>
      <c r="U49">
        <f>H49*INDEX(Régions!$X$2:$X$6,MATCH($B49,Régions!$A$2:$A$6,0))</f>
        <v/>
      </c>
      <c r="V49">
        <f>I49*INDEX(Régions!$Y$2:$Y$6,MATCH($B49,Régions!$A$2:$A$6,0))</f>
        <v/>
      </c>
      <c r="W49">
        <f>Q49+(BB49/100)*$J49*Régions!$O$2</f>
        <v/>
      </c>
      <c r="X49">
        <f>R49+(BC49/100)*$J49*Régions!$O$2</f>
        <v/>
      </c>
      <c r="Y49">
        <f>S49+(BD49/100)*$J49*Régions!$O$2</f>
        <v/>
      </c>
      <c r="Z49">
        <f>T49+(BE49/100)*$J49*Régions!$O$2</f>
        <v/>
      </c>
      <c r="AA49">
        <f>U49</f>
        <v/>
      </c>
      <c r="AB49">
        <f>V49</f>
        <v/>
      </c>
      <c r="AC49">
        <f>D49*INDEX(Régions!$Z$2:$Z$6,MATCH($B49,Régions!$A$2:$A$6,0))</f>
        <v/>
      </c>
      <c r="AD49">
        <f>E49*INDEX(Régions!$AA$2:$AA$6,MATCH($B49,Régions!$A$2:$A$6,0))</f>
        <v/>
      </c>
      <c r="AE49">
        <f>F49*INDEX(Régions!$AB$2:$AB$6,MATCH($B49,Régions!$A$2:$A$6,0))</f>
        <v/>
      </c>
      <c r="AF49">
        <f>G49*INDEX(Régions!$AC$2:$AC$6,MATCH($B49,Régions!$A$2:$A$6,0))</f>
        <v/>
      </c>
      <c r="AG49">
        <f>H49*INDEX(Régions!$AD$2:$AD$6,MATCH($B49,Régions!$A$2:$A$6,0))</f>
        <v/>
      </c>
      <c r="AH49">
        <f>I49*INDEX(Régions!$AE$2:$AE$6,MATCH($B49,Régions!$A$2:$A$6,0))</f>
        <v/>
      </c>
      <c r="AI49">
        <f>D49*INDEX(Régions!$AF$2:$AF$6,MATCH($B49,Régions!$A$2:$A$6,0))</f>
        <v/>
      </c>
      <c r="AJ49">
        <f>E49*INDEX(Régions!$AG$2:$AG$6,MATCH($B49,Régions!$A$2:$A$6,0))</f>
        <v/>
      </c>
      <c r="AK49">
        <f>F49*INDEX(Régions!$AH$2:$AH$6,MATCH($B49,Régions!$A$2:$A$6,0))</f>
        <v/>
      </c>
      <c r="AL49">
        <f>G49*INDEX(Régions!$AI$2:$AI$6,MATCH($B49,Régions!$A$2:$A$6,0))</f>
        <v/>
      </c>
      <c r="AM49">
        <f>H49*INDEX(Régions!$AJ$2:$AJ$6,MATCH($B49,Régions!$A$2:$A$6,0))</f>
        <v/>
      </c>
      <c r="AN49">
        <f>I49*INDEX(Régions!$AK$2:$AK$6,MATCH($B49,Régions!$A$2:$A$6,0))</f>
        <v/>
      </c>
      <c r="AO49">
        <f>Régions!$Q$2*Q49/SUM($Q49:$V49)*100+(1-Régions!$Q$2)*MAX(K49*100+(INDEX(Régions!$AL$2:$AL$6,MATCH($B49,Régions!$A$2:$A$6,0))),0)</f>
        <v/>
      </c>
      <c r="AP49">
        <f>Régions!$Q$2*R49/SUM($Q49:$V49)*100+(1-Régions!$Q$2)*MAX(L49*100+(INDEX(Régions!$AM$2:$AM$6,MATCH($B49,Régions!$A$2:$A$6,0))),0)</f>
        <v/>
      </c>
      <c r="AQ49">
        <f>Régions!$Q$2*S49/SUM($Q49:$V49)*100+(1-Régions!$Q$2)*MAX(M49*100+(INDEX(Régions!$AN$2:$AN$6,MATCH($B49,Régions!$A$2:$A$6,0))),0)</f>
        <v/>
      </c>
      <c r="AR49">
        <f>Régions!$Q$2*T49/SUM($Q49:$V49)*100+(1-Régions!$Q$2)*MAX(N49*100+(INDEX(Régions!$AO$2:$AO$6,MATCH($B49,Régions!$A$2:$A$6,0))),0)</f>
        <v/>
      </c>
      <c r="AS49">
        <f>Régions!$Q$2*U49/SUM($Q49:$V49)*100+(1-Régions!$Q$2)*MAX(O49*100+(INDEX(Régions!$AP$2:$AP$6,MATCH($B49,Régions!$A$2:$A$6,0))),0)</f>
        <v/>
      </c>
      <c r="AT49">
        <f>Régions!$Q$2*V49/SUM($Q49:$V49)*100+(1-Régions!$Q$2)*MAX(P49*100+(INDEX(Régions!$AQ$2:$AQ$6,MATCH($B49,Régions!$A$2:$A$6,0))),0)</f>
        <v/>
      </c>
      <c r="AU49">
        <f>INDEX({"CAQ","PLQ","QS","PQ","PCQ","Autre"},MATCH(MAX(Q49:V49),Q49:V49,0))</f>
        <v/>
      </c>
      <c r="AV49">
        <f>INDEX({"CAQ","PLQ","QS","PQ","PCQ","Autre"},MATCH(MAX(W49:AB49),W49:AB49,0))</f>
        <v/>
      </c>
      <c r="AW49">
        <f>INDEX({"CAQ","PLQ","QS","PQ","PCQ","Autre"},MATCH(MAX(AC49:AH49),AC49:AH49,0))</f>
        <v/>
      </c>
      <c r="AX49">
        <f>INDEX({"CAQ","PLQ","QS","PQ","PCQ","Autre"},MATCH(MAX(AI49:AN49),AI49:AN49,0))</f>
        <v/>
      </c>
      <c r="AY49">
        <f>INDEX({"CAQ","PLQ","QS","PQ","PCQ","Autre"},MATCH(MAX(AO49:AT49),AO49:AT49,0))</f>
        <v/>
      </c>
      <c r="AZ49">
        <f>(MAX(K49:P49)-LARGE(K49:P49,2))*100</f>
        <v/>
      </c>
      <c r="BA49">
        <f>IF(AZ49&lt;5,"Oui","Non")</f>
        <v/>
      </c>
      <c r="BB49" t="n">
        <v>-1.851</v>
      </c>
      <c r="BC49" t="n">
        <v>-0.44</v>
      </c>
      <c r="BD49" t="n">
        <v>-0.144</v>
      </c>
      <c r="BE49" t="n">
        <v>1.356</v>
      </c>
    </row>
    <row r="50">
      <c r="A50" t="inlineStr">
        <is>
          <t>Jean-Lesage</t>
        </is>
      </c>
      <c r="B50" t="inlineStr">
        <is>
          <t>Québec RMR</t>
        </is>
      </c>
      <c r="C50">
        <f>INDEX({"CAQ","PLQ","QS","PQ","PCQ","Autre"},MATCH(MAX(D50:I50),D50:I50,0))</f>
        <v/>
      </c>
      <c r="D50" t="n">
        <v>9426</v>
      </c>
      <c r="E50" t="n">
        <v>1326</v>
      </c>
      <c r="F50" t="n">
        <v>11390</v>
      </c>
      <c r="G50" t="n">
        <v>3337</v>
      </c>
      <c r="H50" t="n">
        <v>4258</v>
      </c>
      <c r="I50" t="n">
        <v>417</v>
      </c>
      <c r="J50">
        <f>SUM(D50:I50)</f>
        <v/>
      </c>
      <c r="K50">
        <f>IFERROR(D50/$J50,0)</f>
        <v/>
      </c>
      <c r="L50">
        <f>IFERROR(E50/$J50,0)</f>
        <v/>
      </c>
      <c r="M50">
        <f>IFERROR(F50/$J50,0)</f>
        <v/>
      </c>
      <c r="N50">
        <f>IFERROR(G50/$J50,0)</f>
        <v/>
      </c>
      <c r="O50">
        <f>IFERROR(H50/$J50,0)</f>
        <v/>
      </c>
      <c r="P50">
        <f>IFERROR(I50/$J50,0)</f>
        <v/>
      </c>
      <c r="Q50">
        <f>D50*INDEX(Régions!$T$2:$T$6,MATCH($B50,Régions!$A$2:$A$6,0))</f>
        <v/>
      </c>
      <c r="R50">
        <f>E50*INDEX(Régions!$U$2:$U$6,MATCH($B50,Régions!$A$2:$A$6,0))</f>
        <v/>
      </c>
      <c r="S50">
        <f>F50*INDEX(Régions!$V$2:$V$6,MATCH($B50,Régions!$A$2:$A$6,0))</f>
        <v/>
      </c>
      <c r="T50">
        <f>G50*INDEX(Régions!$W$2:$W$6,MATCH($B50,Régions!$A$2:$A$6,0))</f>
        <v/>
      </c>
      <c r="U50">
        <f>H50*INDEX(Régions!$X$2:$X$6,MATCH($B50,Régions!$A$2:$A$6,0))</f>
        <v/>
      </c>
      <c r="V50">
        <f>I50*INDEX(Régions!$Y$2:$Y$6,MATCH($B50,Régions!$A$2:$A$6,0))</f>
        <v/>
      </c>
      <c r="W50">
        <f>Q50+(BB50/100)*$J50*Régions!$O$2</f>
        <v/>
      </c>
      <c r="X50">
        <f>R50+(BC50/100)*$J50*Régions!$O$2</f>
        <v/>
      </c>
      <c r="Y50">
        <f>S50+(BD50/100)*$J50*Régions!$O$2</f>
        <v/>
      </c>
      <c r="Z50">
        <f>T50+(BE50/100)*$J50*Régions!$O$2</f>
        <v/>
      </c>
      <c r="AA50">
        <f>U50</f>
        <v/>
      </c>
      <c r="AB50">
        <f>V50</f>
        <v/>
      </c>
      <c r="AC50">
        <f>D50*INDEX(Régions!$Z$2:$Z$6,MATCH($B50,Régions!$A$2:$A$6,0))</f>
        <v/>
      </c>
      <c r="AD50">
        <f>E50*INDEX(Régions!$AA$2:$AA$6,MATCH($B50,Régions!$A$2:$A$6,0))</f>
        <v/>
      </c>
      <c r="AE50">
        <f>F50*INDEX(Régions!$AB$2:$AB$6,MATCH($B50,Régions!$A$2:$A$6,0))</f>
        <v/>
      </c>
      <c r="AF50">
        <f>G50*INDEX(Régions!$AC$2:$AC$6,MATCH($B50,Régions!$A$2:$A$6,0))</f>
        <v/>
      </c>
      <c r="AG50">
        <f>H50*INDEX(Régions!$AD$2:$AD$6,MATCH($B50,Régions!$A$2:$A$6,0))</f>
        <v/>
      </c>
      <c r="AH50">
        <f>I50*INDEX(Régions!$AE$2:$AE$6,MATCH($B50,Régions!$A$2:$A$6,0))</f>
        <v/>
      </c>
      <c r="AI50">
        <f>D50*INDEX(Régions!$AF$2:$AF$6,MATCH($B50,Régions!$A$2:$A$6,0))</f>
        <v/>
      </c>
      <c r="AJ50">
        <f>E50*INDEX(Régions!$AG$2:$AG$6,MATCH($B50,Régions!$A$2:$A$6,0))</f>
        <v/>
      </c>
      <c r="AK50">
        <f>F50*INDEX(Régions!$AH$2:$AH$6,MATCH($B50,Régions!$A$2:$A$6,0))</f>
        <v/>
      </c>
      <c r="AL50">
        <f>G50*INDEX(Régions!$AI$2:$AI$6,MATCH($B50,Régions!$A$2:$A$6,0))</f>
        <v/>
      </c>
      <c r="AM50">
        <f>H50*INDEX(Régions!$AJ$2:$AJ$6,MATCH($B50,Régions!$A$2:$A$6,0))</f>
        <v/>
      </c>
      <c r="AN50">
        <f>I50*INDEX(Régions!$AK$2:$AK$6,MATCH($B50,Régions!$A$2:$A$6,0))</f>
        <v/>
      </c>
      <c r="AO50">
        <f>Régions!$Q$2*Q50/SUM($Q50:$V50)*100+(1-Régions!$Q$2)*MAX(K50*100+(INDEX(Régions!$AL$2:$AL$6,MATCH($B50,Régions!$A$2:$A$6,0))),0)</f>
        <v/>
      </c>
      <c r="AP50">
        <f>Régions!$Q$2*R50/SUM($Q50:$V50)*100+(1-Régions!$Q$2)*MAX(L50*100+(INDEX(Régions!$AM$2:$AM$6,MATCH($B50,Régions!$A$2:$A$6,0))),0)</f>
        <v/>
      </c>
      <c r="AQ50">
        <f>Régions!$Q$2*S50/SUM($Q50:$V50)*100+(1-Régions!$Q$2)*MAX(M50*100+(INDEX(Régions!$AN$2:$AN$6,MATCH($B50,Régions!$A$2:$A$6,0))),0)</f>
        <v/>
      </c>
      <c r="AR50">
        <f>Régions!$Q$2*T50/SUM($Q50:$V50)*100+(1-Régions!$Q$2)*MAX(N50*100+(INDEX(Régions!$AO$2:$AO$6,MATCH($B50,Régions!$A$2:$A$6,0))),0)</f>
        <v/>
      </c>
      <c r="AS50">
        <f>Régions!$Q$2*U50/SUM($Q50:$V50)*100+(1-Régions!$Q$2)*MAX(O50*100+(INDEX(Régions!$AP$2:$AP$6,MATCH($B50,Régions!$A$2:$A$6,0))),0)</f>
        <v/>
      </c>
      <c r="AT50">
        <f>Régions!$Q$2*V50/SUM($Q50:$V50)*100+(1-Régions!$Q$2)*MAX(P50*100+(INDEX(Régions!$AQ$2:$AQ$6,MATCH($B50,Régions!$A$2:$A$6,0))),0)</f>
        <v/>
      </c>
      <c r="AU50">
        <f>INDEX({"CAQ","PLQ","QS","PQ","PCQ","Autre"},MATCH(MAX(Q50:V50),Q50:V50,0))</f>
        <v/>
      </c>
      <c r="AV50">
        <f>INDEX({"CAQ","PLQ","QS","PQ","PCQ","Autre"},MATCH(MAX(W50:AB50),W50:AB50,0))</f>
        <v/>
      </c>
      <c r="AW50">
        <f>INDEX({"CAQ","PLQ","QS","PQ","PCQ","Autre"},MATCH(MAX(AC50:AH50),AC50:AH50,0))</f>
        <v/>
      </c>
      <c r="AX50">
        <f>INDEX({"CAQ","PLQ","QS","PQ","PCQ","Autre"},MATCH(MAX(AI50:AN50),AI50:AN50,0))</f>
        <v/>
      </c>
      <c r="AY50">
        <f>INDEX({"CAQ","PLQ","QS","PQ","PCQ","Autre"},MATCH(MAX(AO50:AT50),AO50:AT50,0))</f>
        <v/>
      </c>
      <c r="AZ50">
        <f>(MAX(K50:P50)-LARGE(K50:P50,2))*100</f>
        <v/>
      </c>
      <c r="BA50">
        <f>IF(AZ50&lt;5,"Oui","Non")</f>
        <v/>
      </c>
      <c r="BB50" t="n">
        <v>1.691</v>
      </c>
      <c r="BC50" t="n">
        <v>1.378</v>
      </c>
      <c r="BD50" t="n">
        <v>3.38</v>
      </c>
      <c r="BE50" t="n">
        <v>-0.276</v>
      </c>
    </row>
    <row r="51">
      <c r="A51" t="inlineStr">
        <is>
          <t>Jeanne-Mance-Viger</t>
        </is>
      </c>
      <c r="B51" t="inlineStr">
        <is>
          <t>Île de Montréal</t>
        </is>
      </c>
      <c r="C51">
        <f>INDEX({"CAQ","PLQ","QS","PQ","PCQ","Autre"},MATCH(MAX(D51:I51),D51:I51,0))</f>
        <v/>
      </c>
      <c r="D51" t="n">
        <v>4455</v>
      </c>
      <c r="E51" t="n">
        <v>14471</v>
      </c>
      <c r="F51" t="n">
        <v>2858</v>
      </c>
      <c r="G51" t="n">
        <v>1122</v>
      </c>
      <c r="H51" t="n">
        <v>3609</v>
      </c>
      <c r="I51" t="n">
        <v>319</v>
      </c>
      <c r="J51">
        <f>SUM(D51:I51)</f>
        <v/>
      </c>
      <c r="K51">
        <f>IFERROR(D51/$J51,0)</f>
        <v/>
      </c>
      <c r="L51">
        <f>IFERROR(E51/$J51,0)</f>
        <v/>
      </c>
      <c r="M51">
        <f>IFERROR(F51/$J51,0)</f>
        <v/>
      </c>
      <c r="N51">
        <f>IFERROR(G51/$J51,0)</f>
        <v/>
      </c>
      <c r="O51">
        <f>IFERROR(H51/$J51,0)</f>
        <v/>
      </c>
      <c r="P51">
        <f>IFERROR(I51/$J51,0)</f>
        <v/>
      </c>
      <c r="Q51">
        <f>D51*INDEX(Régions!$T$2:$T$6,MATCH($B51,Régions!$A$2:$A$6,0))</f>
        <v/>
      </c>
      <c r="R51">
        <f>E51*INDEX(Régions!$U$2:$U$6,MATCH($B51,Régions!$A$2:$A$6,0))</f>
        <v/>
      </c>
      <c r="S51">
        <f>F51*INDEX(Régions!$V$2:$V$6,MATCH($B51,Régions!$A$2:$A$6,0))</f>
        <v/>
      </c>
      <c r="T51">
        <f>G51*INDEX(Régions!$W$2:$W$6,MATCH($B51,Régions!$A$2:$A$6,0))</f>
        <v/>
      </c>
      <c r="U51">
        <f>H51*INDEX(Régions!$X$2:$X$6,MATCH($B51,Régions!$A$2:$A$6,0))</f>
        <v/>
      </c>
      <c r="V51">
        <f>I51*INDEX(Régions!$Y$2:$Y$6,MATCH($B51,Régions!$A$2:$A$6,0))</f>
        <v/>
      </c>
      <c r="W51">
        <f>Q51+(BB51/100)*$J51*Régions!$O$2</f>
        <v/>
      </c>
      <c r="X51">
        <f>R51+(BC51/100)*$J51*Régions!$O$2</f>
        <v/>
      </c>
      <c r="Y51">
        <f>S51+(BD51/100)*$J51*Régions!$O$2</f>
        <v/>
      </c>
      <c r="Z51">
        <f>T51+(BE51/100)*$J51*Régions!$O$2</f>
        <v/>
      </c>
      <c r="AA51">
        <f>U51</f>
        <v/>
      </c>
      <c r="AB51">
        <f>V51</f>
        <v/>
      </c>
      <c r="AC51">
        <f>D51*INDEX(Régions!$Z$2:$Z$6,MATCH($B51,Régions!$A$2:$A$6,0))</f>
        <v/>
      </c>
      <c r="AD51">
        <f>E51*INDEX(Régions!$AA$2:$AA$6,MATCH($B51,Régions!$A$2:$A$6,0))</f>
        <v/>
      </c>
      <c r="AE51">
        <f>F51*INDEX(Régions!$AB$2:$AB$6,MATCH($B51,Régions!$A$2:$A$6,0))</f>
        <v/>
      </c>
      <c r="AF51">
        <f>G51*INDEX(Régions!$AC$2:$AC$6,MATCH($B51,Régions!$A$2:$A$6,0))</f>
        <v/>
      </c>
      <c r="AG51">
        <f>H51*INDEX(Régions!$AD$2:$AD$6,MATCH($B51,Régions!$A$2:$A$6,0))</f>
        <v/>
      </c>
      <c r="AH51">
        <f>I51*INDEX(Régions!$AE$2:$AE$6,MATCH($B51,Régions!$A$2:$A$6,0))</f>
        <v/>
      </c>
      <c r="AI51">
        <f>D51*INDEX(Régions!$AF$2:$AF$6,MATCH($B51,Régions!$A$2:$A$6,0))</f>
        <v/>
      </c>
      <c r="AJ51">
        <f>E51*INDEX(Régions!$AG$2:$AG$6,MATCH($B51,Régions!$A$2:$A$6,0))</f>
        <v/>
      </c>
      <c r="AK51">
        <f>F51*INDEX(Régions!$AH$2:$AH$6,MATCH($B51,Régions!$A$2:$A$6,0))</f>
        <v/>
      </c>
      <c r="AL51">
        <f>G51*INDEX(Régions!$AI$2:$AI$6,MATCH($B51,Régions!$A$2:$A$6,0))</f>
        <v/>
      </c>
      <c r="AM51">
        <f>H51*INDEX(Régions!$AJ$2:$AJ$6,MATCH($B51,Régions!$A$2:$A$6,0))</f>
        <v/>
      </c>
      <c r="AN51">
        <f>I51*INDEX(Régions!$AK$2:$AK$6,MATCH($B51,Régions!$A$2:$A$6,0))</f>
        <v/>
      </c>
      <c r="AO51">
        <f>Régions!$Q$2*Q51/SUM($Q51:$V51)*100+(1-Régions!$Q$2)*MAX(K51*100+(INDEX(Régions!$AL$2:$AL$6,MATCH($B51,Régions!$A$2:$A$6,0))),0)</f>
        <v/>
      </c>
      <c r="AP51">
        <f>Régions!$Q$2*R51/SUM($Q51:$V51)*100+(1-Régions!$Q$2)*MAX(L51*100+(INDEX(Régions!$AM$2:$AM$6,MATCH($B51,Régions!$A$2:$A$6,0))),0)</f>
        <v/>
      </c>
      <c r="AQ51">
        <f>Régions!$Q$2*S51/SUM($Q51:$V51)*100+(1-Régions!$Q$2)*MAX(M51*100+(INDEX(Régions!$AN$2:$AN$6,MATCH($B51,Régions!$A$2:$A$6,0))),0)</f>
        <v/>
      </c>
      <c r="AR51">
        <f>Régions!$Q$2*T51/SUM($Q51:$V51)*100+(1-Régions!$Q$2)*MAX(N51*100+(INDEX(Régions!$AO$2:$AO$6,MATCH($B51,Régions!$A$2:$A$6,0))),0)</f>
        <v/>
      </c>
      <c r="AS51">
        <f>Régions!$Q$2*U51/SUM($Q51:$V51)*100+(1-Régions!$Q$2)*MAX(O51*100+(INDEX(Régions!$AP$2:$AP$6,MATCH($B51,Régions!$A$2:$A$6,0))),0)</f>
        <v/>
      </c>
      <c r="AT51">
        <f>Régions!$Q$2*V51/SUM($Q51:$V51)*100+(1-Régions!$Q$2)*MAX(P51*100+(INDEX(Régions!$AQ$2:$AQ$6,MATCH($B51,Régions!$A$2:$A$6,0))),0)</f>
        <v/>
      </c>
      <c r="AU51">
        <f>INDEX({"CAQ","PLQ","QS","PQ","PCQ","Autre"},MATCH(MAX(Q51:V51),Q51:V51,0))</f>
        <v/>
      </c>
      <c r="AV51">
        <f>INDEX({"CAQ","PLQ","QS","PQ","PCQ","Autre"},MATCH(MAX(W51:AB51),W51:AB51,0))</f>
        <v/>
      </c>
      <c r="AW51">
        <f>INDEX({"CAQ","PLQ","QS","PQ","PCQ","Autre"},MATCH(MAX(AC51:AH51),AC51:AH51,0))</f>
        <v/>
      </c>
      <c r="AX51">
        <f>INDEX({"CAQ","PLQ","QS","PQ","PCQ","Autre"},MATCH(MAX(AI51:AN51),AI51:AN51,0))</f>
        <v/>
      </c>
      <c r="AY51">
        <f>INDEX({"CAQ","PLQ","QS","PQ","PCQ","Autre"},MATCH(MAX(AO51:AT51),AO51:AT51,0))</f>
        <v/>
      </c>
      <c r="AZ51">
        <f>(MAX(K51:P51)-LARGE(K51:P51,2))*100</f>
        <v/>
      </c>
      <c r="BA51">
        <f>IF(AZ51&lt;5,"Oui","Non")</f>
        <v/>
      </c>
      <c r="BB51" t="n">
        <v>-1.534</v>
      </c>
      <c r="BC51" t="n">
        <v>-3.596</v>
      </c>
      <c r="BD51" t="n">
        <v>1.731</v>
      </c>
      <c r="BE51" t="n">
        <v>-0.261</v>
      </c>
    </row>
    <row r="52">
      <c r="A52" t="inlineStr">
        <is>
          <t>Jean-Talon</t>
        </is>
      </c>
      <c r="B52" t="inlineStr">
        <is>
          <t>Québec RMR</t>
        </is>
      </c>
      <c r="C52">
        <f>INDEX({"CAQ","PLQ","QS","PQ","PCQ","Autre"},MATCH(MAX(D52:I52),D52:I52,0))</f>
        <v/>
      </c>
      <c r="D52" t="n">
        <v>11105</v>
      </c>
      <c r="E52" t="n">
        <v>4616</v>
      </c>
      <c r="F52" t="n">
        <v>8117</v>
      </c>
      <c r="G52" t="n">
        <v>6386</v>
      </c>
      <c r="H52" t="n">
        <v>3541</v>
      </c>
      <c r="I52" t="n">
        <v>399</v>
      </c>
      <c r="J52">
        <f>SUM(D52:I52)</f>
        <v/>
      </c>
      <c r="K52">
        <f>IFERROR(D52/$J52,0)</f>
        <v/>
      </c>
      <c r="L52">
        <f>IFERROR(E52/$J52,0)</f>
        <v/>
      </c>
      <c r="M52">
        <f>IFERROR(F52/$J52,0)</f>
        <v/>
      </c>
      <c r="N52">
        <f>IFERROR(G52/$J52,0)</f>
        <v/>
      </c>
      <c r="O52">
        <f>IFERROR(H52/$J52,0)</f>
        <v/>
      </c>
      <c r="P52">
        <f>IFERROR(I52/$J52,0)</f>
        <v/>
      </c>
      <c r="Q52">
        <f>D52*INDEX(Régions!$T$2:$T$6,MATCH($B52,Régions!$A$2:$A$6,0))</f>
        <v/>
      </c>
      <c r="R52">
        <f>E52*INDEX(Régions!$U$2:$U$6,MATCH($B52,Régions!$A$2:$A$6,0))</f>
        <v/>
      </c>
      <c r="S52">
        <f>F52*INDEX(Régions!$V$2:$V$6,MATCH($B52,Régions!$A$2:$A$6,0))</f>
        <v/>
      </c>
      <c r="T52">
        <f>G52*INDEX(Régions!$W$2:$W$6,MATCH($B52,Régions!$A$2:$A$6,0))</f>
        <v/>
      </c>
      <c r="U52">
        <f>H52*INDEX(Régions!$X$2:$X$6,MATCH($B52,Régions!$A$2:$A$6,0))</f>
        <v/>
      </c>
      <c r="V52">
        <f>I52*INDEX(Régions!$Y$2:$Y$6,MATCH($B52,Régions!$A$2:$A$6,0))</f>
        <v/>
      </c>
      <c r="W52">
        <f>Q52+(BB52/100)*$J52*Régions!$O$2</f>
        <v/>
      </c>
      <c r="X52">
        <f>R52+(BC52/100)*$J52*Régions!$O$2</f>
        <v/>
      </c>
      <c r="Y52">
        <f>S52+(BD52/100)*$J52*Régions!$O$2</f>
        <v/>
      </c>
      <c r="Z52">
        <f>T52+(BE52/100)*$J52*Régions!$O$2</f>
        <v/>
      </c>
      <c r="AA52">
        <f>U52</f>
        <v/>
      </c>
      <c r="AB52">
        <f>V52</f>
        <v/>
      </c>
      <c r="AC52">
        <f>D52*INDEX(Régions!$Z$2:$Z$6,MATCH($B52,Régions!$A$2:$A$6,0))</f>
        <v/>
      </c>
      <c r="AD52">
        <f>E52*INDEX(Régions!$AA$2:$AA$6,MATCH($B52,Régions!$A$2:$A$6,0))</f>
        <v/>
      </c>
      <c r="AE52">
        <f>F52*INDEX(Régions!$AB$2:$AB$6,MATCH($B52,Régions!$A$2:$A$6,0))</f>
        <v/>
      </c>
      <c r="AF52">
        <f>G52*INDEX(Régions!$AC$2:$AC$6,MATCH($B52,Régions!$A$2:$A$6,0))</f>
        <v/>
      </c>
      <c r="AG52">
        <f>H52*INDEX(Régions!$AD$2:$AD$6,MATCH($B52,Régions!$A$2:$A$6,0))</f>
        <v/>
      </c>
      <c r="AH52">
        <f>I52*INDEX(Régions!$AE$2:$AE$6,MATCH($B52,Régions!$A$2:$A$6,0))</f>
        <v/>
      </c>
      <c r="AI52">
        <f>D52*INDEX(Régions!$AF$2:$AF$6,MATCH($B52,Régions!$A$2:$A$6,0))</f>
        <v/>
      </c>
      <c r="AJ52">
        <f>E52*INDEX(Régions!$AG$2:$AG$6,MATCH($B52,Régions!$A$2:$A$6,0))</f>
        <v/>
      </c>
      <c r="AK52">
        <f>F52*INDEX(Régions!$AH$2:$AH$6,MATCH($B52,Régions!$A$2:$A$6,0))</f>
        <v/>
      </c>
      <c r="AL52">
        <f>G52*INDEX(Régions!$AI$2:$AI$6,MATCH($B52,Régions!$A$2:$A$6,0))</f>
        <v/>
      </c>
      <c r="AM52">
        <f>H52*INDEX(Régions!$AJ$2:$AJ$6,MATCH($B52,Régions!$A$2:$A$6,0))</f>
        <v/>
      </c>
      <c r="AN52">
        <f>I52*INDEX(Régions!$AK$2:$AK$6,MATCH($B52,Régions!$A$2:$A$6,0))</f>
        <v/>
      </c>
      <c r="AO52">
        <f>Régions!$Q$2*Q52/SUM($Q52:$V52)*100+(1-Régions!$Q$2)*MAX(K52*100+(INDEX(Régions!$AL$2:$AL$6,MATCH($B52,Régions!$A$2:$A$6,0))),0)</f>
        <v/>
      </c>
      <c r="AP52">
        <f>Régions!$Q$2*R52/SUM($Q52:$V52)*100+(1-Régions!$Q$2)*MAX(L52*100+(INDEX(Régions!$AM$2:$AM$6,MATCH($B52,Régions!$A$2:$A$6,0))),0)</f>
        <v/>
      </c>
      <c r="AQ52">
        <f>Régions!$Q$2*S52/SUM($Q52:$V52)*100+(1-Régions!$Q$2)*MAX(M52*100+(INDEX(Régions!$AN$2:$AN$6,MATCH($B52,Régions!$A$2:$A$6,0))),0)</f>
        <v/>
      </c>
      <c r="AR52">
        <f>Régions!$Q$2*T52/SUM($Q52:$V52)*100+(1-Régions!$Q$2)*MAX(N52*100+(INDEX(Régions!$AO$2:$AO$6,MATCH($B52,Régions!$A$2:$A$6,0))),0)</f>
        <v/>
      </c>
      <c r="AS52">
        <f>Régions!$Q$2*U52/SUM($Q52:$V52)*100+(1-Régions!$Q$2)*MAX(O52*100+(INDEX(Régions!$AP$2:$AP$6,MATCH($B52,Régions!$A$2:$A$6,0))),0)</f>
        <v/>
      </c>
      <c r="AT52">
        <f>Régions!$Q$2*V52/SUM($Q52:$V52)*100+(1-Régions!$Q$2)*MAX(P52*100+(INDEX(Régions!$AQ$2:$AQ$6,MATCH($B52,Régions!$A$2:$A$6,0))),0)</f>
        <v/>
      </c>
      <c r="AU52">
        <f>INDEX({"CAQ","PLQ","QS","PQ","PCQ","Autre"},MATCH(MAX(Q52:V52),Q52:V52,0))</f>
        <v/>
      </c>
      <c r="AV52">
        <f>INDEX({"CAQ","PLQ","QS","PQ","PCQ","Autre"},MATCH(MAX(W52:AB52),W52:AB52,0))</f>
        <v/>
      </c>
      <c r="AW52">
        <f>INDEX({"CAQ","PLQ","QS","PQ","PCQ","Autre"},MATCH(MAX(AC52:AH52),AC52:AH52,0))</f>
        <v/>
      </c>
      <c r="AX52">
        <f>INDEX({"CAQ","PLQ","QS","PQ","PCQ","Autre"},MATCH(MAX(AI52:AN52),AI52:AN52,0))</f>
        <v/>
      </c>
      <c r="AY52">
        <f>INDEX({"CAQ","PLQ","QS","PQ","PCQ","Autre"},MATCH(MAX(AO52:AT52),AO52:AT52,0))</f>
        <v/>
      </c>
      <c r="AZ52">
        <f>(MAX(K52:P52)-LARGE(K52:P52,2))*100</f>
        <v/>
      </c>
      <c r="BA52">
        <f>IF(AZ52&lt;5,"Oui","Non")</f>
        <v/>
      </c>
      <c r="BB52" t="n">
        <v>6.722</v>
      </c>
      <c r="BC52" t="n">
        <v>-4.168</v>
      </c>
      <c r="BD52" t="n">
        <v>4.892</v>
      </c>
      <c r="BE52" t="n">
        <v>2.21</v>
      </c>
    </row>
    <row r="53">
      <c r="A53" t="inlineStr">
        <is>
          <t>Joliette</t>
        </is>
      </c>
      <c r="B53" t="inlineStr">
        <is>
          <t>Reste du Québec</t>
        </is>
      </c>
      <c r="C53">
        <f>INDEX({"CAQ","PLQ","QS","PQ","PCQ","Autre"},MATCH(MAX(D53:I53),D53:I53,0))</f>
        <v/>
      </c>
      <c r="D53" t="n">
        <v>17923.4</v>
      </c>
      <c r="E53" t="n">
        <v>1177.9</v>
      </c>
      <c r="F53" t="n">
        <v>4475.6</v>
      </c>
      <c r="G53" t="n">
        <v>12279.9</v>
      </c>
      <c r="H53" t="n">
        <v>3469.7</v>
      </c>
      <c r="I53" t="n">
        <v>0</v>
      </c>
      <c r="J53">
        <f>SUM(D53:I53)</f>
        <v/>
      </c>
      <c r="K53">
        <f>IFERROR(D53/$J53,0)</f>
        <v/>
      </c>
      <c r="L53">
        <f>IFERROR(E53/$J53,0)</f>
        <v/>
      </c>
      <c r="M53">
        <f>IFERROR(F53/$J53,0)</f>
        <v/>
      </c>
      <c r="N53">
        <f>IFERROR(G53/$J53,0)</f>
        <v/>
      </c>
      <c r="O53">
        <f>IFERROR(H53/$J53,0)</f>
        <v/>
      </c>
      <c r="P53">
        <f>IFERROR(I53/$J53,0)</f>
        <v/>
      </c>
      <c r="Q53">
        <f>D53*INDEX(Régions!$T$2:$T$6,MATCH($B53,Régions!$A$2:$A$6,0))</f>
        <v/>
      </c>
      <c r="R53">
        <f>E53*INDEX(Régions!$U$2:$U$6,MATCH($B53,Régions!$A$2:$A$6,0))</f>
        <v/>
      </c>
      <c r="S53">
        <f>F53*INDEX(Régions!$V$2:$V$6,MATCH($B53,Régions!$A$2:$A$6,0))</f>
        <v/>
      </c>
      <c r="T53">
        <f>G53*INDEX(Régions!$W$2:$W$6,MATCH($B53,Régions!$A$2:$A$6,0))</f>
        <v/>
      </c>
      <c r="U53">
        <f>H53*INDEX(Régions!$X$2:$X$6,MATCH($B53,Régions!$A$2:$A$6,0))</f>
        <v/>
      </c>
      <c r="V53">
        <f>I53*INDEX(Régions!$Y$2:$Y$6,MATCH($B53,Régions!$A$2:$A$6,0))</f>
        <v/>
      </c>
      <c r="W53">
        <f>Q53+(BB53/100)*$J53*Régions!$O$2</f>
        <v/>
      </c>
      <c r="X53">
        <f>R53+(BC53/100)*$J53*Régions!$O$2</f>
        <v/>
      </c>
      <c r="Y53">
        <f>S53+(BD53/100)*$J53*Régions!$O$2</f>
        <v/>
      </c>
      <c r="Z53">
        <f>T53+(BE53/100)*$J53*Régions!$O$2</f>
        <v/>
      </c>
      <c r="AA53">
        <f>U53</f>
        <v/>
      </c>
      <c r="AB53">
        <f>V53</f>
        <v/>
      </c>
      <c r="AC53">
        <f>D53*INDEX(Régions!$Z$2:$Z$6,MATCH($B53,Régions!$A$2:$A$6,0))</f>
        <v/>
      </c>
      <c r="AD53">
        <f>E53*INDEX(Régions!$AA$2:$AA$6,MATCH($B53,Régions!$A$2:$A$6,0))</f>
        <v/>
      </c>
      <c r="AE53">
        <f>F53*INDEX(Régions!$AB$2:$AB$6,MATCH($B53,Régions!$A$2:$A$6,0))</f>
        <v/>
      </c>
      <c r="AF53">
        <f>G53*INDEX(Régions!$AC$2:$AC$6,MATCH($B53,Régions!$A$2:$A$6,0))</f>
        <v/>
      </c>
      <c r="AG53">
        <f>H53*INDEX(Régions!$AD$2:$AD$6,MATCH($B53,Régions!$A$2:$A$6,0))</f>
        <v/>
      </c>
      <c r="AH53">
        <f>I53*INDEX(Régions!$AE$2:$AE$6,MATCH($B53,Régions!$A$2:$A$6,0))</f>
        <v/>
      </c>
      <c r="AI53">
        <f>D53*INDEX(Régions!$AF$2:$AF$6,MATCH($B53,Régions!$A$2:$A$6,0))</f>
        <v/>
      </c>
      <c r="AJ53">
        <f>E53*INDEX(Régions!$AG$2:$AG$6,MATCH($B53,Régions!$A$2:$A$6,0))</f>
        <v/>
      </c>
      <c r="AK53">
        <f>F53*INDEX(Régions!$AH$2:$AH$6,MATCH($B53,Régions!$A$2:$A$6,0))</f>
        <v/>
      </c>
      <c r="AL53">
        <f>G53*INDEX(Régions!$AI$2:$AI$6,MATCH($B53,Régions!$A$2:$A$6,0))</f>
        <v/>
      </c>
      <c r="AM53">
        <f>H53*INDEX(Régions!$AJ$2:$AJ$6,MATCH($B53,Régions!$A$2:$A$6,0))</f>
        <v/>
      </c>
      <c r="AN53">
        <f>I53*INDEX(Régions!$AK$2:$AK$6,MATCH($B53,Régions!$A$2:$A$6,0))</f>
        <v/>
      </c>
      <c r="AO53">
        <f>Régions!$Q$2*Q53/SUM($Q53:$V53)*100+(1-Régions!$Q$2)*MAX(K53*100+(INDEX(Régions!$AL$2:$AL$6,MATCH($B53,Régions!$A$2:$A$6,0))),0)</f>
        <v/>
      </c>
      <c r="AP53">
        <f>Régions!$Q$2*R53/SUM($Q53:$V53)*100+(1-Régions!$Q$2)*MAX(L53*100+(INDEX(Régions!$AM$2:$AM$6,MATCH($B53,Régions!$A$2:$A$6,0))),0)</f>
        <v/>
      </c>
      <c r="AQ53">
        <f>Régions!$Q$2*S53/SUM($Q53:$V53)*100+(1-Régions!$Q$2)*MAX(M53*100+(INDEX(Régions!$AN$2:$AN$6,MATCH($B53,Régions!$A$2:$A$6,0))),0)</f>
        <v/>
      </c>
      <c r="AR53">
        <f>Régions!$Q$2*T53/SUM($Q53:$V53)*100+(1-Régions!$Q$2)*MAX(N53*100+(INDEX(Régions!$AO$2:$AO$6,MATCH($B53,Régions!$A$2:$A$6,0))),0)</f>
        <v/>
      </c>
      <c r="AS53">
        <f>Régions!$Q$2*U53/SUM($Q53:$V53)*100+(1-Régions!$Q$2)*MAX(O53*100+(INDEX(Régions!$AP$2:$AP$6,MATCH($B53,Régions!$A$2:$A$6,0))),0)</f>
        <v/>
      </c>
      <c r="AT53">
        <f>Régions!$Q$2*V53/SUM($Q53:$V53)*100+(1-Régions!$Q$2)*MAX(P53*100+(INDEX(Régions!$AQ$2:$AQ$6,MATCH($B53,Régions!$A$2:$A$6,0))),0)</f>
        <v/>
      </c>
      <c r="AU53">
        <f>INDEX({"CAQ","PLQ","QS","PQ","PCQ","Autre"},MATCH(MAX(Q53:V53),Q53:V53,0))</f>
        <v/>
      </c>
      <c r="AV53">
        <f>INDEX({"CAQ","PLQ","QS","PQ","PCQ","Autre"},MATCH(MAX(W53:AB53),W53:AB53,0))</f>
        <v/>
      </c>
      <c r="AW53">
        <f>INDEX({"CAQ","PLQ","QS","PQ","PCQ","Autre"},MATCH(MAX(AC53:AH53),AC53:AH53,0))</f>
        <v/>
      </c>
      <c r="AX53">
        <f>INDEX({"CAQ","PLQ","QS","PQ","PCQ","Autre"},MATCH(MAX(AI53:AN53),AI53:AN53,0))</f>
        <v/>
      </c>
      <c r="AY53">
        <f>INDEX({"CAQ","PLQ","QS","PQ","PCQ","Autre"},MATCH(MAX(AO53:AT53),AO53:AT53,0))</f>
        <v/>
      </c>
      <c r="AZ53">
        <f>(MAX(K53:P53)-LARGE(K53:P53,2))*100</f>
        <v/>
      </c>
      <c r="BA53">
        <f>IF(AZ53&lt;5,"Oui","Non")</f>
        <v/>
      </c>
      <c r="BB53" t="n">
        <v>3.521</v>
      </c>
      <c r="BC53" t="n">
        <v>9.252000000000001</v>
      </c>
      <c r="BD53" t="n">
        <v>2.416</v>
      </c>
      <c r="BE53" t="n">
        <v>-10.843</v>
      </c>
    </row>
    <row r="54">
      <c r="A54" t="inlineStr">
        <is>
          <t>Jonquière</t>
        </is>
      </c>
      <c r="B54" t="inlineStr">
        <is>
          <t>Reste du Québec</t>
        </is>
      </c>
      <c r="C54">
        <f>INDEX({"CAQ","PLQ","QS","PQ","PCQ","Autre"},MATCH(MAX(D54:I54),D54:I54,0))</f>
        <v/>
      </c>
      <c r="D54" t="n">
        <v>18196</v>
      </c>
      <c r="E54" t="n">
        <v>648</v>
      </c>
      <c r="F54" t="n">
        <v>2778</v>
      </c>
      <c r="G54" t="n">
        <v>5912</v>
      </c>
      <c r="H54" t="n">
        <v>2926</v>
      </c>
      <c r="I54" t="n">
        <v>177</v>
      </c>
      <c r="J54">
        <f>SUM(D54:I54)</f>
        <v/>
      </c>
      <c r="K54">
        <f>IFERROR(D54/$J54,0)</f>
        <v/>
      </c>
      <c r="L54">
        <f>IFERROR(E54/$J54,0)</f>
        <v/>
      </c>
      <c r="M54">
        <f>IFERROR(F54/$J54,0)</f>
        <v/>
      </c>
      <c r="N54">
        <f>IFERROR(G54/$J54,0)</f>
        <v/>
      </c>
      <c r="O54">
        <f>IFERROR(H54/$J54,0)</f>
        <v/>
      </c>
      <c r="P54">
        <f>IFERROR(I54/$J54,0)</f>
        <v/>
      </c>
      <c r="Q54">
        <f>D54*INDEX(Régions!$T$2:$T$6,MATCH($B54,Régions!$A$2:$A$6,0))</f>
        <v/>
      </c>
      <c r="R54">
        <f>E54*INDEX(Régions!$U$2:$U$6,MATCH($B54,Régions!$A$2:$A$6,0))</f>
        <v/>
      </c>
      <c r="S54">
        <f>F54*INDEX(Régions!$V$2:$V$6,MATCH($B54,Régions!$A$2:$A$6,0))</f>
        <v/>
      </c>
      <c r="T54">
        <f>G54*INDEX(Régions!$W$2:$W$6,MATCH($B54,Régions!$A$2:$A$6,0))</f>
        <v/>
      </c>
      <c r="U54">
        <f>H54*INDEX(Régions!$X$2:$X$6,MATCH($B54,Régions!$A$2:$A$6,0))</f>
        <v/>
      </c>
      <c r="V54">
        <f>I54*INDEX(Régions!$Y$2:$Y$6,MATCH($B54,Régions!$A$2:$A$6,0))</f>
        <v/>
      </c>
      <c r="W54">
        <f>Q54+(BB54/100)*$J54*Régions!$O$2</f>
        <v/>
      </c>
      <c r="X54">
        <f>R54+(BC54/100)*$J54*Régions!$O$2</f>
        <v/>
      </c>
      <c r="Y54">
        <f>S54+(BD54/100)*$J54*Régions!$O$2</f>
        <v/>
      </c>
      <c r="Z54">
        <f>T54+(BE54/100)*$J54*Régions!$O$2</f>
        <v/>
      </c>
      <c r="AA54">
        <f>U54</f>
        <v/>
      </c>
      <c r="AB54">
        <f>V54</f>
        <v/>
      </c>
      <c r="AC54">
        <f>D54*INDEX(Régions!$Z$2:$Z$6,MATCH($B54,Régions!$A$2:$A$6,0))</f>
        <v/>
      </c>
      <c r="AD54">
        <f>E54*INDEX(Régions!$AA$2:$AA$6,MATCH($B54,Régions!$A$2:$A$6,0))</f>
        <v/>
      </c>
      <c r="AE54">
        <f>F54*INDEX(Régions!$AB$2:$AB$6,MATCH($B54,Régions!$A$2:$A$6,0))</f>
        <v/>
      </c>
      <c r="AF54">
        <f>G54*INDEX(Régions!$AC$2:$AC$6,MATCH($B54,Régions!$A$2:$A$6,0))</f>
        <v/>
      </c>
      <c r="AG54">
        <f>H54*INDEX(Régions!$AD$2:$AD$6,MATCH($B54,Régions!$A$2:$A$6,0))</f>
        <v/>
      </c>
      <c r="AH54">
        <f>I54*INDEX(Régions!$AE$2:$AE$6,MATCH($B54,Régions!$A$2:$A$6,0))</f>
        <v/>
      </c>
      <c r="AI54">
        <f>D54*INDEX(Régions!$AF$2:$AF$6,MATCH($B54,Régions!$A$2:$A$6,0))</f>
        <v/>
      </c>
      <c r="AJ54">
        <f>E54*INDEX(Régions!$AG$2:$AG$6,MATCH($B54,Régions!$A$2:$A$6,0))</f>
        <v/>
      </c>
      <c r="AK54">
        <f>F54*INDEX(Régions!$AH$2:$AH$6,MATCH($B54,Régions!$A$2:$A$6,0))</f>
        <v/>
      </c>
      <c r="AL54">
        <f>G54*INDEX(Régions!$AI$2:$AI$6,MATCH($B54,Régions!$A$2:$A$6,0))</f>
        <v/>
      </c>
      <c r="AM54">
        <f>H54*INDEX(Régions!$AJ$2:$AJ$6,MATCH($B54,Régions!$A$2:$A$6,0))</f>
        <v/>
      </c>
      <c r="AN54">
        <f>I54*INDEX(Régions!$AK$2:$AK$6,MATCH($B54,Régions!$A$2:$A$6,0))</f>
        <v/>
      </c>
      <c r="AO54">
        <f>Régions!$Q$2*Q54/SUM($Q54:$V54)*100+(1-Régions!$Q$2)*MAX(K54*100+(INDEX(Régions!$AL$2:$AL$6,MATCH($B54,Régions!$A$2:$A$6,0))),0)</f>
        <v/>
      </c>
      <c r="AP54">
        <f>Régions!$Q$2*R54/SUM($Q54:$V54)*100+(1-Régions!$Q$2)*MAX(L54*100+(INDEX(Régions!$AM$2:$AM$6,MATCH($B54,Régions!$A$2:$A$6,0))),0)</f>
        <v/>
      </c>
      <c r="AQ54">
        <f>Régions!$Q$2*S54/SUM($Q54:$V54)*100+(1-Régions!$Q$2)*MAX(M54*100+(INDEX(Régions!$AN$2:$AN$6,MATCH($B54,Régions!$A$2:$A$6,0))),0)</f>
        <v/>
      </c>
      <c r="AR54">
        <f>Régions!$Q$2*T54/SUM($Q54:$V54)*100+(1-Régions!$Q$2)*MAX(N54*100+(INDEX(Régions!$AO$2:$AO$6,MATCH($B54,Régions!$A$2:$A$6,0))),0)</f>
        <v/>
      </c>
      <c r="AS54">
        <f>Régions!$Q$2*U54/SUM($Q54:$V54)*100+(1-Régions!$Q$2)*MAX(O54*100+(INDEX(Régions!$AP$2:$AP$6,MATCH($B54,Régions!$A$2:$A$6,0))),0)</f>
        <v/>
      </c>
      <c r="AT54">
        <f>Régions!$Q$2*V54/SUM($Q54:$V54)*100+(1-Régions!$Q$2)*MAX(P54*100+(INDEX(Régions!$AQ$2:$AQ$6,MATCH($B54,Régions!$A$2:$A$6,0))),0)</f>
        <v/>
      </c>
      <c r="AU54">
        <f>INDEX({"CAQ","PLQ","QS","PQ","PCQ","Autre"},MATCH(MAX(Q54:V54),Q54:V54,0))</f>
        <v/>
      </c>
      <c r="AV54">
        <f>INDEX({"CAQ","PLQ","QS","PQ","PCQ","Autre"},MATCH(MAX(W54:AB54),W54:AB54,0))</f>
        <v/>
      </c>
      <c r="AW54">
        <f>INDEX({"CAQ","PLQ","QS","PQ","PCQ","Autre"},MATCH(MAX(AC54:AH54),AC54:AH54,0))</f>
        <v/>
      </c>
      <c r="AX54">
        <f>INDEX({"CAQ","PLQ","QS","PQ","PCQ","Autre"},MATCH(MAX(AI54:AN54),AI54:AN54,0))</f>
        <v/>
      </c>
      <c r="AY54">
        <f>INDEX({"CAQ","PLQ","QS","PQ","PCQ","Autre"},MATCH(MAX(AO54:AT54),AO54:AT54,0))</f>
        <v/>
      </c>
      <c r="AZ54">
        <f>(MAX(K54:P54)-LARGE(K54:P54,2))*100</f>
        <v/>
      </c>
      <c r="BA54">
        <f>IF(AZ54&lt;5,"Oui","Non")</f>
        <v/>
      </c>
      <c r="BB54" t="n">
        <v>19.518</v>
      </c>
      <c r="BC54" t="n">
        <v>5.384</v>
      </c>
      <c r="BD54" t="n">
        <v>2.967</v>
      </c>
      <c r="BE54" t="n">
        <v>-24.892</v>
      </c>
    </row>
    <row r="55">
      <c r="A55" t="inlineStr">
        <is>
          <t>Labelle</t>
        </is>
      </c>
      <c r="B55" t="inlineStr">
        <is>
          <t>Reste du Québec</t>
        </is>
      </c>
      <c r="C55">
        <f>INDEX({"CAQ","PLQ","QS","PQ","PCQ","Autre"},MATCH(MAX(D55:I55),D55:I55,0))</f>
        <v/>
      </c>
      <c r="D55" t="n">
        <v>17662</v>
      </c>
      <c r="E55" t="n">
        <v>1679</v>
      </c>
      <c r="F55" t="n">
        <v>4079</v>
      </c>
      <c r="G55" t="n">
        <v>6366</v>
      </c>
      <c r="H55" t="n">
        <v>3173</v>
      </c>
      <c r="I55" t="n">
        <v>313</v>
      </c>
      <c r="J55">
        <f>SUM(D55:I55)</f>
        <v/>
      </c>
      <c r="K55">
        <f>IFERROR(D55/$J55,0)</f>
        <v/>
      </c>
      <c r="L55">
        <f>IFERROR(E55/$J55,0)</f>
        <v/>
      </c>
      <c r="M55">
        <f>IFERROR(F55/$J55,0)</f>
        <v/>
      </c>
      <c r="N55">
        <f>IFERROR(G55/$J55,0)</f>
        <v/>
      </c>
      <c r="O55">
        <f>IFERROR(H55/$J55,0)</f>
        <v/>
      </c>
      <c r="P55">
        <f>IFERROR(I55/$J55,0)</f>
        <v/>
      </c>
      <c r="Q55">
        <f>D55*INDEX(Régions!$T$2:$T$6,MATCH($B55,Régions!$A$2:$A$6,0))</f>
        <v/>
      </c>
      <c r="R55">
        <f>E55*INDEX(Régions!$U$2:$U$6,MATCH($B55,Régions!$A$2:$A$6,0))</f>
        <v/>
      </c>
      <c r="S55">
        <f>F55*INDEX(Régions!$V$2:$V$6,MATCH($B55,Régions!$A$2:$A$6,0))</f>
        <v/>
      </c>
      <c r="T55">
        <f>G55*INDEX(Régions!$W$2:$W$6,MATCH($B55,Régions!$A$2:$A$6,0))</f>
        <v/>
      </c>
      <c r="U55">
        <f>H55*INDEX(Régions!$X$2:$X$6,MATCH($B55,Régions!$A$2:$A$6,0))</f>
        <v/>
      </c>
      <c r="V55">
        <f>I55*INDEX(Régions!$Y$2:$Y$6,MATCH($B55,Régions!$A$2:$A$6,0))</f>
        <v/>
      </c>
      <c r="W55">
        <f>Q55+(BB55/100)*$J55*Régions!$O$2</f>
        <v/>
      </c>
      <c r="X55">
        <f>R55+(BC55/100)*$J55*Régions!$O$2</f>
        <v/>
      </c>
      <c r="Y55">
        <f>S55+(BD55/100)*$J55*Régions!$O$2</f>
        <v/>
      </c>
      <c r="Z55">
        <f>T55+(BE55/100)*$J55*Régions!$O$2</f>
        <v/>
      </c>
      <c r="AA55">
        <f>U55</f>
        <v/>
      </c>
      <c r="AB55">
        <f>V55</f>
        <v/>
      </c>
      <c r="AC55">
        <f>D55*INDEX(Régions!$Z$2:$Z$6,MATCH($B55,Régions!$A$2:$A$6,0))</f>
        <v/>
      </c>
      <c r="AD55">
        <f>E55*INDEX(Régions!$AA$2:$AA$6,MATCH($B55,Régions!$A$2:$A$6,0))</f>
        <v/>
      </c>
      <c r="AE55">
        <f>F55*INDEX(Régions!$AB$2:$AB$6,MATCH($B55,Régions!$A$2:$A$6,0))</f>
        <v/>
      </c>
      <c r="AF55">
        <f>G55*INDEX(Régions!$AC$2:$AC$6,MATCH($B55,Régions!$A$2:$A$6,0))</f>
        <v/>
      </c>
      <c r="AG55">
        <f>H55*INDEX(Régions!$AD$2:$AD$6,MATCH($B55,Régions!$A$2:$A$6,0))</f>
        <v/>
      </c>
      <c r="AH55">
        <f>I55*INDEX(Régions!$AE$2:$AE$6,MATCH($B55,Régions!$A$2:$A$6,0))</f>
        <v/>
      </c>
      <c r="AI55">
        <f>D55*INDEX(Régions!$AF$2:$AF$6,MATCH($B55,Régions!$A$2:$A$6,0))</f>
        <v/>
      </c>
      <c r="AJ55">
        <f>E55*INDEX(Régions!$AG$2:$AG$6,MATCH($B55,Régions!$A$2:$A$6,0))</f>
        <v/>
      </c>
      <c r="AK55">
        <f>F55*INDEX(Régions!$AH$2:$AH$6,MATCH($B55,Régions!$A$2:$A$6,0))</f>
        <v/>
      </c>
      <c r="AL55">
        <f>G55*INDEX(Régions!$AI$2:$AI$6,MATCH($B55,Régions!$A$2:$A$6,0))</f>
        <v/>
      </c>
      <c r="AM55">
        <f>H55*INDEX(Régions!$AJ$2:$AJ$6,MATCH($B55,Régions!$A$2:$A$6,0))</f>
        <v/>
      </c>
      <c r="AN55">
        <f>I55*INDEX(Régions!$AK$2:$AK$6,MATCH($B55,Régions!$A$2:$A$6,0))</f>
        <v/>
      </c>
      <c r="AO55">
        <f>Régions!$Q$2*Q55/SUM($Q55:$V55)*100+(1-Régions!$Q$2)*MAX(K55*100+(INDEX(Régions!$AL$2:$AL$6,MATCH($B55,Régions!$A$2:$A$6,0))),0)</f>
        <v/>
      </c>
      <c r="AP55">
        <f>Régions!$Q$2*R55/SUM($Q55:$V55)*100+(1-Régions!$Q$2)*MAX(L55*100+(INDEX(Régions!$AM$2:$AM$6,MATCH($B55,Régions!$A$2:$A$6,0))),0)</f>
        <v/>
      </c>
      <c r="AQ55">
        <f>Régions!$Q$2*S55/SUM($Q55:$V55)*100+(1-Régions!$Q$2)*MAX(M55*100+(INDEX(Régions!$AN$2:$AN$6,MATCH($B55,Régions!$A$2:$A$6,0))),0)</f>
        <v/>
      </c>
      <c r="AR55">
        <f>Régions!$Q$2*T55/SUM($Q55:$V55)*100+(1-Régions!$Q$2)*MAX(N55*100+(INDEX(Régions!$AO$2:$AO$6,MATCH($B55,Régions!$A$2:$A$6,0))),0)</f>
        <v/>
      </c>
      <c r="AS55">
        <f>Régions!$Q$2*U55/SUM($Q55:$V55)*100+(1-Régions!$Q$2)*MAX(O55*100+(INDEX(Régions!$AP$2:$AP$6,MATCH($B55,Régions!$A$2:$A$6,0))),0)</f>
        <v/>
      </c>
      <c r="AT55">
        <f>Régions!$Q$2*V55/SUM($Q55:$V55)*100+(1-Régions!$Q$2)*MAX(P55*100+(INDEX(Régions!$AQ$2:$AQ$6,MATCH($B55,Régions!$A$2:$A$6,0))),0)</f>
        <v/>
      </c>
      <c r="AU55">
        <f>INDEX({"CAQ","PLQ","QS","PQ","PCQ","Autre"},MATCH(MAX(Q55:V55),Q55:V55,0))</f>
        <v/>
      </c>
      <c r="AV55">
        <f>INDEX({"CAQ","PLQ","QS","PQ","PCQ","Autre"},MATCH(MAX(W55:AB55),W55:AB55,0))</f>
        <v/>
      </c>
      <c r="AW55">
        <f>INDEX({"CAQ","PLQ","QS","PQ","PCQ","Autre"},MATCH(MAX(AC55:AH55),AC55:AH55,0))</f>
        <v/>
      </c>
      <c r="AX55">
        <f>INDEX({"CAQ","PLQ","QS","PQ","PCQ","Autre"},MATCH(MAX(AI55:AN55),AI55:AN55,0))</f>
        <v/>
      </c>
      <c r="AY55">
        <f>INDEX({"CAQ","PLQ","QS","PQ","PCQ","Autre"},MATCH(MAX(AO55:AT55),AO55:AT55,0))</f>
        <v/>
      </c>
      <c r="AZ55">
        <f>(MAX(K55:P55)-LARGE(K55:P55,2))*100</f>
        <v/>
      </c>
      <c r="BA55">
        <f>IF(AZ55&lt;5,"Oui","Non")</f>
        <v/>
      </c>
      <c r="BB55" t="n">
        <v>9.180999999999999</v>
      </c>
      <c r="BC55" t="n">
        <v>7.24</v>
      </c>
      <c r="BD55" t="n">
        <v>-1.901</v>
      </c>
      <c r="BE55" t="n">
        <v>-11.343</v>
      </c>
    </row>
    <row r="56">
      <c r="A56" t="inlineStr">
        <is>
          <t>Lac-Saint-Jean</t>
        </is>
      </c>
      <c r="B56" t="inlineStr">
        <is>
          <t>Reste du Québec</t>
        </is>
      </c>
      <c r="C56">
        <f>INDEX({"CAQ","PLQ","QS","PQ","PCQ","Autre"},MATCH(MAX(D56:I56),D56:I56,0))</f>
        <v/>
      </c>
      <c r="D56" t="n">
        <v>14798</v>
      </c>
      <c r="E56" t="n">
        <v>867</v>
      </c>
      <c r="F56" t="n">
        <v>2178</v>
      </c>
      <c r="G56" t="n">
        <v>7367</v>
      </c>
      <c r="H56" t="n">
        <v>3270</v>
      </c>
      <c r="I56" t="n">
        <v>272</v>
      </c>
      <c r="J56">
        <f>SUM(D56:I56)</f>
        <v/>
      </c>
      <c r="K56">
        <f>IFERROR(D56/$J56,0)</f>
        <v/>
      </c>
      <c r="L56">
        <f>IFERROR(E56/$J56,0)</f>
        <v/>
      </c>
      <c r="M56">
        <f>IFERROR(F56/$J56,0)</f>
        <v/>
      </c>
      <c r="N56">
        <f>IFERROR(G56/$J56,0)</f>
        <v/>
      </c>
      <c r="O56">
        <f>IFERROR(H56/$J56,0)</f>
        <v/>
      </c>
      <c r="P56">
        <f>IFERROR(I56/$J56,0)</f>
        <v/>
      </c>
      <c r="Q56">
        <f>D56*INDEX(Régions!$T$2:$T$6,MATCH($B56,Régions!$A$2:$A$6,0))</f>
        <v/>
      </c>
      <c r="R56">
        <f>E56*INDEX(Régions!$U$2:$U$6,MATCH($B56,Régions!$A$2:$A$6,0))</f>
        <v/>
      </c>
      <c r="S56">
        <f>F56*INDEX(Régions!$V$2:$V$6,MATCH($B56,Régions!$A$2:$A$6,0))</f>
        <v/>
      </c>
      <c r="T56">
        <f>G56*INDEX(Régions!$W$2:$W$6,MATCH($B56,Régions!$A$2:$A$6,0))</f>
        <v/>
      </c>
      <c r="U56">
        <f>H56*INDEX(Régions!$X$2:$X$6,MATCH($B56,Régions!$A$2:$A$6,0))</f>
        <v/>
      </c>
      <c r="V56">
        <f>I56*INDEX(Régions!$Y$2:$Y$6,MATCH($B56,Régions!$A$2:$A$6,0))</f>
        <v/>
      </c>
      <c r="W56">
        <f>Q56+(BB56/100)*$J56*Régions!$O$2</f>
        <v/>
      </c>
      <c r="X56">
        <f>R56+(BC56/100)*$J56*Régions!$O$2</f>
        <v/>
      </c>
      <c r="Y56">
        <f>S56+(BD56/100)*$J56*Régions!$O$2</f>
        <v/>
      </c>
      <c r="Z56">
        <f>T56+(BE56/100)*$J56*Régions!$O$2</f>
        <v/>
      </c>
      <c r="AA56">
        <f>U56</f>
        <v/>
      </c>
      <c r="AB56">
        <f>V56</f>
        <v/>
      </c>
      <c r="AC56">
        <f>D56*INDEX(Régions!$Z$2:$Z$6,MATCH($B56,Régions!$A$2:$A$6,0))</f>
        <v/>
      </c>
      <c r="AD56">
        <f>E56*INDEX(Régions!$AA$2:$AA$6,MATCH($B56,Régions!$A$2:$A$6,0))</f>
        <v/>
      </c>
      <c r="AE56">
        <f>F56*INDEX(Régions!$AB$2:$AB$6,MATCH($B56,Régions!$A$2:$A$6,0))</f>
        <v/>
      </c>
      <c r="AF56">
        <f>G56*INDEX(Régions!$AC$2:$AC$6,MATCH($B56,Régions!$A$2:$A$6,0))</f>
        <v/>
      </c>
      <c r="AG56">
        <f>H56*INDEX(Régions!$AD$2:$AD$6,MATCH($B56,Régions!$A$2:$A$6,0))</f>
        <v/>
      </c>
      <c r="AH56">
        <f>I56*INDEX(Régions!$AE$2:$AE$6,MATCH($B56,Régions!$A$2:$A$6,0))</f>
        <v/>
      </c>
      <c r="AI56">
        <f>D56*INDEX(Régions!$AF$2:$AF$6,MATCH($B56,Régions!$A$2:$A$6,0))</f>
        <v/>
      </c>
      <c r="AJ56">
        <f>E56*INDEX(Régions!$AG$2:$AG$6,MATCH($B56,Régions!$A$2:$A$6,0))</f>
        <v/>
      </c>
      <c r="AK56">
        <f>F56*INDEX(Régions!$AH$2:$AH$6,MATCH($B56,Régions!$A$2:$A$6,0))</f>
        <v/>
      </c>
      <c r="AL56">
        <f>G56*INDEX(Régions!$AI$2:$AI$6,MATCH($B56,Régions!$A$2:$A$6,0))</f>
        <v/>
      </c>
      <c r="AM56">
        <f>H56*INDEX(Régions!$AJ$2:$AJ$6,MATCH($B56,Régions!$A$2:$A$6,0))</f>
        <v/>
      </c>
      <c r="AN56">
        <f>I56*INDEX(Régions!$AK$2:$AK$6,MATCH($B56,Régions!$A$2:$A$6,0))</f>
        <v/>
      </c>
      <c r="AO56">
        <f>Régions!$Q$2*Q56/SUM($Q56:$V56)*100+(1-Régions!$Q$2)*MAX(K56*100+(INDEX(Régions!$AL$2:$AL$6,MATCH($B56,Régions!$A$2:$A$6,0))),0)</f>
        <v/>
      </c>
      <c r="AP56">
        <f>Régions!$Q$2*R56/SUM($Q56:$V56)*100+(1-Régions!$Q$2)*MAX(L56*100+(INDEX(Régions!$AM$2:$AM$6,MATCH($B56,Régions!$A$2:$A$6,0))),0)</f>
        <v/>
      </c>
      <c r="AQ56">
        <f>Régions!$Q$2*S56/SUM($Q56:$V56)*100+(1-Régions!$Q$2)*MAX(M56*100+(INDEX(Régions!$AN$2:$AN$6,MATCH($B56,Régions!$A$2:$A$6,0))),0)</f>
        <v/>
      </c>
      <c r="AR56">
        <f>Régions!$Q$2*T56/SUM($Q56:$V56)*100+(1-Régions!$Q$2)*MAX(N56*100+(INDEX(Régions!$AO$2:$AO$6,MATCH($B56,Régions!$A$2:$A$6,0))),0)</f>
        <v/>
      </c>
      <c r="AS56">
        <f>Régions!$Q$2*U56/SUM($Q56:$V56)*100+(1-Régions!$Q$2)*MAX(O56*100+(INDEX(Régions!$AP$2:$AP$6,MATCH($B56,Régions!$A$2:$A$6,0))),0)</f>
        <v/>
      </c>
      <c r="AT56">
        <f>Régions!$Q$2*V56/SUM($Q56:$V56)*100+(1-Régions!$Q$2)*MAX(P56*100+(INDEX(Régions!$AQ$2:$AQ$6,MATCH($B56,Régions!$A$2:$A$6,0))),0)</f>
        <v/>
      </c>
      <c r="AU56">
        <f>INDEX({"CAQ","PLQ","QS","PQ","PCQ","Autre"},MATCH(MAX(Q56:V56),Q56:V56,0))</f>
        <v/>
      </c>
      <c r="AV56">
        <f>INDEX({"CAQ","PLQ","QS","PQ","PCQ","Autre"},MATCH(MAX(W56:AB56),W56:AB56,0))</f>
        <v/>
      </c>
      <c r="AW56">
        <f>INDEX({"CAQ","PLQ","QS","PQ","PCQ","Autre"},MATCH(MAX(AC56:AH56),AC56:AH56,0))</f>
        <v/>
      </c>
      <c r="AX56">
        <f>INDEX({"CAQ","PLQ","QS","PQ","PCQ","Autre"},MATCH(MAX(AI56:AN56),AI56:AN56,0))</f>
        <v/>
      </c>
      <c r="AY56">
        <f>INDEX({"CAQ","PLQ","QS","PQ","PCQ","Autre"},MATCH(MAX(AO56:AT56),AO56:AT56,0))</f>
        <v/>
      </c>
      <c r="AZ56">
        <f>(MAX(K56:P56)-LARGE(K56:P56,2))*100</f>
        <v/>
      </c>
      <c r="BA56">
        <f>IF(AZ56&lt;5,"Oui","Non")</f>
        <v/>
      </c>
      <c r="BB56" t="n">
        <v>4.6</v>
      </c>
      <c r="BC56" t="n">
        <v>3.596</v>
      </c>
      <c r="BD56" t="n">
        <v>-6.098</v>
      </c>
      <c r="BE56" t="n">
        <v>-1.743</v>
      </c>
    </row>
    <row r="57">
      <c r="A57" t="inlineStr">
        <is>
          <t>LaFontaine</t>
        </is>
      </c>
      <c r="B57" t="inlineStr">
        <is>
          <t>Île de Montréal</t>
        </is>
      </c>
      <c r="C57">
        <f>INDEX({"CAQ","PLQ","QS","PQ","PCQ","Autre"},MATCH(MAX(D57:I57),D57:I57,0))</f>
        <v/>
      </c>
      <c r="D57" t="n">
        <v>5189</v>
      </c>
      <c r="E57" t="n">
        <v>13398</v>
      </c>
      <c r="F57" t="n">
        <v>2301</v>
      </c>
      <c r="G57" t="n">
        <v>1322</v>
      </c>
      <c r="H57" t="n">
        <v>3406</v>
      </c>
      <c r="I57" t="n">
        <v>313</v>
      </c>
      <c r="J57">
        <f>SUM(D57:I57)</f>
        <v/>
      </c>
      <c r="K57">
        <f>IFERROR(D57/$J57,0)</f>
        <v/>
      </c>
      <c r="L57">
        <f>IFERROR(E57/$J57,0)</f>
        <v/>
      </c>
      <c r="M57">
        <f>IFERROR(F57/$J57,0)</f>
        <v/>
      </c>
      <c r="N57">
        <f>IFERROR(G57/$J57,0)</f>
        <v/>
      </c>
      <c r="O57">
        <f>IFERROR(H57/$J57,0)</f>
        <v/>
      </c>
      <c r="P57">
        <f>IFERROR(I57/$J57,0)</f>
        <v/>
      </c>
      <c r="Q57">
        <f>D57*INDEX(Régions!$T$2:$T$6,MATCH($B57,Régions!$A$2:$A$6,0))</f>
        <v/>
      </c>
      <c r="R57">
        <f>E57*INDEX(Régions!$U$2:$U$6,MATCH($B57,Régions!$A$2:$A$6,0))</f>
        <v/>
      </c>
      <c r="S57">
        <f>F57*INDEX(Régions!$V$2:$V$6,MATCH($B57,Régions!$A$2:$A$6,0))</f>
        <v/>
      </c>
      <c r="T57">
        <f>G57*INDEX(Régions!$W$2:$W$6,MATCH($B57,Régions!$A$2:$A$6,0))</f>
        <v/>
      </c>
      <c r="U57">
        <f>H57*INDEX(Régions!$X$2:$X$6,MATCH($B57,Régions!$A$2:$A$6,0))</f>
        <v/>
      </c>
      <c r="V57">
        <f>I57*INDEX(Régions!$Y$2:$Y$6,MATCH($B57,Régions!$A$2:$A$6,0))</f>
        <v/>
      </c>
      <c r="W57">
        <f>Q57+(BB57/100)*$J57*Régions!$O$2</f>
        <v/>
      </c>
      <c r="X57">
        <f>R57+(BC57/100)*$J57*Régions!$O$2</f>
        <v/>
      </c>
      <c r="Y57">
        <f>S57+(BD57/100)*$J57*Régions!$O$2</f>
        <v/>
      </c>
      <c r="Z57">
        <f>T57+(BE57/100)*$J57*Régions!$O$2</f>
        <v/>
      </c>
      <c r="AA57">
        <f>U57</f>
        <v/>
      </c>
      <c r="AB57">
        <f>V57</f>
        <v/>
      </c>
      <c r="AC57">
        <f>D57*INDEX(Régions!$Z$2:$Z$6,MATCH($B57,Régions!$A$2:$A$6,0))</f>
        <v/>
      </c>
      <c r="AD57">
        <f>E57*INDEX(Régions!$AA$2:$AA$6,MATCH($B57,Régions!$A$2:$A$6,0))</f>
        <v/>
      </c>
      <c r="AE57">
        <f>F57*INDEX(Régions!$AB$2:$AB$6,MATCH($B57,Régions!$A$2:$A$6,0))</f>
        <v/>
      </c>
      <c r="AF57">
        <f>G57*INDEX(Régions!$AC$2:$AC$6,MATCH($B57,Régions!$A$2:$A$6,0))</f>
        <v/>
      </c>
      <c r="AG57">
        <f>H57*INDEX(Régions!$AD$2:$AD$6,MATCH($B57,Régions!$A$2:$A$6,0))</f>
        <v/>
      </c>
      <c r="AH57">
        <f>I57*INDEX(Régions!$AE$2:$AE$6,MATCH($B57,Régions!$A$2:$A$6,0))</f>
        <v/>
      </c>
      <c r="AI57">
        <f>D57*INDEX(Régions!$AF$2:$AF$6,MATCH($B57,Régions!$A$2:$A$6,0))</f>
        <v/>
      </c>
      <c r="AJ57">
        <f>E57*INDEX(Régions!$AG$2:$AG$6,MATCH($B57,Régions!$A$2:$A$6,0))</f>
        <v/>
      </c>
      <c r="AK57">
        <f>F57*INDEX(Régions!$AH$2:$AH$6,MATCH($B57,Régions!$A$2:$A$6,0))</f>
        <v/>
      </c>
      <c r="AL57">
        <f>G57*INDEX(Régions!$AI$2:$AI$6,MATCH($B57,Régions!$A$2:$A$6,0))</f>
        <v/>
      </c>
      <c r="AM57">
        <f>H57*INDEX(Régions!$AJ$2:$AJ$6,MATCH($B57,Régions!$A$2:$A$6,0))</f>
        <v/>
      </c>
      <c r="AN57">
        <f>I57*INDEX(Régions!$AK$2:$AK$6,MATCH($B57,Régions!$A$2:$A$6,0))</f>
        <v/>
      </c>
      <c r="AO57">
        <f>Régions!$Q$2*Q57/SUM($Q57:$V57)*100+(1-Régions!$Q$2)*MAX(K57*100+(INDEX(Régions!$AL$2:$AL$6,MATCH($B57,Régions!$A$2:$A$6,0))),0)</f>
        <v/>
      </c>
      <c r="AP57">
        <f>Régions!$Q$2*R57/SUM($Q57:$V57)*100+(1-Régions!$Q$2)*MAX(L57*100+(INDEX(Régions!$AM$2:$AM$6,MATCH($B57,Régions!$A$2:$A$6,0))),0)</f>
        <v/>
      </c>
      <c r="AQ57">
        <f>Régions!$Q$2*S57/SUM($Q57:$V57)*100+(1-Régions!$Q$2)*MAX(M57*100+(INDEX(Régions!$AN$2:$AN$6,MATCH($B57,Régions!$A$2:$A$6,0))),0)</f>
        <v/>
      </c>
      <c r="AR57">
        <f>Régions!$Q$2*T57/SUM($Q57:$V57)*100+(1-Régions!$Q$2)*MAX(N57*100+(INDEX(Régions!$AO$2:$AO$6,MATCH($B57,Régions!$A$2:$A$6,0))),0)</f>
        <v/>
      </c>
      <c r="AS57">
        <f>Régions!$Q$2*U57/SUM($Q57:$V57)*100+(1-Régions!$Q$2)*MAX(O57*100+(INDEX(Régions!$AP$2:$AP$6,MATCH($B57,Régions!$A$2:$A$6,0))),0)</f>
        <v/>
      </c>
      <c r="AT57">
        <f>Régions!$Q$2*V57/SUM($Q57:$V57)*100+(1-Régions!$Q$2)*MAX(P57*100+(INDEX(Régions!$AQ$2:$AQ$6,MATCH($B57,Régions!$A$2:$A$6,0))),0)</f>
        <v/>
      </c>
      <c r="AU57">
        <f>INDEX({"CAQ","PLQ","QS","PQ","PCQ","Autre"},MATCH(MAX(Q57:V57),Q57:V57,0))</f>
        <v/>
      </c>
      <c r="AV57">
        <f>INDEX({"CAQ","PLQ","QS","PQ","PCQ","Autre"},MATCH(MAX(W57:AB57),W57:AB57,0))</f>
        <v/>
      </c>
      <c r="AW57">
        <f>INDEX({"CAQ","PLQ","QS","PQ","PCQ","Autre"},MATCH(MAX(AC57:AH57),AC57:AH57,0))</f>
        <v/>
      </c>
      <c r="AX57">
        <f>INDEX({"CAQ","PLQ","QS","PQ","PCQ","Autre"},MATCH(MAX(AI57:AN57),AI57:AN57,0))</f>
        <v/>
      </c>
      <c r="AY57">
        <f>INDEX({"CAQ","PLQ","QS","PQ","PCQ","Autre"},MATCH(MAX(AO57:AT57),AO57:AT57,0))</f>
        <v/>
      </c>
      <c r="AZ57">
        <f>(MAX(K57:P57)-LARGE(K57:P57,2))*100</f>
        <v/>
      </c>
      <c r="BA57">
        <f>IF(AZ57&lt;5,"Oui","Non")</f>
        <v/>
      </c>
      <c r="BB57" t="n">
        <v>-3.852</v>
      </c>
      <c r="BC57" t="n">
        <v>1.667</v>
      </c>
      <c r="BD57" t="n">
        <v>-0.751</v>
      </c>
      <c r="BE57" t="n">
        <v>-2.145</v>
      </c>
    </row>
    <row r="58">
      <c r="A58" t="inlineStr">
        <is>
          <t>La Peltrie</t>
        </is>
      </c>
      <c r="B58" t="inlineStr">
        <is>
          <t>Québec RMR</t>
        </is>
      </c>
      <c r="C58">
        <f>INDEX({"CAQ","PLQ","QS","PQ","PCQ","Autre"},MATCH(MAX(D58:I58),D58:I58,0))</f>
        <v/>
      </c>
      <c r="D58" t="n">
        <v>18407.4</v>
      </c>
      <c r="E58" t="n">
        <v>2357.8</v>
      </c>
      <c r="F58" t="n">
        <v>3777.7</v>
      </c>
      <c r="G58" t="n">
        <v>4202.1</v>
      </c>
      <c r="H58" t="n">
        <v>12007.3</v>
      </c>
      <c r="I58" t="n">
        <v>528</v>
      </c>
      <c r="J58">
        <f>SUM(D58:I58)</f>
        <v/>
      </c>
      <c r="K58">
        <f>IFERROR(D58/$J58,0)</f>
        <v/>
      </c>
      <c r="L58">
        <f>IFERROR(E58/$J58,0)</f>
        <v/>
      </c>
      <c r="M58">
        <f>IFERROR(F58/$J58,0)</f>
        <v/>
      </c>
      <c r="N58">
        <f>IFERROR(G58/$J58,0)</f>
        <v/>
      </c>
      <c r="O58">
        <f>IFERROR(H58/$J58,0)</f>
        <v/>
      </c>
      <c r="P58">
        <f>IFERROR(I58/$J58,0)</f>
        <v/>
      </c>
      <c r="Q58">
        <f>D58*INDEX(Régions!$T$2:$T$6,MATCH($B58,Régions!$A$2:$A$6,0))</f>
        <v/>
      </c>
      <c r="R58">
        <f>E58*INDEX(Régions!$U$2:$U$6,MATCH($B58,Régions!$A$2:$A$6,0))</f>
        <v/>
      </c>
      <c r="S58">
        <f>F58*INDEX(Régions!$V$2:$V$6,MATCH($B58,Régions!$A$2:$A$6,0))</f>
        <v/>
      </c>
      <c r="T58">
        <f>G58*INDEX(Régions!$W$2:$W$6,MATCH($B58,Régions!$A$2:$A$6,0))</f>
        <v/>
      </c>
      <c r="U58">
        <f>H58*INDEX(Régions!$X$2:$X$6,MATCH($B58,Régions!$A$2:$A$6,0))</f>
        <v/>
      </c>
      <c r="V58">
        <f>I58*INDEX(Régions!$Y$2:$Y$6,MATCH($B58,Régions!$A$2:$A$6,0))</f>
        <v/>
      </c>
      <c r="W58">
        <f>Q58+(BB58/100)*$J58*Régions!$O$2</f>
        <v/>
      </c>
      <c r="X58">
        <f>R58+(BC58/100)*$J58*Régions!$O$2</f>
        <v/>
      </c>
      <c r="Y58">
        <f>S58+(BD58/100)*$J58*Régions!$O$2</f>
        <v/>
      </c>
      <c r="Z58">
        <f>T58+(BE58/100)*$J58*Régions!$O$2</f>
        <v/>
      </c>
      <c r="AA58">
        <f>U58</f>
        <v/>
      </c>
      <c r="AB58">
        <f>V58</f>
        <v/>
      </c>
      <c r="AC58">
        <f>D58*INDEX(Régions!$Z$2:$Z$6,MATCH($B58,Régions!$A$2:$A$6,0))</f>
        <v/>
      </c>
      <c r="AD58">
        <f>E58*INDEX(Régions!$AA$2:$AA$6,MATCH($B58,Régions!$A$2:$A$6,0))</f>
        <v/>
      </c>
      <c r="AE58">
        <f>F58*INDEX(Régions!$AB$2:$AB$6,MATCH($B58,Régions!$A$2:$A$6,0))</f>
        <v/>
      </c>
      <c r="AF58">
        <f>G58*INDEX(Régions!$AC$2:$AC$6,MATCH($B58,Régions!$A$2:$A$6,0))</f>
        <v/>
      </c>
      <c r="AG58">
        <f>H58*INDEX(Régions!$AD$2:$AD$6,MATCH($B58,Régions!$A$2:$A$6,0))</f>
        <v/>
      </c>
      <c r="AH58">
        <f>I58*INDEX(Régions!$AE$2:$AE$6,MATCH($B58,Régions!$A$2:$A$6,0))</f>
        <v/>
      </c>
      <c r="AI58">
        <f>D58*INDEX(Régions!$AF$2:$AF$6,MATCH($B58,Régions!$A$2:$A$6,0))</f>
        <v/>
      </c>
      <c r="AJ58">
        <f>E58*INDEX(Régions!$AG$2:$AG$6,MATCH($B58,Régions!$A$2:$A$6,0))</f>
        <v/>
      </c>
      <c r="AK58">
        <f>F58*INDEX(Régions!$AH$2:$AH$6,MATCH($B58,Régions!$A$2:$A$6,0))</f>
        <v/>
      </c>
      <c r="AL58">
        <f>G58*INDEX(Régions!$AI$2:$AI$6,MATCH($B58,Régions!$A$2:$A$6,0))</f>
        <v/>
      </c>
      <c r="AM58">
        <f>H58*INDEX(Régions!$AJ$2:$AJ$6,MATCH($B58,Régions!$A$2:$A$6,0))</f>
        <v/>
      </c>
      <c r="AN58">
        <f>I58*INDEX(Régions!$AK$2:$AK$6,MATCH($B58,Régions!$A$2:$A$6,0))</f>
        <v/>
      </c>
      <c r="AO58">
        <f>Régions!$Q$2*Q58/SUM($Q58:$V58)*100+(1-Régions!$Q$2)*MAX(K58*100+(INDEX(Régions!$AL$2:$AL$6,MATCH($B58,Régions!$A$2:$A$6,0))),0)</f>
        <v/>
      </c>
      <c r="AP58">
        <f>Régions!$Q$2*R58/SUM($Q58:$V58)*100+(1-Régions!$Q$2)*MAX(L58*100+(INDEX(Régions!$AM$2:$AM$6,MATCH($B58,Régions!$A$2:$A$6,0))),0)</f>
        <v/>
      </c>
      <c r="AQ58">
        <f>Régions!$Q$2*S58/SUM($Q58:$V58)*100+(1-Régions!$Q$2)*MAX(M58*100+(INDEX(Régions!$AN$2:$AN$6,MATCH($B58,Régions!$A$2:$A$6,0))),0)</f>
        <v/>
      </c>
      <c r="AR58">
        <f>Régions!$Q$2*T58/SUM($Q58:$V58)*100+(1-Régions!$Q$2)*MAX(N58*100+(INDEX(Régions!$AO$2:$AO$6,MATCH($B58,Régions!$A$2:$A$6,0))),0)</f>
        <v/>
      </c>
      <c r="AS58">
        <f>Régions!$Q$2*U58/SUM($Q58:$V58)*100+(1-Régions!$Q$2)*MAX(O58*100+(INDEX(Régions!$AP$2:$AP$6,MATCH($B58,Régions!$A$2:$A$6,0))),0)</f>
        <v/>
      </c>
      <c r="AT58">
        <f>Régions!$Q$2*V58/SUM($Q58:$V58)*100+(1-Régions!$Q$2)*MAX(P58*100+(INDEX(Régions!$AQ$2:$AQ$6,MATCH($B58,Régions!$A$2:$A$6,0))),0)</f>
        <v/>
      </c>
      <c r="AU58">
        <f>INDEX({"CAQ","PLQ","QS","PQ","PCQ","Autre"},MATCH(MAX(Q58:V58),Q58:V58,0))</f>
        <v/>
      </c>
      <c r="AV58">
        <f>INDEX({"CAQ","PLQ","QS","PQ","PCQ","Autre"},MATCH(MAX(W58:AB58),W58:AB58,0))</f>
        <v/>
      </c>
      <c r="AW58">
        <f>INDEX({"CAQ","PLQ","QS","PQ","PCQ","Autre"},MATCH(MAX(AC58:AH58),AC58:AH58,0))</f>
        <v/>
      </c>
      <c r="AX58">
        <f>INDEX({"CAQ","PLQ","QS","PQ","PCQ","Autre"},MATCH(MAX(AI58:AN58),AI58:AN58,0))</f>
        <v/>
      </c>
      <c r="AY58">
        <f>INDEX({"CAQ","PLQ","QS","PQ","PCQ","Autre"},MATCH(MAX(AO58:AT58),AO58:AT58,0))</f>
        <v/>
      </c>
      <c r="AZ58">
        <f>(MAX(K58:P58)-LARGE(K58:P58,2))*100</f>
        <v/>
      </c>
      <c r="BA58">
        <f>IF(AZ58&lt;5,"Oui","Non")</f>
        <v/>
      </c>
      <c r="BB58" t="n">
        <v>-9.349</v>
      </c>
      <c r="BC58" t="n">
        <v>3.293</v>
      </c>
      <c r="BD58" t="n">
        <v>-0.597</v>
      </c>
      <c r="BE58" t="n">
        <v>0.437</v>
      </c>
    </row>
    <row r="59">
      <c r="A59" t="inlineStr">
        <is>
          <t>La Pinière</t>
        </is>
      </c>
      <c r="B59" t="inlineStr">
        <is>
          <t>Banlieue de Montréal</t>
        </is>
      </c>
      <c r="C59">
        <f>INDEX({"CAQ","PLQ","QS","PQ","PCQ","Autre"},MATCH(MAX(D59:I59),D59:I59,0))</f>
        <v/>
      </c>
      <c r="D59" t="n">
        <v>10272</v>
      </c>
      <c r="E59" t="n">
        <v>12688</v>
      </c>
      <c r="F59" t="n">
        <v>3301</v>
      </c>
      <c r="G59" t="n">
        <v>2577</v>
      </c>
      <c r="H59" t="n">
        <v>3716</v>
      </c>
      <c r="I59" t="n">
        <v>396</v>
      </c>
      <c r="J59">
        <f>SUM(D59:I59)</f>
        <v/>
      </c>
      <c r="K59">
        <f>IFERROR(D59/$J59,0)</f>
        <v/>
      </c>
      <c r="L59">
        <f>IFERROR(E59/$J59,0)</f>
        <v/>
      </c>
      <c r="M59">
        <f>IFERROR(F59/$J59,0)</f>
        <v/>
      </c>
      <c r="N59">
        <f>IFERROR(G59/$J59,0)</f>
        <v/>
      </c>
      <c r="O59">
        <f>IFERROR(H59/$J59,0)</f>
        <v/>
      </c>
      <c r="P59">
        <f>IFERROR(I59/$J59,0)</f>
        <v/>
      </c>
      <c r="Q59">
        <f>D59*INDEX(Régions!$T$2:$T$6,MATCH($B59,Régions!$A$2:$A$6,0))</f>
        <v/>
      </c>
      <c r="R59">
        <f>E59*INDEX(Régions!$U$2:$U$6,MATCH($B59,Régions!$A$2:$A$6,0))</f>
        <v/>
      </c>
      <c r="S59">
        <f>F59*INDEX(Régions!$V$2:$V$6,MATCH($B59,Régions!$A$2:$A$6,0))</f>
        <v/>
      </c>
      <c r="T59">
        <f>G59*INDEX(Régions!$W$2:$W$6,MATCH($B59,Régions!$A$2:$A$6,0))</f>
        <v/>
      </c>
      <c r="U59">
        <f>H59*INDEX(Régions!$X$2:$X$6,MATCH($B59,Régions!$A$2:$A$6,0))</f>
        <v/>
      </c>
      <c r="V59">
        <f>I59*INDEX(Régions!$Y$2:$Y$6,MATCH($B59,Régions!$A$2:$A$6,0))</f>
        <v/>
      </c>
      <c r="W59">
        <f>Q59+(BB59/100)*$J59*Régions!$O$2</f>
        <v/>
      </c>
      <c r="X59">
        <f>R59+(BC59/100)*$J59*Régions!$O$2</f>
        <v/>
      </c>
      <c r="Y59">
        <f>S59+(BD59/100)*$J59*Régions!$O$2</f>
        <v/>
      </c>
      <c r="Z59">
        <f>T59+(BE59/100)*$J59*Régions!$O$2</f>
        <v/>
      </c>
      <c r="AA59">
        <f>U59</f>
        <v/>
      </c>
      <c r="AB59">
        <f>V59</f>
        <v/>
      </c>
      <c r="AC59">
        <f>D59*INDEX(Régions!$Z$2:$Z$6,MATCH($B59,Régions!$A$2:$A$6,0))</f>
        <v/>
      </c>
      <c r="AD59">
        <f>E59*INDEX(Régions!$AA$2:$AA$6,MATCH($B59,Régions!$A$2:$A$6,0))</f>
        <v/>
      </c>
      <c r="AE59">
        <f>F59*INDEX(Régions!$AB$2:$AB$6,MATCH($B59,Régions!$A$2:$A$6,0))</f>
        <v/>
      </c>
      <c r="AF59">
        <f>G59*INDEX(Régions!$AC$2:$AC$6,MATCH($B59,Régions!$A$2:$A$6,0))</f>
        <v/>
      </c>
      <c r="AG59">
        <f>H59*INDEX(Régions!$AD$2:$AD$6,MATCH($B59,Régions!$A$2:$A$6,0))</f>
        <v/>
      </c>
      <c r="AH59">
        <f>I59*INDEX(Régions!$AE$2:$AE$6,MATCH($B59,Régions!$A$2:$A$6,0))</f>
        <v/>
      </c>
      <c r="AI59">
        <f>D59*INDEX(Régions!$AF$2:$AF$6,MATCH($B59,Régions!$A$2:$A$6,0))</f>
        <v/>
      </c>
      <c r="AJ59">
        <f>E59*INDEX(Régions!$AG$2:$AG$6,MATCH($B59,Régions!$A$2:$A$6,0))</f>
        <v/>
      </c>
      <c r="AK59">
        <f>F59*INDEX(Régions!$AH$2:$AH$6,MATCH($B59,Régions!$A$2:$A$6,0))</f>
        <v/>
      </c>
      <c r="AL59">
        <f>G59*INDEX(Régions!$AI$2:$AI$6,MATCH($B59,Régions!$A$2:$A$6,0))</f>
        <v/>
      </c>
      <c r="AM59">
        <f>H59*INDEX(Régions!$AJ$2:$AJ$6,MATCH($B59,Régions!$A$2:$A$6,0))</f>
        <v/>
      </c>
      <c r="AN59">
        <f>I59*INDEX(Régions!$AK$2:$AK$6,MATCH($B59,Régions!$A$2:$A$6,0))</f>
        <v/>
      </c>
      <c r="AO59">
        <f>Régions!$Q$2*Q59/SUM($Q59:$V59)*100+(1-Régions!$Q$2)*MAX(K59*100+(INDEX(Régions!$AL$2:$AL$6,MATCH($B59,Régions!$A$2:$A$6,0))),0)</f>
        <v/>
      </c>
      <c r="AP59">
        <f>Régions!$Q$2*R59/SUM($Q59:$V59)*100+(1-Régions!$Q$2)*MAX(L59*100+(INDEX(Régions!$AM$2:$AM$6,MATCH($B59,Régions!$A$2:$A$6,0))),0)</f>
        <v/>
      </c>
      <c r="AQ59">
        <f>Régions!$Q$2*S59/SUM($Q59:$V59)*100+(1-Régions!$Q$2)*MAX(M59*100+(INDEX(Régions!$AN$2:$AN$6,MATCH($B59,Régions!$A$2:$A$6,0))),0)</f>
        <v/>
      </c>
      <c r="AR59">
        <f>Régions!$Q$2*T59/SUM($Q59:$V59)*100+(1-Régions!$Q$2)*MAX(N59*100+(INDEX(Régions!$AO$2:$AO$6,MATCH($B59,Régions!$A$2:$A$6,0))),0)</f>
        <v/>
      </c>
      <c r="AS59">
        <f>Régions!$Q$2*U59/SUM($Q59:$V59)*100+(1-Régions!$Q$2)*MAX(O59*100+(INDEX(Régions!$AP$2:$AP$6,MATCH($B59,Régions!$A$2:$A$6,0))),0)</f>
        <v/>
      </c>
      <c r="AT59">
        <f>Régions!$Q$2*V59/SUM($Q59:$V59)*100+(1-Régions!$Q$2)*MAX(P59*100+(INDEX(Régions!$AQ$2:$AQ$6,MATCH($B59,Régions!$A$2:$A$6,0))),0)</f>
        <v/>
      </c>
      <c r="AU59">
        <f>INDEX({"CAQ","PLQ","QS","PQ","PCQ","Autre"},MATCH(MAX(Q59:V59),Q59:V59,0))</f>
        <v/>
      </c>
      <c r="AV59">
        <f>INDEX({"CAQ","PLQ","QS","PQ","PCQ","Autre"},MATCH(MAX(W59:AB59),W59:AB59,0))</f>
        <v/>
      </c>
      <c r="AW59">
        <f>INDEX({"CAQ","PLQ","QS","PQ","PCQ","Autre"},MATCH(MAX(AC59:AH59),AC59:AH59,0))</f>
        <v/>
      </c>
      <c r="AX59">
        <f>INDEX({"CAQ","PLQ","QS","PQ","PCQ","Autre"},MATCH(MAX(AI59:AN59),AI59:AN59,0))</f>
        <v/>
      </c>
      <c r="AY59">
        <f>INDEX({"CAQ","PLQ","QS","PQ","PCQ","Autre"},MATCH(MAX(AO59:AT59),AO59:AT59,0))</f>
        <v/>
      </c>
      <c r="AZ59">
        <f>(MAX(K59:P59)-LARGE(K59:P59,2))*100</f>
        <v/>
      </c>
      <c r="BA59">
        <f>IF(AZ59&lt;5,"Oui","Non")</f>
        <v/>
      </c>
      <c r="BB59" t="n">
        <v>-0.769</v>
      </c>
      <c r="BC59" t="n">
        <v>-1.688</v>
      </c>
      <c r="BD59" t="n">
        <v>0.589</v>
      </c>
      <c r="BE59" t="n">
        <v>2.107</v>
      </c>
    </row>
    <row r="60">
      <c r="A60" t="inlineStr">
        <is>
          <t>La Prairie</t>
        </is>
      </c>
      <c r="B60" t="inlineStr">
        <is>
          <t>Banlieue de Montréal</t>
        </is>
      </c>
      <c r="C60">
        <f>INDEX({"CAQ","PLQ","QS","PQ","PCQ","Autre"},MATCH(MAX(D60:I60),D60:I60,0))</f>
        <v/>
      </c>
      <c r="D60" t="n">
        <v>18219.7</v>
      </c>
      <c r="E60" t="n">
        <v>4787.8</v>
      </c>
      <c r="F60" t="n">
        <v>4528.9</v>
      </c>
      <c r="G60" t="n">
        <v>3949.4</v>
      </c>
      <c r="H60" t="n">
        <v>2750.4</v>
      </c>
      <c r="I60" t="n">
        <v>331</v>
      </c>
      <c r="J60">
        <f>SUM(D60:I60)</f>
        <v/>
      </c>
      <c r="K60">
        <f>IFERROR(D60/$J60,0)</f>
        <v/>
      </c>
      <c r="L60">
        <f>IFERROR(E60/$J60,0)</f>
        <v/>
      </c>
      <c r="M60">
        <f>IFERROR(F60/$J60,0)</f>
        <v/>
      </c>
      <c r="N60">
        <f>IFERROR(G60/$J60,0)</f>
        <v/>
      </c>
      <c r="O60">
        <f>IFERROR(H60/$J60,0)</f>
        <v/>
      </c>
      <c r="P60">
        <f>IFERROR(I60/$J60,0)</f>
        <v/>
      </c>
      <c r="Q60">
        <f>D60*INDEX(Régions!$T$2:$T$6,MATCH($B60,Régions!$A$2:$A$6,0))</f>
        <v/>
      </c>
      <c r="R60">
        <f>E60*INDEX(Régions!$U$2:$U$6,MATCH($B60,Régions!$A$2:$A$6,0))</f>
        <v/>
      </c>
      <c r="S60">
        <f>F60*INDEX(Régions!$V$2:$V$6,MATCH($B60,Régions!$A$2:$A$6,0))</f>
        <v/>
      </c>
      <c r="T60">
        <f>G60*INDEX(Régions!$W$2:$W$6,MATCH($B60,Régions!$A$2:$A$6,0))</f>
        <v/>
      </c>
      <c r="U60">
        <f>H60*INDEX(Régions!$X$2:$X$6,MATCH($B60,Régions!$A$2:$A$6,0))</f>
        <v/>
      </c>
      <c r="V60">
        <f>I60*INDEX(Régions!$Y$2:$Y$6,MATCH($B60,Régions!$A$2:$A$6,0))</f>
        <v/>
      </c>
      <c r="W60">
        <f>Q60+(BB60/100)*$J60*Régions!$O$2</f>
        <v/>
      </c>
      <c r="X60">
        <f>R60+(BC60/100)*$J60*Régions!$O$2</f>
        <v/>
      </c>
      <c r="Y60">
        <f>S60+(BD60/100)*$J60*Régions!$O$2</f>
        <v/>
      </c>
      <c r="Z60">
        <f>T60+(BE60/100)*$J60*Régions!$O$2</f>
        <v/>
      </c>
      <c r="AA60">
        <f>U60</f>
        <v/>
      </c>
      <c r="AB60">
        <f>V60</f>
        <v/>
      </c>
      <c r="AC60">
        <f>D60*INDEX(Régions!$Z$2:$Z$6,MATCH($B60,Régions!$A$2:$A$6,0))</f>
        <v/>
      </c>
      <c r="AD60">
        <f>E60*INDEX(Régions!$AA$2:$AA$6,MATCH($B60,Régions!$A$2:$A$6,0))</f>
        <v/>
      </c>
      <c r="AE60">
        <f>F60*INDEX(Régions!$AB$2:$AB$6,MATCH($B60,Régions!$A$2:$A$6,0))</f>
        <v/>
      </c>
      <c r="AF60">
        <f>G60*INDEX(Régions!$AC$2:$AC$6,MATCH($B60,Régions!$A$2:$A$6,0))</f>
        <v/>
      </c>
      <c r="AG60">
        <f>H60*INDEX(Régions!$AD$2:$AD$6,MATCH($B60,Régions!$A$2:$A$6,0))</f>
        <v/>
      </c>
      <c r="AH60">
        <f>I60*INDEX(Régions!$AE$2:$AE$6,MATCH($B60,Régions!$A$2:$A$6,0))</f>
        <v/>
      </c>
      <c r="AI60">
        <f>D60*INDEX(Régions!$AF$2:$AF$6,MATCH($B60,Régions!$A$2:$A$6,0))</f>
        <v/>
      </c>
      <c r="AJ60">
        <f>E60*INDEX(Régions!$AG$2:$AG$6,MATCH($B60,Régions!$A$2:$A$6,0))</f>
        <v/>
      </c>
      <c r="AK60">
        <f>F60*INDEX(Régions!$AH$2:$AH$6,MATCH($B60,Régions!$A$2:$A$6,0))</f>
        <v/>
      </c>
      <c r="AL60">
        <f>G60*INDEX(Régions!$AI$2:$AI$6,MATCH($B60,Régions!$A$2:$A$6,0))</f>
        <v/>
      </c>
      <c r="AM60">
        <f>H60*INDEX(Régions!$AJ$2:$AJ$6,MATCH($B60,Régions!$A$2:$A$6,0))</f>
        <v/>
      </c>
      <c r="AN60">
        <f>I60*INDEX(Régions!$AK$2:$AK$6,MATCH($B60,Régions!$A$2:$A$6,0))</f>
        <v/>
      </c>
      <c r="AO60">
        <f>Régions!$Q$2*Q60/SUM($Q60:$V60)*100+(1-Régions!$Q$2)*MAX(K60*100+(INDEX(Régions!$AL$2:$AL$6,MATCH($B60,Régions!$A$2:$A$6,0))),0)</f>
        <v/>
      </c>
      <c r="AP60">
        <f>Régions!$Q$2*R60/SUM($Q60:$V60)*100+(1-Régions!$Q$2)*MAX(L60*100+(INDEX(Régions!$AM$2:$AM$6,MATCH($B60,Régions!$A$2:$A$6,0))),0)</f>
        <v/>
      </c>
      <c r="AQ60">
        <f>Régions!$Q$2*S60/SUM($Q60:$V60)*100+(1-Régions!$Q$2)*MAX(M60*100+(INDEX(Régions!$AN$2:$AN$6,MATCH($B60,Régions!$A$2:$A$6,0))),0)</f>
        <v/>
      </c>
      <c r="AR60">
        <f>Régions!$Q$2*T60/SUM($Q60:$V60)*100+(1-Régions!$Q$2)*MAX(N60*100+(INDEX(Régions!$AO$2:$AO$6,MATCH($B60,Régions!$A$2:$A$6,0))),0)</f>
        <v/>
      </c>
      <c r="AS60">
        <f>Régions!$Q$2*U60/SUM($Q60:$V60)*100+(1-Régions!$Q$2)*MAX(O60*100+(INDEX(Régions!$AP$2:$AP$6,MATCH($B60,Régions!$A$2:$A$6,0))),0)</f>
        <v/>
      </c>
      <c r="AT60">
        <f>Régions!$Q$2*V60/SUM($Q60:$V60)*100+(1-Régions!$Q$2)*MAX(P60*100+(INDEX(Régions!$AQ$2:$AQ$6,MATCH($B60,Régions!$A$2:$A$6,0))),0)</f>
        <v/>
      </c>
      <c r="AU60">
        <f>INDEX({"CAQ","PLQ","QS","PQ","PCQ","Autre"},MATCH(MAX(Q60:V60),Q60:V60,0))</f>
        <v/>
      </c>
      <c r="AV60">
        <f>INDEX({"CAQ","PLQ","QS","PQ","PCQ","Autre"},MATCH(MAX(W60:AB60),W60:AB60,0))</f>
        <v/>
      </c>
      <c r="AW60">
        <f>INDEX({"CAQ","PLQ","QS","PQ","PCQ","Autre"},MATCH(MAX(AC60:AH60),AC60:AH60,0))</f>
        <v/>
      </c>
      <c r="AX60">
        <f>INDEX({"CAQ","PLQ","QS","PQ","PCQ","Autre"},MATCH(MAX(AI60:AN60),AI60:AN60,0))</f>
        <v/>
      </c>
      <c r="AY60">
        <f>INDEX({"CAQ","PLQ","QS","PQ","PCQ","Autre"},MATCH(MAX(AO60:AT60),AO60:AT60,0))</f>
        <v/>
      </c>
      <c r="AZ60">
        <f>(MAX(K60:P60)-LARGE(K60:P60,2))*100</f>
        <v/>
      </c>
      <c r="BA60">
        <f>IF(AZ60&lt;5,"Oui","Non")</f>
        <v/>
      </c>
      <c r="BB60" t="n">
        <v>6.453</v>
      </c>
      <c r="BC60" t="n">
        <v>-3.258</v>
      </c>
      <c r="BD60" t="n">
        <v>0.738</v>
      </c>
      <c r="BE60" t="n">
        <v>-1.14</v>
      </c>
    </row>
    <row r="61">
      <c r="A61" t="inlineStr">
        <is>
          <t>L'Assomption</t>
        </is>
      </c>
      <c r="B61" t="inlineStr">
        <is>
          <t>Banlieue de Montréal</t>
        </is>
      </c>
      <c r="C61">
        <f>INDEX({"CAQ","PLQ","QS","PQ","PCQ","Autre"},MATCH(MAX(D61:I61),D61:I61,0))</f>
        <v/>
      </c>
      <c r="D61" t="n">
        <v>21595.3</v>
      </c>
      <c r="E61" t="n">
        <v>2008.7</v>
      </c>
      <c r="F61" t="n">
        <v>5400.4</v>
      </c>
      <c r="G61" t="n">
        <v>5862.2</v>
      </c>
      <c r="H61" t="n">
        <v>3138.4</v>
      </c>
      <c r="I61" t="n">
        <v>62.5</v>
      </c>
      <c r="J61">
        <f>SUM(D61:I61)</f>
        <v/>
      </c>
      <c r="K61">
        <f>IFERROR(D61/$J61,0)</f>
        <v/>
      </c>
      <c r="L61">
        <f>IFERROR(E61/$J61,0)</f>
        <v/>
      </c>
      <c r="M61">
        <f>IFERROR(F61/$J61,0)</f>
        <v/>
      </c>
      <c r="N61">
        <f>IFERROR(G61/$J61,0)</f>
        <v/>
      </c>
      <c r="O61">
        <f>IFERROR(H61/$J61,0)</f>
        <v/>
      </c>
      <c r="P61">
        <f>IFERROR(I61/$J61,0)</f>
        <v/>
      </c>
      <c r="Q61">
        <f>D61*INDEX(Régions!$T$2:$T$6,MATCH($B61,Régions!$A$2:$A$6,0))</f>
        <v/>
      </c>
      <c r="R61">
        <f>E61*INDEX(Régions!$U$2:$U$6,MATCH($B61,Régions!$A$2:$A$6,0))</f>
        <v/>
      </c>
      <c r="S61">
        <f>F61*INDEX(Régions!$V$2:$V$6,MATCH($B61,Régions!$A$2:$A$6,0))</f>
        <v/>
      </c>
      <c r="T61">
        <f>G61*INDEX(Régions!$W$2:$W$6,MATCH($B61,Régions!$A$2:$A$6,0))</f>
        <v/>
      </c>
      <c r="U61">
        <f>H61*INDEX(Régions!$X$2:$X$6,MATCH($B61,Régions!$A$2:$A$6,0))</f>
        <v/>
      </c>
      <c r="V61">
        <f>I61*INDEX(Régions!$Y$2:$Y$6,MATCH($B61,Régions!$A$2:$A$6,0))</f>
        <v/>
      </c>
      <c r="W61">
        <f>Q61+(BB61/100)*$J61*Régions!$O$2</f>
        <v/>
      </c>
      <c r="X61">
        <f>R61+(BC61/100)*$J61*Régions!$O$2</f>
        <v/>
      </c>
      <c r="Y61">
        <f>S61+(BD61/100)*$J61*Régions!$O$2</f>
        <v/>
      </c>
      <c r="Z61">
        <f>T61+(BE61/100)*$J61*Régions!$O$2</f>
        <v/>
      </c>
      <c r="AA61">
        <f>U61</f>
        <v/>
      </c>
      <c r="AB61">
        <f>V61</f>
        <v/>
      </c>
      <c r="AC61">
        <f>D61*INDEX(Régions!$Z$2:$Z$6,MATCH($B61,Régions!$A$2:$A$6,0))</f>
        <v/>
      </c>
      <c r="AD61">
        <f>E61*INDEX(Régions!$AA$2:$AA$6,MATCH($B61,Régions!$A$2:$A$6,0))</f>
        <v/>
      </c>
      <c r="AE61">
        <f>F61*INDEX(Régions!$AB$2:$AB$6,MATCH($B61,Régions!$A$2:$A$6,0))</f>
        <v/>
      </c>
      <c r="AF61">
        <f>G61*INDEX(Régions!$AC$2:$AC$6,MATCH($B61,Régions!$A$2:$A$6,0))</f>
        <v/>
      </c>
      <c r="AG61">
        <f>H61*INDEX(Régions!$AD$2:$AD$6,MATCH($B61,Régions!$A$2:$A$6,0))</f>
        <v/>
      </c>
      <c r="AH61">
        <f>I61*INDEX(Régions!$AE$2:$AE$6,MATCH($B61,Régions!$A$2:$A$6,0))</f>
        <v/>
      </c>
      <c r="AI61">
        <f>D61*INDEX(Régions!$AF$2:$AF$6,MATCH($B61,Régions!$A$2:$A$6,0))</f>
        <v/>
      </c>
      <c r="AJ61">
        <f>E61*INDEX(Régions!$AG$2:$AG$6,MATCH($B61,Régions!$A$2:$A$6,0))</f>
        <v/>
      </c>
      <c r="AK61">
        <f>F61*INDEX(Régions!$AH$2:$AH$6,MATCH($B61,Régions!$A$2:$A$6,0))</f>
        <v/>
      </c>
      <c r="AL61">
        <f>G61*INDEX(Régions!$AI$2:$AI$6,MATCH($B61,Régions!$A$2:$A$6,0))</f>
        <v/>
      </c>
      <c r="AM61">
        <f>H61*INDEX(Régions!$AJ$2:$AJ$6,MATCH($B61,Régions!$A$2:$A$6,0))</f>
        <v/>
      </c>
      <c r="AN61">
        <f>I61*INDEX(Régions!$AK$2:$AK$6,MATCH($B61,Régions!$A$2:$A$6,0))</f>
        <v/>
      </c>
      <c r="AO61">
        <f>Régions!$Q$2*Q61/SUM($Q61:$V61)*100+(1-Régions!$Q$2)*MAX(K61*100+(INDEX(Régions!$AL$2:$AL$6,MATCH($B61,Régions!$A$2:$A$6,0))),0)</f>
        <v/>
      </c>
      <c r="AP61">
        <f>Régions!$Q$2*R61/SUM($Q61:$V61)*100+(1-Régions!$Q$2)*MAX(L61*100+(INDEX(Régions!$AM$2:$AM$6,MATCH($B61,Régions!$A$2:$A$6,0))),0)</f>
        <v/>
      </c>
      <c r="AQ61">
        <f>Régions!$Q$2*S61/SUM($Q61:$V61)*100+(1-Régions!$Q$2)*MAX(M61*100+(INDEX(Régions!$AN$2:$AN$6,MATCH($B61,Régions!$A$2:$A$6,0))),0)</f>
        <v/>
      </c>
      <c r="AR61">
        <f>Régions!$Q$2*T61/SUM($Q61:$V61)*100+(1-Régions!$Q$2)*MAX(N61*100+(INDEX(Régions!$AO$2:$AO$6,MATCH($B61,Régions!$A$2:$A$6,0))),0)</f>
        <v/>
      </c>
      <c r="AS61">
        <f>Régions!$Q$2*U61/SUM($Q61:$V61)*100+(1-Régions!$Q$2)*MAX(O61*100+(INDEX(Régions!$AP$2:$AP$6,MATCH($B61,Régions!$A$2:$A$6,0))),0)</f>
        <v/>
      </c>
      <c r="AT61">
        <f>Régions!$Q$2*V61/SUM($Q61:$V61)*100+(1-Régions!$Q$2)*MAX(P61*100+(INDEX(Régions!$AQ$2:$AQ$6,MATCH($B61,Régions!$A$2:$A$6,0))),0)</f>
        <v/>
      </c>
      <c r="AU61">
        <f>INDEX({"CAQ","PLQ","QS","PQ","PCQ","Autre"},MATCH(MAX(Q61:V61),Q61:V61,0))</f>
        <v/>
      </c>
      <c r="AV61">
        <f>INDEX({"CAQ","PLQ","QS","PQ","PCQ","Autre"},MATCH(MAX(W61:AB61),W61:AB61,0))</f>
        <v/>
      </c>
      <c r="AW61">
        <f>INDEX({"CAQ","PLQ","QS","PQ","PCQ","Autre"},MATCH(MAX(AC61:AH61),AC61:AH61,0))</f>
        <v/>
      </c>
      <c r="AX61">
        <f>INDEX({"CAQ","PLQ","QS","PQ","PCQ","Autre"},MATCH(MAX(AI61:AN61),AI61:AN61,0))</f>
        <v/>
      </c>
      <c r="AY61">
        <f>INDEX({"CAQ","PLQ","QS","PQ","PCQ","Autre"},MATCH(MAX(AO61:AT61),AO61:AT61,0))</f>
        <v/>
      </c>
      <c r="AZ61">
        <f>(MAX(K61:P61)-LARGE(K61:P61,2))*100</f>
        <v/>
      </c>
      <c r="BA61">
        <f>IF(AZ61&lt;5,"Oui","Non")</f>
        <v/>
      </c>
      <c r="BB61" t="n">
        <v>-0.6820000000000001</v>
      </c>
      <c r="BC61" t="n">
        <v>3.912</v>
      </c>
      <c r="BD61" t="n">
        <v>-1.754</v>
      </c>
      <c r="BE61" t="n">
        <v>1.038</v>
      </c>
    </row>
    <row r="62">
      <c r="A62" t="inlineStr">
        <is>
          <t>Laurier-Dorion</t>
        </is>
      </c>
      <c r="B62" t="inlineStr">
        <is>
          <t>Île de Montréal</t>
        </is>
      </c>
      <c r="C62">
        <f>INDEX({"CAQ","PLQ","QS","PQ","PCQ","Autre"},MATCH(MAX(D62:I62),D62:I62,0))</f>
        <v/>
      </c>
      <c r="D62" t="n">
        <v>3202.1</v>
      </c>
      <c r="E62" t="n">
        <v>5342.6</v>
      </c>
      <c r="F62" t="n">
        <v>13319.4</v>
      </c>
      <c r="G62" t="n">
        <v>2799.2</v>
      </c>
      <c r="H62" t="n">
        <v>1511.6</v>
      </c>
      <c r="I62" t="n">
        <v>1120.7</v>
      </c>
      <c r="J62">
        <f>SUM(D62:I62)</f>
        <v/>
      </c>
      <c r="K62">
        <f>IFERROR(D62/$J62,0)</f>
        <v/>
      </c>
      <c r="L62">
        <f>IFERROR(E62/$J62,0)</f>
        <v/>
      </c>
      <c r="M62">
        <f>IFERROR(F62/$J62,0)</f>
        <v/>
      </c>
      <c r="N62">
        <f>IFERROR(G62/$J62,0)</f>
        <v/>
      </c>
      <c r="O62">
        <f>IFERROR(H62/$J62,0)</f>
        <v/>
      </c>
      <c r="P62">
        <f>IFERROR(I62/$J62,0)</f>
        <v/>
      </c>
      <c r="Q62">
        <f>D62*INDEX(Régions!$T$2:$T$6,MATCH($B62,Régions!$A$2:$A$6,0))</f>
        <v/>
      </c>
      <c r="R62">
        <f>E62*INDEX(Régions!$U$2:$U$6,MATCH($B62,Régions!$A$2:$A$6,0))</f>
        <v/>
      </c>
      <c r="S62">
        <f>F62*INDEX(Régions!$V$2:$V$6,MATCH($B62,Régions!$A$2:$A$6,0))</f>
        <v/>
      </c>
      <c r="T62">
        <f>G62*INDEX(Régions!$W$2:$W$6,MATCH($B62,Régions!$A$2:$A$6,0))</f>
        <v/>
      </c>
      <c r="U62">
        <f>H62*INDEX(Régions!$X$2:$X$6,MATCH($B62,Régions!$A$2:$A$6,0))</f>
        <v/>
      </c>
      <c r="V62">
        <f>I62*INDEX(Régions!$Y$2:$Y$6,MATCH($B62,Régions!$A$2:$A$6,0))</f>
        <v/>
      </c>
      <c r="W62">
        <f>Q62+(BB62/100)*$J62*Régions!$O$2</f>
        <v/>
      </c>
      <c r="X62">
        <f>R62+(BC62/100)*$J62*Régions!$O$2</f>
        <v/>
      </c>
      <c r="Y62">
        <f>S62+(BD62/100)*$J62*Régions!$O$2</f>
        <v/>
      </c>
      <c r="Z62">
        <f>T62+(BE62/100)*$J62*Régions!$O$2</f>
        <v/>
      </c>
      <c r="AA62">
        <f>U62</f>
        <v/>
      </c>
      <c r="AB62">
        <f>V62</f>
        <v/>
      </c>
      <c r="AC62">
        <f>D62*INDEX(Régions!$Z$2:$Z$6,MATCH($B62,Régions!$A$2:$A$6,0))</f>
        <v/>
      </c>
      <c r="AD62">
        <f>E62*INDEX(Régions!$AA$2:$AA$6,MATCH($B62,Régions!$A$2:$A$6,0))</f>
        <v/>
      </c>
      <c r="AE62">
        <f>F62*INDEX(Régions!$AB$2:$AB$6,MATCH($B62,Régions!$A$2:$A$6,0))</f>
        <v/>
      </c>
      <c r="AF62">
        <f>G62*INDEX(Régions!$AC$2:$AC$6,MATCH($B62,Régions!$A$2:$A$6,0))</f>
        <v/>
      </c>
      <c r="AG62">
        <f>H62*INDEX(Régions!$AD$2:$AD$6,MATCH($B62,Régions!$A$2:$A$6,0))</f>
        <v/>
      </c>
      <c r="AH62">
        <f>I62*INDEX(Régions!$AE$2:$AE$6,MATCH($B62,Régions!$A$2:$A$6,0))</f>
        <v/>
      </c>
      <c r="AI62">
        <f>D62*INDEX(Régions!$AF$2:$AF$6,MATCH($B62,Régions!$A$2:$A$6,0))</f>
        <v/>
      </c>
      <c r="AJ62">
        <f>E62*INDEX(Régions!$AG$2:$AG$6,MATCH($B62,Régions!$A$2:$A$6,0))</f>
        <v/>
      </c>
      <c r="AK62">
        <f>F62*INDEX(Régions!$AH$2:$AH$6,MATCH($B62,Régions!$A$2:$A$6,0))</f>
        <v/>
      </c>
      <c r="AL62">
        <f>G62*INDEX(Régions!$AI$2:$AI$6,MATCH($B62,Régions!$A$2:$A$6,0))</f>
        <v/>
      </c>
      <c r="AM62">
        <f>H62*INDEX(Régions!$AJ$2:$AJ$6,MATCH($B62,Régions!$A$2:$A$6,0))</f>
        <v/>
      </c>
      <c r="AN62">
        <f>I62*INDEX(Régions!$AK$2:$AK$6,MATCH($B62,Régions!$A$2:$A$6,0))</f>
        <v/>
      </c>
      <c r="AO62">
        <f>Régions!$Q$2*Q62/SUM($Q62:$V62)*100+(1-Régions!$Q$2)*MAX(K62*100+(INDEX(Régions!$AL$2:$AL$6,MATCH($B62,Régions!$A$2:$A$6,0))),0)</f>
        <v/>
      </c>
      <c r="AP62">
        <f>Régions!$Q$2*R62/SUM($Q62:$V62)*100+(1-Régions!$Q$2)*MAX(L62*100+(INDEX(Régions!$AM$2:$AM$6,MATCH($B62,Régions!$A$2:$A$6,0))),0)</f>
        <v/>
      </c>
      <c r="AQ62">
        <f>Régions!$Q$2*S62/SUM($Q62:$V62)*100+(1-Régions!$Q$2)*MAX(M62*100+(INDEX(Régions!$AN$2:$AN$6,MATCH($B62,Régions!$A$2:$A$6,0))),0)</f>
        <v/>
      </c>
      <c r="AR62">
        <f>Régions!$Q$2*T62/SUM($Q62:$V62)*100+(1-Régions!$Q$2)*MAX(N62*100+(INDEX(Régions!$AO$2:$AO$6,MATCH($B62,Régions!$A$2:$A$6,0))),0)</f>
        <v/>
      </c>
      <c r="AS62">
        <f>Régions!$Q$2*U62/SUM($Q62:$V62)*100+(1-Régions!$Q$2)*MAX(O62*100+(INDEX(Régions!$AP$2:$AP$6,MATCH($B62,Régions!$A$2:$A$6,0))),0)</f>
        <v/>
      </c>
      <c r="AT62">
        <f>Régions!$Q$2*V62/SUM($Q62:$V62)*100+(1-Régions!$Q$2)*MAX(P62*100+(INDEX(Régions!$AQ$2:$AQ$6,MATCH($B62,Régions!$A$2:$A$6,0))),0)</f>
        <v/>
      </c>
      <c r="AU62">
        <f>INDEX({"CAQ","PLQ","QS","PQ","PCQ","Autre"},MATCH(MAX(Q62:V62),Q62:V62,0))</f>
        <v/>
      </c>
      <c r="AV62">
        <f>INDEX({"CAQ","PLQ","QS","PQ","PCQ","Autre"},MATCH(MAX(W62:AB62),W62:AB62,0))</f>
        <v/>
      </c>
      <c r="AW62">
        <f>INDEX({"CAQ","PLQ","QS","PQ","PCQ","Autre"},MATCH(MAX(AC62:AH62),AC62:AH62,0))</f>
        <v/>
      </c>
      <c r="AX62">
        <f>INDEX({"CAQ","PLQ","QS","PQ","PCQ","Autre"},MATCH(MAX(AI62:AN62),AI62:AN62,0))</f>
        <v/>
      </c>
      <c r="AY62">
        <f>INDEX({"CAQ","PLQ","QS","PQ","PCQ","Autre"},MATCH(MAX(AO62:AT62),AO62:AT62,0))</f>
        <v/>
      </c>
      <c r="AZ62">
        <f>(MAX(K62:P62)-LARGE(K62:P62,2))*100</f>
        <v/>
      </c>
      <c r="BA62">
        <f>IF(AZ62&lt;5,"Oui","Non")</f>
        <v/>
      </c>
      <c r="BB62" t="n">
        <v>0.927</v>
      </c>
      <c r="BC62" t="n">
        <v>-1.29</v>
      </c>
      <c r="BD62" t="n">
        <v>0.745</v>
      </c>
      <c r="BE62" t="n">
        <v>3.57</v>
      </c>
    </row>
    <row r="63">
      <c r="A63" t="inlineStr">
        <is>
          <t>Laval-des-Rapides</t>
        </is>
      </c>
      <c r="B63" t="inlineStr">
        <is>
          <t>Banlieue de Montréal</t>
        </is>
      </c>
      <c r="C63">
        <f>INDEX({"CAQ","PLQ","QS","PQ","PCQ","Autre"},MATCH(MAX(D63:I63),D63:I63,0))</f>
        <v/>
      </c>
      <c r="D63" t="n">
        <v>10629.5</v>
      </c>
      <c r="E63" t="n">
        <v>9994.1</v>
      </c>
      <c r="F63" t="n">
        <v>5353.3</v>
      </c>
      <c r="G63" t="n">
        <v>4183.3</v>
      </c>
      <c r="H63" t="n">
        <v>3287.4</v>
      </c>
      <c r="I63" t="n">
        <v>427.6</v>
      </c>
      <c r="J63">
        <f>SUM(D63:I63)</f>
        <v/>
      </c>
      <c r="K63">
        <f>IFERROR(D63/$J63,0)</f>
        <v/>
      </c>
      <c r="L63">
        <f>IFERROR(E63/$J63,0)</f>
        <v/>
      </c>
      <c r="M63">
        <f>IFERROR(F63/$J63,0)</f>
        <v/>
      </c>
      <c r="N63">
        <f>IFERROR(G63/$J63,0)</f>
        <v/>
      </c>
      <c r="O63">
        <f>IFERROR(H63/$J63,0)</f>
        <v/>
      </c>
      <c r="P63">
        <f>IFERROR(I63/$J63,0)</f>
        <v/>
      </c>
      <c r="Q63">
        <f>D63*INDEX(Régions!$T$2:$T$6,MATCH($B63,Régions!$A$2:$A$6,0))</f>
        <v/>
      </c>
      <c r="R63">
        <f>E63*INDEX(Régions!$U$2:$U$6,MATCH($B63,Régions!$A$2:$A$6,0))</f>
        <v/>
      </c>
      <c r="S63">
        <f>F63*INDEX(Régions!$V$2:$V$6,MATCH($B63,Régions!$A$2:$A$6,0))</f>
        <v/>
      </c>
      <c r="T63">
        <f>G63*INDEX(Régions!$W$2:$W$6,MATCH($B63,Régions!$A$2:$A$6,0))</f>
        <v/>
      </c>
      <c r="U63">
        <f>H63*INDEX(Régions!$X$2:$X$6,MATCH($B63,Régions!$A$2:$A$6,0))</f>
        <v/>
      </c>
      <c r="V63">
        <f>I63*INDEX(Régions!$Y$2:$Y$6,MATCH($B63,Régions!$A$2:$A$6,0))</f>
        <v/>
      </c>
      <c r="W63">
        <f>Q63+(BB63/100)*$J63*Régions!$O$2</f>
        <v/>
      </c>
      <c r="X63">
        <f>R63+(BC63/100)*$J63*Régions!$O$2</f>
        <v/>
      </c>
      <c r="Y63">
        <f>S63+(BD63/100)*$J63*Régions!$O$2</f>
        <v/>
      </c>
      <c r="Z63">
        <f>T63+(BE63/100)*$J63*Régions!$O$2</f>
        <v/>
      </c>
      <c r="AA63">
        <f>U63</f>
        <v/>
      </c>
      <c r="AB63">
        <f>V63</f>
        <v/>
      </c>
      <c r="AC63">
        <f>D63*INDEX(Régions!$Z$2:$Z$6,MATCH($B63,Régions!$A$2:$A$6,0))</f>
        <v/>
      </c>
      <c r="AD63">
        <f>E63*INDEX(Régions!$AA$2:$AA$6,MATCH($B63,Régions!$A$2:$A$6,0))</f>
        <v/>
      </c>
      <c r="AE63">
        <f>F63*INDEX(Régions!$AB$2:$AB$6,MATCH($B63,Régions!$A$2:$A$6,0))</f>
        <v/>
      </c>
      <c r="AF63">
        <f>G63*INDEX(Régions!$AC$2:$AC$6,MATCH($B63,Régions!$A$2:$A$6,0))</f>
        <v/>
      </c>
      <c r="AG63">
        <f>H63*INDEX(Régions!$AD$2:$AD$6,MATCH($B63,Régions!$A$2:$A$6,0))</f>
        <v/>
      </c>
      <c r="AH63">
        <f>I63*INDEX(Régions!$AE$2:$AE$6,MATCH($B63,Régions!$A$2:$A$6,0))</f>
        <v/>
      </c>
      <c r="AI63">
        <f>D63*INDEX(Régions!$AF$2:$AF$6,MATCH($B63,Régions!$A$2:$A$6,0))</f>
        <v/>
      </c>
      <c r="AJ63">
        <f>E63*INDEX(Régions!$AG$2:$AG$6,MATCH($B63,Régions!$A$2:$A$6,0))</f>
        <v/>
      </c>
      <c r="AK63">
        <f>F63*INDEX(Régions!$AH$2:$AH$6,MATCH($B63,Régions!$A$2:$A$6,0))</f>
        <v/>
      </c>
      <c r="AL63">
        <f>G63*INDEX(Régions!$AI$2:$AI$6,MATCH($B63,Régions!$A$2:$A$6,0))</f>
        <v/>
      </c>
      <c r="AM63">
        <f>H63*INDEX(Régions!$AJ$2:$AJ$6,MATCH($B63,Régions!$A$2:$A$6,0))</f>
        <v/>
      </c>
      <c r="AN63">
        <f>I63*INDEX(Régions!$AK$2:$AK$6,MATCH($B63,Régions!$A$2:$A$6,0))</f>
        <v/>
      </c>
      <c r="AO63">
        <f>Régions!$Q$2*Q63/SUM($Q63:$V63)*100+(1-Régions!$Q$2)*MAX(K63*100+(INDEX(Régions!$AL$2:$AL$6,MATCH($B63,Régions!$A$2:$A$6,0))),0)</f>
        <v/>
      </c>
      <c r="AP63">
        <f>Régions!$Q$2*R63/SUM($Q63:$V63)*100+(1-Régions!$Q$2)*MAX(L63*100+(INDEX(Régions!$AM$2:$AM$6,MATCH($B63,Régions!$A$2:$A$6,0))),0)</f>
        <v/>
      </c>
      <c r="AQ63">
        <f>Régions!$Q$2*S63/SUM($Q63:$V63)*100+(1-Régions!$Q$2)*MAX(M63*100+(INDEX(Régions!$AN$2:$AN$6,MATCH($B63,Régions!$A$2:$A$6,0))),0)</f>
        <v/>
      </c>
      <c r="AR63">
        <f>Régions!$Q$2*T63/SUM($Q63:$V63)*100+(1-Régions!$Q$2)*MAX(N63*100+(INDEX(Régions!$AO$2:$AO$6,MATCH($B63,Régions!$A$2:$A$6,0))),0)</f>
        <v/>
      </c>
      <c r="AS63">
        <f>Régions!$Q$2*U63/SUM($Q63:$V63)*100+(1-Régions!$Q$2)*MAX(O63*100+(INDEX(Régions!$AP$2:$AP$6,MATCH($B63,Régions!$A$2:$A$6,0))),0)</f>
        <v/>
      </c>
      <c r="AT63">
        <f>Régions!$Q$2*V63/SUM($Q63:$V63)*100+(1-Régions!$Q$2)*MAX(P63*100+(INDEX(Régions!$AQ$2:$AQ$6,MATCH($B63,Régions!$A$2:$A$6,0))),0)</f>
        <v/>
      </c>
      <c r="AU63">
        <f>INDEX({"CAQ","PLQ","QS","PQ","PCQ","Autre"},MATCH(MAX(Q63:V63),Q63:V63,0))</f>
        <v/>
      </c>
      <c r="AV63">
        <f>INDEX({"CAQ","PLQ","QS","PQ","PCQ","Autre"},MATCH(MAX(W63:AB63),W63:AB63,0))</f>
        <v/>
      </c>
      <c r="AW63">
        <f>INDEX({"CAQ","PLQ","QS","PQ","PCQ","Autre"},MATCH(MAX(AC63:AH63),AC63:AH63,0))</f>
        <v/>
      </c>
      <c r="AX63">
        <f>INDEX({"CAQ","PLQ","QS","PQ","PCQ","Autre"},MATCH(MAX(AI63:AN63),AI63:AN63,0))</f>
        <v/>
      </c>
      <c r="AY63">
        <f>INDEX({"CAQ","PLQ","QS","PQ","PCQ","Autre"},MATCH(MAX(AO63:AT63),AO63:AT63,0))</f>
        <v/>
      </c>
      <c r="AZ63">
        <f>(MAX(K63:P63)-LARGE(K63:P63,2))*100</f>
        <v/>
      </c>
      <c r="BA63">
        <f>IF(AZ63&lt;5,"Oui","Non")</f>
        <v/>
      </c>
      <c r="BB63" t="n">
        <v>-2.066</v>
      </c>
      <c r="BC63" t="n">
        <v>2.893</v>
      </c>
      <c r="BD63" t="n">
        <v>0.36</v>
      </c>
      <c r="BE63" t="n">
        <v>0.837</v>
      </c>
    </row>
    <row r="64">
      <c r="A64" t="inlineStr">
        <is>
          <t>Laviolette-Saint-Maurice</t>
        </is>
      </c>
      <c r="B64" t="inlineStr">
        <is>
          <t>Reste du Québec</t>
        </is>
      </c>
      <c r="C64">
        <f>INDEX({"CAQ","PLQ","QS","PQ","PCQ","Autre"},MATCH(MAX(D64:I64),D64:I64,0))</f>
        <v/>
      </c>
      <c r="D64" t="n">
        <v>19418</v>
      </c>
      <c r="E64" t="n">
        <v>1875</v>
      </c>
      <c r="F64" t="n">
        <v>3568</v>
      </c>
      <c r="G64" t="n">
        <v>6010</v>
      </c>
      <c r="H64" t="n">
        <v>6287</v>
      </c>
      <c r="I64" t="n">
        <v>385</v>
      </c>
      <c r="J64">
        <f>SUM(D64:I64)</f>
        <v/>
      </c>
      <c r="K64">
        <f>IFERROR(D64/$J64,0)</f>
        <v/>
      </c>
      <c r="L64">
        <f>IFERROR(E64/$J64,0)</f>
        <v/>
      </c>
      <c r="M64">
        <f>IFERROR(F64/$J64,0)</f>
        <v/>
      </c>
      <c r="N64">
        <f>IFERROR(G64/$J64,0)</f>
        <v/>
      </c>
      <c r="O64">
        <f>IFERROR(H64/$J64,0)</f>
        <v/>
      </c>
      <c r="P64">
        <f>IFERROR(I64/$J64,0)</f>
        <v/>
      </c>
      <c r="Q64">
        <f>D64*INDEX(Régions!$T$2:$T$6,MATCH($B64,Régions!$A$2:$A$6,0))</f>
        <v/>
      </c>
      <c r="R64">
        <f>E64*INDEX(Régions!$U$2:$U$6,MATCH($B64,Régions!$A$2:$A$6,0))</f>
        <v/>
      </c>
      <c r="S64">
        <f>F64*INDEX(Régions!$V$2:$V$6,MATCH($B64,Régions!$A$2:$A$6,0))</f>
        <v/>
      </c>
      <c r="T64">
        <f>G64*INDEX(Régions!$W$2:$W$6,MATCH($B64,Régions!$A$2:$A$6,0))</f>
        <v/>
      </c>
      <c r="U64">
        <f>H64*INDEX(Régions!$X$2:$X$6,MATCH($B64,Régions!$A$2:$A$6,0))</f>
        <v/>
      </c>
      <c r="V64">
        <f>I64*INDEX(Régions!$Y$2:$Y$6,MATCH($B64,Régions!$A$2:$A$6,0))</f>
        <v/>
      </c>
      <c r="W64">
        <f>Q64+(BB64/100)*$J64*Régions!$O$2</f>
        <v/>
      </c>
      <c r="X64">
        <f>R64+(BC64/100)*$J64*Régions!$O$2</f>
        <v/>
      </c>
      <c r="Y64">
        <f>S64+(BD64/100)*$J64*Régions!$O$2</f>
        <v/>
      </c>
      <c r="Z64">
        <f>T64+(BE64/100)*$J64*Régions!$O$2</f>
        <v/>
      </c>
      <c r="AA64">
        <f>U64</f>
        <v/>
      </c>
      <c r="AB64">
        <f>V64</f>
        <v/>
      </c>
      <c r="AC64">
        <f>D64*INDEX(Régions!$Z$2:$Z$6,MATCH($B64,Régions!$A$2:$A$6,0))</f>
        <v/>
      </c>
      <c r="AD64">
        <f>E64*INDEX(Régions!$AA$2:$AA$6,MATCH($B64,Régions!$A$2:$A$6,0))</f>
        <v/>
      </c>
      <c r="AE64">
        <f>F64*INDEX(Régions!$AB$2:$AB$6,MATCH($B64,Régions!$A$2:$A$6,0))</f>
        <v/>
      </c>
      <c r="AF64">
        <f>G64*INDEX(Régions!$AC$2:$AC$6,MATCH($B64,Régions!$A$2:$A$6,0))</f>
        <v/>
      </c>
      <c r="AG64">
        <f>H64*INDEX(Régions!$AD$2:$AD$6,MATCH($B64,Régions!$A$2:$A$6,0))</f>
        <v/>
      </c>
      <c r="AH64">
        <f>I64*INDEX(Régions!$AE$2:$AE$6,MATCH($B64,Régions!$A$2:$A$6,0))</f>
        <v/>
      </c>
      <c r="AI64">
        <f>D64*INDEX(Régions!$AF$2:$AF$6,MATCH($B64,Régions!$A$2:$A$6,0))</f>
        <v/>
      </c>
      <c r="AJ64">
        <f>E64*INDEX(Régions!$AG$2:$AG$6,MATCH($B64,Régions!$A$2:$A$6,0))</f>
        <v/>
      </c>
      <c r="AK64">
        <f>F64*INDEX(Régions!$AH$2:$AH$6,MATCH($B64,Régions!$A$2:$A$6,0))</f>
        <v/>
      </c>
      <c r="AL64">
        <f>G64*INDEX(Régions!$AI$2:$AI$6,MATCH($B64,Régions!$A$2:$A$6,0))</f>
        <v/>
      </c>
      <c r="AM64">
        <f>H64*INDEX(Régions!$AJ$2:$AJ$6,MATCH($B64,Régions!$A$2:$A$6,0))</f>
        <v/>
      </c>
      <c r="AN64">
        <f>I64*INDEX(Régions!$AK$2:$AK$6,MATCH($B64,Régions!$A$2:$A$6,0))</f>
        <v/>
      </c>
      <c r="AO64">
        <f>Régions!$Q$2*Q64/SUM($Q64:$V64)*100+(1-Régions!$Q$2)*MAX(K64*100+(INDEX(Régions!$AL$2:$AL$6,MATCH($B64,Régions!$A$2:$A$6,0))),0)</f>
        <v/>
      </c>
      <c r="AP64">
        <f>Régions!$Q$2*R64/SUM($Q64:$V64)*100+(1-Régions!$Q$2)*MAX(L64*100+(INDEX(Régions!$AM$2:$AM$6,MATCH($B64,Régions!$A$2:$A$6,0))),0)</f>
        <v/>
      </c>
      <c r="AQ64">
        <f>Régions!$Q$2*S64/SUM($Q64:$V64)*100+(1-Régions!$Q$2)*MAX(M64*100+(INDEX(Régions!$AN$2:$AN$6,MATCH($B64,Régions!$A$2:$A$6,0))),0)</f>
        <v/>
      </c>
      <c r="AR64">
        <f>Régions!$Q$2*T64/SUM($Q64:$V64)*100+(1-Régions!$Q$2)*MAX(N64*100+(INDEX(Régions!$AO$2:$AO$6,MATCH($B64,Régions!$A$2:$A$6,0))),0)</f>
        <v/>
      </c>
      <c r="AS64">
        <f>Régions!$Q$2*U64/SUM($Q64:$V64)*100+(1-Régions!$Q$2)*MAX(O64*100+(INDEX(Régions!$AP$2:$AP$6,MATCH($B64,Régions!$A$2:$A$6,0))),0)</f>
        <v/>
      </c>
      <c r="AT64">
        <f>Régions!$Q$2*V64/SUM($Q64:$V64)*100+(1-Régions!$Q$2)*MAX(P64*100+(INDEX(Régions!$AQ$2:$AQ$6,MATCH($B64,Régions!$A$2:$A$6,0))),0)</f>
        <v/>
      </c>
      <c r="AU64">
        <f>INDEX({"CAQ","PLQ","QS","PQ","PCQ","Autre"},MATCH(MAX(Q64:V64),Q64:V64,0))</f>
        <v/>
      </c>
      <c r="AV64">
        <f>INDEX({"CAQ","PLQ","QS","PQ","PCQ","Autre"},MATCH(MAX(W64:AB64),W64:AB64,0))</f>
        <v/>
      </c>
      <c r="AW64">
        <f>INDEX({"CAQ","PLQ","QS","PQ","PCQ","Autre"},MATCH(MAX(AC64:AH64),AC64:AH64,0))</f>
        <v/>
      </c>
      <c r="AX64">
        <f>INDEX({"CAQ","PLQ","QS","PQ","PCQ","Autre"},MATCH(MAX(AI64:AN64),AI64:AN64,0))</f>
        <v/>
      </c>
      <c r="AY64">
        <f>INDEX({"CAQ","PLQ","QS","PQ","PCQ","Autre"},MATCH(MAX(AO64:AT64),AO64:AT64,0))</f>
        <v/>
      </c>
      <c r="AZ64">
        <f>(MAX(K64:P64)-LARGE(K64:P64,2))*100</f>
        <v/>
      </c>
      <c r="BA64">
        <f>IF(AZ64&lt;5,"Oui","Non")</f>
        <v/>
      </c>
      <c r="BB64" t="n">
        <v>-1.091</v>
      </c>
      <c r="BC64" t="n">
        <v>-2.676</v>
      </c>
      <c r="BD64" t="n">
        <v>-4.434</v>
      </c>
      <c r="BE64" t="n">
        <v>4.503</v>
      </c>
    </row>
    <row r="65">
      <c r="A65" t="inlineStr">
        <is>
          <t>Les Plaines</t>
        </is>
      </c>
      <c r="B65" t="inlineStr">
        <is>
          <t>Banlieue de Montréal</t>
        </is>
      </c>
      <c r="C65">
        <f>INDEX({"CAQ","PLQ","QS","PQ","PCQ","Autre"},MATCH(MAX(D65:I65),D65:I65,0))</f>
        <v/>
      </c>
      <c r="D65" t="n">
        <v>16288.9</v>
      </c>
      <c r="E65" t="n">
        <v>2381.8</v>
      </c>
      <c r="F65" t="n">
        <v>4273.8</v>
      </c>
      <c r="G65" t="n">
        <v>5347.9</v>
      </c>
      <c r="H65" t="n">
        <v>3713</v>
      </c>
      <c r="I65" t="n">
        <v>325.9</v>
      </c>
      <c r="J65">
        <f>SUM(D65:I65)</f>
        <v/>
      </c>
      <c r="K65">
        <f>IFERROR(D65/$J65,0)</f>
        <v/>
      </c>
      <c r="L65">
        <f>IFERROR(E65/$J65,0)</f>
        <v/>
      </c>
      <c r="M65">
        <f>IFERROR(F65/$J65,0)</f>
        <v/>
      </c>
      <c r="N65">
        <f>IFERROR(G65/$J65,0)</f>
        <v/>
      </c>
      <c r="O65">
        <f>IFERROR(H65/$J65,0)</f>
        <v/>
      </c>
      <c r="P65">
        <f>IFERROR(I65/$J65,0)</f>
        <v/>
      </c>
      <c r="Q65">
        <f>D65*INDEX(Régions!$T$2:$T$6,MATCH($B65,Régions!$A$2:$A$6,0))</f>
        <v/>
      </c>
      <c r="R65">
        <f>E65*INDEX(Régions!$U$2:$U$6,MATCH($B65,Régions!$A$2:$A$6,0))</f>
        <v/>
      </c>
      <c r="S65">
        <f>F65*INDEX(Régions!$V$2:$V$6,MATCH($B65,Régions!$A$2:$A$6,0))</f>
        <v/>
      </c>
      <c r="T65">
        <f>G65*INDEX(Régions!$W$2:$W$6,MATCH($B65,Régions!$A$2:$A$6,0))</f>
        <v/>
      </c>
      <c r="U65">
        <f>H65*INDEX(Régions!$X$2:$X$6,MATCH($B65,Régions!$A$2:$A$6,0))</f>
        <v/>
      </c>
      <c r="V65">
        <f>I65*INDEX(Régions!$Y$2:$Y$6,MATCH($B65,Régions!$A$2:$A$6,0))</f>
        <v/>
      </c>
      <c r="W65">
        <f>Q65+(BB65/100)*$J65*Régions!$O$2</f>
        <v/>
      </c>
      <c r="X65">
        <f>R65+(BC65/100)*$J65*Régions!$O$2</f>
        <v/>
      </c>
      <c r="Y65">
        <f>S65+(BD65/100)*$J65*Régions!$O$2</f>
        <v/>
      </c>
      <c r="Z65">
        <f>T65+(BE65/100)*$J65*Régions!$O$2</f>
        <v/>
      </c>
      <c r="AA65">
        <f>U65</f>
        <v/>
      </c>
      <c r="AB65">
        <f>V65</f>
        <v/>
      </c>
      <c r="AC65">
        <f>D65*INDEX(Régions!$Z$2:$Z$6,MATCH($B65,Régions!$A$2:$A$6,0))</f>
        <v/>
      </c>
      <c r="AD65">
        <f>E65*INDEX(Régions!$AA$2:$AA$6,MATCH($B65,Régions!$A$2:$A$6,0))</f>
        <v/>
      </c>
      <c r="AE65">
        <f>F65*INDEX(Régions!$AB$2:$AB$6,MATCH($B65,Régions!$A$2:$A$6,0))</f>
        <v/>
      </c>
      <c r="AF65">
        <f>G65*INDEX(Régions!$AC$2:$AC$6,MATCH($B65,Régions!$A$2:$A$6,0))</f>
        <v/>
      </c>
      <c r="AG65">
        <f>H65*INDEX(Régions!$AD$2:$AD$6,MATCH($B65,Régions!$A$2:$A$6,0))</f>
        <v/>
      </c>
      <c r="AH65">
        <f>I65*INDEX(Régions!$AE$2:$AE$6,MATCH($B65,Régions!$A$2:$A$6,0))</f>
        <v/>
      </c>
      <c r="AI65">
        <f>D65*INDEX(Régions!$AF$2:$AF$6,MATCH($B65,Régions!$A$2:$A$6,0))</f>
        <v/>
      </c>
      <c r="AJ65">
        <f>E65*INDEX(Régions!$AG$2:$AG$6,MATCH($B65,Régions!$A$2:$A$6,0))</f>
        <v/>
      </c>
      <c r="AK65">
        <f>F65*INDEX(Régions!$AH$2:$AH$6,MATCH($B65,Régions!$A$2:$A$6,0))</f>
        <v/>
      </c>
      <c r="AL65">
        <f>G65*INDEX(Régions!$AI$2:$AI$6,MATCH($B65,Régions!$A$2:$A$6,0))</f>
        <v/>
      </c>
      <c r="AM65">
        <f>H65*INDEX(Régions!$AJ$2:$AJ$6,MATCH($B65,Régions!$A$2:$A$6,0))</f>
        <v/>
      </c>
      <c r="AN65">
        <f>I65*INDEX(Régions!$AK$2:$AK$6,MATCH($B65,Régions!$A$2:$A$6,0))</f>
        <v/>
      </c>
      <c r="AO65">
        <f>Régions!$Q$2*Q65/SUM($Q65:$V65)*100+(1-Régions!$Q$2)*MAX(K65*100+(INDEX(Régions!$AL$2:$AL$6,MATCH($B65,Régions!$A$2:$A$6,0))),0)</f>
        <v/>
      </c>
      <c r="AP65">
        <f>Régions!$Q$2*R65/SUM($Q65:$V65)*100+(1-Régions!$Q$2)*MAX(L65*100+(INDEX(Régions!$AM$2:$AM$6,MATCH($B65,Régions!$A$2:$A$6,0))),0)</f>
        <v/>
      </c>
      <c r="AQ65">
        <f>Régions!$Q$2*S65/SUM($Q65:$V65)*100+(1-Régions!$Q$2)*MAX(M65*100+(INDEX(Régions!$AN$2:$AN$6,MATCH($B65,Régions!$A$2:$A$6,0))),0)</f>
        <v/>
      </c>
      <c r="AR65">
        <f>Régions!$Q$2*T65/SUM($Q65:$V65)*100+(1-Régions!$Q$2)*MAX(N65*100+(INDEX(Régions!$AO$2:$AO$6,MATCH($B65,Régions!$A$2:$A$6,0))),0)</f>
        <v/>
      </c>
      <c r="AS65">
        <f>Régions!$Q$2*U65/SUM($Q65:$V65)*100+(1-Régions!$Q$2)*MAX(O65*100+(INDEX(Régions!$AP$2:$AP$6,MATCH($B65,Régions!$A$2:$A$6,0))),0)</f>
        <v/>
      </c>
      <c r="AT65">
        <f>Régions!$Q$2*V65/SUM($Q65:$V65)*100+(1-Régions!$Q$2)*MAX(P65*100+(INDEX(Régions!$AQ$2:$AQ$6,MATCH($B65,Régions!$A$2:$A$6,0))),0)</f>
        <v/>
      </c>
      <c r="AU65">
        <f>INDEX({"CAQ","PLQ","QS","PQ","PCQ","Autre"},MATCH(MAX(Q65:V65),Q65:V65,0))</f>
        <v/>
      </c>
      <c r="AV65">
        <f>INDEX({"CAQ","PLQ","QS","PQ","PCQ","Autre"},MATCH(MAX(W65:AB65),W65:AB65,0))</f>
        <v/>
      </c>
      <c r="AW65">
        <f>INDEX({"CAQ","PLQ","QS","PQ","PCQ","Autre"},MATCH(MAX(AC65:AH65),AC65:AH65,0))</f>
        <v/>
      </c>
      <c r="AX65">
        <f>INDEX({"CAQ","PLQ","QS","PQ","PCQ","Autre"},MATCH(MAX(AI65:AN65),AI65:AN65,0))</f>
        <v/>
      </c>
      <c r="AY65">
        <f>INDEX({"CAQ","PLQ","QS","PQ","PCQ","Autre"},MATCH(MAX(AO65:AT65),AO65:AT65,0))</f>
        <v/>
      </c>
      <c r="AZ65">
        <f>(MAX(K65:P65)-LARGE(K65:P65,2))*100</f>
        <v/>
      </c>
      <c r="BA65">
        <f>IF(AZ65&lt;5,"Oui","Non")</f>
        <v/>
      </c>
      <c r="BB65" t="n">
        <v>-2.733</v>
      </c>
      <c r="BC65" t="n">
        <v>5.63</v>
      </c>
      <c r="BD65" t="n">
        <v>0.116</v>
      </c>
      <c r="BE65" t="n">
        <v>-4.848</v>
      </c>
    </row>
    <row r="66">
      <c r="A66" t="inlineStr">
        <is>
          <t>Lévis</t>
        </is>
      </c>
      <c r="B66" t="inlineStr">
        <is>
          <t>Québec RMR</t>
        </is>
      </c>
      <c r="C66">
        <f>INDEX({"CAQ","PLQ","QS","PQ","PCQ","Autre"},MATCH(MAX(D66:I66),D66:I66,0))</f>
        <v/>
      </c>
      <c r="D66" t="n">
        <v>18051</v>
      </c>
      <c r="E66" t="n">
        <v>1899</v>
      </c>
      <c r="F66" t="n">
        <v>4244</v>
      </c>
      <c r="G66" t="n">
        <v>4775</v>
      </c>
      <c r="H66" t="n">
        <v>7677</v>
      </c>
      <c r="I66" t="n">
        <v>351</v>
      </c>
      <c r="J66">
        <f>SUM(D66:I66)</f>
        <v/>
      </c>
      <c r="K66">
        <f>IFERROR(D66/$J66,0)</f>
        <v/>
      </c>
      <c r="L66">
        <f>IFERROR(E66/$J66,0)</f>
        <v/>
      </c>
      <c r="M66">
        <f>IFERROR(F66/$J66,0)</f>
        <v/>
      </c>
      <c r="N66">
        <f>IFERROR(G66/$J66,0)</f>
        <v/>
      </c>
      <c r="O66">
        <f>IFERROR(H66/$J66,0)</f>
        <v/>
      </c>
      <c r="P66">
        <f>IFERROR(I66/$J66,0)</f>
        <v/>
      </c>
      <c r="Q66">
        <f>D66*INDEX(Régions!$T$2:$T$6,MATCH($B66,Régions!$A$2:$A$6,0))</f>
        <v/>
      </c>
      <c r="R66">
        <f>E66*INDEX(Régions!$U$2:$U$6,MATCH($B66,Régions!$A$2:$A$6,0))</f>
        <v/>
      </c>
      <c r="S66">
        <f>F66*INDEX(Régions!$V$2:$V$6,MATCH($B66,Régions!$A$2:$A$6,0))</f>
        <v/>
      </c>
      <c r="T66">
        <f>G66*INDEX(Régions!$W$2:$W$6,MATCH($B66,Régions!$A$2:$A$6,0))</f>
        <v/>
      </c>
      <c r="U66">
        <f>H66*INDEX(Régions!$X$2:$X$6,MATCH($B66,Régions!$A$2:$A$6,0))</f>
        <v/>
      </c>
      <c r="V66">
        <f>I66*INDEX(Régions!$Y$2:$Y$6,MATCH($B66,Régions!$A$2:$A$6,0))</f>
        <v/>
      </c>
      <c r="W66">
        <f>Q66+(BB66/100)*$J66*Régions!$O$2</f>
        <v/>
      </c>
      <c r="X66">
        <f>R66+(BC66/100)*$J66*Régions!$O$2</f>
        <v/>
      </c>
      <c r="Y66">
        <f>S66+(BD66/100)*$J66*Régions!$O$2</f>
        <v/>
      </c>
      <c r="Z66">
        <f>T66+(BE66/100)*$J66*Régions!$O$2</f>
        <v/>
      </c>
      <c r="AA66">
        <f>U66</f>
        <v/>
      </c>
      <c r="AB66">
        <f>V66</f>
        <v/>
      </c>
      <c r="AC66">
        <f>D66*INDEX(Régions!$Z$2:$Z$6,MATCH($B66,Régions!$A$2:$A$6,0))</f>
        <v/>
      </c>
      <c r="AD66">
        <f>E66*INDEX(Régions!$AA$2:$AA$6,MATCH($B66,Régions!$A$2:$A$6,0))</f>
        <v/>
      </c>
      <c r="AE66">
        <f>F66*INDEX(Régions!$AB$2:$AB$6,MATCH($B66,Régions!$A$2:$A$6,0))</f>
        <v/>
      </c>
      <c r="AF66">
        <f>G66*INDEX(Régions!$AC$2:$AC$6,MATCH($B66,Régions!$A$2:$A$6,0))</f>
        <v/>
      </c>
      <c r="AG66">
        <f>H66*INDEX(Régions!$AD$2:$AD$6,MATCH($B66,Régions!$A$2:$A$6,0))</f>
        <v/>
      </c>
      <c r="AH66">
        <f>I66*INDEX(Régions!$AE$2:$AE$6,MATCH($B66,Régions!$A$2:$A$6,0))</f>
        <v/>
      </c>
      <c r="AI66">
        <f>D66*INDEX(Régions!$AF$2:$AF$6,MATCH($B66,Régions!$A$2:$A$6,0))</f>
        <v/>
      </c>
      <c r="AJ66">
        <f>E66*INDEX(Régions!$AG$2:$AG$6,MATCH($B66,Régions!$A$2:$A$6,0))</f>
        <v/>
      </c>
      <c r="AK66">
        <f>F66*INDEX(Régions!$AH$2:$AH$6,MATCH($B66,Régions!$A$2:$A$6,0))</f>
        <v/>
      </c>
      <c r="AL66">
        <f>G66*INDEX(Régions!$AI$2:$AI$6,MATCH($B66,Régions!$A$2:$A$6,0))</f>
        <v/>
      </c>
      <c r="AM66">
        <f>H66*INDEX(Régions!$AJ$2:$AJ$6,MATCH($B66,Régions!$A$2:$A$6,0))</f>
        <v/>
      </c>
      <c r="AN66">
        <f>I66*INDEX(Régions!$AK$2:$AK$6,MATCH($B66,Régions!$A$2:$A$6,0))</f>
        <v/>
      </c>
      <c r="AO66">
        <f>Régions!$Q$2*Q66/SUM($Q66:$V66)*100+(1-Régions!$Q$2)*MAX(K66*100+(INDEX(Régions!$AL$2:$AL$6,MATCH($B66,Régions!$A$2:$A$6,0))),0)</f>
        <v/>
      </c>
      <c r="AP66">
        <f>Régions!$Q$2*R66/SUM($Q66:$V66)*100+(1-Régions!$Q$2)*MAX(L66*100+(INDEX(Régions!$AM$2:$AM$6,MATCH($B66,Régions!$A$2:$A$6,0))),0)</f>
        <v/>
      </c>
      <c r="AQ66">
        <f>Régions!$Q$2*S66/SUM($Q66:$V66)*100+(1-Régions!$Q$2)*MAX(M66*100+(INDEX(Régions!$AN$2:$AN$6,MATCH($B66,Régions!$A$2:$A$6,0))),0)</f>
        <v/>
      </c>
      <c r="AR66">
        <f>Régions!$Q$2*T66/SUM($Q66:$V66)*100+(1-Régions!$Q$2)*MAX(N66*100+(INDEX(Régions!$AO$2:$AO$6,MATCH($B66,Régions!$A$2:$A$6,0))),0)</f>
        <v/>
      </c>
      <c r="AS66">
        <f>Régions!$Q$2*U66/SUM($Q66:$V66)*100+(1-Régions!$Q$2)*MAX(O66*100+(INDEX(Régions!$AP$2:$AP$6,MATCH($B66,Régions!$A$2:$A$6,0))),0)</f>
        <v/>
      </c>
      <c r="AT66">
        <f>Régions!$Q$2*V66/SUM($Q66:$V66)*100+(1-Régions!$Q$2)*MAX(P66*100+(INDEX(Régions!$AQ$2:$AQ$6,MATCH($B66,Régions!$A$2:$A$6,0))),0)</f>
        <v/>
      </c>
      <c r="AU66">
        <f>INDEX({"CAQ","PLQ","QS","PQ","PCQ","Autre"},MATCH(MAX(Q66:V66),Q66:V66,0))</f>
        <v/>
      </c>
      <c r="AV66">
        <f>INDEX({"CAQ","PLQ","QS","PQ","PCQ","Autre"},MATCH(MAX(W66:AB66),W66:AB66,0))</f>
        <v/>
      </c>
      <c r="AW66">
        <f>INDEX({"CAQ","PLQ","QS","PQ","PCQ","Autre"},MATCH(MAX(AC66:AH66),AC66:AH66,0))</f>
        <v/>
      </c>
      <c r="AX66">
        <f>INDEX({"CAQ","PLQ","QS","PQ","PCQ","Autre"},MATCH(MAX(AI66:AN66),AI66:AN66,0))</f>
        <v/>
      </c>
      <c r="AY66">
        <f>INDEX({"CAQ","PLQ","QS","PQ","PCQ","Autre"},MATCH(MAX(AO66:AT66),AO66:AT66,0))</f>
        <v/>
      </c>
      <c r="AZ66">
        <f>(MAX(K66:P66)-LARGE(K66:P66,2))*100</f>
        <v/>
      </c>
      <c r="BA66">
        <f>IF(AZ66&lt;5,"Oui","Non")</f>
        <v/>
      </c>
      <c r="BB66" t="n">
        <v>-5.717</v>
      </c>
      <c r="BC66" t="n">
        <v>5.573</v>
      </c>
      <c r="BD66" t="n">
        <v>0.039</v>
      </c>
      <c r="BE66" t="n">
        <v>0.629</v>
      </c>
    </row>
    <row r="67">
      <c r="A67" t="inlineStr">
        <is>
          <t>Lotbinière-Frontenac</t>
        </is>
      </c>
      <c r="B67" t="inlineStr">
        <is>
          <t>Reste du Québec</t>
        </is>
      </c>
      <c r="C67">
        <f>INDEX({"CAQ","PLQ","QS","PQ","PCQ","Autre"},MATCH(MAX(D67:I67),D67:I67,0))</f>
        <v/>
      </c>
      <c r="D67" t="n">
        <v>18330</v>
      </c>
      <c r="E67" t="n">
        <v>2483</v>
      </c>
      <c r="F67" t="n">
        <v>3925</v>
      </c>
      <c r="G67" t="n">
        <v>3688</v>
      </c>
      <c r="H67" t="n">
        <v>13503</v>
      </c>
      <c r="I67" t="n">
        <v>0</v>
      </c>
      <c r="J67">
        <f>SUM(D67:I67)</f>
        <v/>
      </c>
      <c r="K67">
        <f>IFERROR(D67/$J67,0)</f>
        <v/>
      </c>
      <c r="L67">
        <f>IFERROR(E67/$J67,0)</f>
        <v/>
      </c>
      <c r="M67">
        <f>IFERROR(F67/$J67,0)</f>
        <v/>
      </c>
      <c r="N67">
        <f>IFERROR(G67/$J67,0)</f>
        <v/>
      </c>
      <c r="O67">
        <f>IFERROR(H67/$J67,0)</f>
        <v/>
      </c>
      <c r="P67">
        <f>IFERROR(I67/$J67,0)</f>
        <v/>
      </c>
      <c r="Q67">
        <f>D67*INDEX(Régions!$T$2:$T$6,MATCH($B67,Régions!$A$2:$A$6,0))</f>
        <v/>
      </c>
      <c r="R67">
        <f>E67*INDEX(Régions!$U$2:$U$6,MATCH($B67,Régions!$A$2:$A$6,0))</f>
        <v/>
      </c>
      <c r="S67">
        <f>F67*INDEX(Régions!$V$2:$V$6,MATCH($B67,Régions!$A$2:$A$6,0))</f>
        <v/>
      </c>
      <c r="T67">
        <f>G67*INDEX(Régions!$W$2:$W$6,MATCH($B67,Régions!$A$2:$A$6,0))</f>
        <v/>
      </c>
      <c r="U67">
        <f>H67*INDEX(Régions!$X$2:$X$6,MATCH($B67,Régions!$A$2:$A$6,0))</f>
        <v/>
      </c>
      <c r="V67">
        <f>I67*INDEX(Régions!$Y$2:$Y$6,MATCH($B67,Régions!$A$2:$A$6,0))</f>
        <v/>
      </c>
      <c r="W67">
        <f>Q67+(BB67/100)*$J67*Régions!$O$2</f>
        <v/>
      </c>
      <c r="X67">
        <f>R67+(BC67/100)*$J67*Régions!$O$2</f>
        <v/>
      </c>
      <c r="Y67">
        <f>S67+(BD67/100)*$J67*Régions!$O$2</f>
        <v/>
      </c>
      <c r="Z67">
        <f>T67+(BE67/100)*$J67*Régions!$O$2</f>
        <v/>
      </c>
      <c r="AA67">
        <f>U67</f>
        <v/>
      </c>
      <c r="AB67">
        <f>V67</f>
        <v/>
      </c>
      <c r="AC67">
        <f>D67*INDEX(Régions!$Z$2:$Z$6,MATCH($B67,Régions!$A$2:$A$6,0))</f>
        <v/>
      </c>
      <c r="AD67">
        <f>E67*INDEX(Régions!$AA$2:$AA$6,MATCH($B67,Régions!$A$2:$A$6,0))</f>
        <v/>
      </c>
      <c r="AE67">
        <f>F67*INDEX(Régions!$AB$2:$AB$6,MATCH($B67,Régions!$A$2:$A$6,0))</f>
        <v/>
      </c>
      <c r="AF67">
        <f>G67*INDEX(Régions!$AC$2:$AC$6,MATCH($B67,Régions!$A$2:$A$6,0))</f>
        <v/>
      </c>
      <c r="AG67">
        <f>H67*INDEX(Régions!$AD$2:$AD$6,MATCH($B67,Régions!$A$2:$A$6,0))</f>
        <v/>
      </c>
      <c r="AH67">
        <f>I67*INDEX(Régions!$AE$2:$AE$6,MATCH($B67,Régions!$A$2:$A$6,0))</f>
        <v/>
      </c>
      <c r="AI67">
        <f>D67*INDEX(Régions!$AF$2:$AF$6,MATCH($B67,Régions!$A$2:$A$6,0))</f>
        <v/>
      </c>
      <c r="AJ67">
        <f>E67*INDEX(Régions!$AG$2:$AG$6,MATCH($B67,Régions!$A$2:$A$6,0))</f>
        <v/>
      </c>
      <c r="AK67">
        <f>F67*INDEX(Régions!$AH$2:$AH$6,MATCH($B67,Régions!$A$2:$A$6,0))</f>
        <v/>
      </c>
      <c r="AL67">
        <f>G67*INDEX(Régions!$AI$2:$AI$6,MATCH($B67,Régions!$A$2:$A$6,0))</f>
        <v/>
      </c>
      <c r="AM67">
        <f>H67*INDEX(Régions!$AJ$2:$AJ$6,MATCH($B67,Régions!$A$2:$A$6,0))</f>
        <v/>
      </c>
      <c r="AN67">
        <f>I67*INDEX(Régions!$AK$2:$AK$6,MATCH($B67,Régions!$A$2:$A$6,0))</f>
        <v/>
      </c>
      <c r="AO67">
        <f>Régions!$Q$2*Q67/SUM($Q67:$V67)*100+(1-Régions!$Q$2)*MAX(K67*100+(INDEX(Régions!$AL$2:$AL$6,MATCH($B67,Régions!$A$2:$A$6,0))),0)</f>
        <v/>
      </c>
      <c r="AP67">
        <f>Régions!$Q$2*R67/SUM($Q67:$V67)*100+(1-Régions!$Q$2)*MAX(L67*100+(INDEX(Régions!$AM$2:$AM$6,MATCH($B67,Régions!$A$2:$A$6,0))),0)</f>
        <v/>
      </c>
      <c r="AQ67">
        <f>Régions!$Q$2*S67/SUM($Q67:$V67)*100+(1-Régions!$Q$2)*MAX(M67*100+(INDEX(Régions!$AN$2:$AN$6,MATCH($B67,Régions!$A$2:$A$6,0))),0)</f>
        <v/>
      </c>
      <c r="AR67">
        <f>Régions!$Q$2*T67/SUM($Q67:$V67)*100+(1-Régions!$Q$2)*MAX(N67*100+(INDEX(Régions!$AO$2:$AO$6,MATCH($B67,Régions!$A$2:$A$6,0))),0)</f>
        <v/>
      </c>
      <c r="AS67">
        <f>Régions!$Q$2*U67/SUM($Q67:$V67)*100+(1-Régions!$Q$2)*MAX(O67*100+(INDEX(Régions!$AP$2:$AP$6,MATCH($B67,Régions!$A$2:$A$6,0))),0)</f>
        <v/>
      </c>
      <c r="AT67">
        <f>Régions!$Q$2*V67/SUM($Q67:$V67)*100+(1-Régions!$Q$2)*MAX(P67*100+(INDEX(Régions!$AQ$2:$AQ$6,MATCH($B67,Régions!$A$2:$A$6,0))),0)</f>
        <v/>
      </c>
      <c r="AU67">
        <f>INDEX({"CAQ","PLQ","QS","PQ","PCQ","Autre"},MATCH(MAX(Q67:V67),Q67:V67,0))</f>
        <v/>
      </c>
      <c r="AV67">
        <f>INDEX({"CAQ","PLQ","QS","PQ","PCQ","Autre"},MATCH(MAX(W67:AB67),W67:AB67,0))</f>
        <v/>
      </c>
      <c r="AW67">
        <f>INDEX({"CAQ","PLQ","QS","PQ","PCQ","Autre"},MATCH(MAX(AC67:AH67),AC67:AH67,0))</f>
        <v/>
      </c>
      <c r="AX67">
        <f>INDEX({"CAQ","PLQ","QS","PQ","PCQ","Autre"},MATCH(MAX(AI67:AN67),AI67:AN67,0))</f>
        <v/>
      </c>
      <c r="AY67">
        <f>INDEX({"CAQ","PLQ","QS","PQ","PCQ","Autre"},MATCH(MAX(AO67:AT67),AO67:AT67,0))</f>
        <v/>
      </c>
      <c r="AZ67">
        <f>(MAX(K67:P67)-LARGE(K67:P67,2))*100</f>
        <v/>
      </c>
      <c r="BA67">
        <f>IF(AZ67&lt;5,"Oui","Non")</f>
        <v/>
      </c>
      <c r="BB67" t="n">
        <v>-17.472</v>
      </c>
      <c r="BC67" t="n">
        <v>-1.423</v>
      </c>
      <c r="BD67" t="n">
        <v>1.052</v>
      </c>
      <c r="BE67" t="n">
        <v>3.474</v>
      </c>
    </row>
    <row r="68">
      <c r="A68" t="inlineStr">
        <is>
          <t>Louis-Hébert</t>
        </is>
      </c>
      <c r="B68" t="inlineStr">
        <is>
          <t>Québec RMR</t>
        </is>
      </c>
      <c r="C68">
        <f>INDEX({"CAQ","PLQ","QS","PQ","PCQ","Autre"},MATCH(MAX(D68:I68),D68:I68,0))</f>
        <v/>
      </c>
      <c r="D68" t="n">
        <v>17803</v>
      </c>
      <c r="E68" t="n">
        <v>3283</v>
      </c>
      <c r="F68" t="n">
        <v>4537</v>
      </c>
      <c r="G68" t="n">
        <v>6228</v>
      </c>
      <c r="H68" t="n">
        <v>5509</v>
      </c>
      <c r="I68" t="n">
        <v>350</v>
      </c>
      <c r="J68">
        <f>SUM(D68:I68)</f>
        <v/>
      </c>
      <c r="K68">
        <f>IFERROR(D68/$J68,0)</f>
        <v/>
      </c>
      <c r="L68">
        <f>IFERROR(E68/$J68,0)</f>
        <v/>
      </c>
      <c r="M68">
        <f>IFERROR(F68/$J68,0)</f>
        <v/>
      </c>
      <c r="N68">
        <f>IFERROR(G68/$J68,0)</f>
        <v/>
      </c>
      <c r="O68">
        <f>IFERROR(H68/$J68,0)</f>
        <v/>
      </c>
      <c r="P68">
        <f>IFERROR(I68/$J68,0)</f>
        <v/>
      </c>
      <c r="Q68">
        <f>D68*INDEX(Régions!$T$2:$T$6,MATCH($B68,Régions!$A$2:$A$6,0))</f>
        <v/>
      </c>
      <c r="R68">
        <f>E68*INDEX(Régions!$U$2:$U$6,MATCH($B68,Régions!$A$2:$A$6,0))</f>
        <v/>
      </c>
      <c r="S68">
        <f>F68*INDEX(Régions!$V$2:$V$6,MATCH($B68,Régions!$A$2:$A$6,0))</f>
        <v/>
      </c>
      <c r="T68">
        <f>G68*INDEX(Régions!$W$2:$W$6,MATCH($B68,Régions!$A$2:$A$6,0))</f>
        <v/>
      </c>
      <c r="U68">
        <f>H68*INDEX(Régions!$X$2:$X$6,MATCH($B68,Régions!$A$2:$A$6,0))</f>
        <v/>
      </c>
      <c r="V68">
        <f>I68*INDEX(Régions!$Y$2:$Y$6,MATCH($B68,Régions!$A$2:$A$6,0))</f>
        <v/>
      </c>
      <c r="W68">
        <f>Q68+(BB68/100)*$J68*Régions!$O$2</f>
        <v/>
      </c>
      <c r="X68">
        <f>R68+(BC68/100)*$J68*Régions!$O$2</f>
        <v/>
      </c>
      <c r="Y68">
        <f>S68+(BD68/100)*$J68*Régions!$O$2</f>
        <v/>
      </c>
      <c r="Z68">
        <f>T68+(BE68/100)*$J68*Régions!$O$2</f>
        <v/>
      </c>
      <c r="AA68">
        <f>U68</f>
        <v/>
      </c>
      <c r="AB68">
        <f>V68</f>
        <v/>
      </c>
      <c r="AC68">
        <f>D68*INDEX(Régions!$Z$2:$Z$6,MATCH($B68,Régions!$A$2:$A$6,0))</f>
        <v/>
      </c>
      <c r="AD68">
        <f>E68*INDEX(Régions!$AA$2:$AA$6,MATCH($B68,Régions!$A$2:$A$6,0))</f>
        <v/>
      </c>
      <c r="AE68">
        <f>F68*INDEX(Régions!$AB$2:$AB$6,MATCH($B68,Régions!$A$2:$A$6,0))</f>
        <v/>
      </c>
      <c r="AF68">
        <f>G68*INDEX(Régions!$AC$2:$AC$6,MATCH($B68,Régions!$A$2:$A$6,0))</f>
        <v/>
      </c>
      <c r="AG68">
        <f>H68*INDEX(Régions!$AD$2:$AD$6,MATCH($B68,Régions!$A$2:$A$6,0))</f>
        <v/>
      </c>
      <c r="AH68">
        <f>I68*INDEX(Régions!$AE$2:$AE$6,MATCH($B68,Régions!$A$2:$A$6,0))</f>
        <v/>
      </c>
      <c r="AI68">
        <f>D68*INDEX(Régions!$AF$2:$AF$6,MATCH($B68,Régions!$A$2:$A$6,0))</f>
        <v/>
      </c>
      <c r="AJ68">
        <f>E68*INDEX(Régions!$AG$2:$AG$6,MATCH($B68,Régions!$A$2:$A$6,0))</f>
        <v/>
      </c>
      <c r="AK68">
        <f>F68*INDEX(Régions!$AH$2:$AH$6,MATCH($B68,Régions!$A$2:$A$6,0))</f>
        <v/>
      </c>
      <c r="AL68">
        <f>G68*INDEX(Régions!$AI$2:$AI$6,MATCH($B68,Régions!$A$2:$A$6,0))</f>
        <v/>
      </c>
      <c r="AM68">
        <f>H68*INDEX(Régions!$AJ$2:$AJ$6,MATCH($B68,Régions!$A$2:$A$6,0))</f>
        <v/>
      </c>
      <c r="AN68">
        <f>I68*INDEX(Régions!$AK$2:$AK$6,MATCH($B68,Régions!$A$2:$A$6,0))</f>
        <v/>
      </c>
      <c r="AO68">
        <f>Régions!$Q$2*Q68/SUM($Q68:$V68)*100+(1-Régions!$Q$2)*MAX(K68*100+(INDEX(Régions!$AL$2:$AL$6,MATCH($B68,Régions!$A$2:$A$6,0))),0)</f>
        <v/>
      </c>
      <c r="AP68">
        <f>Régions!$Q$2*R68/SUM($Q68:$V68)*100+(1-Régions!$Q$2)*MAX(L68*100+(INDEX(Régions!$AM$2:$AM$6,MATCH($B68,Régions!$A$2:$A$6,0))),0)</f>
        <v/>
      </c>
      <c r="AQ68">
        <f>Régions!$Q$2*S68/SUM($Q68:$V68)*100+(1-Régions!$Q$2)*MAX(M68*100+(INDEX(Régions!$AN$2:$AN$6,MATCH($B68,Régions!$A$2:$A$6,0))),0)</f>
        <v/>
      </c>
      <c r="AR68">
        <f>Régions!$Q$2*T68/SUM($Q68:$V68)*100+(1-Régions!$Q$2)*MAX(N68*100+(INDEX(Régions!$AO$2:$AO$6,MATCH($B68,Régions!$A$2:$A$6,0))),0)</f>
        <v/>
      </c>
      <c r="AS68">
        <f>Régions!$Q$2*U68/SUM($Q68:$V68)*100+(1-Régions!$Q$2)*MAX(O68*100+(INDEX(Régions!$AP$2:$AP$6,MATCH($B68,Régions!$A$2:$A$6,0))),0)</f>
        <v/>
      </c>
      <c r="AT68">
        <f>Régions!$Q$2*V68/SUM($Q68:$V68)*100+(1-Régions!$Q$2)*MAX(P68*100+(INDEX(Régions!$AQ$2:$AQ$6,MATCH($B68,Régions!$A$2:$A$6,0))),0)</f>
        <v/>
      </c>
      <c r="AU68">
        <f>INDEX({"CAQ","PLQ","QS","PQ","PCQ","Autre"},MATCH(MAX(Q68:V68),Q68:V68,0))</f>
        <v/>
      </c>
      <c r="AV68">
        <f>INDEX({"CAQ","PLQ","QS","PQ","PCQ","Autre"},MATCH(MAX(W68:AB68),W68:AB68,0))</f>
        <v/>
      </c>
      <c r="AW68">
        <f>INDEX({"CAQ","PLQ","QS","PQ","PCQ","Autre"},MATCH(MAX(AC68:AH68),AC68:AH68,0))</f>
        <v/>
      </c>
      <c r="AX68">
        <f>INDEX({"CAQ","PLQ","QS","PQ","PCQ","Autre"},MATCH(MAX(AI68:AN68),AI68:AN68,0))</f>
        <v/>
      </c>
      <c r="AY68">
        <f>INDEX({"CAQ","PLQ","QS","PQ","PCQ","Autre"},MATCH(MAX(AO68:AT68),AO68:AT68,0))</f>
        <v/>
      </c>
      <c r="AZ68">
        <f>(MAX(K68:P68)-LARGE(K68:P68,2))*100</f>
        <v/>
      </c>
      <c r="BA68">
        <f>IF(AZ68&lt;5,"Oui","Non")</f>
        <v/>
      </c>
      <c r="BB68" t="n">
        <v>5.407</v>
      </c>
      <c r="BC68" t="n">
        <v>-3.012</v>
      </c>
      <c r="BD68" t="n">
        <v>1.281</v>
      </c>
      <c r="BE68" t="n">
        <v>2.062</v>
      </c>
    </row>
    <row r="69">
      <c r="A69" t="inlineStr">
        <is>
          <t>Marguerite-Bourgeoys</t>
        </is>
      </c>
      <c r="B69" t="inlineStr">
        <is>
          <t>Île de Montréal</t>
        </is>
      </c>
      <c r="C69">
        <f>INDEX({"CAQ","PLQ","QS","PQ","PCQ","Autre"},MATCH(MAX(D69:I69),D69:I69,0))</f>
        <v/>
      </c>
      <c r="D69" t="n">
        <v>6533</v>
      </c>
      <c r="E69" t="n">
        <v>12635</v>
      </c>
      <c r="F69" t="n">
        <v>2898</v>
      </c>
      <c r="G69" t="n">
        <v>1966</v>
      </c>
      <c r="H69" t="n">
        <v>3103</v>
      </c>
      <c r="I69" t="n">
        <v>1081</v>
      </c>
      <c r="J69">
        <f>SUM(D69:I69)</f>
        <v/>
      </c>
      <c r="K69">
        <f>IFERROR(D69/$J69,0)</f>
        <v/>
      </c>
      <c r="L69">
        <f>IFERROR(E69/$J69,0)</f>
        <v/>
      </c>
      <c r="M69">
        <f>IFERROR(F69/$J69,0)</f>
        <v/>
      </c>
      <c r="N69">
        <f>IFERROR(G69/$J69,0)</f>
        <v/>
      </c>
      <c r="O69">
        <f>IFERROR(H69/$J69,0)</f>
        <v/>
      </c>
      <c r="P69">
        <f>IFERROR(I69/$J69,0)</f>
        <v/>
      </c>
      <c r="Q69">
        <f>D69*INDEX(Régions!$T$2:$T$6,MATCH($B69,Régions!$A$2:$A$6,0))</f>
        <v/>
      </c>
      <c r="R69">
        <f>E69*INDEX(Régions!$U$2:$U$6,MATCH($B69,Régions!$A$2:$A$6,0))</f>
        <v/>
      </c>
      <c r="S69">
        <f>F69*INDEX(Régions!$V$2:$V$6,MATCH($B69,Régions!$A$2:$A$6,0))</f>
        <v/>
      </c>
      <c r="T69">
        <f>G69*INDEX(Régions!$W$2:$W$6,MATCH($B69,Régions!$A$2:$A$6,0))</f>
        <v/>
      </c>
      <c r="U69">
        <f>H69*INDEX(Régions!$X$2:$X$6,MATCH($B69,Régions!$A$2:$A$6,0))</f>
        <v/>
      </c>
      <c r="V69">
        <f>I69*INDEX(Régions!$Y$2:$Y$6,MATCH($B69,Régions!$A$2:$A$6,0))</f>
        <v/>
      </c>
      <c r="W69">
        <f>Q69+(BB69/100)*$J69*Régions!$O$2</f>
        <v/>
      </c>
      <c r="X69">
        <f>R69+(BC69/100)*$J69*Régions!$O$2</f>
        <v/>
      </c>
      <c r="Y69">
        <f>S69+(BD69/100)*$J69*Régions!$O$2</f>
        <v/>
      </c>
      <c r="Z69">
        <f>T69+(BE69/100)*$J69*Régions!$O$2</f>
        <v/>
      </c>
      <c r="AA69">
        <f>U69</f>
        <v/>
      </c>
      <c r="AB69">
        <f>V69</f>
        <v/>
      </c>
      <c r="AC69">
        <f>D69*INDEX(Régions!$Z$2:$Z$6,MATCH($B69,Régions!$A$2:$A$6,0))</f>
        <v/>
      </c>
      <c r="AD69">
        <f>E69*INDEX(Régions!$AA$2:$AA$6,MATCH($B69,Régions!$A$2:$A$6,0))</f>
        <v/>
      </c>
      <c r="AE69">
        <f>F69*INDEX(Régions!$AB$2:$AB$6,MATCH($B69,Régions!$A$2:$A$6,0))</f>
        <v/>
      </c>
      <c r="AF69">
        <f>G69*INDEX(Régions!$AC$2:$AC$6,MATCH($B69,Régions!$A$2:$A$6,0))</f>
        <v/>
      </c>
      <c r="AG69">
        <f>H69*INDEX(Régions!$AD$2:$AD$6,MATCH($B69,Régions!$A$2:$A$6,0))</f>
        <v/>
      </c>
      <c r="AH69">
        <f>I69*INDEX(Régions!$AE$2:$AE$6,MATCH($B69,Régions!$A$2:$A$6,0))</f>
        <v/>
      </c>
      <c r="AI69">
        <f>D69*INDEX(Régions!$AF$2:$AF$6,MATCH($B69,Régions!$A$2:$A$6,0))</f>
        <v/>
      </c>
      <c r="AJ69">
        <f>E69*INDEX(Régions!$AG$2:$AG$6,MATCH($B69,Régions!$A$2:$A$6,0))</f>
        <v/>
      </c>
      <c r="AK69">
        <f>F69*INDEX(Régions!$AH$2:$AH$6,MATCH($B69,Régions!$A$2:$A$6,0))</f>
        <v/>
      </c>
      <c r="AL69">
        <f>G69*INDEX(Régions!$AI$2:$AI$6,MATCH($B69,Régions!$A$2:$A$6,0))</f>
        <v/>
      </c>
      <c r="AM69">
        <f>H69*INDEX(Régions!$AJ$2:$AJ$6,MATCH($B69,Régions!$A$2:$A$6,0))</f>
        <v/>
      </c>
      <c r="AN69">
        <f>I69*INDEX(Régions!$AK$2:$AK$6,MATCH($B69,Régions!$A$2:$A$6,0))</f>
        <v/>
      </c>
      <c r="AO69">
        <f>Régions!$Q$2*Q69/SUM($Q69:$V69)*100+(1-Régions!$Q$2)*MAX(K69*100+(INDEX(Régions!$AL$2:$AL$6,MATCH($B69,Régions!$A$2:$A$6,0))),0)</f>
        <v/>
      </c>
      <c r="AP69">
        <f>Régions!$Q$2*R69/SUM($Q69:$V69)*100+(1-Régions!$Q$2)*MAX(L69*100+(INDEX(Régions!$AM$2:$AM$6,MATCH($B69,Régions!$A$2:$A$6,0))),0)</f>
        <v/>
      </c>
      <c r="AQ69">
        <f>Régions!$Q$2*S69/SUM($Q69:$V69)*100+(1-Régions!$Q$2)*MAX(M69*100+(INDEX(Régions!$AN$2:$AN$6,MATCH($B69,Régions!$A$2:$A$6,0))),0)</f>
        <v/>
      </c>
      <c r="AR69">
        <f>Régions!$Q$2*T69/SUM($Q69:$V69)*100+(1-Régions!$Q$2)*MAX(N69*100+(INDEX(Régions!$AO$2:$AO$6,MATCH($B69,Régions!$A$2:$A$6,0))),0)</f>
        <v/>
      </c>
      <c r="AS69">
        <f>Régions!$Q$2*U69/SUM($Q69:$V69)*100+(1-Régions!$Q$2)*MAX(O69*100+(INDEX(Régions!$AP$2:$AP$6,MATCH($B69,Régions!$A$2:$A$6,0))),0)</f>
        <v/>
      </c>
      <c r="AT69">
        <f>Régions!$Q$2*V69/SUM($Q69:$V69)*100+(1-Régions!$Q$2)*MAX(P69*100+(INDEX(Régions!$AQ$2:$AQ$6,MATCH($B69,Régions!$A$2:$A$6,0))),0)</f>
        <v/>
      </c>
      <c r="AU69">
        <f>INDEX({"CAQ","PLQ","QS","PQ","PCQ","Autre"},MATCH(MAX(Q69:V69),Q69:V69,0))</f>
        <v/>
      </c>
      <c r="AV69">
        <f>INDEX({"CAQ","PLQ","QS","PQ","PCQ","Autre"},MATCH(MAX(W69:AB69),W69:AB69,0))</f>
        <v/>
      </c>
      <c r="AW69">
        <f>INDEX({"CAQ","PLQ","QS","PQ","PCQ","Autre"},MATCH(MAX(AC69:AH69),AC69:AH69,0))</f>
        <v/>
      </c>
      <c r="AX69">
        <f>INDEX({"CAQ","PLQ","QS","PQ","PCQ","Autre"},MATCH(MAX(AI69:AN69),AI69:AN69,0))</f>
        <v/>
      </c>
      <c r="AY69">
        <f>INDEX({"CAQ","PLQ","QS","PQ","PCQ","Autre"},MATCH(MAX(AO69:AT69),AO69:AT69,0))</f>
        <v/>
      </c>
      <c r="AZ69">
        <f>(MAX(K69:P69)-LARGE(K69:P69,2))*100</f>
        <v/>
      </c>
      <c r="BA69">
        <f>IF(AZ69&lt;5,"Oui","Non")</f>
        <v/>
      </c>
      <c r="BB69" t="n">
        <v>-2.278</v>
      </c>
      <c r="BC69" t="n">
        <v>0.192</v>
      </c>
      <c r="BD69" t="n">
        <v>-1.26</v>
      </c>
      <c r="BE69" t="n">
        <v>-0.374</v>
      </c>
    </row>
    <row r="70">
      <c r="A70" t="inlineStr">
        <is>
          <t>Marie-Lacoste-Gérin-Lajoie</t>
        </is>
      </c>
      <c r="B70" t="inlineStr">
        <is>
          <t>Reste du Québec</t>
        </is>
      </c>
      <c r="C70">
        <f>INDEX({"CAQ","PLQ","QS","PQ","PCQ","Autre"},MATCH(MAX(D70:I70),D70:I70,0))</f>
        <v/>
      </c>
      <c r="D70" t="n">
        <v>15606.7</v>
      </c>
      <c r="E70" t="n">
        <v>1076.8</v>
      </c>
      <c r="F70" t="n">
        <v>4012.6</v>
      </c>
      <c r="G70" t="n">
        <v>4363.4</v>
      </c>
      <c r="H70" t="n">
        <v>4666.2</v>
      </c>
      <c r="I70" t="n">
        <v>190.1</v>
      </c>
      <c r="J70">
        <f>SUM(D70:I70)</f>
        <v/>
      </c>
      <c r="K70">
        <f>IFERROR(D70/$J70,0)</f>
        <v/>
      </c>
      <c r="L70">
        <f>IFERROR(E70/$J70,0)</f>
        <v/>
      </c>
      <c r="M70">
        <f>IFERROR(F70/$J70,0)</f>
        <v/>
      </c>
      <c r="N70">
        <f>IFERROR(G70/$J70,0)</f>
        <v/>
      </c>
      <c r="O70">
        <f>IFERROR(H70/$J70,0)</f>
        <v/>
      </c>
      <c r="P70">
        <f>IFERROR(I70/$J70,0)</f>
        <v/>
      </c>
      <c r="Q70">
        <f>D70*INDEX(Régions!$T$2:$T$6,MATCH($B70,Régions!$A$2:$A$6,0))</f>
        <v/>
      </c>
      <c r="R70">
        <f>E70*INDEX(Régions!$U$2:$U$6,MATCH($B70,Régions!$A$2:$A$6,0))</f>
        <v/>
      </c>
      <c r="S70">
        <f>F70*INDEX(Régions!$V$2:$V$6,MATCH($B70,Régions!$A$2:$A$6,0))</f>
        <v/>
      </c>
      <c r="T70">
        <f>G70*INDEX(Régions!$W$2:$W$6,MATCH($B70,Régions!$A$2:$A$6,0))</f>
        <v/>
      </c>
      <c r="U70">
        <f>H70*INDEX(Régions!$X$2:$X$6,MATCH($B70,Régions!$A$2:$A$6,0))</f>
        <v/>
      </c>
      <c r="V70">
        <f>I70*INDEX(Régions!$Y$2:$Y$6,MATCH($B70,Régions!$A$2:$A$6,0))</f>
        <v/>
      </c>
      <c r="W70">
        <f>Q70+(BB70/100)*$J70*Régions!$O$2</f>
        <v/>
      </c>
      <c r="X70">
        <f>R70+(BC70/100)*$J70*Régions!$O$2</f>
        <v/>
      </c>
      <c r="Y70">
        <f>S70+(BD70/100)*$J70*Régions!$O$2</f>
        <v/>
      </c>
      <c r="Z70">
        <f>T70+(BE70/100)*$J70*Régions!$O$2</f>
        <v/>
      </c>
      <c r="AA70">
        <f>U70</f>
        <v/>
      </c>
      <c r="AB70">
        <f>V70</f>
        <v/>
      </c>
      <c r="AC70">
        <f>D70*INDEX(Régions!$Z$2:$Z$6,MATCH($B70,Régions!$A$2:$A$6,0))</f>
        <v/>
      </c>
      <c r="AD70">
        <f>E70*INDEX(Régions!$AA$2:$AA$6,MATCH($B70,Régions!$A$2:$A$6,0))</f>
        <v/>
      </c>
      <c r="AE70">
        <f>F70*INDEX(Régions!$AB$2:$AB$6,MATCH($B70,Régions!$A$2:$A$6,0))</f>
        <v/>
      </c>
      <c r="AF70">
        <f>G70*INDEX(Régions!$AC$2:$AC$6,MATCH($B70,Régions!$A$2:$A$6,0))</f>
        <v/>
      </c>
      <c r="AG70">
        <f>H70*INDEX(Régions!$AD$2:$AD$6,MATCH($B70,Régions!$A$2:$A$6,0))</f>
        <v/>
      </c>
      <c r="AH70">
        <f>I70*INDEX(Régions!$AE$2:$AE$6,MATCH($B70,Régions!$A$2:$A$6,0))</f>
        <v/>
      </c>
      <c r="AI70">
        <f>D70*INDEX(Régions!$AF$2:$AF$6,MATCH($B70,Régions!$A$2:$A$6,0))</f>
        <v/>
      </c>
      <c r="AJ70">
        <f>E70*INDEX(Régions!$AG$2:$AG$6,MATCH($B70,Régions!$A$2:$A$6,0))</f>
        <v/>
      </c>
      <c r="AK70">
        <f>F70*INDEX(Régions!$AH$2:$AH$6,MATCH($B70,Régions!$A$2:$A$6,0))</f>
        <v/>
      </c>
      <c r="AL70">
        <f>G70*INDEX(Régions!$AI$2:$AI$6,MATCH($B70,Régions!$A$2:$A$6,0))</f>
        <v/>
      </c>
      <c r="AM70">
        <f>H70*INDEX(Régions!$AJ$2:$AJ$6,MATCH($B70,Régions!$A$2:$A$6,0))</f>
        <v/>
      </c>
      <c r="AN70">
        <f>I70*INDEX(Régions!$AK$2:$AK$6,MATCH($B70,Régions!$A$2:$A$6,0))</f>
        <v/>
      </c>
      <c r="AO70">
        <f>Régions!$Q$2*Q70/SUM($Q70:$V70)*100+(1-Régions!$Q$2)*MAX(K70*100+(INDEX(Régions!$AL$2:$AL$6,MATCH($B70,Régions!$A$2:$A$6,0))),0)</f>
        <v/>
      </c>
      <c r="AP70">
        <f>Régions!$Q$2*R70/SUM($Q70:$V70)*100+(1-Régions!$Q$2)*MAX(L70*100+(INDEX(Régions!$AM$2:$AM$6,MATCH($B70,Régions!$A$2:$A$6,0))),0)</f>
        <v/>
      </c>
      <c r="AQ70">
        <f>Régions!$Q$2*S70/SUM($Q70:$V70)*100+(1-Régions!$Q$2)*MAX(M70*100+(INDEX(Régions!$AN$2:$AN$6,MATCH($B70,Régions!$A$2:$A$6,0))),0)</f>
        <v/>
      </c>
      <c r="AR70">
        <f>Régions!$Q$2*T70/SUM($Q70:$V70)*100+(1-Régions!$Q$2)*MAX(N70*100+(INDEX(Régions!$AO$2:$AO$6,MATCH($B70,Régions!$A$2:$A$6,0))),0)</f>
        <v/>
      </c>
      <c r="AS70">
        <f>Régions!$Q$2*U70/SUM($Q70:$V70)*100+(1-Régions!$Q$2)*MAX(O70*100+(INDEX(Régions!$AP$2:$AP$6,MATCH($B70,Régions!$A$2:$A$6,0))),0)</f>
        <v/>
      </c>
      <c r="AT70">
        <f>Régions!$Q$2*V70/SUM($Q70:$V70)*100+(1-Régions!$Q$2)*MAX(P70*100+(INDEX(Régions!$AQ$2:$AQ$6,MATCH($B70,Régions!$A$2:$A$6,0))),0)</f>
        <v/>
      </c>
      <c r="AU70">
        <f>INDEX({"CAQ","PLQ","QS","PQ","PCQ","Autre"},MATCH(MAX(Q70:V70),Q70:V70,0))</f>
        <v/>
      </c>
      <c r="AV70">
        <f>INDEX({"CAQ","PLQ","QS","PQ","PCQ","Autre"},MATCH(MAX(W70:AB70),W70:AB70,0))</f>
        <v/>
      </c>
      <c r="AW70">
        <f>INDEX({"CAQ","PLQ","QS","PQ","PCQ","Autre"},MATCH(MAX(AC70:AH70),AC70:AH70,0))</f>
        <v/>
      </c>
      <c r="AX70">
        <f>INDEX({"CAQ","PLQ","QS","PQ","PCQ","Autre"},MATCH(MAX(AI70:AN70),AI70:AN70,0))</f>
        <v/>
      </c>
      <c r="AY70">
        <f>INDEX({"CAQ","PLQ","QS","PQ","PCQ","Autre"},MATCH(MAX(AO70:AT70),AO70:AT70,0))</f>
        <v/>
      </c>
      <c r="AZ70">
        <f>(MAX(K70:P70)-LARGE(K70:P70,2))*100</f>
        <v/>
      </c>
      <c r="BA70">
        <f>IF(AZ70&lt;5,"Oui","Non")</f>
        <v/>
      </c>
      <c r="BB70" t="n">
        <v>-8.446999999999999</v>
      </c>
      <c r="BC70" t="n">
        <v>5.497</v>
      </c>
      <c r="BD70" t="n">
        <v>-2.862</v>
      </c>
      <c r="BE70" t="n">
        <v>5.471</v>
      </c>
    </row>
    <row r="71">
      <c r="A71" t="inlineStr">
        <is>
          <t>Marie-Victorin</t>
        </is>
      </c>
      <c r="B71" t="inlineStr">
        <is>
          <t>Banlieue de Montréal</t>
        </is>
      </c>
      <c r="C71">
        <f>INDEX({"CAQ","PLQ","QS","PQ","PCQ","Autre"},MATCH(MAX(D71:I71),D71:I71,0))</f>
        <v/>
      </c>
      <c r="D71" t="n">
        <v>9212</v>
      </c>
      <c r="E71" t="n">
        <v>2793</v>
      </c>
      <c r="F71" t="n">
        <v>6307</v>
      </c>
      <c r="G71" t="n">
        <v>6913</v>
      </c>
      <c r="H71" t="n">
        <v>1952</v>
      </c>
      <c r="I71" t="n">
        <v>643</v>
      </c>
      <c r="J71">
        <f>SUM(D71:I71)</f>
        <v/>
      </c>
      <c r="K71">
        <f>IFERROR(D71/$J71,0)</f>
        <v/>
      </c>
      <c r="L71">
        <f>IFERROR(E71/$J71,0)</f>
        <v/>
      </c>
      <c r="M71">
        <f>IFERROR(F71/$J71,0)</f>
        <v/>
      </c>
      <c r="N71">
        <f>IFERROR(G71/$J71,0)</f>
        <v/>
      </c>
      <c r="O71">
        <f>IFERROR(H71/$J71,0)</f>
        <v/>
      </c>
      <c r="P71">
        <f>IFERROR(I71/$J71,0)</f>
        <v/>
      </c>
      <c r="Q71">
        <f>D71*INDEX(Régions!$T$2:$T$6,MATCH($B71,Régions!$A$2:$A$6,0))</f>
        <v/>
      </c>
      <c r="R71">
        <f>E71*INDEX(Régions!$U$2:$U$6,MATCH($B71,Régions!$A$2:$A$6,0))</f>
        <v/>
      </c>
      <c r="S71">
        <f>F71*INDEX(Régions!$V$2:$V$6,MATCH($B71,Régions!$A$2:$A$6,0))</f>
        <v/>
      </c>
      <c r="T71">
        <f>G71*INDEX(Régions!$W$2:$W$6,MATCH($B71,Régions!$A$2:$A$6,0))</f>
        <v/>
      </c>
      <c r="U71">
        <f>H71*INDEX(Régions!$X$2:$X$6,MATCH($B71,Régions!$A$2:$A$6,0))</f>
        <v/>
      </c>
      <c r="V71">
        <f>I71*INDEX(Régions!$Y$2:$Y$6,MATCH($B71,Régions!$A$2:$A$6,0))</f>
        <v/>
      </c>
      <c r="W71">
        <f>Q71+(BB71/100)*$J71*Régions!$O$2</f>
        <v/>
      </c>
      <c r="X71">
        <f>R71+(BC71/100)*$J71*Régions!$O$2</f>
        <v/>
      </c>
      <c r="Y71">
        <f>S71+(BD71/100)*$J71*Régions!$O$2</f>
        <v/>
      </c>
      <c r="Z71">
        <f>T71+(BE71/100)*$J71*Régions!$O$2</f>
        <v/>
      </c>
      <c r="AA71">
        <f>U71</f>
        <v/>
      </c>
      <c r="AB71">
        <f>V71</f>
        <v/>
      </c>
      <c r="AC71">
        <f>D71*INDEX(Régions!$Z$2:$Z$6,MATCH($B71,Régions!$A$2:$A$6,0))</f>
        <v/>
      </c>
      <c r="AD71">
        <f>E71*INDEX(Régions!$AA$2:$AA$6,MATCH($B71,Régions!$A$2:$A$6,0))</f>
        <v/>
      </c>
      <c r="AE71">
        <f>F71*INDEX(Régions!$AB$2:$AB$6,MATCH($B71,Régions!$A$2:$A$6,0))</f>
        <v/>
      </c>
      <c r="AF71">
        <f>G71*INDEX(Régions!$AC$2:$AC$6,MATCH($B71,Régions!$A$2:$A$6,0))</f>
        <v/>
      </c>
      <c r="AG71">
        <f>H71*INDEX(Régions!$AD$2:$AD$6,MATCH($B71,Régions!$A$2:$A$6,0))</f>
        <v/>
      </c>
      <c r="AH71">
        <f>I71*INDEX(Régions!$AE$2:$AE$6,MATCH($B71,Régions!$A$2:$A$6,0))</f>
        <v/>
      </c>
      <c r="AI71">
        <f>D71*INDEX(Régions!$AF$2:$AF$6,MATCH($B71,Régions!$A$2:$A$6,0))</f>
        <v/>
      </c>
      <c r="AJ71">
        <f>E71*INDEX(Régions!$AG$2:$AG$6,MATCH($B71,Régions!$A$2:$A$6,0))</f>
        <v/>
      </c>
      <c r="AK71">
        <f>F71*INDEX(Régions!$AH$2:$AH$6,MATCH($B71,Régions!$A$2:$A$6,0))</f>
        <v/>
      </c>
      <c r="AL71">
        <f>G71*INDEX(Régions!$AI$2:$AI$6,MATCH($B71,Régions!$A$2:$A$6,0))</f>
        <v/>
      </c>
      <c r="AM71">
        <f>H71*INDEX(Régions!$AJ$2:$AJ$6,MATCH($B71,Régions!$A$2:$A$6,0))</f>
        <v/>
      </c>
      <c r="AN71">
        <f>I71*INDEX(Régions!$AK$2:$AK$6,MATCH($B71,Régions!$A$2:$A$6,0))</f>
        <v/>
      </c>
      <c r="AO71">
        <f>Régions!$Q$2*Q71/SUM($Q71:$V71)*100+(1-Régions!$Q$2)*MAX(K71*100+(INDEX(Régions!$AL$2:$AL$6,MATCH($B71,Régions!$A$2:$A$6,0))),0)</f>
        <v/>
      </c>
      <c r="AP71">
        <f>Régions!$Q$2*R71/SUM($Q71:$V71)*100+(1-Régions!$Q$2)*MAX(L71*100+(INDEX(Régions!$AM$2:$AM$6,MATCH($B71,Régions!$A$2:$A$6,0))),0)</f>
        <v/>
      </c>
      <c r="AQ71">
        <f>Régions!$Q$2*S71/SUM($Q71:$V71)*100+(1-Régions!$Q$2)*MAX(M71*100+(INDEX(Régions!$AN$2:$AN$6,MATCH($B71,Régions!$A$2:$A$6,0))),0)</f>
        <v/>
      </c>
      <c r="AR71">
        <f>Régions!$Q$2*T71/SUM($Q71:$V71)*100+(1-Régions!$Q$2)*MAX(N71*100+(INDEX(Régions!$AO$2:$AO$6,MATCH($B71,Régions!$A$2:$A$6,0))),0)</f>
        <v/>
      </c>
      <c r="AS71">
        <f>Régions!$Q$2*U71/SUM($Q71:$V71)*100+(1-Régions!$Q$2)*MAX(O71*100+(INDEX(Régions!$AP$2:$AP$6,MATCH($B71,Régions!$A$2:$A$6,0))),0)</f>
        <v/>
      </c>
      <c r="AT71">
        <f>Régions!$Q$2*V71/SUM($Q71:$V71)*100+(1-Régions!$Q$2)*MAX(P71*100+(INDEX(Régions!$AQ$2:$AQ$6,MATCH($B71,Régions!$A$2:$A$6,0))),0)</f>
        <v/>
      </c>
      <c r="AU71">
        <f>INDEX({"CAQ","PLQ","QS","PQ","PCQ","Autre"},MATCH(MAX(Q71:V71),Q71:V71,0))</f>
        <v/>
      </c>
      <c r="AV71">
        <f>INDEX({"CAQ","PLQ","QS","PQ","PCQ","Autre"},MATCH(MAX(W71:AB71),W71:AB71,0))</f>
        <v/>
      </c>
      <c r="AW71">
        <f>INDEX({"CAQ","PLQ","QS","PQ","PCQ","Autre"},MATCH(MAX(AC71:AH71),AC71:AH71,0))</f>
        <v/>
      </c>
      <c r="AX71">
        <f>INDEX({"CAQ","PLQ","QS","PQ","PCQ","Autre"},MATCH(MAX(AI71:AN71),AI71:AN71,0))</f>
        <v/>
      </c>
      <c r="AY71">
        <f>INDEX({"CAQ","PLQ","QS","PQ","PCQ","Autre"},MATCH(MAX(AO71:AT71),AO71:AT71,0))</f>
        <v/>
      </c>
      <c r="AZ71">
        <f>(MAX(K71:P71)-LARGE(K71:P71,2))*100</f>
        <v/>
      </c>
      <c r="BA71">
        <f>IF(AZ71&lt;5,"Oui","Non")</f>
        <v/>
      </c>
      <c r="BB71" t="n">
        <v>1.612</v>
      </c>
      <c r="BC71" t="n">
        <v>1.704</v>
      </c>
      <c r="BD71" t="n">
        <v>1.61</v>
      </c>
      <c r="BE71" t="n">
        <v>-2.795</v>
      </c>
    </row>
    <row r="72">
      <c r="A72" t="inlineStr">
        <is>
          <t>Marquette</t>
        </is>
      </c>
      <c r="B72" t="inlineStr">
        <is>
          <t>Île de Montréal</t>
        </is>
      </c>
      <c r="C72">
        <f>INDEX({"CAQ","PLQ","QS","PQ","PCQ","Autre"},MATCH(MAX(D72:I72),D72:I72,0))</f>
        <v/>
      </c>
      <c r="D72" t="n">
        <v>5722</v>
      </c>
      <c r="E72" t="n">
        <v>12255</v>
      </c>
      <c r="F72" t="n">
        <v>2956</v>
      </c>
      <c r="G72" t="n">
        <v>2114</v>
      </c>
      <c r="H72" t="n">
        <v>2395</v>
      </c>
      <c r="I72" t="n">
        <v>782</v>
      </c>
      <c r="J72">
        <f>SUM(D72:I72)</f>
        <v/>
      </c>
      <c r="K72">
        <f>IFERROR(D72/$J72,0)</f>
        <v/>
      </c>
      <c r="L72">
        <f>IFERROR(E72/$J72,0)</f>
        <v/>
      </c>
      <c r="M72">
        <f>IFERROR(F72/$J72,0)</f>
        <v/>
      </c>
      <c r="N72">
        <f>IFERROR(G72/$J72,0)</f>
        <v/>
      </c>
      <c r="O72">
        <f>IFERROR(H72/$J72,0)</f>
        <v/>
      </c>
      <c r="P72">
        <f>IFERROR(I72/$J72,0)</f>
        <v/>
      </c>
      <c r="Q72">
        <f>D72*INDEX(Régions!$T$2:$T$6,MATCH($B72,Régions!$A$2:$A$6,0))</f>
        <v/>
      </c>
      <c r="R72">
        <f>E72*INDEX(Régions!$U$2:$U$6,MATCH($B72,Régions!$A$2:$A$6,0))</f>
        <v/>
      </c>
      <c r="S72">
        <f>F72*INDEX(Régions!$V$2:$V$6,MATCH($B72,Régions!$A$2:$A$6,0))</f>
        <v/>
      </c>
      <c r="T72">
        <f>G72*INDEX(Régions!$W$2:$W$6,MATCH($B72,Régions!$A$2:$A$6,0))</f>
        <v/>
      </c>
      <c r="U72">
        <f>H72*INDEX(Régions!$X$2:$X$6,MATCH($B72,Régions!$A$2:$A$6,0))</f>
        <v/>
      </c>
      <c r="V72">
        <f>I72*INDEX(Régions!$Y$2:$Y$6,MATCH($B72,Régions!$A$2:$A$6,0))</f>
        <v/>
      </c>
      <c r="W72">
        <f>Q72+(BB72/100)*$J72*Régions!$O$2</f>
        <v/>
      </c>
      <c r="X72">
        <f>R72+(BC72/100)*$J72*Régions!$O$2</f>
        <v/>
      </c>
      <c r="Y72">
        <f>S72+(BD72/100)*$J72*Régions!$O$2</f>
        <v/>
      </c>
      <c r="Z72">
        <f>T72+(BE72/100)*$J72*Régions!$O$2</f>
        <v/>
      </c>
      <c r="AA72">
        <f>U72</f>
        <v/>
      </c>
      <c r="AB72">
        <f>V72</f>
        <v/>
      </c>
      <c r="AC72">
        <f>D72*INDEX(Régions!$Z$2:$Z$6,MATCH($B72,Régions!$A$2:$A$6,0))</f>
        <v/>
      </c>
      <c r="AD72">
        <f>E72*INDEX(Régions!$AA$2:$AA$6,MATCH($B72,Régions!$A$2:$A$6,0))</f>
        <v/>
      </c>
      <c r="AE72">
        <f>F72*INDEX(Régions!$AB$2:$AB$6,MATCH($B72,Régions!$A$2:$A$6,0))</f>
        <v/>
      </c>
      <c r="AF72">
        <f>G72*INDEX(Régions!$AC$2:$AC$6,MATCH($B72,Régions!$A$2:$A$6,0))</f>
        <v/>
      </c>
      <c r="AG72">
        <f>H72*INDEX(Régions!$AD$2:$AD$6,MATCH($B72,Régions!$A$2:$A$6,0))</f>
        <v/>
      </c>
      <c r="AH72">
        <f>I72*INDEX(Régions!$AE$2:$AE$6,MATCH($B72,Régions!$A$2:$A$6,0))</f>
        <v/>
      </c>
      <c r="AI72">
        <f>D72*INDEX(Régions!$AF$2:$AF$6,MATCH($B72,Régions!$A$2:$A$6,0))</f>
        <v/>
      </c>
      <c r="AJ72">
        <f>E72*INDEX(Régions!$AG$2:$AG$6,MATCH($B72,Régions!$A$2:$A$6,0))</f>
        <v/>
      </c>
      <c r="AK72">
        <f>F72*INDEX(Régions!$AH$2:$AH$6,MATCH($B72,Régions!$A$2:$A$6,0))</f>
        <v/>
      </c>
      <c r="AL72">
        <f>G72*INDEX(Régions!$AI$2:$AI$6,MATCH($B72,Régions!$A$2:$A$6,0))</f>
        <v/>
      </c>
      <c r="AM72">
        <f>H72*INDEX(Régions!$AJ$2:$AJ$6,MATCH($B72,Régions!$A$2:$A$6,0))</f>
        <v/>
      </c>
      <c r="AN72">
        <f>I72*INDEX(Régions!$AK$2:$AK$6,MATCH($B72,Régions!$A$2:$A$6,0))</f>
        <v/>
      </c>
      <c r="AO72">
        <f>Régions!$Q$2*Q72/SUM($Q72:$V72)*100+(1-Régions!$Q$2)*MAX(K72*100+(INDEX(Régions!$AL$2:$AL$6,MATCH($B72,Régions!$A$2:$A$6,0))),0)</f>
        <v/>
      </c>
      <c r="AP72">
        <f>Régions!$Q$2*R72/SUM($Q72:$V72)*100+(1-Régions!$Q$2)*MAX(L72*100+(INDEX(Régions!$AM$2:$AM$6,MATCH($B72,Régions!$A$2:$A$6,0))),0)</f>
        <v/>
      </c>
      <c r="AQ72">
        <f>Régions!$Q$2*S72/SUM($Q72:$V72)*100+(1-Régions!$Q$2)*MAX(M72*100+(INDEX(Régions!$AN$2:$AN$6,MATCH($B72,Régions!$A$2:$A$6,0))),0)</f>
        <v/>
      </c>
      <c r="AR72">
        <f>Régions!$Q$2*T72/SUM($Q72:$V72)*100+(1-Régions!$Q$2)*MAX(N72*100+(INDEX(Régions!$AO$2:$AO$6,MATCH($B72,Régions!$A$2:$A$6,0))),0)</f>
        <v/>
      </c>
      <c r="AS72">
        <f>Régions!$Q$2*U72/SUM($Q72:$V72)*100+(1-Régions!$Q$2)*MAX(O72*100+(INDEX(Régions!$AP$2:$AP$6,MATCH($B72,Régions!$A$2:$A$6,0))),0)</f>
        <v/>
      </c>
      <c r="AT72">
        <f>Régions!$Q$2*V72/SUM($Q72:$V72)*100+(1-Régions!$Q$2)*MAX(P72*100+(INDEX(Régions!$AQ$2:$AQ$6,MATCH($B72,Régions!$A$2:$A$6,0))),0)</f>
        <v/>
      </c>
      <c r="AU72">
        <f>INDEX({"CAQ","PLQ","QS","PQ","PCQ","Autre"},MATCH(MAX(Q72:V72),Q72:V72,0))</f>
        <v/>
      </c>
      <c r="AV72">
        <f>INDEX({"CAQ","PLQ","QS","PQ","PCQ","Autre"},MATCH(MAX(W72:AB72),W72:AB72,0))</f>
        <v/>
      </c>
      <c r="AW72">
        <f>INDEX({"CAQ","PLQ","QS","PQ","PCQ","Autre"},MATCH(MAX(AC72:AH72),AC72:AH72,0))</f>
        <v/>
      </c>
      <c r="AX72">
        <f>INDEX({"CAQ","PLQ","QS","PQ","PCQ","Autre"},MATCH(MAX(AI72:AN72),AI72:AN72,0))</f>
        <v/>
      </c>
      <c r="AY72">
        <f>INDEX({"CAQ","PLQ","QS","PQ","PCQ","Autre"},MATCH(MAX(AO72:AT72),AO72:AT72,0))</f>
        <v/>
      </c>
      <c r="AZ72">
        <f>(MAX(K72:P72)-LARGE(K72:P72,2))*100</f>
        <v/>
      </c>
      <c r="BA72">
        <f>IF(AZ72&lt;5,"Oui","Non")</f>
        <v/>
      </c>
      <c r="BB72" t="n">
        <v>-8.476000000000001</v>
      </c>
      <c r="BC72" t="n">
        <v>12.543</v>
      </c>
      <c r="BD72" t="n">
        <v>-0.97</v>
      </c>
      <c r="BE72" t="n">
        <v>1.385</v>
      </c>
    </row>
    <row r="73">
      <c r="A73" t="inlineStr">
        <is>
          <t>Maskinongé</t>
        </is>
      </c>
      <c r="B73" t="inlineStr">
        <is>
          <t>Reste du Québec</t>
        </is>
      </c>
      <c r="C73">
        <f>INDEX({"CAQ","PLQ","QS","PQ","PCQ","Autre"},MATCH(MAX(D73:I73),D73:I73,0))</f>
        <v/>
      </c>
      <c r="D73" t="n">
        <v>17096</v>
      </c>
      <c r="E73" t="n">
        <v>1619</v>
      </c>
      <c r="F73" t="n">
        <v>3162</v>
      </c>
      <c r="G73" t="n">
        <v>4519</v>
      </c>
      <c r="H73" t="n">
        <v>5131</v>
      </c>
      <c r="I73" t="n">
        <v>426</v>
      </c>
      <c r="J73">
        <f>SUM(D73:I73)</f>
        <v/>
      </c>
      <c r="K73">
        <f>IFERROR(D73/$J73,0)</f>
        <v/>
      </c>
      <c r="L73">
        <f>IFERROR(E73/$J73,0)</f>
        <v/>
      </c>
      <c r="M73">
        <f>IFERROR(F73/$J73,0)</f>
        <v/>
      </c>
      <c r="N73">
        <f>IFERROR(G73/$J73,0)</f>
        <v/>
      </c>
      <c r="O73">
        <f>IFERROR(H73/$J73,0)</f>
        <v/>
      </c>
      <c r="P73">
        <f>IFERROR(I73/$J73,0)</f>
        <v/>
      </c>
      <c r="Q73">
        <f>D73*INDEX(Régions!$T$2:$T$6,MATCH($B73,Régions!$A$2:$A$6,0))</f>
        <v/>
      </c>
      <c r="R73">
        <f>E73*INDEX(Régions!$U$2:$U$6,MATCH($B73,Régions!$A$2:$A$6,0))</f>
        <v/>
      </c>
      <c r="S73">
        <f>F73*INDEX(Régions!$V$2:$V$6,MATCH($B73,Régions!$A$2:$A$6,0))</f>
        <v/>
      </c>
      <c r="T73">
        <f>G73*INDEX(Régions!$W$2:$W$6,MATCH($B73,Régions!$A$2:$A$6,0))</f>
        <v/>
      </c>
      <c r="U73">
        <f>H73*INDEX(Régions!$X$2:$X$6,MATCH($B73,Régions!$A$2:$A$6,0))</f>
        <v/>
      </c>
      <c r="V73">
        <f>I73*INDEX(Régions!$Y$2:$Y$6,MATCH($B73,Régions!$A$2:$A$6,0))</f>
        <v/>
      </c>
      <c r="W73">
        <f>Q73+(BB73/100)*$J73*Régions!$O$2</f>
        <v/>
      </c>
      <c r="X73">
        <f>R73+(BC73/100)*$J73*Régions!$O$2</f>
        <v/>
      </c>
      <c r="Y73">
        <f>S73+(BD73/100)*$J73*Régions!$O$2</f>
        <v/>
      </c>
      <c r="Z73">
        <f>T73+(BE73/100)*$J73*Régions!$O$2</f>
        <v/>
      </c>
      <c r="AA73">
        <f>U73</f>
        <v/>
      </c>
      <c r="AB73">
        <f>V73</f>
        <v/>
      </c>
      <c r="AC73">
        <f>D73*INDEX(Régions!$Z$2:$Z$6,MATCH($B73,Régions!$A$2:$A$6,0))</f>
        <v/>
      </c>
      <c r="AD73">
        <f>E73*INDEX(Régions!$AA$2:$AA$6,MATCH($B73,Régions!$A$2:$A$6,0))</f>
        <v/>
      </c>
      <c r="AE73">
        <f>F73*INDEX(Régions!$AB$2:$AB$6,MATCH($B73,Régions!$A$2:$A$6,0))</f>
        <v/>
      </c>
      <c r="AF73">
        <f>G73*INDEX(Régions!$AC$2:$AC$6,MATCH($B73,Régions!$A$2:$A$6,0))</f>
        <v/>
      </c>
      <c r="AG73">
        <f>H73*INDEX(Régions!$AD$2:$AD$6,MATCH($B73,Régions!$A$2:$A$6,0))</f>
        <v/>
      </c>
      <c r="AH73">
        <f>I73*INDEX(Régions!$AE$2:$AE$6,MATCH($B73,Régions!$A$2:$A$6,0))</f>
        <v/>
      </c>
      <c r="AI73">
        <f>D73*INDEX(Régions!$AF$2:$AF$6,MATCH($B73,Régions!$A$2:$A$6,0))</f>
        <v/>
      </c>
      <c r="AJ73">
        <f>E73*INDEX(Régions!$AG$2:$AG$6,MATCH($B73,Régions!$A$2:$A$6,0))</f>
        <v/>
      </c>
      <c r="AK73">
        <f>F73*INDEX(Régions!$AH$2:$AH$6,MATCH($B73,Régions!$A$2:$A$6,0))</f>
        <v/>
      </c>
      <c r="AL73">
        <f>G73*INDEX(Régions!$AI$2:$AI$6,MATCH($B73,Régions!$A$2:$A$6,0))</f>
        <v/>
      </c>
      <c r="AM73">
        <f>H73*INDEX(Régions!$AJ$2:$AJ$6,MATCH($B73,Régions!$A$2:$A$6,0))</f>
        <v/>
      </c>
      <c r="AN73">
        <f>I73*INDEX(Régions!$AK$2:$AK$6,MATCH($B73,Régions!$A$2:$A$6,0))</f>
        <v/>
      </c>
      <c r="AO73">
        <f>Régions!$Q$2*Q73/SUM($Q73:$V73)*100+(1-Régions!$Q$2)*MAX(K73*100+(INDEX(Régions!$AL$2:$AL$6,MATCH($B73,Régions!$A$2:$A$6,0))),0)</f>
        <v/>
      </c>
      <c r="AP73">
        <f>Régions!$Q$2*R73/SUM($Q73:$V73)*100+(1-Régions!$Q$2)*MAX(L73*100+(INDEX(Régions!$AM$2:$AM$6,MATCH($B73,Régions!$A$2:$A$6,0))),0)</f>
        <v/>
      </c>
      <c r="AQ73">
        <f>Régions!$Q$2*S73/SUM($Q73:$V73)*100+(1-Régions!$Q$2)*MAX(M73*100+(INDEX(Régions!$AN$2:$AN$6,MATCH($B73,Régions!$A$2:$A$6,0))),0)</f>
        <v/>
      </c>
      <c r="AR73">
        <f>Régions!$Q$2*T73/SUM($Q73:$V73)*100+(1-Régions!$Q$2)*MAX(N73*100+(INDEX(Régions!$AO$2:$AO$6,MATCH($B73,Régions!$A$2:$A$6,0))),0)</f>
        <v/>
      </c>
      <c r="AS73">
        <f>Régions!$Q$2*U73/SUM($Q73:$V73)*100+(1-Régions!$Q$2)*MAX(O73*100+(INDEX(Régions!$AP$2:$AP$6,MATCH($B73,Régions!$A$2:$A$6,0))),0)</f>
        <v/>
      </c>
      <c r="AT73">
        <f>Régions!$Q$2*V73/SUM($Q73:$V73)*100+(1-Régions!$Q$2)*MAX(P73*100+(INDEX(Régions!$AQ$2:$AQ$6,MATCH($B73,Régions!$A$2:$A$6,0))),0)</f>
        <v/>
      </c>
      <c r="AU73">
        <f>INDEX({"CAQ","PLQ","QS","PQ","PCQ","Autre"},MATCH(MAX(Q73:V73),Q73:V73,0))</f>
        <v/>
      </c>
      <c r="AV73">
        <f>INDEX({"CAQ","PLQ","QS","PQ","PCQ","Autre"},MATCH(MAX(W73:AB73),W73:AB73,0))</f>
        <v/>
      </c>
      <c r="AW73">
        <f>INDEX({"CAQ","PLQ","QS","PQ","PCQ","Autre"},MATCH(MAX(AC73:AH73),AC73:AH73,0))</f>
        <v/>
      </c>
      <c r="AX73">
        <f>INDEX({"CAQ","PLQ","QS","PQ","PCQ","Autre"},MATCH(MAX(AI73:AN73),AI73:AN73,0))</f>
        <v/>
      </c>
      <c r="AY73">
        <f>INDEX({"CAQ","PLQ","QS","PQ","PCQ","Autre"},MATCH(MAX(AO73:AT73),AO73:AT73,0))</f>
        <v/>
      </c>
      <c r="AZ73">
        <f>(MAX(K73:P73)-LARGE(K73:P73,2))*100</f>
        <v/>
      </c>
      <c r="BA73">
        <f>IF(AZ73&lt;5,"Oui","Non")</f>
        <v/>
      </c>
      <c r="BB73" t="n">
        <v>3.678</v>
      </c>
      <c r="BC73" t="n">
        <v>-9.728</v>
      </c>
      <c r="BD73" t="n">
        <v>-1.02</v>
      </c>
      <c r="BE73" t="n">
        <v>5.492</v>
      </c>
    </row>
    <row r="74">
      <c r="A74" t="inlineStr">
        <is>
          <t>Masson</t>
        </is>
      </c>
      <c r="B74" t="inlineStr">
        <is>
          <t>Banlieue de Montréal</t>
        </is>
      </c>
      <c r="C74">
        <f>INDEX({"CAQ","PLQ","QS","PQ","PCQ","Autre"},MATCH(MAX(D74:I74),D74:I74,0))</f>
        <v/>
      </c>
      <c r="D74" t="n">
        <v>18195</v>
      </c>
      <c r="E74" t="n">
        <v>2723</v>
      </c>
      <c r="F74" t="n">
        <v>4610</v>
      </c>
      <c r="G74" t="n">
        <v>6432</v>
      </c>
      <c r="H74" t="n">
        <v>2972</v>
      </c>
      <c r="I74" t="n">
        <v>332</v>
      </c>
      <c r="J74">
        <f>SUM(D74:I74)</f>
        <v/>
      </c>
      <c r="K74">
        <f>IFERROR(D74/$J74,0)</f>
        <v/>
      </c>
      <c r="L74">
        <f>IFERROR(E74/$J74,0)</f>
        <v/>
      </c>
      <c r="M74">
        <f>IFERROR(F74/$J74,0)</f>
        <v/>
      </c>
      <c r="N74">
        <f>IFERROR(G74/$J74,0)</f>
        <v/>
      </c>
      <c r="O74">
        <f>IFERROR(H74/$J74,0)</f>
        <v/>
      </c>
      <c r="P74">
        <f>IFERROR(I74/$J74,0)</f>
        <v/>
      </c>
      <c r="Q74">
        <f>D74*INDEX(Régions!$T$2:$T$6,MATCH($B74,Régions!$A$2:$A$6,0))</f>
        <v/>
      </c>
      <c r="R74">
        <f>E74*INDEX(Régions!$U$2:$U$6,MATCH($B74,Régions!$A$2:$A$6,0))</f>
        <v/>
      </c>
      <c r="S74">
        <f>F74*INDEX(Régions!$V$2:$V$6,MATCH($B74,Régions!$A$2:$A$6,0))</f>
        <v/>
      </c>
      <c r="T74">
        <f>G74*INDEX(Régions!$W$2:$W$6,MATCH($B74,Régions!$A$2:$A$6,0))</f>
        <v/>
      </c>
      <c r="U74">
        <f>H74*INDEX(Régions!$X$2:$X$6,MATCH($B74,Régions!$A$2:$A$6,0))</f>
        <v/>
      </c>
      <c r="V74">
        <f>I74*INDEX(Régions!$Y$2:$Y$6,MATCH($B74,Régions!$A$2:$A$6,0))</f>
        <v/>
      </c>
      <c r="W74">
        <f>Q74+(BB74/100)*$J74*Régions!$O$2</f>
        <v/>
      </c>
      <c r="X74">
        <f>R74+(BC74/100)*$J74*Régions!$O$2</f>
        <v/>
      </c>
      <c r="Y74">
        <f>S74+(BD74/100)*$J74*Régions!$O$2</f>
        <v/>
      </c>
      <c r="Z74">
        <f>T74+(BE74/100)*$J74*Régions!$O$2</f>
        <v/>
      </c>
      <c r="AA74">
        <f>U74</f>
        <v/>
      </c>
      <c r="AB74">
        <f>V74</f>
        <v/>
      </c>
      <c r="AC74">
        <f>D74*INDEX(Régions!$Z$2:$Z$6,MATCH($B74,Régions!$A$2:$A$6,0))</f>
        <v/>
      </c>
      <c r="AD74">
        <f>E74*INDEX(Régions!$AA$2:$AA$6,MATCH($B74,Régions!$A$2:$A$6,0))</f>
        <v/>
      </c>
      <c r="AE74">
        <f>F74*INDEX(Régions!$AB$2:$AB$6,MATCH($B74,Régions!$A$2:$A$6,0))</f>
        <v/>
      </c>
      <c r="AF74">
        <f>G74*INDEX(Régions!$AC$2:$AC$6,MATCH($B74,Régions!$A$2:$A$6,0))</f>
        <v/>
      </c>
      <c r="AG74">
        <f>H74*INDEX(Régions!$AD$2:$AD$6,MATCH($B74,Régions!$A$2:$A$6,0))</f>
        <v/>
      </c>
      <c r="AH74">
        <f>I74*INDEX(Régions!$AE$2:$AE$6,MATCH($B74,Régions!$A$2:$A$6,0))</f>
        <v/>
      </c>
      <c r="AI74">
        <f>D74*INDEX(Régions!$AF$2:$AF$6,MATCH($B74,Régions!$A$2:$A$6,0))</f>
        <v/>
      </c>
      <c r="AJ74">
        <f>E74*INDEX(Régions!$AG$2:$AG$6,MATCH($B74,Régions!$A$2:$A$6,0))</f>
        <v/>
      </c>
      <c r="AK74">
        <f>F74*INDEX(Régions!$AH$2:$AH$6,MATCH($B74,Régions!$A$2:$A$6,0))</f>
        <v/>
      </c>
      <c r="AL74">
        <f>G74*INDEX(Régions!$AI$2:$AI$6,MATCH($B74,Régions!$A$2:$A$6,0))</f>
        <v/>
      </c>
      <c r="AM74">
        <f>H74*INDEX(Régions!$AJ$2:$AJ$6,MATCH($B74,Régions!$A$2:$A$6,0))</f>
        <v/>
      </c>
      <c r="AN74">
        <f>I74*INDEX(Régions!$AK$2:$AK$6,MATCH($B74,Régions!$A$2:$A$6,0))</f>
        <v/>
      </c>
      <c r="AO74">
        <f>Régions!$Q$2*Q74/SUM($Q74:$V74)*100+(1-Régions!$Q$2)*MAX(K74*100+(INDEX(Régions!$AL$2:$AL$6,MATCH($B74,Régions!$A$2:$A$6,0))),0)</f>
        <v/>
      </c>
      <c r="AP74">
        <f>Régions!$Q$2*R74/SUM($Q74:$V74)*100+(1-Régions!$Q$2)*MAX(L74*100+(INDEX(Régions!$AM$2:$AM$6,MATCH($B74,Régions!$A$2:$A$6,0))),0)</f>
        <v/>
      </c>
      <c r="AQ74">
        <f>Régions!$Q$2*S74/SUM($Q74:$V74)*100+(1-Régions!$Q$2)*MAX(M74*100+(INDEX(Régions!$AN$2:$AN$6,MATCH($B74,Régions!$A$2:$A$6,0))),0)</f>
        <v/>
      </c>
      <c r="AR74">
        <f>Régions!$Q$2*T74/SUM($Q74:$V74)*100+(1-Régions!$Q$2)*MAX(N74*100+(INDEX(Régions!$AO$2:$AO$6,MATCH($B74,Régions!$A$2:$A$6,0))),0)</f>
        <v/>
      </c>
      <c r="AS74">
        <f>Régions!$Q$2*U74/SUM($Q74:$V74)*100+(1-Régions!$Q$2)*MAX(O74*100+(INDEX(Régions!$AP$2:$AP$6,MATCH($B74,Régions!$A$2:$A$6,0))),0)</f>
        <v/>
      </c>
      <c r="AT74">
        <f>Régions!$Q$2*V74/SUM($Q74:$V74)*100+(1-Régions!$Q$2)*MAX(P74*100+(INDEX(Régions!$AQ$2:$AQ$6,MATCH($B74,Régions!$A$2:$A$6,0))),0)</f>
        <v/>
      </c>
      <c r="AU74">
        <f>INDEX({"CAQ","PLQ","QS","PQ","PCQ","Autre"},MATCH(MAX(Q74:V74),Q74:V74,0))</f>
        <v/>
      </c>
      <c r="AV74">
        <f>INDEX({"CAQ","PLQ","QS","PQ","PCQ","Autre"},MATCH(MAX(W74:AB74),W74:AB74,0))</f>
        <v/>
      </c>
      <c r="AW74">
        <f>INDEX({"CAQ","PLQ","QS","PQ","PCQ","Autre"},MATCH(MAX(AC74:AH74),AC74:AH74,0))</f>
        <v/>
      </c>
      <c r="AX74">
        <f>INDEX({"CAQ","PLQ","QS","PQ","PCQ","Autre"},MATCH(MAX(AI74:AN74),AI74:AN74,0))</f>
        <v/>
      </c>
      <c r="AY74">
        <f>INDEX({"CAQ","PLQ","QS","PQ","PCQ","Autre"},MATCH(MAX(AO74:AT74),AO74:AT74,0))</f>
        <v/>
      </c>
      <c r="AZ74">
        <f>(MAX(K74:P74)-LARGE(K74:P74,2))*100</f>
        <v/>
      </c>
      <c r="BA74">
        <f>IF(AZ74&lt;5,"Oui","Non")</f>
        <v/>
      </c>
      <c r="BB74" t="n">
        <v>-4.562</v>
      </c>
      <c r="BC74" t="n">
        <v>3.704</v>
      </c>
      <c r="BD74" t="n">
        <v>0.237</v>
      </c>
      <c r="BE74" t="n">
        <v>1.696</v>
      </c>
    </row>
    <row r="75">
      <c r="A75" t="inlineStr">
        <is>
          <t>Matane-Matapédia-Mitis</t>
        </is>
      </c>
      <c r="B75" t="inlineStr">
        <is>
          <t>Reste du Québec</t>
        </is>
      </c>
      <c r="C75">
        <f>INDEX({"CAQ","PLQ","QS","PQ","PCQ","Autre"},MATCH(MAX(D75:I75),D75:I75,0))</f>
        <v/>
      </c>
      <c r="D75" t="n">
        <v>5163</v>
      </c>
      <c r="E75" t="n">
        <v>637</v>
      </c>
      <c r="F75" t="n">
        <v>1450</v>
      </c>
      <c r="G75" t="n">
        <v>20057</v>
      </c>
      <c r="H75" t="n">
        <v>2316</v>
      </c>
      <c r="I75" t="n">
        <v>123</v>
      </c>
      <c r="J75">
        <f>SUM(D75:I75)</f>
        <v/>
      </c>
      <c r="K75">
        <f>IFERROR(D75/$J75,0)</f>
        <v/>
      </c>
      <c r="L75">
        <f>IFERROR(E75/$J75,0)</f>
        <v/>
      </c>
      <c r="M75">
        <f>IFERROR(F75/$J75,0)</f>
        <v/>
      </c>
      <c r="N75">
        <f>IFERROR(G75/$J75,0)</f>
        <v/>
      </c>
      <c r="O75">
        <f>IFERROR(H75/$J75,0)</f>
        <v/>
      </c>
      <c r="P75">
        <f>IFERROR(I75/$J75,0)</f>
        <v/>
      </c>
      <c r="Q75">
        <f>D75*INDEX(Régions!$T$2:$T$6,MATCH($B75,Régions!$A$2:$A$6,0))</f>
        <v/>
      </c>
      <c r="R75">
        <f>E75*INDEX(Régions!$U$2:$U$6,MATCH($B75,Régions!$A$2:$A$6,0))</f>
        <v/>
      </c>
      <c r="S75">
        <f>F75*INDEX(Régions!$V$2:$V$6,MATCH($B75,Régions!$A$2:$A$6,0))</f>
        <v/>
      </c>
      <c r="T75">
        <f>G75*INDEX(Régions!$W$2:$W$6,MATCH($B75,Régions!$A$2:$A$6,0))</f>
        <v/>
      </c>
      <c r="U75">
        <f>H75*INDEX(Régions!$X$2:$X$6,MATCH($B75,Régions!$A$2:$A$6,0))</f>
        <v/>
      </c>
      <c r="V75">
        <f>I75*INDEX(Régions!$Y$2:$Y$6,MATCH($B75,Régions!$A$2:$A$6,0))</f>
        <v/>
      </c>
      <c r="W75">
        <f>Q75+(BB75/100)*$J75*Régions!$O$2</f>
        <v/>
      </c>
      <c r="X75">
        <f>R75+(BC75/100)*$J75*Régions!$O$2</f>
        <v/>
      </c>
      <c r="Y75">
        <f>S75+(BD75/100)*$J75*Régions!$O$2</f>
        <v/>
      </c>
      <c r="Z75">
        <f>T75+(BE75/100)*$J75*Régions!$O$2</f>
        <v/>
      </c>
      <c r="AA75">
        <f>U75</f>
        <v/>
      </c>
      <c r="AB75">
        <f>V75</f>
        <v/>
      </c>
      <c r="AC75">
        <f>D75*INDEX(Régions!$Z$2:$Z$6,MATCH($B75,Régions!$A$2:$A$6,0))</f>
        <v/>
      </c>
      <c r="AD75">
        <f>E75*INDEX(Régions!$AA$2:$AA$6,MATCH($B75,Régions!$A$2:$A$6,0))</f>
        <v/>
      </c>
      <c r="AE75">
        <f>F75*INDEX(Régions!$AB$2:$AB$6,MATCH($B75,Régions!$A$2:$A$6,0))</f>
        <v/>
      </c>
      <c r="AF75">
        <f>G75*INDEX(Régions!$AC$2:$AC$6,MATCH($B75,Régions!$A$2:$A$6,0))</f>
        <v/>
      </c>
      <c r="AG75">
        <f>H75*INDEX(Régions!$AD$2:$AD$6,MATCH($B75,Régions!$A$2:$A$6,0))</f>
        <v/>
      </c>
      <c r="AH75">
        <f>I75*INDEX(Régions!$AE$2:$AE$6,MATCH($B75,Régions!$A$2:$A$6,0))</f>
        <v/>
      </c>
      <c r="AI75">
        <f>D75*INDEX(Régions!$AF$2:$AF$6,MATCH($B75,Régions!$A$2:$A$6,0))</f>
        <v/>
      </c>
      <c r="AJ75">
        <f>E75*INDEX(Régions!$AG$2:$AG$6,MATCH($B75,Régions!$A$2:$A$6,0))</f>
        <v/>
      </c>
      <c r="AK75">
        <f>F75*INDEX(Régions!$AH$2:$AH$6,MATCH($B75,Régions!$A$2:$A$6,0))</f>
        <v/>
      </c>
      <c r="AL75">
        <f>G75*INDEX(Régions!$AI$2:$AI$6,MATCH($B75,Régions!$A$2:$A$6,0))</f>
        <v/>
      </c>
      <c r="AM75">
        <f>H75*INDEX(Régions!$AJ$2:$AJ$6,MATCH($B75,Régions!$A$2:$A$6,0))</f>
        <v/>
      </c>
      <c r="AN75">
        <f>I75*INDEX(Régions!$AK$2:$AK$6,MATCH($B75,Régions!$A$2:$A$6,0))</f>
        <v/>
      </c>
      <c r="AO75">
        <f>Régions!$Q$2*Q75/SUM($Q75:$V75)*100+(1-Régions!$Q$2)*MAX(K75*100+(INDEX(Régions!$AL$2:$AL$6,MATCH($B75,Régions!$A$2:$A$6,0))),0)</f>
        <v/>
      </c>
      <c r="AP75">
        <f>Régions!$Q$2*R75/SUM($Q75:$V75)*100+(1-Régions!$Q$2)*MAX(L75*100+(INDEX(Régions!$AM$2:$AM$6,MATCH($B75,Régions!$A$2:$A$6,0))),0)</f>
        <v/>
      </c>
      <c r="AQ75">
        <f>Régions!$Q$2*S75/SUM($Q75:$V75)*100+(1-Régions!$Q$2)*MAX(M75*100+(INDEX(Régions!$AN$2:$AN$6,MATCH($B75,Régions!$A$2:$A$6,0))),0)</f>
        <v/>
      </c>
      <c r="AR75">
        <f>Régions!$Q$2*T75/SUM($Q75:$V75)*100+(1-Régions!$Q$2)*MAX(N75*100+(INDEX(Régions!$AO$2:$AO$6,MATCH($B75,Régions!$A$2:$A$6,0))),0)</f>
        <v/>
      </c>
      <c r="AS75">
        <f>Régions!$Q$2*U75/SUM($Q75:$V75)*100+(1-Régions!$Q$2)*MAX(O75*100+(INDEX(Régions!$AP$2:$AP$6,MATCH($B75,Régions!$A$2:$A$6,0))),0)</f>
        <v/>
      </c>
      <c r="AT75">
        <f>Régions!$Q$2*V75/SUM($Q75:$V75)*100+(1-Régions!$Q$2)*MAX(P75*100+(INDEX(Régions!$AQ$2:$AQ$6,MATCH($B75,Régions!$A$2:$A$6,0))),0)</f>
        <v/>
      </c>
      <c r="AU75">
        <f>INDEX({"CAQ","PLQ","QS","PQ","PCQ","Autre"},MATCH(MAX(Q75:V75),Q75:V75,0))</f>
        <v/>
      </c>
      <c r="AV75">
        <f>INDEX({"CAQ","PLQ","QS","PQ","PCQ","Autre"},MATCH(MAX(W75:AB75),W75:AB75,0))</f>
        <v/>
      </c>
      <c r="AW75">
        <f>INDEX({"CAQ","PLQ","QS","PQ","PCQ","Autre"},MATCH(MAX(AC75:AH75),AC75:AH75,0))</f>
        <v/>
      </c>
      <c r="AX75">
        <f>INDEX({"CAQ","PLQ","QS","PQ","PCQ","Autre"},MATCH(MAX(AI75:AN75),AI75:AN75,0))</f>
        <v/>
      </c>
      <c r="AY75">
        <f>INDEX({"CAQ","PLQ","QS","PQ","PCQ","Autre"},MATCH(MAX(AO75:AT75),AO75:AT75,0))</f>
        <v/>
      </c>
      <c r="AZ75">
        <f>(MAX(K75:P75)-LARGE(K75:P75,2))*100</f>
        <v/>
      </c>
      <c r="BA75">
        <f>IF(AZ75&lt;5,"Oui","Non")</f>
        <v/>
      </c>
      <c r="BB75" t="n">
        <v>-1.409</v>
      </c>
      <c r="BC75" t="n">
        <v>3.981</v>
      </c>
      <c r="BD75" t="n">
        <v>0.28</v>
      </c>
      <c r="BE75" t="n">
        <v>2.132</v>
      </c>
    </row>
    <row r="76">
      <c r="A76" t="inlineStr">
        <is>
          <t>Maurice-Richard</t>
        </is>
      </c>
      <c r="B76" t="inlineStr">
        <is>
          <t>Île de Montréal</t>
        </is>
      </c>
      <c r="C76">
        <f>INDEX({"CAQ","PLQ","QS","PQ","PCQ","Autre"},MATCH(MAX(D76:I76),D76:I76,0))</f>
        <v/>
      </c>
      <c r="D76" t="n">
        <v>8542</v>
      </c>
      <c r="E76" t="n">
        <v>5414</v>
      </c>
      <c r="F76" t="n">
        <v>10903</v>
      </c>
      <c r="G76" t="n">
        <v>4612</v>
      </c>
      <c r="H76" t="n">
        <v>1322</v>
      </c>
      <c r="I76" t="n">
        <v>654</v>
      </c>
      <c r="J76">
        <f>SUM(D76:I76)</f>
        <v/>
      </c>
      <c r="K76">
        <f>IFERROR(D76/$J76,0)</f>
        <v/>
      </c>
      <c r="L76">
        <f>IFERROR(E76/$J76,0)</f>
        <v/>
      </c>
      <c r="M76">
        <f>IFERROR(F76/$J76,0)</f>
        <v/>
      </c>
      <c r="N76">
        <f>IFERROR(G76/$J76,0)</f>
        <v/>
      </c>
      <c r="O76">
        <f>IFERROR(H76/$J76,0)</f>
        <v/>
      </c>
      <c r="P76">
        <f>IFERROR(I76/$J76,0)</f>
        <v/>
      </c>
      <c r="Q76">
        <f>D76*INDEX(Régions!$T$2:$T$6,MATCH($B76,Régions!$A$2:$A$6,0))</f>
        <v/>
      </c>
      <c r="R76">
        <f>E76*INDEX(Régions!$U$2:$U$6,MATCH($B76,Régions!$A$2:$A$6,0))</f>
        <v/>
      </c>
      <c r="S76">
        <f>F76*INDEX(Régions!$V$2:$V$6,MATCH($B76,Régions!$A$2:$A$6,0))</f>
        <v/>
      </c>
      <c r="T76">
        <f>G76*INDEX(Régions!$W$2:$W$6,MATCH($B76,Régions!$A$2:$A$6,0))</f>
        <v/>
      </c>
      <c r="U76">
        <f>H76*INDEX(Régions!$X$2:$X$6,MATCH($B76,Régions!$A$2:$A$6,0))</f>
        <v/>
      </c>
      <c r="V76">
        <f>I76*INDEX(Régions!$Y$2:$Y$6,MATCH($B76,Régions!$A$2:$A$6,0))</f>
        <v/>
      </c>
      <c r="W76">
        <f>Q76+(BB76/100)*$J76*Régions!$O$2</f>
        <v/>
      </c>
      <c r="X76">
        <f>R76+(BC76/100)*$J76*Régions!$O$2</f>
        <v/>
      </c>
      <c r="Y76">
        <f>S76+(BD76/100)*$J76*Régions!$O$2</f>
        <v/>
      </c>
      <c r="Z76">
        <f>T76+(BE76/100)*$J76*Régions!$O$2</f>
        <v/>
      </c>
      <c r="AA76">
        <f>U76</f>
        <v/>
      </c>
      <c r="AB76">
        <f>V76</f>
        <v/>
      </c>
      <c r="AC76">
        <f>D76*INDEX(Régions!$Z$2:$Z$6,MATCH($B76,Régions!$A$2:$A$6,0))</f>
        <v/>
      </c>
      <c r="AD76">
        <f>E76*INDEX(Régions!$AA$2:$AA$6,MATCH($B76,Régions!$A$2:$A$6,0))</f>
        <v/>
      </c>
      <c r="AE76">
        <f>F76*INDEX(Régions!$AB$2:$AB$6,MATCH($B76,Régions!$A$2:$A$6,0))</f>
        <v/>
      </c>
      <c r="AF76">
        <f>G76*INDEX(Régions!$AC$2:$AC$6,MATCH($B76,Régions!$A$2:$A$6,0))</f>
        <v/>
      </c>
      <c r="AG76">
        <f>H76*INDEX(Régions!$AD$2:$AD$6,MATCH($B76,Régions!$A$2:$A$6,0))</f>
        <v/>
      </c>
      <c r="AH76">
        <f>I76*INDEX(Régions!$AE$2:$AE$6,MATCH($B76,Régions!$A$2:$A$6,0))</f>
        <v/>
      </c>
      <c r="AI76">
        <f>D76*INDEX(Régions!$AF$2:$AF$6,MATCH($B76,Régions!$A$2:$A$6,0))</f>
        <v/>
      </c>
      <c r="AJ76">
        <f>E76*INDEX(Régions!$AG$2:$AG$6,MATCH($B76,Régions!$A$2:$A$6,0))</f>
        <v/>
      </c>
      <c r="AK76">
        <f>F76*INDEX(Régions!$AH$2:$AH$6,MATCH($B76,Régions!$A$2:$A$6,0))</f>
        <v/>
      </c>
      <c r="AL76">
        <f>G76*INDEX(Régions!$AI$2:$AI$6,MATCH($B76,Régions!$A$2:$A$6,0))</f>
        <v/>
      </c>
      <c r="AM76">
        <f>H76*INDEX(Régions!$AJ$2:$AJ$6,MATCH($B76,Régions!$A$2:$A$6,0))</f>
        <v/>
      </c>
      <c r="AN76">
        <f>I76*INDEX(Régions!$AK$2:$AK$6,MATCH($B76,Régions!$A$2:$A$6,0))</f>
        <v/>
      </c>
      <c r="AO76">
        <f>Régions!$Q$2*Q76/SUM($Q76:$V76)*100+(1-Régions!$Q$2)*MAX(K76*100+(INDEX(Régions!$AL$2:$AL$6,MATCH($B76,Régions!$A$2:$A$6,0))),0)</f>
        <v/>
      </c>
      <c r="AP76">
        <f>Régions!$Q$2*R76/SUM($Q76:$V76)*100+(1-Régions!$Q$2)*MAX(L76*100+(INDEX(Régions!$AM$2:$AM$6,MATCH($B76,Régions!$A$2:$A$6,0))),0)</f>
        <v/>
      </c>
      <c r="AQ76">
        <f>Régions!$Q$2*S76/SUM($Q76:$V76)*100+(1-Régions!$Q$2)*MAX(M76*100+(INDEX(Régions!$AN$2:$AN$6,MATCH($B76,Régions!$A$2:$A$6,0))),0)</f>
        <v/>
      </c>
      <c r="AR76">
        <f>Régions!$Q$2*T76/SUM($Q76:$V76)*100+(1-Régions!$Q$2)*MAX(N76*100+(INDEX(Régions!$AO$2:$AO$6,MATCH($B76,Régions!$A$2:$A$6,0))),0)</f>
        <v/>
      </c>
      <c r="AS76">
        <f>Régions!$Q$2*U76/SUM($Q76:$V76)*100+(1-Régions!$Q$2)*MAX(O76*100+(INDEX(Régions!$AP$2:$AP$6,MATCH($B76,Régions!$A$2:$A$6,0))),0)</f>
        <v/>
      </c>
      <c r="AT76">
        <f>Régions!$Q$2*V76/SUM($Q76:$V76)*100+(1-Régions!$Q$2)*MAX(P76*100+(INDEX(Régions!$AQ$2:$AQ$6,MATCH($B76,Régions!$A$2:$A$6,0))),0)</f>
        <v/>
      </c>
      <c r="AU76">
        <f>INDEX({"CAQ","PLQ","QS","PQ","PCQ","Autre"},MATCH(MAX(Q76:V76),Q76:V76,0))</f>
        <v/>
      </c>
      <c r="AV76">
        <f>INDEX({"CAQ","PLQ","QS","PQ","PCQ","Autre"},MATCH(MAX(W76:AB76),W76:AB76,0))</f>
        <v/>
      </c>
      <c r="AW76">
        <f>INDEX({"CAQ","PLQ","QS","PQ","PCQ","Autre"},MATCH(MAX(AC76:AH76),AC76:AH76,0))</f>
        <v/>
      </c>
      <c r="AX76">
        <f>INDEX({"CAQ","PLQ","QS","PQ","PCQ","Autre"},MATCH(MAX(AI76:AN76),AI76:AN76,0))</f>
        <v/>
      </c>
      <c r="AY76">
        <f>INDEX({"CAQ","PLQ","QS","PQ","PCQ","Autre"},MATCH(MAX(AO76:AT76),AO76:AT76,0))</f>
        <v/>
      </c>
      <c r="AZ76">
        <f>(MAX(K76:P76)-LARGE(K76:P76,2))*100</f>
        <v/>
      </c>
      <c r="BA76">
        <f>IF(AZ76&lt;5,"Oui","Non")</f>
        <v/>
      </c>
      <c r="BB76" t="n">
        <v>5.46</v>
      </c>
      <c r="BC76" t="n">
        <v>-3.5</v>
      </c>
      <c r="BD76" t="n">
        <v>6.035</v>
      </c>
      <c r="BE76" t="n">
        <v>-3.361</v>
      </c>
    </row>
    <row r="77">
      <c r="A77" t="inlineStr">
        <is>
          <t>Mégantic</t>
        </is>
      </c>
      <c r="B77" t="inlineStr">
        <is>
          <t>Reste du Québec</t>
        </is>
      </c>
      <c r="C77">
        <f>INDEX({"CAQ","PLQ","QS","PQ","PCQ","Autre"},MATCH(MAX(D77:I77),D77:I77,0))</f>
        <v/>
      </c>
      <c r="D77" t="n">
        <v>16016.7</v>
      </c>
      <c r="E77" t="n">
        <v>1953.2</v>
      </c>
      <c r="F77" t="n">
        <v>4996.8</v>
      </c>
      <c r="G77" t="n">
        <v>4416.3</v>
      </c>
      <c r="H77" t="n">
        <v>7082.7</v>
      </c>
      <c r="I77" t="n">
        <v>122.6</v>
      </c>
      <c r="J77">
        <f>SUM(D77:I77)</f>
        <v/>
      </c>
      <c r="K77">
        <f>IFERROR(D77/$J77,0)</f>
        <v/>
      </c>
      <c r="L77">
        <f>IFERROR(E77/$J77,0)</f>
        <v/>
      </c>
      <c r="M77">
        <f>IFERROR(F77/$J77,0)</f>
        <v/>
      </c>
      <c r="N77">
        <f>IFERROR(G77/$J77,0)</f>
        <v/>
      </c>
      <c r="O77">
        <f>IFERROR(H77/$J77,0)</f>
        <v/>
      </c>
      <c r="P77">
        <f>IFERROR(I77/$J77,0)</f>
        <v/>
      </c>
      <c r="Q77">
        <f>D77*INDEX(Régions!$T$2:$T$6,MATCH($B77,Régions!$A$2:$A$6,0))</f>
        <v/>
      </c>
      <c r="R77">
        <f>E77*INDEX(Régions!$U$2:$U$6,MATCH($B77,Régions!$A$2:$A$6,0))</f>
        <v/>
      </c>
      <c r="S77">
        <f>F77*INDEX(Régions!$V$2:$V$6,MATCH($B77,Régions!$A$2:$A$6,0))</f>
        <v/>
      </c>
      <c r="T77">
        <f>G77*INDEX(Régions!$W$2:$W$6,MATCH($B77,Régions!$A$2:$A$6,0))</f>
        <v/>
      </c>
      <c r="U77">
        <f>H77*INDEX(Régions!$X$2:$X$6,MATCH($B77,Régions!$A$2:$A$6,0))</f>
        <v/>
      </c>
      <c r="V77">
        <f>I77*INDEX(Régions!$Y$2:$Y$6,MATCH($B77,Régions!$A$2:$A$6,0))</f>
        <v/>
      </c>
      <c r="W77">
        <f>Q77+(BB77/100)*$J77*Régions!$O$2</f>
        <v/>
      </c>
      <c r="X77">
        <f>R77+(BC77/100)*$J77*Régions!$O$2</f>
        <v/>
      </c>
      <c r="Y77">
        <f>S77+(BD77/100)*$J77*Régions!$O$2</f>
        <v/>
      </c>
      <c r="Z77">
        <f>T77+(BE77/100)*$J77*Régions!$O$2</f>
        <v/>
      </c>
      <c r="AA77">
        <f>U77</f>
        <v/>
      </c>
      <c r="AB77">
        <f>V77</f>
        <v/>
      </c>
      <c r="AC77">
        <f>D77*INDEX(Régions!$Z$2:$Z$6,MATCH($B77,Régions!$A$2:$A$6,0))</f>
        <v/>
      </c>
      <c r="AD77">
        <f>E77*INDEX(Régions!$AA$2:$AA$6,MATCH($B77,Régions!$A$2:$A$6,0))</f>
        <v/>
      </c>
      <c r="AE77">
        <f>F77*INDEX(Régions!$AB$2:$AB$6,MATCH($B77,Régions!$A$2:$A$6,0))</f>
        <v/>
      </c>
      <c r="AF77">
        <f>G77*INDEX(Régions!$AC$2:$AC$6,MATCH($B77,Régions!$A$2:$A$6,0))</f>
        <v/>
      </c>
      <c r="AG77">
        <f>H77*INDEX(Régions!$AD$2:$AD$6,MATCH($B77,Régions!$A$2:$A$6,0))</f>
        <v/>
      </c>
      <c r="AH77">
        <f>I77*INDEX(Régions!$AE$2:$AE$6,MATCH($B77,Régions!$A$2:$A$6,0))</f>
        <v/>
      </c>
      <c r="AI77">
        <f>D77*INDEX(Régions!$AF$2:$AF$6,MATCH($B77,Régions!$A$2:$A$6,0))</f>
        <v/>
      </c>
      <c r="AJ77">
        <f>E77*INDEX(Régions!$AG$2:$AG$6,MATCH($B77,Régions!$A$2:$A$6,0))</f>
        <v/>
      </c>
      <c r="AK77">
        <f>F77*INDEX(Régions!$AH$2:$AH$6,MATCH($B77,Régions!$A$2:$A$6,0))</f>
        <v/>
      </c>
      <c r="AL77">
        <f>G77*INDEX(Régions!$AI$2:$AI$6,MATCH($B77,Régions!$A$2:$A$6,0))</f>
        <v/>
      </c>
      <c r="AM77">
        <f>H77*INDEX(Régions!$AJ$2:$AJ$6,MATCH($B77,Régions!$A$2:$A$6,0))</f>
        <v/>
      </c>
      <c r="AN77">
        <f>I77*INDEX(Régions!$AK$2:$AK$6,MATCH($B77,Régions!$A$2:$A$6,0))</f>
        <v/>
      </c>
      <c r="AO77">
        <f>Régions!$Q$2*Q77/SUM($Q77:$V77)*100+(1-Régions!$Q$2)*MAX(K77*100+(INDEX(Régions!$AL$2:$AL$6,MATCH($B77,Régions!$A$2:$A$6,0))),0)</f>
        <v/>
      </c>
      <c r="AP77">
        <f>Régions!$Q$2*R77/SUM($Q77:$V77)*100+(1-Régions!$Q$2)*MAX(L77*100+(INDEX(Régions!$AM$2:$AM$6,MATCH($B77,Régions!$A$2:$A$6,0))),0)</f>
        <v/>
      </c>
      <c r="AQ77">
        <f>Régions!$Q$2*S77/SUM($Q77:$V77)*100+(1-Régions!$Q$2)*MAX(M77*100+(INDEX(Régions!$AN$2:$AN$6,MATCH($B77,Régions!$A$2:$A$6,0))),0)</f>
        <v/>
      </c>
      <c r="AR77">
        <f>Régions!$Q$2*T77/SUM($Q77:$V77)*100+(1-Régions!$Q$2)*MAX(N77*100+(INDEX(Régions!$AO$2:$AO$6,MATCH($B77,Régions!$A$2:$A$6,0))),0)</f>
        <v/>
      </c>
      <c r="AS77">
        <f>Régions!$Q$2*U77/SUM($Q77:$V77)*100+(1-Régions!$Q$2)*MAX(O77*100+(INDEX(Régions!$AP$2:$AP$6,MATCH($B77,Régions!$A$2:$A$6,0))),0)</f>
        <v/>
      </c>
      <c r="AT77">
        <f>Régions!$Q$2*V77/SUM($Q77:$V77)*100+(1-Régions!$Q$2)*MAX(P77*100+(INDEX(Régions!$AQ$2:$AQ$6,MATCH($B77,Régions!$A$2:$A$6,0))),0)</f>
        <v/>
      </c>
      <c r="AU77">
        <f>INDEX({"CAQ","PLQ","QS","PQ","PCQ","Autre"},MATCH(MAX(Q77:V77),Q77:V77,0))</f>
        <v/>
      </c>
      <c r="AV77">
        <f>INDEX({"CAQ","PLQ","QS","PQ","PCQ","Autre"},MATCH(MAX(W77:AB77),W77:AB77,0))</f>
        <v/>
      </c>
      <c r="AW77">
        <f>INDEX({"CAQ","PLQ","QS","PQ","PCQ","Autre"},MATCH(MAX(AC77:AH77),AC77:AH77,0))</f>
        <v/>
      </c>
      <c r="AX77">
        <f>INDEX({"CAQ","PLQ","QS","PQ","PCQ","Autre"},MATCH(MAX(AI77:AN77),AI77:AN77,0))</f>
        <v/>
      </c>
      <c r="AY77">
        <f>INDEX({"CAQ","PLQ","QS","PQ","PCQ","Autre"},MATCH(MAX(AO77:AT77),AO77:AT77,0))</f>
        <v/>
      </c>
      <c r="AZ77">
        <f>(MAX(K77:P77)-LARGE(K77:P77,2))*100</f>
        <v/>
      </c>
      <c r="BA77">
        <f>IF(AZ77&lt;5,"Oui","Non")</f>
        <v/>
      </c>
      <c r="BB77" t="n">
        <v>-6.778</v>
      </c>
      <c r="BC77" t="n">
        <v>-1.082</v>
      </c>
      <c r="BD77" t="n">
        <v>-1.022</v>
      </c>
      <c r="BE77" t="n">
        <v>3.14</v>
      </c>
    </row>
    <row r="78">
      <c r="A78" t="inlineStr">
        <is>
          <t>Mercier</t>
        </is>
      </c>
      <c r="B78" t="inlineStr">
        <is>
          <t>Île de Montréal</t>
        </is>
      </c>
      <c r="C78">
        <f>INDEX({"CAQ","PLQ","QS","PQ","PCQ","Autre"},MATCH(MAX(D78:I78),D78:I78,0))</f>
        <v/>
      </c>
      <c r="D78" t="n">
        <v>2814</v>
      </c>
      <c r="E78" t="n">
        <v>3837</v>
      </c>
      <c r="F78" t="n">
        <v>14755</v>
      </c>
      <c r="G78" t="n">
        <v>3986</v>
      </c>
      <c r="H78" t="n">
        <v>1051</v>
      </c>
      <c r="I78" t="n">
        <v>920</v>
      </c>
      <c r="J78">
        <f>SUM(D78:I78)</f>
        <v/>
      </c>
      <c r="K78">
        <f>IFERROR(D78/$J78,0)</f>
        <v/>
      </c>
      <c r="L78">
        <f>IFERROR(E78/$J78,0)</f>
        <v/>
      </c>
      <c r="M78">
        <f>IFERROR(F78/$J78,0)</f>
        <v/>
      </c>
      <c r="N78">
        <f>IFERROR(G78/$J78,0)</f>
        <v/>
      </c>
      <c r="O78">
        <f>IFERROR(H78/$J78,0)</f>
        <v/>
      </c>
      <c r="P78">
        <f>IFERROR(I78/$J78,0)</f>
        <v/>
      </c>
      <c r="Q78">
        <f>D78*INDEX(Régions!$T$2:$T$6,MATCH($B78,Régions!$A$2:$A$6,0))</f>
        <v/>
      </c>
      <c r="R78">
        <f>E78*INDEX(Régions!$U$2:$U$6,MATCH($B78,Régions!$A$2:$A$6,0))</f>
        <v/>
      </c>
      <c r="S78">
        <f>F78*INDEX(Régions!$V$2:$V$6,MATCH($B78,Régions!$A$2:$A$6,0))</f>
        <v/>
      </c>
      <c r="T78">
        <f>G78*INDEX(Régions!$W$2:$W$6,MATCH($B78,Régions!$A$2:$A$6,0))</f>
        <v/>
      </c>
      <c r="U78">
        <f>H78*INDEX(Régions!$X$2:$X$6,MATCH($B78,Régions!$A$2:$A$6,0))</f>
        <v/>
      </c>
      <c r="V78">
        <f>I78*INDEX(Régions!$Y$2:$Y$6,MATCH($B78,Régions!$A$2:$A$6,0))</f>
        <v/>
      </c>
      <c r="W78">
        <f>Q78+(BB78/100)*$J78*Régions!$O$2</f>
        <v/>
      </c>
      <c r="X78">
        <f>R78+(BC78/100)*$J78*Régions!$O$2</f>
        <v/>
      </c>
      <c r="Y78">
        <f>S78+(BD78/100)*$J78*Régions!$O$2</f>
        <v/>
      </c>
      <c r="Z78">
        <f>T78+(BE78/100)*$J78*Régions!$O$2</f>
        <v/>
      </c>
      <c r="AA78">
        <f>U78</f>
        <v/>
      </c>
      <c r="AB78">
        <f>V78</f>
        <v/>
      </c>
      <c r="AC78">
        <f>D78*INDEX(Régions!$Z$2:$Z$6,MATCH($B78,Régions!$A$2:$A$6,0))</f>
        <v/>
      </c>
      <c r="AD78">
        <f>E78*INDEX(Régions!$AA$2:$AA$6,MATCH($B78,Régions!$A$2:$A$6,0))</f>
        <v/>
      </c>
      <c r="AE78">
        <f>F78*INDEX(Régions!$AB$2:$AB$6,MATCH($B78,Régions!$A$2:$A$6,0))</f>
        <v/>
      </c>
      <c r="AF78">
        <f>G78*INDEX(Régions!$AC$2:$AC$6,MATCH($B78,Régions!$A$2:$A$6,0))</f>
        <v/>
      </c>
      <c r="AG78">
        <f>H78*INDEX(Régions!$AD$2:$AD$6,MATCH($B78,Régions!$A$2:$A$6,0))</f>
        <v/>
      </c>
      <c r="AH78">
        <f>I78*INDEX(Régions!$AE$2:$AE$6,MATCH($B78,Régions!$A$2:$A$6,0))</f>
        <v/>
      </c>
      <c r="AI78">
        <f>D78*INDEX(Régions!$AF$2:$AF$6,MATCH($B78,Régions!$A$2:$A$6,0))</f>
        <v/>
      </c>
      <c r="AJ78">
        <f>E78*INDEX(Régions!$AG$2:$AG$6,MATCH($B78,Régions!$A$2:$A$6,0))</f>
        <v/>
      </c>
      <c r="AK78">
        <f>F78*INDEX(Régions!$AH$2:$AH$6,MATCH($B78,Régions!$A$2:$A$6,0))</f>
        <v/>
      </c>
      <c r="AL78">
        <f>G78*INDEX(Régions!$AI$2:$AI$6,MATCH($B78,Régions!$A$2:$A$6,0))</f>
        <v/>
      </c>
      <c r="AM78">
        <f>H78*INDEX(Régions!$AJ$2:$AJ$6,MATCH($B78,Régions!$A$2:$A$6,0))</f>
        <v/>
      </c>
      <c r="AN78">
        <f>I78*INDEX(Régions!$AK$2:$AK$6,MATCH($B78,Régions!$A$2:$A$6,0))</f>
        <v/>
      </c>
      <c r="AO78">
        <f>Régions!$Q$2*Q78/SUM($Q78:$V78)*100+(1-Régions!$Q$2)*MAX(K78*100+(INDEX(Régions!$AL$2:$AL$6,MATCH($B78,Régions!$A$2:$A$6,0))),0)</f>
        <v/>
      </c>
      <c r="AP78">
        <f>Régions!$Q$2*R78/SUM($Q78:$V78)*100+(1-Régions!$Q$2)*MAX(L78*100+(INDEX(Régions!$AM$2:$AM$6,MATCH($B78,Régions!$A$2:$A$6,0))),0)</f>
        <v/>
      </c>
      <c r="AQ78">
        <f>Régions!$Q$2*S78/SUM($Q78:$V78)*100+(1-Régions!$Q$2)*MAX(M78*100+(INDEX(Régions!$AN$2:$AN$6,MATCH($B78,Régions!$A$2:$A$6,0))),0)</f>
        <v/>
      </c>
      <c r="AR78">
        <f>Régions!$Q$2*T78/SUM($Q78:$V78)*100+(1-Régions!$Q$2)*MAX(N78*100+(INDEX(Régions!$AO$2:$AO$6,MATCH($B78,Régions!$A$2:$A$6,0))),0)</f>
        <v/>
      </c>
      <c r="AS78">
        <f>Régions!$Q$2*U78/SUM($Q78:$V78)*100+(1-Régions!$Q$2)*MAX(O78*100+(INDEX(Régions!$AP$2:$AP$6,MATCH($B78,Régions!$A$2:$A$6,0))),0)</f>
        <v/>
      </c>
      <c r="AT78">
        <f>Régions!$Q$2*V78/SUM($Q78:$V78)*100+(1-Régions!$Q$2)*MAX(P78*100+(INDEX(Régions!$AQ$2:$AQ$6,MATCH($B78,Régions!$A$2:$A$6,0))),0)</f>
        <v/>
      </c>
      <c r="AU78">
        <f>INDEX({"CAQ","PLQ","QS","PQ","PCQ","Autre"},MATCH(MAX(Q78:V78),Q78:V78,0))</f>
        <v/>
      </c>
      <c r="AV78">
        <f>INDEX({"CAQ","PLQ","QS","PQ","PCQ","Autre"},MATCH(MAX(W78:AB78),W78:AB78,0))</f>
        <v/>
      </c>
      <c r="AW78">
        <f>INDEX({"CAQ","PLQ","QS","PQ","PCQ","Autre"},MATCH(MAX(AC78:AH78),AC78:AH78,0))</f>
        <v/>
      </c>
      <c r="AX78">
        <f>INDEX({"CAQ","PLQ","QS","PQ","PCQ","Autre"},MATCH(MAX(AI78:AN78),AI78:AN78,0))</f>
        <v/>
      </c>
      <c r="AY78">
        <f>INDEX({"CAQ","PLQ","QS","PQ","PCQ","Autre"},MATCH(MAX(AO78:AT78),AO78:AT78,0))</f>
        <v/>
      </c>
      <c r="AZ78">
        <f>(MAX(K78:P78)-LARGE(K78:P78,2))*100</f>
        <v/>
      </c>
      <c r="BA78">
        <f>IF(AZ78&lt;5,"Oui","Non")</f>
        <v/>
      </c>
      <c r="BB78" t="n">
        <v>0.294</v>
      </c>
      <c r="BC78" t="n">
        <v>5.115</v>
      </c>
      <c r="BD78" t="n">
        <v>-1.35</v>
      </c>
      <c r="BE78" t="n">
        <v>3.544</v>
      </c>
    </row>
    <row r="79">
      <c r="A79" t="inlineStr">
        <is>
          <t>Mille-Îles</t>
        </is>
      </c>
      <c r="B79" t="inlineStr">
        <is>
          <t>Banlieue de Montréal</t>
        </is>
      </c>
      <c r="C79">
        <f>INDEX({"CAQ","PLQ","QS","PQ","PCQ","Autre"},MATCH(MAX(D79:I79),D79:I79,0))</f>
        <v/>
      </c>
      <c r="D79" t="n">
        <v>9966.700000000001</v>
      </c>
      <c r="E79" t="n">
        <v>10305.3</v>
      </c>
      <c r="F79" t="n">
        <v>4243.7</v>
      </c>
      <c r="G79" t="n">
        <v>3903.2</v>
      </c>
      <c r="H79" t="n">
        <v>3339</v>
      </c>
      <c r="I79" t="n">
        <v>378.7</v>
      </c>
      <c r="J79">
        <f>SUM(D79:I79)</f>
        <v/>
      </c>
      <c r="K79">
        <f>IFERROR(D79/$J79,0)</f>
        <v/>
      </c>
      <c r="L79">
        <f>IFERROR(E79/$J79,0)</f>
        <v/>
      </c>
      <c r="M79">
        <f>IFERROR(F79/$J79,0)</f>
        <v/>
      </c>
      <c r="N79">
        <f>IFERROR(G79/$J79,0)</f>
        <v/>
      </c>
      <c r="O79">
        <f>IFERROR(H79/$J79,0)</f>
        <v/>
      </c>
      <c r="P79">
        <f>IFERROR(I79/$J79,0)</f>
        <v/>
      </c>
      <c r="Q79">
        <f>D79*INDEX(Régions!$T$2:$T$6,MATCH($B79,Régions!$A$2:$A$6,0))</f>
        <v/>
      </c>
      <c r="R79">
        <f>E79*INDEX(Régions!$U$2:$U$6,MATCH($B79,Régions!$A$2:$A$6,0))</f>
        <v/>
      </c>
      <c r="S79">
        <f>F79*INDEX(Régions!$V$2:$V$6,MATCH($B79,Régions!$A$2:$A$6,0))</f>
        <v/>
      </c>
      <c r="T79">
        <f>G79*INDEX(Régions!$W$2:$W$6,MATCH($B79,Régions!$A$2:$A$6,0))</f>
        <v/>
      </c>
      <c r="U79">
        <f>H79*INDEX(Régions!$X$2:$X$6,MATCH($B79,Régions!$A$2:$A$6,0))</f>
        <v/>
      </c>
      <c r="V79">
        <f>I79*INDEX(Régions!$Y$2:$Y$6,MATCH($B79,Régions!$A$2:$A$6,0))</f>
        <v/>
      </c>
      <c r="W79">
        <f>Q79+(BB79/100)*$J79*Régions!$O$2</f>
        <v/>
      </c>
      <c r="X79">
        <f>R79+(BC79/100)*$J79*Régions!$O$2</f>
        <v/>
      </c>
      <c r="Y79">
        <f>S79+(BD79/100)*$J79*Régions!$O$2</f>
        <v/>
      </c>
      <c r="Z79">
        <f>T79+(BE79/100)*$J79*Régions!$O$2</f>
        <v/>
      </c>
      <c r="AA79">
        <f>U79</f>
        <v/>
      </c>
      <c r="AB79">
        <f>V79</f>
        <v/>
      </c>
      <c r="AC79">
        <f>D79*INDEX(Régions!$Z$2:$Z$6,MATCH($B79,Régions!$A$2:$A$6,0))</f>
        <v/>
      </c>
      <c r="AD79">
        <f>E79*INDEX(Régions!$AA$2:$AA$6,MATCH($B79,Régions!$A$2:$A$6,0))</f>
        <v/>
      </c>
      <c r="AE79">
        <f>F79*INDEX(Régions!$AB$2:$AB$6,MATCH($B79,Régions!$A$2:$A$6,0))</f>
        <v/>
      </c>
      <c r="AF79">
        <f>G79*INDEX(Régions!$AC$2:$AC$6,MATCH($B79,Régions!$A$2:$A$6,0))</f>
        <v/>
      </c>
      <c r="AG79">
        <f>H79*INDEX(Régions!$AD$2:$AD$6,MATCH($B79,Régions!$A$2:$A$6,0))</f>
        <v/>
      </c>
      <c r="AH79">
        <f>I79*INDEX(Régions!$AE$2:$AE$6,MATCH($B79,Régions!$A$2:$A$6,0))</f>
        <v/>
      </c>
      <c r="AI79">
        <f>D79*INDEX(Régions!$AF$2:$AF$6,MATCH($B79,Régions!$A$2:$A$6,0))</f>
        <v/>
      </c>
      <c r="AJ79">
        <f>E79*INDEX(Régions!$AG$2:$AG$6,MATCH($B79,Régions!$A$2:$A$6,0))</f>
        <v/>
      </c>
      <c r="AK79">
        <f>F79*INDEX(Régions!$AH$2:$AH$6,MATCH($B79,Régions!$A$2:$A$6,0))</f>
        <v/>
      </c>
      <c r="AL79">
        <f>G79*INDEX(Régions!$AI$2:$AI$6,MATCH($B79,Régions!$A$2:$A$6,0))</f>
        <v/>
      </c>
      <c r="AM79">
        <f>H79*INDEX(Régions!$AJ$2:$AJ$6,MATCH($B79,Régions!$A$2:$A$6,0))</f>
        <v/>
      </c>
      <c r="AN79">
        <f>I79*INDEX(Régions!$AK$2:$AK$6,MATCH($B79,Régions!$A$2:$A$6,0))</f>
        <v/>
      </c>
      <c r="AO79">
        <f>Régions!$Q$2*Q79/SUM($Q79:$V79)*100+(1-Régions!$Q$2)*MAX(K79*100+(INDEX(Régions!$AL$2:$AL$6,MATCH($B79,Régions!$A$2:$A$6,0))),0)</f>
        <v/>
      </c>
      <c r="AP79">
        <f>Régions!$Q$2*R79/SUM($Q79:$V79)*100+(1-Régions!$Q$2)*MAX(L79*100+(INDEX(Régions!$AM$2:$AM$6,MATCH($B79,Régions!$A$2:$A$6,0))),0)</f>
        <v/>
      </c>
      <c r="AQ79">
        <f>Régions!$Q$2*S79/SUM($Q79:$V79)*100+(1-Régions!$Q$2)*MAX(M79*100+(INDEX(Régions!$AN$2:$AN$6,MATCH($B79,Régions!$A$2:$A$6,0))),0)</f>
        <v/>
      </c>
      <c r="AR79">
        <f>Régions!$Q$2*T79/SUM($Q79:$V79)*100+(1-Régions!$Q$2)*MAX(N79*100+(INDEX(Régions!$AO$2:$AO$6,MATCH($B79,Régions!$A$2:$A$6,0))),0)</f>
        <v/>
      </c>
      <c r="AS79">
        <f>Régions!$Q$2*U79/SUM($Q79:$V79)*100+(1-Régions!$Q$2)*MAX(O79*100+(INDEX(Régions!$AP$2:$AP$6,MATCH($B79,Régions!$A$2:$A$6,0))),0)</f>
        <v/>
      </c>
      <c r="AT79">
        <f>Régions!$Q$2*V79/SUM($Q79:$V79)*100+(1-Régions!$Q$2)*MAX(P79*100+(INDEX(Régions!$AQ$2:$AQ$6,MATCH($B79,Régions!$A$2:$A$6,0))),0)</f>
        <v/>
      </c>
      <c r="AU79">
        <f>INDEX({"CAQ","PLQ","QS","PQ","PCQ","Autre"},MATCH(MAX(Q79:V79),Q79:V79,0))</f>
        <v/>
      </c>
      <c r="AV79">
        <f>INDEX({"CAQ","PLQ","QS","PQ","PCQ","Autre"},MATCH(MAX(W79:AB79),W79:AB79,0))</f>
        <v/>
      </c>
      <c r="AW79">
        <f>INDEX({"CAQ","PLQ","QS","PQ","PCQ","Autre"},MATCH(MAX(AC79:AH79),AC79:AH79,0))</f>
        <v/>
      </c>
      <c r="AX79">
        <f>INDEX({"CAQ","PLQ","QS","PQ","PCQ","Autre"},MATCH(MAX(AI79:AN79),AI79:AN79,0))</f>
        <v/>
      </c>
      <c r="AY79">
        <f>INDEX({"CAQ","PLQ","QS","PQ","PCQ","Autre"},MATCH(MAX(AO79:AT79),AO79:AT79,0))</f>
        <v/>
      </c>
      <c r="AZ79">
        <f>(MAX(K79:P79)-LARGE(K79:P79,2))*100</f>
        <v/>
      </c>
      <c r="BA79">
        <f>IF(AZ79&lt;5,"Oui","Non")</f>
        <v/>
      </c>
      <c r="BB79" t="n">
        <v>-3.685</v>
      </c>
      <c r="BC79" t="n">
        <v>3.495</v>
      </c>
      <c r="BD79" t="n">
        <v>0.679</v>
      </c>
      <c r="BE79" t="n">
        <v>0.221</v>
      </c>
    </row>
    <row r="80">
      <c r="A80" t="inlineStr">
        <is>
          <t>Mirabel</t>
        </is>
      </c>
      <c r="B80" t="inlineStr">
        <is>
          <t>Banlieue de Montréal</t>
        </is>
      </c>
      <c r="C80">
        <f>INDEX({"CAQ","PLQ","QS","PQ","PCQ","Autre"},MATCH(MAX(D80:I80),D80:I80,0))</f>
        <v/>
      </c>
      <c r="D80" t="n">
        <v>17487</v>
      </c>
      <c r="E80" t="n">
        <v>2358.1</v>
      </c>
      <c r="F80" t="n">
        <v>5028.1</v>
      </c>
      <c r="G80" t="n">
        <v>5855.7</v>
      </c>
      <c r="H80" t="n">
        <v>3988.9</v>
      </c>
      <c r="I80" t="n">
        <v>180.2</v>
      </c>
      <c r="J80">
        <f>SUM(D80:I80)</f>
        <v/>
      </c>
      <c r="K80">
        <f>IFERROR(D80/$J80,0)</f>
        <v/>
      </c>
      <c r="L80">
        <f>IFERROR(E80/$J80,0)</f>
        <v/>
      </c>
      <c r="M80">
        <f>IFERROR(F80/$J80,0)</f>
        <v/>
      </c>
      <c r="N80">
        <f>IFERROR(G80/$J80,0)</f>
        <v/>
      </c>
      <c r="O80">
        <f>IFERROR(H80/$J80,0)</f>
        <v/>
      </c>
      <c r="P80">
        <f>IFERROR(I80/$J80,0)</f>
        <v/>
      </c>
      <c r="Q80">
        <f>D80*INDEX(Régions!$T$2:$T$6,MATCH($B80,Régions!$A$2:$A$6,0))</f>
        <v/>
      </c>
      <c r="R80">
        <f>E80*INDEX(Régions!$U$2:$U$6,MATCH($B80,Régions!$A$2:$A$6,0))</f>
        <v/>
      </c>
      <c r="S80">
        <f>F80*INDEX(Régions!$V$2:$V$6,MATCH($B80,Régions!$A$2:$A$6,0))</f>
        <v/>
      </c>
      <c r="T80">
        <f>G80*INDEX(Régions!$W$2:$W$6,MATCH($B80,Régions!$A$2:$A$6,0))</f>
        <v/>
      </c>
      <c r="U80">
        <f>H80*INDEX(Régions!$X$2:$X$6,MATCH($B80,Régions!$A$2:$A$6,0))</f>
        <v/>
      </c>
      <c r="V80">
        <f>I80*INDEX(Régions!$Y$2:$Y$6,MATCH($B80,Régions!$A$2:$A$6,0))</f>
        <v/>
      </c>
      <c r="W80">
        <f>Q80+(BB80/100)*$J80*Régions!$O$2</f>
        <v/>
      </c>
      <c r="X80">
        <f>R80+(BC80/100)*$J80*Régions!$O$2</f>
        <v/>
      </c>
      <c r="Y80">
        <f>S80+(BD80/100)*$J80*Régions!$O$2</f>
        <v/>
      </c>
      <c r="Z80">
        <f>T80+(BE80/100)*$J80*Régions!$O$2</f>
        <v/>
      </c>
      <c r="AA80">
        <f>U80</f>
        <v/>
      </c>
      <c r="AB80">
        <f>V80</f>
        <v/>
      </c>
      <c r="AC80">
        <f>D80*INDEX(Régions!$Z$2:$Z$6,MATCH($B80,Régions!$A$2:$A$6,0))</f>
        <v/>
      </c>
      <c r="AD80">
        <f>E80*INDEX(Régions!$AA$2:$AA$6,MATCH($B80,Régions!$A$2:$A$6,0))</f>
        <v/>
      </c>
      <c r="AE80">
        <f>F80*INDEX(Régions!$AB$2:$AB$6,MATCH($B80,Régions!$A$2:$A$6,0))</f>
        <v/>
      </c>
      <c r="AF80">
        <f>G80*INDEX(Régions!$AC$2:$AC$6,MATCH($B80,Régions!$A$2:$A$6,0))</f>
        <v/>
      </c>
      <c r="AG80">
        <f>H80*INDEX(Régions!$AD$2:$AD$6,MATCH($B80,Régions!$A$2:$A$6,0))</f>
        <v/>
      </c>
      <c r="AH80">
        <f>I80*INDEX(Régions!$AE$2:$AE$6,MATCH($B80,Régions!$A$2:$A$6,0))</f>
        <v/>
      </c>
      <c r="AI80">
        <f>D80*INDEX(Régions!$AF$2:$AF$6,MATCH($B80,Régions!$A$2:$A$6,0))</f>
        <v/>
      </c>
      <c r="AJ80">
        <f>E80*INDEX(Régions!$AG$2:$AG$6,MATCH($B80,Régions!$A$2:$A$6,0))</f>
        <v/>
      </c>
      <c r="AK80">
        <f>F80*INDEX(Régions!$AH$2:$AH$6,MATCH($B80,Régions!$A$2:$A$6,0))</f>
        <v/>
      </c>
      <c r="AL80">
        <f>G80*INDEX(Régions!$AI$2:$AI$6,MATCH($B80,Régions!$A$2:$A$6,0))</f>
        <v/>
      </c>
      <c r="AM80">
        <f>H80*INDEX(Régions!$AJ$2:$AJ$6,MATCH($B80,Régions!$A$2:$A$6,0))</f>
        <v/>
      </c>
      <c r="AN80">
        <f>I80*INDEX(Régions!$AK$2:$AK$6,MATCH($B80,Régions!$A$2:$A$6,0))</f>
        <v/>
      </c>
      <c r="AO80">
        <f>Régions!$Q$2*Q80/SUM($Q80:$V80)*100+(1-Régions!$Q$2)*MAX(K80*100+(INDEX(Régions!$AL$2:$AL$6,MATCH($B80,Régions!$A$2:$A$6,0))),0)</f>
        <v/>
      </c>
      <c r="AP80">
        <f>Régions!$Q$2*R80/SUM($Q80:$V80)*100+(1-Régions!$Q$2)*MAX(L80*100+(INDEX(Régions!$AM$2:$AM$6,MATCH($B80,Régions!$A$2:$A$6,0))),0)</f>
        <v/>
      </c>
      <c r="AQ80">
        <f>Régions!$Q$2*S80/SUM($Q80:$V80)*100+(1-Régions!$Q$2)*MAX(M80*100+(INDEX(Régions!$AN$2:$AN$6,MATCH($B80,Régions!$A$2:$A$6,0))),0)</f>
        <v/>
      </c>
      <c r="AR80">
        <f>Régions!$Q$2*T80/SUM($Q80:$V80)*100+(1-Régions!$Q$2)*MAX(N80*100+(INDEX(Régions!$AO$2:$AO$6,MATCH($B80,Régions!$A$2:$A$6,0))),0)</f>
        <v/>
      </c>
      <c r="AS80">
        <f>Régions!$Q$2*U80/SUM($Q80:$V80)*100+(1-Régions!$Q$2)*MAX(O80*100+(INDEX(Régions!$AP$2:$AP$6,MATCH($B80,Régions!$A$2:$A$6,0))),0)</f>
        <v/>
      </c>
      <c r="AT80">
        <f>Régions!$Q$2*V80/SUM($Q80:$V80)*100+(1-Régions!$Q$2)*MAX(P80*100+(INDEX(Régions!$AQ$2:$AQ$6,MATCH($B80,Régions!$A$2:$A$6,0))),0)</f>
        <v/>
      </c>
      <c r="AU80">
        <f>INDEX({"CAQ","PLQ","QS","PQ","PCQ","Autre"},MATCH(MAX(Q80:V80),Q80:V80,0))</f>
        <v/>
      </c>
      <c r="AV80">
        <f>INDEX({"CAQ","PLQ","QS","PQ","PCQ","Autre"},MATCH(MAX(W80:AB80),W80:AB80,0))</f>
        <v/>
      </c>
      <c r="AW80">
        <f>INDEX({"CAQ","PLQ","QS","PQ","PCQ","Autre"},MATCH(MAX(AC80:AH80),AC80:AH80,0))</f>
        <v/>
      </c>
      <c r="AX80">
        <f>INDEX({"CAQ","PLQ","QS","PQ","PCQ","Autre"},MATCH(MAX(AI80:AN80),AI80:AN80,0))</f>
        <v/>
      </c>
      <c r="AY80">
        <f>INDEX({"CAQ","PLQ","QS","PQ","PCQ","Autre"},MATCH(MAX(AO80:AT80),AO80:AT80,0))</f>
        <v/>
      </c>
      <c r="AZ80">
        <f>(MAX(K80:P80)-LARGE(K80:P80,2))*100</f>
        <v/>
      </c>
      <c r="BA80">
        <f>IF(AZ80&lt;5,"Oui","Non")</f>
        <v/>
      </c>
      <c r="BB80" t="n">
        <v>-7.629</v>
      </c>
      <c r="BC80" t="n">
        <v>4.712</v>
      </c>
      <c r="BD80" t="n">
        <v>0.055</v>
      </c>
      <c r="BE80" t="n">
        <v>1.837</v>
      </c>
    </row>
    <row r="81">
      <c r="A81" t="inlineStr">
        <is>
          <t>Montarville</t>
        </is>
      </c>
      <c r="B81" t="inlineStr">
        <is>
          <t>Banlieue de Montréal</t>
        </is>
      </c>
      <c r="C81">
        <f>INDEX({"CAQ","PLQ","QS","PQ","PCQ","Autre"},MATCH(MAX(D81:I81),D81:I81,0))</f>
        <v/>
      </c>
      <c r="D81" t="n">
        <v>19045</v>
      </c>
      <c r="E81" t="n">
        <v>5090</v>
      </c>
      <c r="F81" t="n">
        <v>6741</v>
      </c>
      <c r="G81" t="n">
        <v>7753</v>
      </c>
      <c r="H81" t="n">
        <v>2124</v>
      </c>
      <c r="I81" t="n">
        <v>735</v>
      </c>
      <c r="J81">
        <f>SUM(D81:I81)</f>
        <v/>
      </c>
      <c r="K81">
        <f>IFERROR(D81/$J81,0)</f>
        <v/>
      </c>
      <c r="L81">
        <f>IFERROR(E81/$J81,0)</f>
        <v/>
      </c>
      <c r="M81">
        <f>IFERROR(F81/$J81,0)</f>
        <v/>
      </c>
      <c r="N81">
        <f>IFERROR(G81/$J81,0)</f>
        <v/>
      </c>
      <c r="O81">
        <f>IFERROR(H81/$J81,0)</f>
        <v/>
      </c>
      <c r="P81">
        <f>IFERROR(I81/$J81,0)</f>
        <v/>
      </c>
      <c r="Q81">
        <f>D81*INDEX(Régions!$T$2:$T$6,MATCH($B81,Régions!$A$2:$A$6,0))</f>
        <v/>
      </c>
      <c r="R81">
        <f>E81*INDEX(Régions!$U$2:$U$6,MATCH($B81,Régions!$A$2:$A$6,0))</f>
        <v/>
      </c>
      <c r="S81">
        <f>F81*INDEX(Régions!$V$2:$V$6,MATCH($B81,Régions!$A$2:$A$6,0))</f>
        <v/>
      </c>
      <c r="T81">
        <f>G81*INDEX(Régions!$W$2:$W$6,MATCH($B81,Régions!$A$2:$A$6,0))</f>
        <v/>
      </c>
      <c r="U81">
        <f>H81*INDEX(Régions!$X$2:$X$6,MATCH($B81,Régions!$A$2:$A$6,0))</f>
        <v/>
      </c>
      <c r="V81">
        <f>I81*INDEX(Régions!$Y$2:$Y$6,MATCH($B81,Régions!$A$2:$A$6,0))</f>
        <v/>
      </c>
      <c r="W81">
        <f>Q81+(BB81/100)*$J81*Régions!$O$2</f>
        <v/>
      </c>
      <c r="X81">
        <f>R81+(BC81/100)*$J81*Régions!$O$2</f>
        <v/>
      </c>
      <c r="Y81">
        <f>S81+(BD81/100)*$J81*Régions!$O$2</f>
        <v/>
      </c>
      <c r="Z81">
        <f>T81+(BE81/100)*$J81*Régions!$O$2</f>
        <v/>
      </c>
      <c r="AA81">
        <f>U81</f>
        <v/>
      </c>
      <c r="AB81">
        <f>V81</f>
        <v/>
      </c>
      <c r="AC81">
        <f>D81*INDEX(Régions!$Z$2:$Z$6,MATCH($B81,Régions!$A$2:$A$6,0))</f>
        <v/>
      </c>
      <c r="AD81">
        <f>E81*INDEX(Régions!$AA$2:$AA$6,MATCH($B81,Régions!$A$2:$A$6,0))</f>
        <v/>
      </c>
      <c r="AE81">
        <f>F81*INDEX(Régions!$AB$2:$AB$6,MATCH($B81,Régions!$A$2:$A$6,0))</f>
        <v/>
      </c>
      <c r="AF81">
        <f>G81*INDEX(Régions!$AC$2:$AC$6,MATCH($B81,Régions!$A$2:$A$6,0))</f>
        <v/>
      </c>
      <c r="AG81">
        <f>H81*INDEX(Régions!$AD$2:$AD$6,MATCH($B81,Régions!$A$2:$A$6,0))</f>
        <v/>
      </c>
      <c r="AH81">
        <f>I81*INDEX(Régions!$AE$2:$AE$6,MATCH($B81,Régions!$A$2:$A$6,0))</f>
        <v/>
      </c>
      <c r="AI81">
        <f>D81*INDEX(Régions!$AF$2:$AF$6,MATCH($B81,Régions!$A$2:$A$6,0))</f>
        <v/>
      </c>
      <c r="AJ81">
        <f>E81*INDEX(Régions!$AG$2:$AG$6,MATCH($B81,Régions!$A$2:$A$6,0))</f>
        <v/>
      </c>
      <c r="AK81">
        <f>F81*INDEX(Régions!$AH$2:$AH$6,MATCH($B81,Régions!$A$2:$A$6,0))</f>
        <v/>
      </c>
      <c r="AL81">
        <f>G81*INDEX(Régions!$AI$2:$AI$6,MATCH($B81,Régions!$A$2:$A$6,0))</f>
        <v/>
      </c>
      <c r="AM81">
        <f>H81*INDEX(Régions!$AJ$2:$AJ$6,MATCH($B81,Régions!$A$2:$A$6,0))</f>
        <v/>
      </c>
      <c r="AN81">
        <f>I81*INDEX(Régions!$AK$2:$AK$6,MATCH($B81,Régions!$A$2:$A$6,0))</f>
        <v/>
      </c>
      <c r="AO81">
        <f>Régions!$Q$2*Q81/SUM($Q81:$V81)*100+(1-Régions!$Q$2)*MAX(K81*100+(INDEX(Régions!$AL$2:$AL$6,MATCH($B81,Régions!$A$2:$A$6,0))),0)</f>
        <v/>
      </c>
      <c r="AP81">
        <f>Régions!$Q$2*R81/SUM($Q81:$V81)*100+(1-Régions!$Q$2)*MAX(L81*100+(INDEX(Régions!$AM$2:$AM$6,MATCH($B81,Régions!$A$2:$A$6,0))),0)</f>
        <v/>
      </c>
      <c r="AQ81">
        <f>Régions!$Q$2*S81/SUM($Q81:$V81)*100+(1-Régions!$Q$2)*MAX(M81*100+(INDEX(Régions!$AN$2:$AN$6,MATCH($B81,Régions!$A$2:$A$6,0))),0)</f>
        <v/>
      </c>
      <c r="AR81">
        <f>Régions!$Q$2*T81/SUM($Q81:$V81)*100+(1-Régions!$Q$2)*MAX(N81*100+(INDEX(Régions!$AO$2:$AO$6,MATCH($B81,Régions!$A$2:$A$6,0))),0)</f>
        <v/>
      </c>
      <c r="AS81">
        <f>Régions!$Q$2*U81/SUM($Q81:$V81)*100+(1-Régions!$Q$2)*MAX(O81*100+(INDEX(Régions!$AP$2:$AP$6,MATCH($B81,Régions!$A$2:$A$6,0))),0)</f>
        <v/>
      </c>
      <c r="AT81">
        <f>Régions!$Q$2*V81/SUM($Q81:$V81)*100+(1-Régions!$Q$2)*MAX(P81*100+(INDEX(Régions!$AQ$2:$AQ$6,MATCH($B81,Régions!$A$2:$A$6,0))),0)</f>
        <v/>
      </c>
      <c r="AU81">
        <f>INDEX({"CAQ","PLQ","QS","PQ","PCQ","Autre"},MATCH(MAX(Q81:V81),Q81:V81,0))</f>
        <v/>
      </c>
      <c r="AV81">
        <f>INDEX({"CAQ","PLQ","QS","PQ","PCQ","Autre"},MATCH(MAX(W81:AB81),W81:AB81,0))</f>
        <v/>
      </c>
      <c r="AW81">
        <f>INDEX({"CAQ","PLQ","QS","PQ","PCQ","Autre"},MATCH(MAX(AC81:AH81),AC81:AH81,0))</f>
        <v/>
      </c>
      <c r="AX81">
        <f>INDEX({"CAQ","PLQ","QS","PQ","PCQ","Autre"},MATCH(MAX(AI81:AN81),AI81:AN81,0))</f>
        <v/>
      </c>
      <c r="AY81">
        <f>INDEX({"CAQ","PLQ","QS","PQ","PCQ","Autre"},MATCH(MAX(AO81:AT81),AO81:AT81,0))</f>
        <v/>
      </c>
      <c r="AZ81">
        <f>(MAX(K81:P81)-LARGE(K81:P81,2))*100</f>
        <v/>
      </c>
      <c r="BA81">
        <f>IF(AZ81&lt;5,"Oui","Non")</f>
        <v/>
      </c>
      <c r="BB81" t="n">
        <v>1.685</v>
      </c>
      <c r="BC81" t="n">
        <v>-5.225</v>
      </c>
      <c r="BD81" t="n">
        <v>0.959</v>
      </c>
      <c r="BE81" t="n">
        <v>5.715</v>
      </c>
    </row>
    <row r="82">
      <c r="A82" t="inlineStr">
        <is>
          <t>Montmorency</t>
        </is>
      </c>
      <c r="B82" t="inlineStr">
        <is>
          <t>Québec RMR</t>
        </is>
      </c>
      <c r="C82">
        <f>INDEX({"CAQ","PLQ","QS","PQ","PCQ","Autre"},MATCH(MAX(D82:I82),D82:I82,0))</f>
        <v/>
      </c>
      <c r="D82" t="n">
        <v>19124</v>
      </c>
      <c r="E82" t="n">
        <v>1969</v>
      </c>
      <c r="F82" t="n">
        <v>5100</v>
      </c>
      <c r="G82" t="n">
        <v>4773</v>
      </c>
      <c r="H82" t="n">
        <v>11031</v>
      </c>
      <c r="I82" t="n">
        <v>329</v>
      </c>
      <c r="J82">
        <f>SUM(D82:I82)</f>
        <v/>
      </c>
      <c r="K82">
        <f>IFERROR(D82/$J82,0)</f>
        <v/>
      </c>
      <c r="L82">
        <f>IFERROR(E82/$J82,0)</f>
        <v/>
      </c>
      <c r="M82">
        <f>IFERROR(F82/$J82,0)</f>
        <v/>
      </c>
      <c r="N82">
        <f>IFERROR(G82/$J82,0)</f>
        <v/>
      </c>
      <c r="O82">
        <f>IFERROR(H82/$J82,0)</f>
        <v/>
      </c>
      <c r="P82">
        <f>IFERROR(I82/$J82,0)</f>
        <v/>
      </c>
      <c r="Q82">
        <f>D82*INDEX(Régions!$T$2:$T$6,MATCH($B82,Régions!$A$2:$A$6,0))</f>
        <v/>
      </c>
      <c r="R82">
        <f>E82*INDEX(Régions!$U$2:$U$6,MATCH($B82,Régions!$A$2:$A$6,0))</f>
        <v/>
      </c>
      <c r="S82">
        <f>F82*INDEX(Régions!$V$2:$V$6,MATCH($B82,Régions!$A$2:$A$6,0))</f>
        <v/>
      </c>
      <c r="T82">
        <f>G82*INDEX(Régions!$W$2:$W$6,MATCH($B82,Régions!$A$2:$A$6,0))</f>
        <v/>
      </c>
      <c r="U82">
        <f>H82*INDEX(Régions!$X$2:$X$6,MATCH($B82,Régions!$A$2:$A$6,0))</f>
        <v/>
      </c>
      <c r="V82">
        <f>I82*INDEX(Régions!$Y$2:$Y$6,MATCH($B82,Régions!$A$2:$A$6,0))</f>
        <v/>
      </c>
      <c r="W82">
        <f>Q82+(BB82/100)*$J82*Régions!$O$2</f>
        <v/>
      </c>
      <c r="X82">
        <f>R82+(BC82/100)*$J82*Régions!$O$2</f>
        <v/>
      </c>
      <c r="Y82">
        <f>S82+(BD82/100)*$J82*Régions!$O$2</f>
        <v/>
      </c>
      <c r="Z82">
        <f>T82+(BE82/100)*$J82*Régions!$O$2</f>
        <v/>
      </c>
      <c r="AA82">
        <f>U82</f>
        <v/>
      </c>
      <c r="AB82">
        <f>V82</f>
        <v/>
      </c>
      <c r="AC82">
        <f>D82*INDEX(Régions!$Z$2:$Z$6,MATCH($B82,Régions!$A$2:$A$6,0))</f>
        <v/>
      </c>
      <c r="AD82">
        <f>E82*INDEX(Régions!$AA$2:$AA$6,MATCH($B82,Régions!$A$2:$A$6,0))</f>
        <v/>
      </c>
      <c r="AE82">
        <f>F82*INDEX(Régions!$AB$2:$AB$6,MATCH($B82,Régions!$A$2:$A$6,0))</f>
        <v/>
      </c>
      <c r="AF82">
        <f>G82*INDEX(Régions!$AC$2:$AC$6,MATCH($B82,Régions!$A$2:$A$6,0))</f>
        <v/>
      </c>
      <c r="AG82">
        <f>H82*INDEX(Régions!$AD$2:$AD$6,MATCH($B82,Régions!$A$2:$A$6,0))</f>
        <v/>
      </c>
      <c r="AH82">
        <f>I82*INDEX(Régions!$AE$2:$AE$6,MATCH($B82,Régions!$A$2:$A$6,0))</f>
        <v/>
      </c>
      <c r="AI82">
        <f>D82*INDEX(Régions!$AF$2:$AF$6,MATCH($B82,Régions!$A$2:$A$6,0))</f>
        <v/>
      </c>
      <c r="AJ82">
        <f>E82*INDEX(Régions!$AG$2:$AG$6,MATCH($B82,Régions!$A$2:$A$6,0))</f>
        <v/>
      </c>
      <c r="AK82">
        <f>F82*INDEX(Régions!$AH$2:$AH$6,MATCH($B82,Régions!$A$2:$A$6,0))</f>
        <v/>
      </c>
      <c r="AL82">
        <f>G82*INDEX(Régions!$AI$2:$AI$6,MATCH($B82,Régions!$A$2:$A$6,0))</f>
        <v/>
      </c>
      <c r="AM82">
        <f>H82*INDEX(Régions!$AJ$2:$AJ$6,MATCH($B82,Régions!$A$2:$A$6,0))</f>
        <v/>
      </c>
      <c r="AN82">
        <f>I82*INDEX(Régions!$AK$2:$AK$6,MATCH($B82,Régions!$A$2:$A$6,0))</f>
        <v/>
      </c>
      <c r="AO82">
        <f>Régions!$Q$2*Q82/SUM($Q82:$V82)*100+(1-Régions!$Q$2)*MAX(K82*100+(INDEX(Régions!$AL$2:$AL$6,MATCH($B82,Régions!$A$2:$A$6,0))),0)</f>
        <v/>
      </c>
      <c r="AP82">
        <f>Régions!$Q$2*R82/SUM($Q82:$V82)*100+(1-Régions!$Q$2)*MAX(L82*100+(INDEX(Régions!$AM$2:$AM$6,MATCH($B82,Régions!$A$2:$A$6,0))),0)</f>
        <v/>
      </c>
      <c r="AQ82">
        <f>Régions!$Q$2*S82/SUM($Q82:$V82)*100+(1-Régions!$Q$2)*MAX(M82*100+(INDEX(Régions!$AN$2:$AN$6,MATCH($B82,Régions!$A$2:$A$6,0))),0)</f>
        <v/>
      </c>
      <c r="AR82">
        <f>Régions!$Q$2*T82/SUM($Q82:$V82)*100+(1-Régions!$Q$2)*MAX(N82*100+(INDEX(Régions!$AO$2:$AO$6,MATCH($B82,Régions!$A$2:$A$6,0))),0)</f>
        <v/>
      </c>
      <c r="AS82">
        <f>Régions!$Q$2*U82/SUM($Q82:$V82)*100+(1-Régions!$Q$2)*MAX(O82*100+(INDEX(Régions!$AP$2:$AP$6,MATCH($B82,Régions!$A$2:$A$6,0))),0)</f>
        <v/>
      </c>
      <c r="AT82">
        <f>Régions!$Q$2*V82/SUM($Q82:$V82)*100+(1-Régions!$Q$2)*MAX(P82*100+(INDEX(Régions!$AQ$2:$AQ$6,MATCH($B82,Régions!$A$2:$A$6,0))),0)</f>
        <v/>
      </c>
      <c r="AU82">
        <f>INDEX({"CAQ","PLQ","QS","PQ","PCQ","Autre"},MATCH(MAX(Q82:V82),Q82:V82,0))</f>
        <v/>
      </c>
      <c r="AV82">
        <f>INDEX({"CAQ","PLQ","QS","PQ","PCQ","Autre"},MATCH(MAX(W82:AB82),W82:AB82,0))</f>
        <v/>
      </c>
      <c r="AW82">
        <f>INDEX({"CAQ","PLQ","QS","PQ","PCQ","Autre"},MATCH(MAX(AC82:AH82),AC82:AH82,0))</f>
        <v/>
      </c>
      <c r="AX82">
        <f>INDEX({"CAQ","PLQ","QS","PQ","PCQ","Autre"},MATCH(MAX(AI82:AN82),AI82:AN82,0))</f>
        <v/>
      </c>
      <c r="AY82">
        <f>INDEX({"CAQ","PLQ","QS","PQ","PCQ","Autre"},MATCH(MAX(AO82:AT82),AO82:AT82,0))</f>
        <v/>
      </c>
      <c r="AZ82">
        <f>(MAX(K82:P82)-LARGE(K82:P82,2))*100</f>
        <v/>
      </c>
      <c r="BA82">
        <f>IF(AZ82&lt;5,"Oui","Non")</f>
        <v/>
      </c>
      <c r="BB82" t="n">
        <v>-2.905</v>
      </c>
      <c r="BC82" t="n">
        <v>0.953</v>
      </c>
      <c r="BD82" t="n">
        <v>-0.78</v>
      </c>
      <c r="BE82" t="n">
        <v>-1.361</v>
      </c>
    </row>
    <row r="83">
      <c r="A83" t="inlineStr">
        <is>
          <t>Mont-Royal-Outremont</t>
        </is>
      </c>
      <c r="B83" t="inlineStr">
        <is>
          <t>Île de Montréal</t>
        </is>
      </c>
      <c r="C83">
        <f>INDEX({"CAQ","PLQ","QS","PQ","PCQ","Autre"},MATCH(MAX(D83:I83),D83:I83,0))</f>
        <v/>
      </c>
      <c r="D83" t="n">
        <v>4677</v>
      </c>
      <c r="E83" t="n">
        <v>11658</v>
      </c>
      <c r="F83" t="n">
        <v>6008</v>
      </c>
      <c r="G83" t="n">
        <v>3385</v>
      </c>
      <c r="H83" t="n">
        <v>3029</v>
      </c>
      <c r="I83" t="n">
        <v>872</v>
      </c>
      <c r="J83">
        <f>SUM(D83:I83)</f>
        <v/>
      </c>
      <c r="K83">
        <f>IFERROR(D83/$J83,0)</f>
        <v/>
      </c>
      <c r="L83">
        <f>IFERROR(E83/$J83,0)</f>
        <v/>
      </c>
      <c r="M83">
        <f>IFERROR(F83/$J83,0)</f>
        <v/>
      </c>
      <c r="N83">
        <f>IFERROR(G83/$J83,0)</f>
        <v/>
      </c>
      <c r="O83">
        <f>IFERROR(H83/$J83,0)</f>
        <v/>
      </c>
      <c r="P83">
        <f>IFERROR(I83/$J83,0)</f>
        <v/>
      </c>
      <c r="Q83">
        <f>D83*INDEX(Régions!$T$2:$T$6,MATCH($B83,Régions!$A$2:$A$6,0))</f>
        <v/>
      </c>
      <c r="R83">
        <f>E83*INDEX(Régions!$U$2:$U$6,MATCH($B83,Régions!$A$2:$A$6,0))</f>
        <v/>
      </c>
      <c r="S83">
        <f>F83*INDEX(Régions!$V$2:$V$6,MATCH($B83,Régions!$A$2:$A$6,0))</f>
        <v/>
      </c>
      <c r="T83">
        <f>G83*INDEX(Régions!$W$2:$W$6,MATCH($B83,Régions!$A$2:$A$6,0))</f>
        <v/>
      </c>
      <c r="U83">
        <f>H83*INDEX(Régions!$X$2:$X$6,MATCH($B83,Régions!$A$2:$A$6,0))</f>
        <v/>
      </c>
      <c r="V83">
        <f>I83*INDEX(Régions!$Y$2:$Y$6,MATCH($B83,Régions!$A$2:$A$6,0))</f>
        <v/>
      </c>
      <c r="W83">
        <f>Q83+(BB83/100)*$J83*Régions!$O$2</f>
        <v/>
      </c>
      <c r="X83">
        <f>R83+(BC83/100)*$J83*Régions!$O$2</f>
        <v/>
      </c>
      <c r="Y83">
        <f>S83+(BD83/100)*$J83*Régions!$O$2</f>
        <v/>
      </c>
      <c r="Z83">
        <f>T83+(BE83/100)*$J83*Régions!$O$2</f>
        <v/>
      </c>
      <c r="AA83">
        <f>U83</f>
        <v/>
      </c>
      <c r="AB83">
        <f>V83</f>
        <v/>
      </c>
      <c r="AC83">
        <f>D83*INDEX(Régions!$Z$2:$Z$6,MATCH($B83,Régions!$A$2:$A$6,0))</f>
        <v/>
      </c>
      <c r="AD83">
        <f>E83*INDEX(Régions!$AA$2:$AA$6,MATCH($B83,Régions!$A$2:$A$6,0))</f>
        <v/>
      </c>
      <c r="AE83">
        <f>F83*INDEX(Régions!$AB$2:$AB$6,MATCH($B83,Régions!$A$2:$A$6,0))</f>
        <v/>
      </c>
      <c r="AF83">
        <f>G83*INDEX(Régions!$AC$2:$AC$6,MATCH($B83,Régions!$A$2:$A$6,0))</f>
        <v/>
      </c>
      <c r="AG83">
        <f>H83*INDEX(Régions!$AD$2:$AD$6,MATCH($B83,Régions!$A$2:$A$6,0))</f>
        <v/>
      </c>
      <c r="AH83">
        <f>I83*INDEX(Régions!$AE$2:$AE$6,MATCH($B83,Régions!$A$2:$A$6,0))</f>
        <v/>
      </c>
      <c r="AI83">
        <f>D83*INDEX(Régions!$AF$2:$AF$6,MATCH($B83,Régions!$A$2:$A$6,0))</f>
        <v/>
      </c>
      <c r="AJ83">
        <f>E83*INDEX(Régions!$AG$2:$AG$6,MATCH($B83,Régions!$A$2:$A$6,0))</f>
        <v/>
      </c>
      <c r="AK83">
        <f>F83*INDEX(Régions!$AH$2:$AH$6,MATCH($B83,Régions!$A$2:$A$6,0))</f>
        <v/>
      </c>
      <c r="AL83">
        <f>G83*INDEX(Régions!$AI$2:$AI$6,MATCH($B83,Régions!$A$2:$A$6,0))</f>
        <v/>
      </c>
      <c r="AM83">
        <f>H83*INDEX(Régions!$AJ$2:$AJ$6,MATCH($B83,Régions!$A$2:$A$6,0))</f>
        <v/>
      </c>
      <c r="AN83">
        <f>I83*INDEX(Régions!$AK$2:$AK$6,MATCH($B83,Régions!$A$2:$A$6,0))</f>
        <v/>
      </c>
      <c r="AO83">
        <f>Régions!$Q$2*Q83/SUM($Q83:$V83)*100+(1-Régions!$Q$2)*MAX(K83*100+(INDEX(Régions!$AL$2:$AL$6,MATCH($B83,Régions!$A$2:$A$6,0))),0)</f>
        <v/>
      </c>
      <c r="AP83">
        <f>Régions!$Q$2*R83/SUM($Q83:$V83)*100+(1-Régions!$Q$2)*MAX(L83*100+(INDEX(Régions!$AM$2:$AM$6,MATCH($B83,Régions!$A$2:$A$6,0))),0)</f>
        <v/>
      </c>
      <c r="AQ83">
        <f>Régions!$Q$2*S83/SUM($Q83:$V83)*100+(1-Régions!$Q$2)*MAX(M83*100+(INDEX(Régions!$AN$2:$AN$6,MATCH($B83,Régions!$A$2:$A$6,0))),0)</f>
        <v/>
      </c>
      <c r="AR83">
        <f>Régions!$Q$2*T83/SUM($Q83:$V83)*100+(1-Régions!$Q$2)*MAX(N83*100+(INDEX(Régions!$AO$2:$AO$6,MATCH($B83,Régions!$A$2:$A$6,0))),0)</f>
        <v/>
      </c>
      <c r="AS83">
        <f>Régions!$Q$2*U83/SUM($Q83:$V83)*100+(1-Régions!$Q$2)*MAX(O83*100+(INDEX(Régions!$AP$2:$AP$6,MATCH($B83,Régions!$A$2:$A$6,0))),0)</f>
        <v/>
      </c>
      <c r="AT83">
        <f>Régions!$Q$2*V83/SUM($Q83:$V83)*100+(1-Régions!$Q$2)*MAX(P83*100+(INDEX(Régions!$AQ$2:$AQ$6,MATCH($B83,Régions!$A$2:$A$6,0))),0)</f>
        <v/>
      </c>
      <c r="AU83">
        <f>INDEX({"CAQ","PLQ","QS","PQ","PCQ","Autre"},MATCH(MAX(Q83:V83),Q83:V83,0))</f>
        <v/>
      </c>
      <c r="AV83">
        <f>INDEX({"CAQ","PLQ","QS","PQ","PCQ","Autre"},MATCH(MAX(W83:AB83),W83:AB83,0))</f>
        <v/>
      </c>
      <c r="AW83">
        <f>INDEX({"CAQ","PLQ","QS","PQ","PCQ","Autre"},MATCH(MAX(AC83:AH83),AC83:AH83,0))</f>
        <v/>
      </c>
      <c r="AX83">
        <f>INDEX({"CAQ","PLQ","QS","PQ","PCQ","Autre"},MATCH(MAX(AI83:AN83),AI83:AN83,0))</f>
        <v/>
      </c>
      <c r="AY83">
        <f>INDEX({"CAQ","PLQ","QS","PQ","PCQ","Autre"},MATCH(MAX(AO83:AT83),AO83:AT83,0))</f>
        <v/>
      </c>
      <c r="AZ83">
        <f>(MAX(K83:P83)-LARGE(K83:P83,2))*100</f>
        <v/>
      </c>
      <c r="BA83">
        <f>IF(AZ83&lt;5,"Oui","Non")</f>
        <v/>
      </c>
      <c r="BB83" t="n">
        <v>0.321</v>
      </c>
      <c r="BC83" t="n">
        <v>-3.194</v>
      </c>
      <c r="BD83" t="n">
        <v>4.062</v>
      </c>
      <c r="BE83" t="n">
        <v>0.765</v>
      </c>
    </row>
    <row r="84">
      <c r="A84" t="inlineStr">
        <is>
          <t>Nelligan</t>
        </is>
      </c>
      <c r="B84" t="inlineStr">
        <is>
          <t>Île de Montréal</t>
        </is>
      </c>
      <c r="C84">
        <f>INDEX({"CAQ","PLQ","QS","PQ","PCQ","Autre"},MATCH(MAX(D84:I84),D84:I84,0))</f>
        <v/>
      </c>
      <c r="D84" t="n">
        <v>5583.4</v>
      </c>
      <c r="E84" t="n">
        <v>17452.2</v>
      </c>
      <c r="F84" t="n">
        <v>1765.8</v>
      </c>
      <c r="G84" t="n">
        <v>1398.9</v>
      </c>
      <c r="H84" t="n">
        <v>6074.4</v>
      </c>
      <c r="I84" t="n">
        <v>1267.9</v>
      </c>
      <c r="J84">
        <f>SUM(D84:I84)</f>
        <v/>
      </c>
      <c r="K84">
        <f>IFERROR(D84/$J84,0)</f>
        <v/>
      </c>
      <c r="L84">
        <f>IFERROR(E84/$J84,0)</f>
        <v/>
      </c>
      <c r="M84">
        <f>IFERROR(F84/$J84,0)</f>
        <v/>
      </c>
      <c r="N84">
        <f>IFERROR(G84/$J84,0)</f>
        <v/>
      </c>
      <c r="O84">
        <f>IFERROR(H84/$J84,0)</f>
        <v/>
      </c>
      <c r="P84">
        <f>IFERROR(I84/$J84,0)</f>
        <v/>
      </c>
      <c r="Q84">
        <f>D84*INDEX(Régions!$T$2:$T$6,MATCH($B84,Régions!$A$2:$A$6,0))</f>
        <v/>
      </c>
      <c r="R84">
        <f>E84*INDEX(Régions!$U$2:$U$6,MATCH($B84,Régions!$A$2:$A$6,0))</f>
        <v/>
      </c>
      <c r="S84">
        <f>F84*INDEX(Régions!$V$2:$V$6,MATCH($B84,Régions!$A$2:$A$6,0))</f>
        <v/>
      </c>
      <c r="T84">
        <f>G84*INDEX(Régions!$W$2:$W$6,MATCH($B84,Régions!$A$2:$A$6,0))</f>
        <v/>
      </c>
      <c r="U84">
        <f>H84*INDEX(Régions!$X$2:$X$6,MATCH($B84,Régions!$A$2:$A$6,0))</f>
        <v/>
      </c>
      <c r="V84">
        <f>I84*INDEX(Régions!$Y$2:$Y$6,MATCH($B84,Régions!$A$2:$A$6,0))</f>
        <v/>
      </c>
      <c r="W84">
        <f>Q84+(BB84/100)*$J84*Régions!$O$2</f>
        <v/>
      </c>
      <c r="X84">
        <f>R84+(BC84/100)*$J84*Régions!$O$2</f>
        <v/>
      </c>
      <c r="Y84">
        <f>S84+(BD84/100)*$J84*Régions!$O$2</f>
        <v/>
      </c>
      <c r="Z84">
        <f>T84+(BE84/100)*$J84*Régions!$O$2</f>
        <v/>
      </c>
      <c r="AA84">
        <f>U84</f>
        <v/>
      </c>
      <c r="AB84">
        <f>V84</f>
        <v/>
      </c>
      <c r="AC84">
        <f>D84*INDEX(Régions!$Z$2:$Z$6,MATCH($B84,Régions!$A$2:$A$6,0))</f>
        <v/>
      </c>
      <c r="AD84">
        <f>E84*INDEX(Régions!$AA$2:$AA$6,MATCH($B84,Régions!$A$2:$A$6,0))</f>
        <v/>
      </c>
      <c r="AE84">
        <f>F84*INDEX(Régions!$AB$2:$AB$6,MATCH($B84,Régions!$A$2:$A$6,0))</f>
        <v/>
      </c>
      <c r="AF84">
        <f>G84*INDEX(Régions!$AC$2:$AC$6,MATCH($B84,Régions!$A$2:$A$6,0))</f>
        <v/>
      </c>
      <c r="AG84">
        <f>H84*INDEX(Régions!$AD$2:$AD$6,MATCH($B84,Régions!$A$2:$A$6,0))</f>
        <v/>
      </c>
      <c r="AH84">
        <f>I84*INDEX(Régions!$AE$2:$AE$6,MATCH($B84,Régions!$A$2:$A$6,0))</f>
        <v/>
      </c>
      <c r="AI84">
        <f>D84*INDEX(Régions!$AF$2:$AF$6,MATCH($B84,Régions!$A$2:$A$6,0))</f>
        <v/>
      </c>
      <c r="AJ84">
        <f>E84*INDEX(Régions!$AG$2:$AG$6,MATCH($B84,Régions!$A$2:$A$6,0))</f>
        <v/>
      </c>
      <c r="AK84">
        <f>F84*INDEX(Régions!$AH$2:$AH$6,MATCH($B84,Régions!$A$2:$A$6,0))</f>
        <v/>
      </c>
      <c r="AL84">
        <f>G84*INDEX(Régions!$AI$2:$AI$6,MATCH($B84,Régions!$A$2:$A$6,0))</f>
        <v/>
      </c>
      <c r="AM84">
        <f>H84*INDEX(Régions!$AJ$2:$AJ$6,MATCH($B84,Régions!$A$2:$A$6,0))</f>
        <v/>
      </c>
      <c r="AN84">
        <f>I84*INDEX(Régions!$AK$2:$AK$6,MATCH($B84,Régions!$A$2:$A$6,0))</f>
        <v/>
      </c>
      <c r="AO84">
        <f>Régions!$Q$2*Q84/SUM($Q84:$V84)*100+(1-Régions!$Q$2)*MAX(K84*100+(INDEX(Régions!$AL$2:$AL$6,MATCH($B84,Régions!$A$2:$A$6,0))),0)</f>
        <v/>
      </c>
      <c r="AP84">
        <f>Régions!$Q$2*R84/SUM($Q84:$V84)*100+(1-Régions!$Q$2)*MAX(L84*100+(INDEX(Régions!$AM$2:$AM$6,MATCH($B84,Régions!$A$2:$A$6,0))),0)</f>
        <v/>
      </c>
      <c r="AQ84">
        <f>Régions!$Q$2*S84/SUM($Q84:$V84)*100+(1-Régions!$Q$2)*MAX(M84*100+(INDEX(Régions!$AN$2:$AN$6,MATCH($B84,Régions!$A$2:$A$6,0))),0)</f>
        <v/>
      </c>
      <c r="AR84">
        <f>Régions!$Q$2*T84/SUM($Q84:$V84)*100+(1-Régions!$Q$2)*MAX(N84*100+(INDEX(Régions!$AO$2:$AO$6,MATCH($B84,Régions!$A$2:$A$6,0))),0)</f>
        <v/>
      </c>
      <c r="AS84">
        <f>Régions!$Q$2*U84/SUM($Q84:$V84)*100+(1-Régions!$Q$2)*MAX(O84*100+(INDEX(Régions!$AP$2:$AP$6,MATCH($B84,Régions!$A$2:$A$6,0))),0)</f>
        <v/>
      </c>
      <c r="AT84">
        <f>Régions!$Q$2*V84/SUM($Q84:$V84)*100+(1-Régions!$Q$2)*MAX(P84*100+(INDEX(Régions!$AQ$2:$AQ$6,MATCH($B84,Régions!$A$2:$A$6,0))),0)</f>
        <v/>
      </c>
      <c r="AU84">
        <f>INDEX({"CAQ","PLQ","QS","PQ","PCQ","Autre"},MATCH(MAX(Q84:V84),Q84:V84,0))</f>
        <v/>
      </c>
      <c r="AV84">
        <f>INDEX({"CAQ","PLQ","QS","PQ","PCQ","Autre"},MATCH(MAX(W84:AB84),W84:AB84,0))</f>
        <v/>
      </c>
      <c r="AW84">
        <f>INDEX({"CAQ","PLQ","QS","PQ","PCQ","Autre"},MATCH(MAX(AC84:AH84),AC84:AH84,0))</f>
        <v/>
      </c>
      <c r="AX84">
        <f>INDEX({"CAQ","PLQ","QS","PQ","PCQ","Autre"},MATCH(MAX(AI84:AN84),AI84:AN84,0))</f>
        <v/>
      </c>
      <c r="AY84">
        <f>INDEX({"CAQ","PLQ","QS","PQ","PCQ","Autre"},MATCH(MAX(AO84:AT84),AO84:AT84,0))</f>
        <v/>
      </c>
      <c r="AZ84">
        <f>(MAX(K84:P84)-LARGE(K84:P84,2))*100</f>
        <v/>
      </c>
      <c r="BA84">
        <f>IF(AZ84&lt;5,"Oui","Non")</f>
        <v/>
      </c>
      <c r="BB84" t="n">
        <v>-2.475</v>
      </c>
      <c r="BC84" t="n">
        <v>-4.292</v>
      </c>
      <c r="BD84" t="n">
        <v>-1.035</v>
      </c>
      <c r="BE84" t="n">
        <v>0.6840000000000001</v>
      </c>
    </row>
    <row r="85">
      <c r="A85" t="inlineStr">
        <is>
          <t>Nicolet-Bécancour</t>
        </is>
      </c>
      <c r="B85" t="inlineStr">
        <is>
          <t>Reste du Québec</t>
        </is>
      </c>
      <c r="C85">
        <f>INDEX({"CAQ","PLQ","QS","PQ","PCQ","Autre"},MATCH(MAX(D85:I85),D85:I85,0))</f>
        <v/>
      </c>
      <c r="D85" t="n">
        <v>13566.8</v>
      </c>
      <c r="E85" t="n">
        <v>1350.5</v>
      </c>
      <c r="F85" t="n">
        <v>2532.2</v>
      </c>
      <c r="G85" t="n">
        <v>4854.3</v>
      </c>
      <c r="H85" t="n">
        <v>6412.6</v>
      </c>
      <c r="I85" t="n">
        <v>6.4</v>
      </c>
      <c r="J85">
        <f>SUM(D85:I85)</f>
        <v/>
      </c>
      <c r="K85">
        <f>IFERROR(D85/$J85,0)</f>
        <v/>
      </c>
      <c r="L85">
        <f>IFERROR(E85/$J85,0)</f>
        <v/>
      </c>
      <c r="M85">
        <f>IFERROR(F85/$J85,0)</f>
        <v/>
      </c>
      <c r="N85">
        <f>IFERROR(G85/$J85,0)</f>
        <v/>
      </c>
      <c r="O85">
        <f>IFERROR(H85/$J85,0)</f>
        <v/>
      </c>
      <c r="P85">
        <f>IFERROR(I85/$J85,0)</f>
        <v/>
      </c>
      <c r="Q85">
        <f>D85*INDEX(Régions!$T$2:$T$6,MATCH($B85,Régions!$A$2:$A$6,0))</f>
        <v/>
      </c>
      <c r="R85">
        <f>E85*INDEX(Régions!$U$2:$U$6,MATCH($B85,Régions!$A$2:$A$6,0))</f>
        <v/>
      </c>
      <c r="S85">
        <f>F85*INDEX(Régions!$V$2:$V$6,MATCH($B85,Régions!$A$2:$A$6,0))</f>
        <v/>
      </c>
      <c r="T85">
        <f>G85*INDEX(Régions!$W$2:$W$6,MATCH($B85,Régions!$A$2:$A$6,0))</f>
        <v/>
      </c>
      <c r="U85">
        <f>H85*INDEX(Régions!$X$2:$X$6,MATCH($B85,Régions!$A$2:$A$6,0))</f>
        <v/>
      </c>
      <c r="V85">
        <f>I85*INDEX(Régions!$Y$2:$Y$6,MATCH($B85,Régions!$A$2:$A$6,0))</f>
        <v/>
      </c>
      <c r="W85">
        <f>Q85+(BB85/100)*$J85*Régions!$O$2</f>
        <v/>
      </c>
      <c r="X85">
        <f>R85+(BC85/100)*$J85*Régions!$O$2</f>
        <v/>
      </c>
      <c r="Y85">
        <f>S85+(BD85/100)*$J85*Régions!$O$2</f>
        <v/>
      </c>
      <c r="Z85">
        <f>T85+(BE85/100)*$J85*Régions!$O$2</f>
        <v/>
      </c>
      <c r="AA85">
        <f>U85</f>
        <v/>
      </c>
      <c r="AB85">
        <f>V85</f>
        <v/>
      </c>
      <c r="AC85">
        <f>D85*INDEX(Régions!$Z$2:$Z$6,MATCH($B85,Régions!$A$2:$A$6,0))</f>
        <v/>
      </c>
      <c r="AD85">
        <f>E85*INDEX(Régions!$AA$2:$AA$6,MATCH($B85,Régions!$A$2:$A$6,0))</f>
        <v/>
      </c>
      <c r="AE85">
        <f>F85*INDEX(Régions!$AB$2:$AB$6,MATCH($B85,Régions!$A$2:$A$6,0))</f>
        <v/>
      </c>
      <c r="AF85">
        <f>G85*INDEX(Régions!$AC$2:$AC$6,MATCH($B85,Régions!$A$2:$A$6,0))</f>
        <v/>
      </c>
      <c r="AG85">
        <f>H85*INDEX(Régions!$AD$2:$AD$6,MATCH($B85,Régions!$A$2:$A$6,0))</f>
        <v/>
      </c>
      <c r="AH85">
        <f>I85*INDEX(Régions!$AE$2:$AE$6,MATCH($B85,Régions!$A$2:$A$6,0))</f>
        <v/>
      </c>
      <c r="AI85">
        <f>D85*INDEX(Régions!$AF$2:$AF$6,MATCH($B85,Régions!$A$2:$A$6,0))</f>
        <v/>
      </c>
      <c r="AJ85">
        <f>E85*INDEX(Régions!$AG$2:$AG$6,MATCH($B85,Régions!$A$2:$A$6,0))</f>
        <v/>
      </c>
      <c r="AK85">
        <f>F85*INDEX(Régions!$AH$2:$AH$6,MATCH($B85,Régions!$A$2:$A$6,0))</f>
        <v/>
      </c>
      <c r="AL85">
        <f>G85*INDEX(Régions!$AI$2:$AI$6,MATCH($B85,Régions!$A$2:$A$6,0))</f>
        <v/>
      </c>
      <c r="AM85">
        <f>H85*INDEX(Régions!$AJ$2:$AJ$6,MATCH($B85,Régions!$A$2:$A$6,0))</f>
        <v/>
      </c>
      <c r="AN85">
        <f>I85*INDEX(Régions!$AK$2:$AK$6,MATCH($B85,Régions!$A$2:$A$6,0))</f>
        <v/>
      </c>
      <c r="AO85">
        <f>Régions!$Q$2*Q85/SUM($Q85:$V85)*100+(1-Régions!$Q$2)*MAX(K85*100+(INDEX(Régions!$AL$2:$AL$6,MATCH($B85,Régions!$A$2:$A$6,0))),0)</f>
        <v/>
      </c>
      <c r="AP85">
        <f>Régions!$Q$2*R85/SUM($Q85:$V85)*100+(1-Régions!$Q$2)*MAX(L85*100+(INDEX(Régions!$AM$2:$AM$6,MATCH($B85,Régions!$A$2:$A$6,0))),0)</f>
        <v/>
      </c>
      <c r="AQ85">
        <f>Régions!$Q$2*S85/SUM($Q85:$V85)*100+(1-Régions!$Q$2)*MAX(M85*100+(INDEX(Régions!$AN$2:$AN$6,MATCH($B85,Régions!$A$2:$A$6,0))),0)</f>
        <v/>
      </c>
      <c r="AR85">
        <f>Régions!$Q$2*T85/SUM($Q85:$V85)*100+(1-Régions!$Q$2)*MAX(N85*100+(INDEX(Régions!$AO$2:$AO$6,MATCH($B85,Régions!$A$2:$A$6,0))),0)</f>
        <v/>
      </c>
      <c r="AS85">
        <f>Régions!$Q$2*U85/SUM($Q85:$V85)*100+(1-Régions!$Q$2)*MAX(O85*100+(INDEX(Régions!$AP$2:$AP$6,MATCH($B85,Régions!$A$2:$A$6,0))),0)</f>
        <v/>
      </c>
      <c r="AT85">
        <f>Régions!$Q$2*V85/SUM($Q85:$V85)*100+(1-Régions!$Q$2)*MAX(P85*100+(INDEX(Régions!$AQ$2:$AQ$6,MATCH($B85,Régions!$A$2:$A$6,0))),0)</f>
        <v/>
      </c>
      <c r="AU85">
        <f>INDEX({"CAQ","PLQ","QS","PQ","PCQ","Autre"},MATCH(MAX(Q85:V85),Q85:V85,0))</f>
        <v/>
      </c>
      <c r="AV85">
        <f>INDEX({"CAQ","PLQ","QS","PQ","PCQ","Autre"},MATCH(MAX(W85:AB85),W85:AB85,0))</f>
        <v/>
      </c>
      <c r="AW85">
        <f>INDEX({"CAQ","PLQ","QS","PQ","PCQ","Autre"},MATCH(MAX(AC85:AH85),AC85:AH85,0))</f>
        <v/>
      </c>
      <c r="AX85">
        <f>INDEX({"CAQ","PLQ","QS","PQ","PCQ","Autre"},MATCH(MAX(AI85:AN85),AI85:AN85,0))</f>
        <v/>
      </c>
      <c r="AY85">
        <f>INDEX({"CAQ","PLQ","QS","PQ","PCQ","Autre"},MATCH(MAX(AO85:AT85),AO85:AT85,0))</f>
        <v/>
      </c>
      <c r="AZ85">
        <f>(MAX(K85:P85)-LARGE(K85:P85,2))*100</f>
        <v/>
      </c>
      <c r="BA85">
        <f>IF(AZ85&lt;5,"Oui","Non")</f>
        <v/>
      </c>
      <c r="BB85" t="n">
        <v>-15.7</v>
      </c>
      <c r="BC85" t="n">
        <v>5.281</v>
      </c>
      <c r="BD85" t="n">
        <v>-2.354</v>
      </c>
      <c r="BE85" t="n">
        <v>5.586</v>
      </c>
    </row>
    <row r="86">
      <c r="A86" t="inlineStr">
        <is>
          <t>Notre-Dame-de-Grâce</t>
        </is>
      </c>
      <c r="B86" t="inlineStr">
        <is>
          <t>Île de Montréal</t>
        </is>
      </c>
      <c r="C86">
        <f>INDEX({"CAQ","PLQ","QS","PQ","PCQ","Autre"},MATCH(MAX(D86:I86),D86:I86,0))</f>
        <v/>
      </c>
      <c r="D86" t="n">
        <v>1877</v>
      </c>
      <c r="E86" t="n">
        <v>12918</v>
      </c>
      <c r="F86" t="n">
        <v>3967</v>
      </c>
      <c r="G86" t="n">
        <v>1302</v>
      </c>
      <c r="H86" t="n">
        <v>2810</v>
      </c>
      <c r="I86" t="n">
        <v>2728</v>
      </c>
      <c r="J86">
        <f>SUM(D86:I86)</f>
        <v/>
      </c>
      <c r="K86">
        <f>IFERROR(D86/$J86,0)</f>
        <v/>
      </c>
      <c r="L86">
        <f>IFERROR(E86/$J86,0)</f>
        <v/>
      </c>
      <c r="M86">
        <f>IFERROR(F86/$J86,0)</f>
        <v/>
      </c>
      <c r="N86">
        <f>IFERROR(G86/$J86,0)</f>
        <v/>
      </c>
      <c r="O86">
        <f>IFERROR(H86/$J86,0)</f>
        <v/>
      </c>
      <c r="P86">
        <f>IFERROR(I86/$J86,0)</f>
        <v/>
      </c>
      <c r="Q86">
        <f>D86*INDEX(Régions!$T$2:$T$6,MATCH($B86,Régions!$A$2:$A$6,0))</f>
        <v/>
      </c>
      <c r="R86">
        <f>E86*INDEX(Régions!$U$2:$U$6,MATCH($B86,Régions!$A$2:$A$6,0))</f>
        <v/>
      </c>
      <c r="S86">
        <f>F86*INDEX(Régions!$V$2:$V$6,MATCH($B86,Régions!$A$2:$A$6,0))</f>
        <v/>
      </c>
      <c r="T86">
        <f>G86*INDEX(Régions!$W$2:$W$6,MATCH($B86,Régions!$A$2:$A$6,0))</f>
        <v/>
      </c>
      <c r="U86">
        <f>H86*INDEX(Régions!$X$2:$X$6,MATCH($B86,Régions!$A$2:$A$6,0))</f>
        <v/>
      </c>
      <c r="V86">
        <f>I86*INDEX(Régions!$Y$2:$Y$6,MATCH($B86,Régions!$A$2:$A$6,0))</f>
        <v/>
      </c>
      <c r="W86">
        <f>Q86+(BB86/100)*$J86*Régions!$O$2</f>
        <v/>
      </c>
      <c r="X86">
        <f>R86+(BC86/100)*$J86*Régions!$O$2</f>
        <v/>
      </c>
      <c r="Y86">
        <f>S86+(BD86/100)*$J86*Régions!$O$2</f>
        <v/>
      </c>
      <c r="Z86">
        <f>T86+(BE86/100)*$J86*Régions!$O$2</f>
        <v/>
      </c>
      <c r="AA86">
        <f>U86</f>
        <v/>
      </c>
      <c r="AB86">
        <f>V86</f>
        <v/>
      </c>
      <c r="AC86">
        <f>D86*INDEX(Régions!$Z$2:$Z$6,MATCH($B86,Régions!$A$2:$A$6,0))</f>
        <v/>
      </c>
      <c r="AD86">
        <f>E86*INDEX(Régions!$AA$2:$AA$6,MATCH($B86,Régions!$A$2:$A$6,0))</f>
        <v/>
      </c>
      <c r="AE86">
        <f>F86*INDEX(Régions!$AB$2:$AB$6,MATCH($B86,Régions!$A$2:$A$6,0))</f>
        <v/>
      </c>
      <c r="AF86">
        <f>G86*INDEX(Régions!$AC$2:$AC$6,MATCH($B86,Régions!$A$2:$A$6,0))</f>
        <v/>
      </c>
      <c r="AG86">
        <f>H86*INDEX(Régions!$AD$2:$AD$6,MATCH($B86,Régions!$A$2:$A$6,0))</f>
        <v/>
      </c>
      <c r="AH86">
        <f>I86*INDEX(Régions!$AE$2:$AE$6,MATCH($B86,Régions!$A$2:$A$6,0))</f>
        <v/>
      </c>
      <c r="AI86">
        <f>D86*INDEX(Régions!$AF$2:$AF$6,MATCH($B86,Régions!$A$2:$A$6,0))</f>
        <v/>
      </c>
      <c r="AJ86">
        <f>E86*INDEX(Régions!$AG$2:$AG$6,MATCH($B86,Régions!$A$2:$A$6,0))</f>
        <v/>
      </c>
      <c r="AK86">
        <f>F86*INDEX(Régions!$AH$2:$AH$6,MATCH($B86,Régions!$A$2:$A$6,0))</f>
        <v/>
      </c>
      <c r="AL86">
        <f>G86*INDEX(Régions!$AI$2:$AI$6,MATCH($B86,Régions!$A$2:$A$6,0))</f>
        <v/>
      </c>
      <c r="AM86">
        <f>H86*INDEX(Régions!$AJ$2:$AJ$6,MATCH($B86,Régions!$A$2:$A$6,0))</f>
        <v/>
      </c>
      <c r="AN86">
        <f>I86*INDEX(Régions!$AK$2:$AK$6,MATCH($B86,Régions!$A$2:$A$6,0))</f>
        <v/>
      </c>
      <c r="AO86">
        <f>Régions!$Q$2*Q86/SUM($Q86:$V86)*100+(1-Régions!$Q$2)*MAX(K86*100+(INDEX(Régions!$AL$2:$AL$6,MATCH($B86,Régions!$A$2:$A$6,0))),0)</f>
        <v/>
      </c>
      <c r="AP86">
        <f>Régions!$Q$2*R86/SUM($Q86:$V86)*100+(1-Régions!$Q$2)*MAX(L86*100+(INDEX(Régions!$AM$2:$AM$6,MATCH($B86,Régions!$A$2:$A$6,0))),0)</f>
        <v/>
      </c>
      <c r="AQ86">
        <f>Régions!$Q$2*S86/SUM($Q86:$V86)*100+(1-Régions!$Q$2)*MAX(M86*100+(INDEX(Régions!$AN$2:$AN$6,MATCH($B86,Régions!$A$2:$A$6,0))),0)</f>
        <v/>
      </c>
      <c r="AR86">
        <f>Régions!$Q$2*T86/SUM($Q86:$V86)*100+(1-Régions!$Q$2)*MAX(N86*100+(INDEX(Régions!$AO$2:$AO$6,MATCH($B86,Régions!$A$2:$A$6,0))),0)</f>
        <v/>
      </c>
      <c r="AS86">
        <f>Régions!$Q$2*U86/SUM($Q86:$V86)*100+(1-Régions!$Q$2)*MAX(O86*100+(INDEX(Régions!$AP$2:$AP$6,MATCH($B86,Régions!$A$2:$A$6,0))),0)</f>
        <v/>
      </c>
      <c r="AT86">
        <f>Régions!$Q$2*V86/SUM($Q86:$V86)*100+(1-Régions!$Q$2)*MAX(P86*100+(INDEX(Régions!$AQ$2:$AQ$6,MATCH($B86,Régions!$A$2:$A$6,0))),0)</f>
        <v/>
      </c>
      <c r="AU86">
        <f>INDEX({"CAQ","PLQ","QS","PQ","PCQ","Autre"},MATCH(MAX(Q86:V86),Q86:V86,0))</f>
        <v/>
      </c>
      <c r="AV86">
        <f>INDEX({"CAQ","PLQ","QS","PQ","PCQ","Autre"},MATCH(MAX(W86:AB86),W86:AB86,0))</f>
        <v/>
      </c>
      <c r="AW86">
        <f>INDEX({"CAQ","PLQ","QS","PQ","PCQ","Autre"},MATCH(MAX(AC86:AH86),AC86:AH86,0))</f>
        <v/>
      </c>
      <c r="AX86">
        <f>INDEX({"CAQ","PLQ","QS","PQ","PCQ","Autre"},MATCH(MAX(AI86:AN86),AI86:AN86,0))</f>
        <v/>
      </c>
      <c r="AY86">
        <f>INDEX({"CAQ","PLQ","QS","PQ","PCQ","Autre"},MATCH(MAX(AO86:AT86),AO86:AT86,0))</f>
        <v/>
      </c>
      <c r="AZ86">
        <f>(MAX(K86:P86)-LARGE(K86:P86,2))*100</f>
        <v/>
      </c>
      <c r="BA86">
        <f>IF(AZ86&lt;5,"Oui","Non")</f>
        <v/>
      </c>
      <c r="BB86" t="n">
        <v>-2.63</v>
      </c>
      <c r="BC86" t="n">
        <v>-3.727</v>
      </c>
      <c r="BD86" t="n">
        <v>2.881</v>
      </c>
      <c r="BE86" t="n">
        <v>0.729</v>
      </c>
    </row>
    <row r="87">
      <c r="A87" t="inlineStr">
        <is>
          <t>Orford</t>
        </is>
      </c>
      <c r="B87" t="inlineStr">
        <is>
          <t>Reste du Québec</t>
        </is>
      </c>
      <c r="C87">
        <f>INDEX({"CAQ","PLQ","QS","PQ","PCQ","Autre"},MATCH(MAX(D87:I87),D87:I87,0))</f>
        <v/>
      </c>
      <c r="D87" t="n">
        <v>13641.5</v>
      </c>
      <c r="E87" t="n">
        <v>4762.5</v>
      </c>
      <c r="F87" t="n">
        <v>5131.5</v>
      </c>
      <c r="G87" t="n">
        <v>4322.8</v>
      </c>
      <c r="H87" t="n">
        <v>3797.8</v>
      </c>
      <c r="I87" t="n">
        <v>105.6</v>
      </c>
      <c r="J87">
        <f>SUM(D87:I87)</f>
        <v/>
      </c>
      <c r="K87">
        <f>IFERROR(D87/$J87,0)</f>
        <v/>
      </c>
      <c r="L87">
        <f>IFERROR(E87/$J87,0)</f>
        <v/>
      </c>
      <c r="M87">
        <f>IFERROR(F87/$J87,0)</f>
        <v/>
      </c>
      <c r="N87">
        <f>IFERROR(G87/$J87,0)</f>
        <v/>
      </c>
      <c r="O87">
        <f>IFERROR(H87/$J87,0)</f>
        <v/>
      </c>
      <c r="P87">
        <f>IFERROR(I87/$J87,0)</f>
        <v/>
      </c>
      <c r="Q87">
        <f>D87*INDEX(Régions!$T$2:$T$6,MATCH($B87,Régions!$A$2:$A$6,0))</f>
        <v/>
      </c>
      <c r="R87">
        <f>E87*INDEX(Régions!$U$2:$U$6,MATCH($B87,Régions!$A$2:$A$6,0))</f>
        <v/>
      </c>
      <c r="S87">
        <f>F87*INDEX(Régions!$V$2:$V$6,MATCH($B87,Régions!$A$2:$A$6,0))</f>
        <v/>
      </c>
      <c r="T87">
        <f>G87*INDEX(Régions!$W$2:$W$6,MATCH($B87,Régions!$A$2:$A$6,0))</f>
        <v/>
      </c>
      <c r="U87">
        <f>H87*INDEX(Régions!$X$2:$X$6,MATCH($B87,Régions!$A$2:$A$6,0))</f>
        <v/>
      </c>
      <c r="V87">
        <f>I87*INDEX(Régions!$Y$2:$Y$6,MATCH($B87,Régions!$A$2:$A$6,0))</f>
        <v/>
      </c>
      <c r="W87">
        <f>Q87+(BB87/100)*$J87*Régions!$O$2</f>
        <v/>
      </c>
      <c r="X87">
        <f>R87+(BC87/100)*$J87*Régions!$O$2</f>
        <v/>
      </c>
      <c r="Y87">
        <f>S87+(BD87/100)*$J87*Régions!$O$2</f>
        <v/>
      </c>
      <c r="Z87">
        <f>T87+(BE87/100)*$J87*Régions!$O$2</f>
        <v/>
      </c>
      <c r="AA87">
        <f>U87</f>
        <v/>
      </c>
      <c r="AB87">
        <f>V87</f>
        <v/>
      </c>
      <c r="AC87">
        <f>D87*INDEX(Régions!$Z$2:$Z$6,MATCH($B87,Régions!$A$2:$A$6,0))</f>
        <v/>
      </c>
      <c r="AD87">
        <f>E87*INDEX(Régions!$AA$2:$AA$6,MATCH($B87,Régions!$A$2:$A$6,0))</f>
        <v/>
      </c>
      <c r="AE87">
        <f>F87*INDEX(Régions!$AB$2:$AB$6,MATCH($B87,Régions!$A$2:$A$6,0))</f>
        <v/>
      </c>
      <c r="AF87">
        <f>G87*INDEX(Régions!$AC$2:$AC$6,MATCH($B87,Régions!$A$2:$A$6,0))</f>
        <v/>
      </c>
      <c r="AG87">
        <f>H87*INDEX(Régions!$AD$2:$AD$6,MATCH($B87,Régions!$A$2:$A$6,0))</f>
        <v/>
      </c>
      <c r="AH87">
        <f>I87*INDEX(Régions!$AE$2:$AE$6,MATCH($B87,Régions!$A$2:$A$6,0))</f>
        <v/>
      </c>
      <c r="AI87">
        <f>D87*INDEX(Régions!$AF$2:$AF$6,MATCH($B87,Régions!$A$2:$A$6,0))</f>
        <v/>
      </c>
      <c r="AJ87">
        <f>E87*INDEX(Régions!$AG$2:$AG$6,MATCH($B87,Régions!$A$2:$A$6,0))</f>
        <v/>
      </c>
      <c r="AK87">
        <f>F87*INDEX(Régions!$AH$2:$AH$6,MATCH($B87,Régions!$A$2:$A$6,0))</f>
        <v/>
      </c>
      <c r="AL87">
        <f>G87*INDEX(Régions!$AI$2:$AI$6,MATCH($B87,Régions!$A$2:$A$6,0))</f>
        <v/>
      </c>
      <c r="AM87">
        <f>H87*INDEX(Régions!$AJ$2:$AJ$6,MATCH($B87,Régions!$A$2:$A$6,0))</f>
        <v/>
      </c>
      <c r="AN87">
        <f>I87*INDEX(Régions!$AK$2:$AK$6,MATCH($B87,Régions!$A$2:$A$6,0))</f>
        <v/>
      </c>
      <c r="AO87">
        <f>Régions!$Q$2*Q87/SUM($Q87:$V87)*100+(1-Régions!$Q$2)*MAX(K87*100+(INDEX(Régions!$AL$2:$AL$6,MATCH($B87,Régions!$A$2:$A$6,0))),0)</f>
        <v/>
      </c>
      <c r="AP87">
        <f>Régions!$Q$2*R87/SUM($Q87:$V87)*100+(1-Régions!$Q$2)*MAX(L87*100+(INDEX(Régions!$AM$2:$AM$6,MATCH($B87,Régions!$A$2:$A$6,0))),0)</f>
        <v/>
      </c>
      <c r="AQ87">
        <f>Régions!$Q$2*S87/SUM($Q87:$V87)*100+(1-Régions!$Q$2)*MAX(M87*100+(INDEX(Régions!$AN$2:$AN$6,MATCH($B87,Régions!$A$2:$A$6,0))),0)</f>
        <v/>
      </c>
      <c r="AR87">
        <f>Régions!$Q$2*T87/SUM($Q87:$V87)*100+(1-Régions!$Q$2)*MAX(N87*100+(INDEX(Régions!$AO$2:$AO$6,MATCH($B87,Régions!$A$2:$A$6,0))),0)</f>
        <v/>
      </c>
      <c r="AS87">
        <f>Régions!$Q$2*U87/SUM($Q87:$V87)*100+(1-Régions!$Q$2)*MAX(O87*100+(INDEX(Régions!$AP$2:$AP$6,MATCH($B87,Régions!$A$2:$A$6,0))),0)</f>
        <v/>
      </c>
      <c r="AT87">
        <f>Régions!$Q$2*V87/SUM($Q87:$V87)*100+(1-Régions!$Q$2)*MAX(P87*100+(INDEX(Régions!$AQ$2:$AQ$6,MATCH($B87,Régions!$A$2:$A$6,0))),0)</f>
        <v/>
      </c>
      <c r="AU87">
        <f>INDEX({"CAQ","PLQ","QS","PQ","PCQ","Autre"},MATCH(MAX(Q87:V87),Q87:V87,0))</f>
        <v/>
      </c>
      <c r="AV87">
        <f>INDEX({"CAQ","PLQ","QS","PQ","PCQ","Autre"},MATCH(MAX(W87:AB87),W87:AB87,0))</f>
        <v/>
      </c>
      <c r="AW87">
        <f>INDEX({"CAQ","PLQ","QS","PQ","PCQ","Autre"},MATCH(MAX(AC87:AH87),AC87:AH87,0))</f>
        <v/>
      </c>
      <c r="AX87">
        <f>INDEX({"CAQ","PLQ","QS","PQ","PCQ","Autre"},MATCH(MAX(AI87:AN87),AI87:AN87,0))</f>
        <v/>
      </c>
      <c r="AY87">
        <f>INDEX({"CAQ","PLQ","QS","PQ","PCQ","Autre"},MATCH(MAX(AO87:AT87),AO87:AT87,0))</f>
        <v/>
      </c>
      <c r="AZ87">
        <f>(MAX(K87:P87)-LARGE(K87:P87,2))*100</f>
        <v/>
      </c>
      <c r="BA87">
        <f>IF(AZ87&lt;5,"Oui","Non")</f>
        <v/>
      </c>
      <c r="BB87" t="n">
        <v>-4.509</v>
      </c>
      <c r="BC87" t="n">
        <v>3.15</v>
      </c>
      <c r="BD87" t="n">
        <v>-0.532</v>
      </c>
      <c r="BE87" t="n">
        <v>5.399</v>
      </c>
    </row>
    <row r="88">
      <c r="A88" t="inlineStr">
        <is>
          <t>Papineau</t>
        </is>
      </c>
      <c r="B88" t="inlineStr">
        <is>
          <t>Banlieue de Montréal</t>
        </is>
      </c>
      <c r="C88">
        <f>INDEX({"CAQ","PLQ","QS","PQ","PCQ","Autre"},MATCH(MAX(D88:I88),D88:I88,0))</f>
        <v/>
      </c>
      <c r="D88" t="n">
        <v>18164.9</v>
      </c>
      <c r="E88" t="n">
        <v>2892.1</v>
      </c>
      <c r="F88" t="n">
        <v>4739.7</v>
      </c>
      <c r="G88" t="n">
        <v>3519</v>
      </c>
      <c r="H88" t="n">
        <v>4561.6</v>
      </c>
      <c r="I88" t="n">
        <v>508.5</v>
      </c>
      <c r="J88">
        <f>SUM(D88:I88)</f>
        <v/>
      </c>
      <c r="K88">
        <f>IFERROR(D88/$J88,0)</f>
        <v/>
      </c>
      <c r="L88">
        <f>IFERROR(E88/$J88,0)</f>
        <v/>
      </c>
      <c r="M88">
        <f>IFERROR(F88/$J88,0)</f>
        <v/>
      </c>
      <c r="N88">
        <f>IFERROR(G88/$J88,0)</f>
        <v/>
      </c>
      <c r="O88">
        <f>IFERROR(H88/$J88,0)</f>
        <v/>
      </c>
      <c r="P88">
        <f>IFERROR(I88/$J88,0)</f>
        <v/>
      </c>
      <c r="Q88">
        <f>D88*INDEX(Régions!$T$2:$T$6,MATCH($B88,Régions!$A$2:$A$6,0))</f>
        <v/>
      </c>
      <c r="R88">
        <f>E88*INDEX(Régions!$U$2:$U$6,MATCH($B88,Régions!$A$2:$A$6,0))</f>
        <v/>
      </c>
      <c r="S88">
        <f>F88*INDEX(Régions!$V$2:$V$6,MATCH($B88,Régions!$A$2:$A$6,0))</f>
        <v/>
      </c>
      <c r="T88">
        <f>G88*INDEX(Régions!$W$2:$W$6,MATCH($B88,Régions!$A$2:$A$6,0))</f>
        <v/>
      </c>
      <c r="U88">
        <f>H88*INDEX(Régions!$X$2:$X$6,MATCH($B88,Régions!$A$2:$A$6,0))</f>
        <v/>
      </c>
      <c r="V88">
        <f>I88*INDEX(Régions!$Y$2:$Y$6,MATCH($B88,Régions!$A$2:$A$6,0))</f>
        <v/>
      </c>
      <c r="W88">
        <f>Q88+(BB88/100)*$J88*Régions!$O$2</f>
        <v/>
      </c>
      <c r="X88">
        <f>R88+(BC88/100)*$J88*Régions!$O$2</f>
        <v/>
      </c>
      <c r="Y88">
        <f>S88+(BD88/100)*$J88*Régions!$O$2</f>
        <v/>
      </c>
      <c r="Z88">
        <f>T88+(BE88/100)*$J88*Régions!$O$2</f>
        <v/>
      </c>
      <c r="AA88">
        <f>U88</f>
        <v/>
      </c>
      <c r="AB88">
        <f>V88</f>
        <v/>
      </c>
      <c r="AC88">
        <f>D88*INDEX(Régions!$Z$2:$Z$6,MATCH($B88,Régions!$A$2:$A$6,0))</f>
        <v/>
      </c>
      <c r="AD88">
        <f>E88*INDEX(Régions!$AA$2:$AA$6,MATCH($B88,Régions!$A$2:$A$6,0))</f>
        <v/>
      </c>
      <c r="AE88">
        <f>F88*INDEX(Régions!$AB$2:$AB$6,MATCH($B88,Régions!$A$2:$A$6,0))</f>
        <v/>
      </c>
      <c r="AF88">
        <f>G88*INDEX(Régions!$AC$2:$AC$6,MATCH($B88,Régions!$A$2:$A$6,0))</f>
        <v/>
      </c>
      <c r="AG88">
        <f>H88*INDEX(Régions!$AD$2:$AD$6,MATCH($B88,Régions!$A$2:$A$6,0))</f>
        <v/>
      </c>
      <c r="AH88">
        <f>I88*INDEX(Régions!$AE$2:$AE$6,MATCH($B88,Régions!$A$2:$A$6,0))</f>
        <v/>
      </c>
      <c r="AI88">
        <f>D88*INDEX(Régions!$AF$2:$AF$6,MATCH($B88,Régions!$A$2:$A$6,0))</f>
        <v/>
      </c>
      <c r="AJ88">
        <f>E88*INDEX(Régions!$AG$2:$AG$6,MATCH($B88,Régions!$A$2:$A$6,0))</f>
        <v/>
      </c>
      <c r="AK88">
        <f>F88*INDEX(Régions!$AH$2:$AH$6,MATCH($B88,Régions!$A$2:$A$6,0))</f>
        <v/>
      </c>
      <c r="AL88">
        <f>G88*INDEX(Régions!$AI$2:$AI$6,MATCH($B88,Régions!$A$2:$A$6,0))</f>
        <v/>
      </c>
      <c r="AM88">
        <f>H88*INDEX(Régions!$AJ$2:$AJ$6,MATCH($B88,Régions!$A$2:$A$6,0))</f>
        <v/>
      </c>
      <c r="AN88">
        <f>I88*INDEX(Régions!$AK$2:$AK$6,MATCH($B88,Régions!$A$2:$A$6,0))</f>
        <v/>
      </c>
      <c r="AO88">
        <f>Régions!$Q$2*Q88/SUM($Q88:$V88)*100+(1-Régions!$Q$2)*MAX(K88*100+(INDEX(Régions!$AL$2:$AL$6,MATCH($B88,Régions!$A$2:$A$6,0))),0)</f>
        <v/>
      </c>
      <c r="AP88">
        <f>Régions!$Q$2*R88/SUM($Q88:$V88)*100+(1-Régions!$Q$2)*MAX(L88*100+(INDEX(Régions!$AM$2:$AM$6,MATCH($B88,Régions!$A$2:$A$6,0))),0)</f>
        <v/>
      </c>
      <c r="AQ88">
        <f>Régions!$Q$2*S88/SUM($Q88:$V88)*100+(1-Régions!$Q$2)*MAX(M88*100+(INDEX(Régions!$AN$2:$AN$6,MATCH($B88,Régions!$A$2:$A$6,0))),0)</f>
        <v/>
      </c>
      <c r="AR88">
        <f>Régions!$Q$2*T88/SUM($Q88:$V88)*100+(1-Régions!$Q$2)*MAX(N88*100+(INDEX(Régions!$AO$2:$AO$6,MATCH($B88,Régions!$A$2:$A$6,0))),0)</f>
        <v/>
      </c>
      <c r="AS88">
        <f>Régions!$Q$2*U88/SUM($Q88:$V88)*100+(1-Régions!$Q$2)*MAX(O88*100+(INDEX(Régions!$AP$2:$AP$6,MATCH($B88,Régions!$A$2:$A$6,0))),0)</f>
        <v/>
      </c>
      <c r="AT88">
        <f>Régions!$Q$2*V88/SUM($Q88:$V88)*100+(1-Régions!$Q$2)*MAX(P88*100+(INDEX(Régions!$AQ$2:$AQ$6,MATCH($B88,Régions!$A$2:$A$6,0))),0)</f>
        <v/>
      </c>
      <c r="AU88">
        <f>INDEX({"CAQ","PLQ","QS","PQ","PCQ","Autre"},MATCH(MAX(Q88:V88),Q88:V88,0))</f>
        <v/>
      </c>
      <c r="AV88">
        <f>INDEX({"CAQ","PLQ","QS","PQ","PCQ","Autre"},MATCH(MAX(W88:AB88),W88:AB88,0))</f>
        <v/>
      </c>
      <c r="AW88">
        <f>INDEX({"CAQ","PLQ","QS","PQ","PCQ","Autre"},MATCH(MAX(AC88:AH88),AC88:AH88,0))</f>
        <v/>
      </c>
      <c r="AX88">
        <f>INDEX({"CAQ","PLQ","QS","PQ","PCQ","Autre"},MATCH(MAX(AI88:AN88),AI88:AN88,0))</f>
        <v/>
      </c>
      <c r="AY88">
        <f>INDEX({"CAQ","PLQ","QS","PQ","PCQ","Autre"},MATCH(MAX(AO88:AT88),AO88:AT88,0))</f>
        <v/>
      </c>
      <c r="AZ88">
        <f>(MAX(K88:P88)-LARGE(K88:P88,2))*100</f>
        <v/>
      </c>
      <c r="BA88">
        <f>IF(AZ88&lt;5,"Oui","Non")</f>
        <v/>
      </c>
      <c r="BB88" t="n">
        <v>2.784</v>
      </c>
      <c r="BC88" t="n">
        <v>-7.823</v>
      </c>
      <c r="BD88" t="n">
        <v>-0.634</v>
      </c>
      <c r="BE88" t="n">
        <v>2.818</v>
      </c>
    </row>
    <row r="89">
      <c r="A89" t="inlineStr">
        <is>
          <t>Pierre-Laporte</t>
        </is>
      </c>
      <c r="B89" t="inlineStr">
        <is>
          <t>Banlieue de Montréal</t>
        </is>
      </c>
      <c r="C89">
        <f>INDEX({"CAQ","PLQ","QS","PQ","PCQ","Autre"},MATCH(MAX(D89:I89),D89:I89,0))</f>
        <v/>
      </c>
      <c r="D89" t="n">
        <v>10361</v>
      </c>
      <c r="E89" t="n">
        <v>9707</v>
      </c>
      <c r="F89" t="n">
        <v>5968</v>
      </c>
      <c r="G89" t="n">
        <v>4108</v>
      </c>
      <c r="H89" t="n">
        <v>2933</v>
      </c>
      <c r="I89" t="n">
        <v>610</v>
      </c>
      <c r="J89">
        <f>SUM(D89:I89)</f>
        <v/>
      </c>
      <c r="K89">
        <f>IFERROR(D89/$J89,0)</f>
        <v/>
      </c>
      <c r="L89">
        <f>IFERROR(E89/$J89,0)</f>
        <v/>
      </c>
      <c r="M89">
        <f>IFERROR(F89/$J89,0)</f>
        <v/>
      </c>
      <c r="N89">
        <f>IFERROR(G89/$J89,0)</f>
        <v/>
      </c>
      <c r="O89">
        <f>IFERROR(H89/$J89,0)</f>
        <v/>
      </c>
      <c r="P89">
        <f>IFERROR(I89/$J89,0)</f>
        <v/>
      </c>
      <c r="Q89">
        <f>D89*INDEX(Régions!$T$2:$T$6,MATCH($B89,Régions!$A$2:$A$6,0))</f>
        <v/>
      </c>
      <c r="R89">
        <f>E89*INDEX(Régions!$U$2:$U$6,MATCH($B89,Régions!$A$2:$A$6,0))</f>
        <v/>
      </c>
      <c r="S89">
        <f>F89*INDEX(Régions!$V$2:$V$6,MATCH($B89,Régions!$A$2:$A$6,0))</f>
        <v/>
      </c>
      <c r="T89">
        <f>G89*INDEX(Régions!$W$2:$W$6,MATCH($B89,Régions!$A$2:$A$6,0))</f>
        <v/>
      </c>
      <c r="U89">
        <f>H89*INDEX(Régions!$X$2:$X$6,MATCH($B89,Régions!$A$2:$A$6,0))</f>
        <v/>
      </c>
      <c r="V89">
        <f>I89*INDEX(Régions!$Y$2:$Y$6,MATCH($B89,Régions!$A$2:$A$6,0))</f>
        <v/>
      </c>
      <c r="W89">
        <f>Q89+(BB89/100)*$J89*Régions!$O$2</f>
        <v/>
      </c>
      <c r="X89">
        <f>R89+(BC89/100)*$J89*Régions!$O$2</f>
        <v/>
      </c>
      <c r="Y89">
        <f>S89+(BD89/100)*$J89*Régions!$O$2</f>
        <v/>
      </c>
      <c r="Z89">
        <f>T89+(BE89/100)*$J89*Régions!$O$2</f>
        <v/>
      </c>
      <c r="AA89">
        <f>U89</f>
        <v/>
      </c>
      <c r="AB89">
        <f>V89</f>
        <v/>
      </c>
      <c r="AC89">
        <f>D89*INDEX(Régions!$Z$2:$Z$6,MATCH($B89,Régions!$A$2:$A$6,0))</f>
        <v/>
      </c>
      <c r="AD89">
        <f>E89*INDEX(Régions!$AA$2:$AA$6,MATCH($B89,Régions!$A$2:$A$6,0))</f>
        <v/>
      </c>
      <c r="AE89">
        <f>F89*INDEX(Régions!$AB$2:$AB$6,MATCH($B89,Régions!$A$2:$A$6,0))</f>
        <v/>
      </c>
      <c r="AF89">
        <f>G89*INDEX(Régions!$AC$2:$AC$6,MATCH($B89,Régions!$A$2:$A$6,0))</f>
        <v/>
      </c>
      <c r="AG89">
        <f>H89*INDEX(Régions!$AD$2:$AD$6,MATCH($B89,Régions!$A$2:$A$6,0))</f>
        <v/>
      </c>
      <c r="AH89">
        <f>I89*INDEX(Régions!$AE$2:$AE$6,MATCH($B89,Régions!$A$2:$A$6,0))</f>
        <v/>
      </c>
      <c r="AI89">
        <f>D89*INDEX(Régions!$AF$2:$AF$6,MATCH($B89,Régions!$A$2:$A$6,0))</f>
        <v/>
      </c>
      <c r="AJ89">
        <f>E89*INDEX(Régions!$AG$2:$AG$6,MATCH($B89,Régions!$A$2:$A$6,0))</f>
        <v/>
      </c>
      <c r="AK89">
        <f>F89*INDEX(Régions!$AH$2:$AH$6,MATCH($B89,Régions!$A$2:$A$6,0))</f>
        <v/>
      </c>
      <c r="AL89">
        <f>G89*INDEX(Régions!$AI$2:$AI$6,MATCH($B89,Régions!$A$2:$A$6,0))</f>
        <v/>
      </c>
      <c r="AM89">
        <f>H89*INDEX(Régions!$AJ$2:$AJ$6,MATCH($B89,Régions!$A$2:$A$6,0))</f>
        <v/>
      </c>
      <c r="AN89">
        <f>I89*INDEX(Régions!$AK$2:$AK$6,MATCH($B89,Régions!$A$2:$A$6,0))</f>
        <v/>
      </c>
      <c r="AO89">
        <f>Régions!$Q$2*Q89/SUM($Q89:$V89)*100+(1-Régions!$Q$2)*MAX(K89*100+(INDEX(Régions!$AL$2:$AL$6,MATCH($B89,Régions!$A$2:$A$6,0))),0)</f>
        <v/>
      </c>
      <c r="AP89">
        <f>Régions!$Q$2*R89/SUM($Q89:$V89)*100+(1-Régions!$Q$2)*MAX(L89*100+(INDEX(Régions!$AM$2:$AM$6,MATCH($B89,Régions!$A$2:$A$6,0))),0)</f>
        <v/>
      </c>
      <c r="AQ89">
        <f>Régions!$Q$2*S89/SUM($Q89:$V89)*100+(1-Régions!$Q$2)*MAX(M89*100+(INDEX(Régions!$AN$2:$AN$6,MATCH($B89,Régions!$A$2:$A$6,0))),0)</f>
        <v/>
      </c>
      <c r="AR89">
        <f>Régions!$Q$2*T89/SUM($Q89:$V89)*100+(1-Régions!$Q$2)*MAX(N89*100+(INDEX(Régions!$AO$2:$AO$6,MATCH($B89,Régions!$A$2:$A$6,0))),0)</f>
        <v/>
      </c>
      <c r="AS89">
        <f>Régions!$Q$2*U89/SUM($Q89:$V89)*100+(1-Régions!$Q$2)*MAX(O89*100+(INDEX(Régions!$AP$2:$AP$6,MATCH($B89,Régions!$A$2:$A$6,0))),0)</f>
        <v/>
      </c>
      <c r="AT89">
        <f>Régions!$Q$2*V89/SUM($Q89:$V89)*100+(1-Régions!$Q$2)*MAX(P89*100+(INDEX(Régions!$AQ$2:$AQ$6,MATCH($B89,Régions!$A$2:$A$6,0))),0)</f>
        <v/>
      </c>
      <c r="AU89">
        <f>INDEX({"CAQ","PLQ","QS","PQ","PCQ","Autre"},MATCH(MAX(Q89:V89),Q89:V89,0))</f>
        <v/>
      </c>
      <c r="AV89">
        <f>INDEX({"CAQ","PLQ","QS","PQ","PCQ","Autre"},MATCH(MAX(W89:AB89),W89:AB89,0))</f>
        <v/>
      </c>
      <c r="AW89">
        <f>INDEX({"CAQ","PLQ","QS","PQ","PCQ","Autre"},MATCH(MAX(AC89:AH89),AC89:AH89,0))</f>
        <v/>
      </c>
      <c r="AX89">
        <f>INDEX({"CAQ","PLQ","QS","PQ","PCQ","Autre"},MATCH(MAX(AI89:AN89),AI89:AN89,0))</f>
        <v/>
      </c>
      <c r="AY89">
        <f>INDEX({"CAQ","PLQ","QS","PQ","PCQ","Autre"},MATCH(MAX(AO89:AT89),AO89:AT89,0))</f>
        <v/>
      </c>
      <c r="AZ89">
        <f>(MAX(K89:P89)-LARGE(K89:P89,2))*100</f>
        <v/>
      </c>
      <c r="BA89">
        <f>IF(AZ89&lt;5,"Oui","Non")</f>
        <v/>
      </c>
      <c r="BB89" t="n">
        <v>-0.913</v>
      </c>
      <c r="BC89" t="n">
        <v>0.08</v>
      </c>
      <c r="BD89" t="n">
        <v>1.226</v>
      </c>
      <c r="BE89" t="n">
        <v>2.134</v>
      </c>
    </row>
    <row r="90">
      <c r="A90" t="inlineStr">
        <is>
          <t>Pointe-aux-Trembles</t>
        </is>
      </c>
      <c r="B90" t="inlineStr">
        <is>
          <t>Île de Montréal</t>
        </is>
      </c>
      <c r="C90">
        <f>INDEX({"CAQ","PLQ","QS","PQ","PCQ","Autre"},MATCH(MAX(D90:I90),D90:I90,0))</f>
        <v/>
      </c>
      <c r="D90" t="n">
        <v>12156</v>
      </c>
      <c r="E90" t="n">
        <v>2750</v>
      </c>
      <c r="F90" t="n">
        <v>4084</v>
      </c>
      <c r="G90" t="n">
        <v>5265</v>
      </c>
      <c r="H90" t="n">
        <v>1804</v>
      </c>
      <c r="I90" t="n">
        <v>436</v>
      </c>
      <c r="J90">
        <f>SUM(D90:I90)</f>
        <v/>
      </c>
      <c r="K90">
        <f>IFERROR(D90/$J90,0)</f>
        <v/>
      </c>
      <c r="L90">
        <f>IFERROR(E90/$J90,0)</f>
        <v/>
      </c>
      <c r="M90">
        <f>IFERROR(F90/$J90,0)</f>
        <v/>
      </c>
      <c r="N90">
        <f>IFERROR(G90/$J90,0)</f>
        <v/>
      </c>
      <c r="O90">
        <f>IFERROR(H90/$J90,0)</f>
        <v/>
      </c>
      <c r="P90">
        <f>IFERROR(I90/$J90,0)</f>
        <v/>
      </c>
      <c r="Q90">
        <f>D90*INDEX(Régions!$T$2:$T$6,MATCH($B90,Régions!$A$2:$A$6,0))</f>
        <v/>
      </c>
      <c r="R90">
        <f>E90*INDEX(Régions!$U$2:$U$6,MATCH($B90,Régions!$A$2:$A$6,0))</f>
        <v/>
      </c>
      <c r="S90">
        <f>F90*INDEX(Régions!$V$2:$V$6,MATCH($B90,Régions!$A$2:$A$6,0))</f>
        <v/>
      </c>
      <c r="T90">
        <f>G90*INDEX(Régions!$W$2:$W$6,MATCH($B90,Régions!$A$2:$A$6,0))</f>
        <v/>
      </c>
      <c r="U90">
        <f>H90*INDEX(Régions!$X$2:$X$6,MATCH($B90,Régions!$A$2:$A$6,0))</f>
        <v/>
      </c>
      <c r="V90">
        <f>I90*INDEX(Régions!$Y$2:$Y$6,MATCH($B90,Régions!$A$2:$A$6,0))</f>
        <v/>
      </c>
      <c r="W90">
        <f>Q90+(BB90/100)*$J90*Régions!$O$2</f>
        <v/>
      </c>
      <c r="X90">
        <f>R90+(BC90/100)*$J90*Régions!$O$2</f>
        <v/>
      </c>
      <c r="Y90">
        <f>S90+(BD90/100)*$J90*Régions!$O$2</f>
        <v/>
      </c>
      <c r="Z90">
        <f>T90+(BE90/100)*$J90*Régions!$O$2</f>
        <v/>
      </c>
      <c r="AA90">
        <f>U90</f>
        <v/>
      </c>
      <c r="AB90">
        <f>V90</f>
        <v/>
      </c>
      <c r="AC90">
        <f>D90*INDEX(Régions!$Z$2:$Z$6,MATCH($B90,Régions!$A$2:$A$6,0))</f>
        <v/>
      </c>
      <c r="AD90">
        <f>E90*INDEX(Régions!$AA$2:$AA$6,MATCH($B90,Régions!$A$2:$A$6,0))</f>
        <v/>
      </c>
      <c r="AE90">
        <f>F90*INDEX(Régions!$AB$2:$AB$6,MATCH($B90,Régions!$A$2:$A$6,0))</f>
        <v/>
      </c>
      <c r="AF90">
        <f>G90*INDEX(Régions!$AC$2:$AC$6,MATCH($B90,Régions!$A$2:$A$6,0))</f>
        <v/>
      </c>
      <c r="AG90">
        <f>H90*INDEX(Régions!$AD$2:$AD$6,MATCH($B90,Régions!$A$2:$A$6,0))</f>
        <v/>
      </c>
      <c r="AH90">
        <f>I90*INDEX(Régions!$AE$2:$AE$6,MATCH($B90,Régions!$A$2:$A$6,0))</f>
        <v/>
      </c>
      <c r="AI90">
        <f>D90*INDEX(Régions!$AF$2:$AF$6,MATCH($B90,Régions!$A$2:$A$6,0))</f>
        <v/>
      </c>
      <c r="AJ90">
        <f>E90*INDEX(Régions!$AG$2:$AG$6,MATCH($B90,Régions!$A$2:$A$6,0))</f>
        <v/>
      </c>
      <c r="AK90">
        <f>F90*INDEX(Régions!$AH$2:$AH$6,MATCH($B90,Régions!$A$2:$A$6,0))</f>
        <v/>
      </c>
      <c r="AL90">
        <f>G90*INDEX(Régions!$AI$2:$AI$6,MATCH($B90,Régions!$A$2:$A$6,0))</f>
        <v/>
      </c>
      <c r="AM90">
        <f>H90*INDEX(Régions!$AJ$2:$AJ$6,MATCH($B90,Régions!$A$2:$A$6,0))</f>
        <v/>
      </c>
      <c r="AN90">
        <f>I90*INDEX(Régions!$AK$2:$AK$6,MATCH($B90,Régions!$A$2:$A$6,0))</f>
        <v/>
      </c>
      <c r="AO90">
        <f>Régions!$Q$2*Q90/SUM($Q90:$V90)*100+(1-Régions!$Q$2)*MAX(K90*100+(INDEX(Régions!$AL$2:$AL$6,MATCH($B90,Régions!$A$2:$A$6,0))),0)</f>
        <v/>
      </c>
      <c r="AP90">
        <f>Régions!$Q$2*R90/SUM($Q90:$V90)*100+(1-Régions!$Q$2)*MAX(L90*100+(INDEX(Régions!$AM$2:$AM$6,MATCH($B90,Régions!$A$2:$A$6,0))),0)</f>
        <v/>
      </c>
      <c r="AQ90">
        <f>Régions!$Q$2*S90/SUM($Q90:$V90)*100+(1-Régions!$Q$2)*MAX(M90*100+(INDEX(Régions!$AN$2:$AN$6,MATCH($B90,Régions!$A$2:$A$6,0))),0)</f>
        <v/>
      </c>
      <c r="AR90">
        <f>Régions!$Q$2*T90/SUM($Q90:$V90)*100+(1-Régions!$Q$2)*MAX(N90*100+(INDEX(Régions!$AO$2:$AO$6,MATCH($B90,Régions!$A$2:$A$6,0))),0)</f>
        <v/>
      </c>
      <c r="AS90">
        <f>Régions!$Q$2*U90/SUM($Q90:$V90)*100+(1-Régions!$Q$2)*MAX(O90*100+(INDEX(Régions!$AP$2:$AP$6,MATCH($B90,Régions!$A$2:$A$6,0))),0)</f>
        <v/>
      </c>
      <c r="AT90">
        <f>Régions!$Q$2*V90/SUM($Q90:$V90)*100+(1-Régions!$Q$2)*MAX(P90*100+(INDEX(Régions!$AQ$2:$AQ$6,MATCH($B90,Régions!$A$2:$A$6,0))),0)</f>
        <v/>
      </c>
      <c r="AU90">
        <f>INDEX({"CAQ","PLQ","QS","PQ","PCQ","Autre"},MATCH(MAX(Q90:V90),Q90:V90,0))</f>
        <v/>
      </c>
      <c r="AV90">
        <f>INDEX({"CAQ","PLQ","QS","PQ","PCQ","Autre"},MATCH(MAX(W90:AB90),W90:AB90,0))</f>
        <v/>
      </c>
      <c r="AW90">
        <f>INDEX({"CAQ","PLQ","QS","PQ","PCQ","Autre"},MATCH(MAX(AC90:AH90),AC90:AH90,0))</f>
        <v/>
      </c>
      <c r="AX90">
        <f>INDEX({"CAQ","PLQ","QS","PQ","PCQ","Autre"},MATCH(MAX(AI90:AN90),AI90:AN90,0))</f>
        <v/>
      </c>
      <c r="AY90">
        <f>INDEX({"CAQ","PLQ","QS","PQ","PCQ","Autre"},MATCH(MAX(AO90:AT90),AO90:AT90,0))</f>
        <v/>
      </c>
      <c r="AZ90">
        <f>(MAX(K90:P90)-LARGE(K90:P90,2))*100</f>
        <v/>
      </c>
      <c r="BA90">
        <f>IF(AZ90&lt;5,"Oui","Non")</f>
        <v/>
      </c>
      <c r="BB90" t="n">
        <v>4.972</v>
      </c>
      <c r="BC90" t="n">
        <v>6.621</v>
      </c>
      <c r="BD90" t="n">
        <v>-0.223</v>
      </c>
      <c r="BE90" t="n">
        <v>-11.228</v>
      </c>
    </row>
    <row r="91">
      <c r="A91" t="inlineStr">
        <is>
          <t>Pontiac</t>
        </is>
      </c>
      <c r="B91" t="inlineStr">
        <is>
          <t>Reste du Québec</t>
        </is>
      </c>
      <c r="C91">
        <f>INDEX({"CAQ","PLQ","QS","PQ","PCQ","Autre"},MATCH(MAX(D91:I91),D91:I91,0))</f>
        <v/>
      </c>
      <c r="D91" t="n">
        <v>7055.1</v>
      </c>
      <c r="E91" t="n">
        <v>12475.4</v>
      </c>
      <c r="F91" t="n">
        <v>2934.6</v>
      </c>
      <c r="G91" t="n">
        <v>1886.8</v>
      </c>
      <c r="H91" t="n">
        <v>3592.5</v>
      </c>
      <c r="I91" t="n">
        <v>615.9</v>
      </c>
      <c r="J91">
        <f>SUM(D91:I91)</f>
        <v/>
      </c>
      <c r="K91">
        <f>IFERROR(D91/$J91,0)</f>
        <v/>
      </c>
      <c r="L91">
        <f>IFERROR(E91/$J91,0)</f>
        <v/>
      </c>
      <c r="M91">
        <f>IFERROR(F91/$J91,0)</f>
        <v/>
      </c>
      <c r="N91">
        <f>IFERROR(G91/$J91,0)</f>
        <v/>
      </c>
      <c r="O91">
        <f>IFERROR(H91/$J91,0)</f>
        <v/>
      </c>
      <c r="P91">
        <f>IFERROR(I91/$J91,0)</f>
        <v/>
      </c>
      <c r="Q91">
        <f>D91*INDEX(Régions!$T$2:$T$6,MATCH($B91,Régions!$A$2:$A$6,0))</f>
        <v/>
      </c>
      <c r="R91">
        <f>E91*INDEX(Régions!$U$2:$U$6,MATCH($B91,Régions!$A$2:$A$6,0))</f>
        <v/>
      </c>
      <c r="S91">
        <f>F91*INDEX(Régions!$V$2:$V$6,MATCH($B91,Régions!$A$2:$A$6,0))</f>
        <v/>
      </c>
      <c r="T91">
        <f>G91*INDEX(Régions!$W$2:$W$6,MATCH($B91,Régions!$A$2:$A$6,0))</f>
        <v/>
      </c>
      <c r="U91">
        <f>H91*INDEX(Régions!$X$2:$X$6,MATCH($B91,Régions!$A$2:$A$6,0))</f>
        <v/>
      </c>
      <c r="V91">
        <f>I91*INDEX(Régions!$Y$2:$Y$6,MATCH($B91,Régions!$A$2:$A$6,0))</f>
        <v/>
      </c>
      <c r="W91">
        <f>Q91+(BB91/100)*$J91*Régions!$O$2</f>
        <v/>
      </c>
      <c r="X91">
        <f>R91+(BC91/100)*$J91*Régions!$O$2</f>
        <v/>
      </c>
      <c r="Y91">
        <f>S91+(BD91/100)*$J91*Régions!$O$2</f>
        <v/>
      </c>
      <c r="Z91">
        <f>T91+(BE91/100)*$J91*Régions!$O$2</f>
        <v/>
      </c>
      <c r="AA91">
        <f>U91</f>
        <v/>
      </c>
      <c r="AB91">
        <f>V91</f>
        <v/>
      </c>
      <c r="AC91">
        <f>D91*INDEX(Régions!$Z$2:$Z$6,MATCH($B91,Régions!$A$2:$A$6,0))</f>
        <v/>
      </c>
      <c r="AD91">
        <f>E91*INDEX(Régions!$AA$2:$AA$6,MATCH($B91,Régions!$A$2:$A$6,0))</f>
        <v/>
      </c>
      <c r="AE91">
        <f>F91*INDEX(Régions!$AB$2:$AB$6,MATCH($B91,Régions!$A$2:$A$6,0))</f>
        <v/>
      </c>
      <c r="AF91">
        <f>G91*INDEX(Régions!$AC$2:$AC$6,MATCH($B91,Régions!$A$2:$A$6,0))</f>
        <v/>
      </c>
      <c r="AG91">
        <f>H91*INDEX(Régions!$AD$2:$AD$6,MATCH($B91,Régions!$A$2:$A$6,0))</f>
        <v/>
      </c>
      <c r="AH91">
        <f>I91*INDEX(Régions!$AE$2:$AE$6,MATCH($B91,Régions!$A$2:$A$6,0))</f>
        <v/>
      </c>
      <c r="AI91">
        <f>D91*INDEX(Régions!$AF$2:$AF$6,MATCH($B91,Régions!$A$2:$A$6,0))</f>
        <v/>
      </c>
      <c r="AJ91">
        <f>E91*INDEX(Régions!$AG$2:$AG$6,MATCH($B91,Régions!$A$2:$A$6,0))</f>
        <v/>
      </c>
      <c r="AK91">
        <f>F91*INDEX(Régions!$AH$2:$AH$6,MATCH($B91,Régions!$A$2:$A$6,0))</f>
        <v/>
      </c>
      <c r="AL91">
        <f>G91*INDEX(Régions!$AI$2:$AI$6,MATCH($B91,Régions!$A$2:$A$6,0))</f>
        <v/>
      </c>
      <c r="AM91">
        <f>H91*INDEX(Régions!$AJ$2:$AJ$6,MATCH($B91,Régions!$A$2:$A$6,0))</f>
        <v/>
      </c>
      <c r="AN91">
        <f>I91*INDEX(Régions!$AK$2:$AK$6,MATCH($B91,Régions!$A$2:$A$6,0))</f>
        <v/>
      </c>
      <c r="AO91">
        <f>Régions!$Q$2*Q91/SUM($Q91:$V91)*100+(1-Régions!$Q$2)*MAX(K91*100+(INDEX(Régions!$AL$2:$AL$6,MATCH($B91,Régions!$A$2:$A$6,0))),0)</f>
        <v/>
      </c>
      <c r="AP91">
        <f>Régions!$Q$2*R91/SUM($Q91:$V91)*100+(1-Régions!$Q$2)*MAX(L91*100+(INDEX(Régions!$AM$2:$AM$6,MATCH($B91,Régions!$A$2:$A$6,0))),0)</f>
        <v/>
      </c>
      <c r="AQ91">
        <f>Régions!$Q$2*S91/SUM($Q91:$V91)*100+(1-Régions!$Q$2)*MAX(M91*100+(INDEX(Régions!$AN$2:$AN$6,MATCH($B91,Régions!$A$2:$A$6,0))),0)</f>
        <v/>
      </c>
      <c r="AR91">
        <f>Régions!$Q$2*T91/SUM($Q91:$V91)*100+(1-Régions!$Q$2)*MAX(N91*100+(INDEX(Régions!$AO$2:$AO$6,MATCH($B91,Régions!$A$2:$A$6,0))),0)</f>
        <v/>
      </c>
      <c r="AS91">
        <f>Régions!$Q$2*U91/SUM($Q91:$V91)*100+(1-Régions!$Q$2)*MAX(O91*100+(INDEX(Régions!$AP$2:$AP$6,MATCH($B91,Régions!$A$2:$A$6,0))),0)</f>
        <v/>
      </c>
      <c r="AT91">
        <f>Régions!$Q$2*V91/SUM($Q91:$V91)*100+(1-Régions!$Q$2)*MAX(P91*100+(INDEX(Régions!$AQ$2:$AQ$6,MATCH($B91,Régions!$A$2:$A$6,0))),0)</f>
        <v/>
      </c>
      <c r="AU91">
        <f>INDEX({"CAQ","PLQ","QS","PQ","PCQ","Autre"},MATCH(MAX(Q91:V91),Q91:V91,0))</f>
        <v/>
      </c>
      <c r="AV91">
        <f>INDEX({"CAQ","PLQ","QS","PQ","PCQ","Autre"},MATCH(MAX(W91:AB91),W91:AB91,0))</f>
        <v/>
      </c>
      <c r="AW91">
        <f>INDEX({"CAQ","PLQ","QS","PQ","PCQ","Autre"},MATCH(MAX(AC91:AH91),AC91:AH91,0))</f>
        <v/>
      </c>
      <c r="AX91">
        <f>INDEX({"CAQ","PLQ","QS","PQ","PCQ","Autre"},MATCH(MAX(AI91:AN91),AI91:AN91,0))</f>
        <v/>
      </c>
      <c r="AY91">
        <f>INDEX({"CAQ","PLQ","QS","PQ","PCQ","Autre"},MATCH(MAX(AO91:AT91),AO91:AT91,0))</f>
        <v/>
      </c>
      <c r="AZ91">
        <f>(MAX(K91:P91)-LARGE(K91:P91,2))*100</f>
        <v/>
      </c>
      <c r="BA91">
        <f>IF(AZ91&lt;5,"Oui","Non")</f>
        <v/>
      </c>
      <c r="BB91" t="n">
        <v>-3.115</v>
      </c>
      <c r="BC91" t="n">
        <v>2.903</v>
      </c>
      <c r="BD91" t="n">
        <v>0.714</v>
      </c>
      <c r="BE91" t="n">
        <v>5.261</v>
      </c>
    </row>
    <row r="92">
      <c r="A92" t="inlineStr">
        <is>
          <t>Portneuf</t>
        </is>
      </c>
      <c r="B92" t="inlineStr">
        <is>
          <t>Québec RMR</t>
        </is>
      </c>
      <c r="C92">
        <f>INDEX({"CAQ","PLQ","QS","PQ","PCQ","Autre"},MATCH(MAX(D92:I92),D92:I92,0))</f>
        <v/>
      </c>
      <c r="D92" t="n">
        <v>18254.2</v>
      </c>
      <c r="E92" t="n">
        <v>1278.9</v>
      </c>
      <c r="F92" t="n">
        <v>3245</v>
      </c>
      <c r="G92" t="n">
        <v>3839.5</v>
      </c>
      <c r="H92" t="n">
        <v>11591.2</v>
      </c>
      <c r="I92" t="n">
        <v>728.3</v>
      </c>
      <c r="J92">
        <f>SUM(D92:I92)</f>
        <v/>
      </c>
      <c r="K92">
        <f>IFERROR(D92/$J92,0)</f>
        <v/>
      </c>
      <c r="L92">
        <f>IFERROR(E92/$J92,0)</f>
        <v/>
      </c>
      <c r="M92">
        <f>IFERROR(F92/$J92,0)</f>
        <v/>
      </c>
      <c r="N92">
        <f>IFERROR(G92/$J92,0)</f>
        <v/>
      </c>
      <c r="O92">
        <f>IFERROR(H92/$J92,0)</f>
        <v/>
      </c>
      <c r="P92">
        <f>IFERROR(I92/$J92,0)</f>
        <v/>
      </c>
      <c r="Q92">
        <f>D92*INDEX(Régions!$T$2:$T$6,MATCH($B92,Régions!$A$2:$A$6,0))</f>
        <v/>
      </c>
      <c r="R92">
        <f>E92*INDEX(Régions!$U$2:$U$6,MATCH($B92,Régions!$A$2:$A$6,0))</f>
        <v/>
      </c>
      <c r="S92">
        <f>F92*INDEX(Régions!$V$2:$V$6,MATCH($B92,Régions!$A$2:$A$6,0))</f>
        <v/>
      </c>
      <c r="T92">
        <f>G92*INDEX(Régions!$W$2:$W$6,MATCH($B92,Régions!$A$2:$A$6,0))</f>
        <v/>
      </c>
      <c r="U92">
        <f>H92*INDEX(Régions!$X$2:$X$6,MATCH($B92,Régions!$A$2:$A$6,0))</f>
        <v/>
      </c>
      <c r="V92">
        <f>I92*INDEX(Régions!$Y$2:$Y$6,MATCH($B92,Régions!$A$2:$A$6,0))</f>
        <v/>
      </c>
      <c r="W92">
        <f>Q92+(BB92/100)*$J92*Régions!$O$2</f>
        <v/>
      </c>
      <c r="X92">
        <f>R92+(BC92/100)*$J92*Régions!$O$2</f>
        <v/>
      </c>
      <c r="Y92">
        <f>S92+(BD92/100)*$J92*Régions!$O$2</f>
        <v/>
      </c>
      <c r="Z92">
        <f>T92+(BE92/100)*$J92*Régions!$O$2</f>
        <v/>
      </c>
      <c r="AA92">
        <f>U92</f>
        <v/>
      </c>
      <c r="AB92">
        <f>V92</f>
        <v/>
      </c>
      <c r="AC92">
        <f>D92*INDEX(Régions!$Z$2:$Z$6,MATCH($B92,Régions!$A$2:$A$6,0))</f>
        <v/>
      </c>
      <c r="AD92">
        <f>E92*INDEX(Régions!$AA$2:$AA$6,MATCH($B92,Régions!$A$2:$A$6,0))</f>
        <v/>
      </c>
      <c r="AE92">
        <f>F92*INDEX(Régions!$AB$2:$AB$6,MATCH($B92,Régions!$A$2:$A$6,0))</f>
        <v/>
      </c>
      <c r="AF92">
        <f>G92*INDEX(Régions!$AC$2:$AC$6,MATCH($B92,Régions!$A$2:$A$6,0))</f>
        <v/>
      </c>
      <c r="AG92">
        <f>H92*INDEX(Régions!$AD$2:$AD$6,MATCH($B92,Régions!$A$2:$A$6,0))</f>
        <v/>
      </c>
      <c r="AH92">
        <f>I92*INDEX(Régions!$AE$2:$AE$6,MATCH($B92,Régions!$A$2:$A$6,0))</f>
        <v/>
      </c>
      <c r="AI92">
        <f>D92*INDEX(Régions!$AF$2:$AF$6,MATCH($B92,Régions!$A$2:$A$6,0))</f>
        <v/>
      </c>
      <c r="AJ92">
        <f>E92*INDEX(Régions!$AG$2:$AG$6,MATCH($B92,Régions!$A$2:$A$6,0))</f>
        <v/>
      </c>
      <c r="AK92">
        <f>F92*INDEX(Régions!$AH$2:$AH$6,MATCH($B92,Régions!$A$2:$A$6,0))</f>
        <v/>
      </c>
      <c r="AL92">
        <f>G92*INDEX(Régions!$AI$2:$AI$6,MATCH($B92,Régions!$A$2:$A$6,0))</f>
        <v/>
      </c>
      <c r="AM92">
        <f>H92*INDEX(Régions!$AJ$2:$AJ$6,MATCH($B92,Régions!$A$2:$A$6,0))</f>
        <v/>
      </c>
      <c r="AN92">
        <f>I92*INDEX(Régions!$AK$2:$AK$6,MATCH($B92,Régions!$A$2:$A$6,0))</f>
        <v/>
      </c>
      <c r="AO92">
        <f>Régions!$Q$2*Q92/SUM($Q92:$V92)*100+(1-Régions!$Q$2)*MAX(K92*100+(INDEX(Régions!$AL$2:$AL$6,MATCH($B92,Régions!$A$2:$A$6,0))),0)</f>
        <v/>
      </c>
      <c r="AP92">
        <f>Régions!$Q$2*R92/SUM($Q92:$V92)*100+(1-Régions!$Q$2)*MAX(L92*100+(INDEX(Régions!$AM$2:$AM$6,MATCH($B92,Régions!$A$2:$A$6,0))),0)</f>
        <v/>
      </c>
      <c r="AQ92">
        <f>Régions!$Q$2*S92/SUM($Q92:$V92)*100+(1-Régions!$Q$2)*MAX(M92*100+(INDEX(Régions!$AN$2:$AN$6,MATCH($B92,Régions!$A$2:$A$6,0))),0)</f>
        <v/>
      </c>
      <c r="AR92">
        <f>Régions!$Q$2*T92/SUM($Q92:$V92)*100+(1-Régions!$Q$2)*MAX(N92*100+(INDEX(Régions!$AO$2:$AO$6,MATCH($B92,Régions!$A$2:$A$6,0))),0)</f>
        <v/>
      </c>
      <c r="AS92">
        <f>Régions!$Q$2*U92/SUM($Q92:$V92)*100+(1-Régions!$Q$2)*MAX(O92*100+(INDEX(Régions!$AP$2:$AP$6,MATCH($B92,Régions!$A$2:$A$6,0))),0)</f>
        <v/>
      </c>
      <c r="AT92">
        <f>Régions!$Q$2*V92/SUM($Q92:$V92)*100+(1-Régions!$Q$2)*MAX(P92*100+(INDEX(Régions!$AQ$2:$AQ$6,MATCH($B92,Régions!$A$2:$A$6,0))),0)</f>
        <v/>
      </c>
      <c r="AU92">
        <f>INDEX({"CAQ","PLQ","QS","PQ","PCQ","Autre"},MATCH(MAX(Q92:V92),Q92:V92,0))</f>
        <v/>
      </c>
      <c r="AV92">
        <f>INDEX({"CAQ","PLQ","QS","PQ","PCQ","Autre"},MATCH(MAX(W92:AB92),W92:AB92,0))</f>
        <v/>
      </c>
      <c r="AW92">
        <f>INDEX({"CAQ","PLQ","QS","PQ","PCQ","Autre"},MATCH(MAX(AC92:AH92),AC92:AH92,0))</f>
        <v/>
      </c>
      <c r="AX92">
        <f>INDEX({"CAQ","PLQ","QS","PQ","PCQ","Autre"},MATCH(MAX(AI92:AN92),AI92:AN92,0))</f>
        <v/>
      </c>
      <c r="AY92">
        <f>INDEX({"CAQ","PLQ","QS","PQ","PCQ","Autre"},MATCH(MAX(AO92:AT92),AO92:AT92,0))</f>
        <v/>
      </c>
      <c r="AZ92">
        <f>(MAX(K92:P92)-LARGE(K92:P92,2))*100</f>
        <v/>
      </c>
      <c r="BA92">
        <f>IF(AZ92&lt;5,"Oui","Non")</f>
        <v/>
      </c>
      <c r="BB92" t="n">
        <v>-5.207</v>
      </c>
      <c r="BC92" t="n">
        <v>-0.316</v>
      </c>
      <c r="BD92" t="n">
        <v>-2.523</v>
      </c>
      <c r="BE92" t="n">
        <v>-1.137</v>
      </c>
    </row>
    <row r="93">
      <c r="A93" t="inlineStr">
        <is>
          <t>Prévost</t>
        </is>
      </c>
      <c r="B93" t="inlineStr">
        <is>
          <t>Banlieue de Montréal</t>
        </is>
      </c>
      <c r="C93">
        <f>INDEX({"CAQ","PLQ","QS","PQ","PCQ","Autre"},MATCH(MAX(D93:I93),D93:I93,0))</f>
        <v/>
      </c>
      <c r="D93" t="n">
        <v>15910</v>
      </c>
      <c r="E93" t="n">
        <v>2072.3</v>
      </c>
      <c r="F93" t="n">
        <v>5197.9</v>
      </c>
      <c r="G93" t="n">
        <v>6739.2</v>
      </c>
      <c r="H93" t="n">
        <v>4020.4</v>
      </c>
      <c r="I93" t="n">
        <v>474</v>
      </c>
      <c r="J93">
        <f>SUM(D93:I93)</f>
        <v/>
      </c>
      <c r="K93">
        <f>IFERROR(D93/$J93,0)</f>
        <v/>
      </c>
      <c r="L93">
        <f>IFERROR(E93/$J93,0)</f>
        <v/>
      </c>
      <c r="M93">
        <f>IFERROR(F93/$J93,0)</f>
        <v/>
      </c>
      <c r="N93">
        <f>IFERROR(G93/$J93,0)</f>
        <v/>
      </c>
      <c r="O93">
        <f>IFERROR(H93/$J93,0)</f>
        <v/>
      </c>
      <c r="P93">
        <f>IFERROR(I93/$J93,0)</f>
        <v/>
      </c>
      <c r="Q93">
        <f>D93*INDEX(Régions!$T$2:$T$6,MATCH($B93,Régions!$A$2:$A$6,0))</f>
        <v/>
      </c>
      <c r="R93">
        <f>E93*INDEX(Régions!$U$2:$U$6,MATCH($B93,Régions!$A$2:$A$6,0))</f>
        <v/>
      </c>
      <c r="S93">
        <f>F93*INDEX(Régions!$V$2:$V$6,MATCH($B93,Régions!$A$2:$A$6,0))</f>
        <v/>
      </c>
      <c r="T93">
        <f>G93*INDEX(Régions!$W$2:$W$6,MATCH($B93,Régions!$A$2:$A$6,0))</f>
        <v/>
      </c>
      <c r="U93">
        <f>H93*INDEX(Régions!$X$2:$X$6,MATCH($B93,Régions!$A$2:$A$6,0))</f>
        <v/>
      </c>
      <c r="V93">
        <f>I93*INDEX(Régions!$Y$2:$Y$6,MATCH($B93,Régions!$A$2:$A$6,0))</f>
        <v/>
      </c>
      <c r="W93">
        <f>Q93+(BB93/100)*$J93*Régions!$O$2</f>
        <v/>
      </c>
      <c r="X93">
        <f>R93+(BC93/100)*$J93*Régions!$O$2</f>
        <v/>
      </c>
      <c r="Y93">
        <f>S93+(BD93/100)*$J93*Régions!$O$2</f>
        <v/>
      </c>
      <c r="Z93">
        <f>T93+(BE93/100)*$J93*Régions!$O$2</f>
        <v/>
      </c>
      <c r="AA93">
        <f>U93</f>
        <v/>
      </c>
      <c r="AB93">
        <f>V93</f>
        <v/>
      </c>
      <c r="AC93">
        <f>D93*INDEX(Régions!$Z$2:$Z$6,MATCH($B93,Régions!$A$2:$A$6,0))</f>
        <v/>
      </c>
      <c r="AD93">
        <f>E93*INDEX(Régions!$AA$2:$AA$6,MATCH($B93,Régions!$A$2:$A$6,0))</f>
        <v/>
      </c>
      <c r="AE93">
        <f>F93*INDEX(Régions!$AB$2:$AB$6,MATCH($B93,Régions!$A$2:$A$6,0))</f>
        <v/>
      </c>
      <c r="AF93">
        <f>G93*INDEX(Régions!$AC$2:$AC$6,MATCH($B93,Régions!$A$2:$A$6,0))</f>
        <v/>
      </c>
      <c r="AG93">
        <f>H93*INDEX(Régions!$AD$2:$AD$6,MATCH($B93,Régions!$A$2:$A$6,0))</f>
        <v/>
      </c>
      <c r="AH93">
        <f>I93*INDEX(Régions!$AE$2:$AE$6,MATCH($B93,Régions!$A$2:$A$6,0))</f>
        <v/>
      </c>
      <c r="AI93">
        <f>D93*INDEX(Régions!$AF$2:$AF$6,MATCH($B93,Régions!$A$2:$A$6,0))</f>
        <v/>
      </c>
      <c r="AJ93">
        <f>E93*INDEX(Régions!$AG$2:$AG$6,MATCH($B93,Régions!$A$2:$A$6,0))</f>
        <v/>
      </c>
      <c r="AK93">
        <f>F93*INDEX(Régions!$AH$2:$AH$6,MATCH($B93,Régions!$A$2:$A$6,0))</f>
        <v/>
      </c>
      <c r="AL93">
        <f>G93*INDEX(Régions!$AI$2:$AI$6,MATCH($B93,Régions!$A$2:$A$6,0))</f>
        <v/>
      </c>
      <c r="AM93">
        <f>H93*INDEX(Régions!$AJ$2:$AJ$6,MATCH($B93,Régions!$A$2:$A$6,0))</f>
        <v/>
      </c>
      <c r="AN93">
        <f>I93*INDEX(Régions!$AK$2:$AK$6,MATCH($B93,Régions!$A$2:$A$6,0))</f>
        <v/>
      </c>
      <c r="AO93">
        <f>Régions!$Q$2*Q93/SUM($Q93:$V93)*100+(1-Régions!$Q$2)*MAX(K93*100+(INDEX(Régions!$AL$2:$AL$6,MATCH($B93,Régions!$A$2:$A$6,0))),0)</f>
        <v/>
      </c>
      <c r="AP93">
        <f>Régions!$Q$2*R93/SUM($Q93:$V93)*100+(1-Régions!$Q$2)*MAX(L93*100+(INDEX(Régions!$AM$2:$AM$6,MATCH($B93,Régions!$A$2:$A$6,0))),0)</f>
        <v/>
      </c>
      <c r="AQ93">
        <f>Régions!$Q$2*S93/SUM($Q93:$V93)*100+(1-Régions!$Q$2)*MAX(M93*100+(INDEX(Régions!$AN$2:$AN$6,MATCH($B93,Régions!$A$2:$A$6,0))),0)</f>
        <v/>
      </c>
      <c r="AR93">
        <f>Régions!$Q$2*T93/SUM($Q93:$V93)*100+(1-Régions!$Q$2)*MAX(N93*100+(INDEX(Régions!$AO$2:$AO$6,MATCH($B93,Régions!$A$2:$A$6,0))),0)</f>
        <v/>
      </c>
      <c r="AS93">
        <f>Régions!$Q$2*U93/SUM($Q93:$V93)*100+(1-Régions!$Q$2)*MAX(O93*100+(INDEX(Régions!$AP$2:$AP$6,MATCH($B93,Régions!$A$2:$A$6,0))),0)</f>
        <v/>
      </c>
      <c r="AT93">
        <f>Régions!$Q$2*V93/SUM($Q93:$V93)*100+(1-Régions!$Q$2)*MAX(P93*100+(INDEX(Régions!$AQ$2:$AQ$6,MATCH($B93,Régions!$A$2:$A$6,0))),0)</f>
        <v/>
      </c>
      <c r="AU93">
        <f>INDEX({"CAQ","PLQ","QS","PQ","PCQ","Autre"},MATCH(MAX(Q93:V93),Q93:V93,0))</f>
        <v/>
      </c>
      <c r="AV93">
        <f>INDEX({"CAQ","PLQ","QS","PQ","PCQ","Autre"},MATCH(MAX(W93:AB93),W93:AB93,0))</f>
        <v/>
      </c>
      <c r="AW93">
        <f>INDEX({"CAQ","PLQ","QS","PQ","PCQ","Autre"},MATCH(MAX(AC93:AH93),AC93:AH93,0))</f>
        <v/>
      </c>
      <c r="AX93">
        <f>INDEX({"CAQ","PLQ","QS","PQ","PCQ","Autre"},MATCH(MAX(AI93:AN93),AI93:AN93,0))</f>
        <v/>
      </c>
      <c r="AY93">
        <f>INDEX({"CAQ","PLQ","QS","PQ","PCQ","Autre"},MATCH(MAX(AO93:AT93),AO93:AT93,0))</f>
        <v/>
      </c>
      <c r="AZ93">
        <f>(MAX(K93:P93)-LARGE(K93:P93,2))*100</f>
        <v/>
      </c>
      <c r="BA93">
        <f>IF(AZ93&lt;5,"Oui","Non")</f>
        <v/>
      </c>
      <c r="BB93" t="n">
        <v>-3.911</v>
      </c>
      <c r="BC93" t="n">
        <v>0.055</v>
      </c>
      <c r="BD93" t="n">
        <v>1.756</v>
      </c>
      <c r="BE93" t="n">
        <v>-1.717</v>
      </c>
    </row>
    <row r="94">
      <c r="A94" t="inlineStr">
        <is>
          <t>René-Lévesque</t>
        </is>
      </c>
      <c r="B94" t="inlineStr">
        <is>
          <t>Reste du Québec</t>
        </is>
      </c>
      <c r="C94">
        <f>INDEX({"CAQ","PLQ","QS","PQ","PCQ","Autre"},MATCH(MAX(D94:I94),D94:I94,0))</f>
        <v/>
      </c>
      <c r="D94" t="n">
        <v>11377</v>
      </c>
      <c r="E94" t="n">
        <v>307</v>
      </c>
      <c r="F94" t="n">
        <v>1459</v>
      </c>
      <c r="G94" t="n">
        <v>4087</v>
      </c>
      <c r="H94" t="n">
        <v>1955</v>
      </c>
      <c r="I94" t="n">
        <v>124</v>
      </c>
      <c r="J94">
        <f>SUM(D94:I94)</f>
        <v/>
      </c>
      <c r="K94">
        <f>IFERROR(D94/$J94,0)</f>
        <v/>
      </c>
      <c r="L94">
        <f>IFERROR(E94/$J94,0)</f>
        <v/>
      </c>
      <c r="M94">
        <f>IFERROR(F94/$J94,0)</f>
        <v/>
      </c>
      <c r="N94">
        <f>IFERROR(G94/$J94,0)</f>
        <v/>
      </c>
      <c r="O94">
        <f>IFERROR(H94/$J94,0)</f>
        <v/>
      </c>
      <c r="P94">
        <f>IFERROR(I94/$J94,0)</f>
        <v/>
      </c>
      <c r="Q94">
        <f>D94*INDEX(Régions!$T$2:$T$6,MATCH($B94,Régions!$A$2:$A$6,0))</f>
        <v/>
      </c>
      <c r="R94">
        <f>E94*INDEX(Régions!$U$2:$U$6,MATCH($B94,Régions!$A$2:$A$6,0))</f>
        <v/>
      </c>
      <c r="S94">
        <f>F94*INDEX(Régions!$V$2:$V$6,MATCH($B94,Régions!$A$2:$A$6,0))</f>
        <v/>
      </c>
      <c r="T94">
        <f>G94*INDEX(Régions!$W$2:$W$6,MATCH($B94,Régions!$A$2:$A$6,0))</f>
        <v/>
      </c>
      <c r="U94">
        <f>H94*INDEX(Régions!$X$2:$X$6,MATCH($B94,Régions!$A$2:$A$6,0))</f>
        <v/>
      </c>
      <c r="V94">
        <f>I94*INDEX(Régions!$Y$2:$Y$6,MATCH($B94,Régions!$A$2:$A$6,0))</f>
        <v/>
      </c>
      <c r="W94">
        <f>Q94+(BB94/100)*$J94*Régions!$O$2</f>
        <v/>
      </c>
      <c r="X94">
        <f>R94+(BC94/100)*$J94*Régions!$O$2</f>
        <v/>
      </c>
      <c r="Y94">
        <f>S94+(BD94/100)*$J94*Régions!$O$2</f>
        <v/>
      </c>
      <c r="Z94">
        <f>T94+(BE94/100)*$J94*Régions!$O$2</f>
        <v/>
      </c>
      <c r="AA94">
        <f>U94</f>
        <v/>
      </c>
      <c r="AB94">
        <f>V94</f>
        <v/>
      </c>
      <c r="AC94">
        <f>D94*INDEX(Régions!$Z$2:$Z$6,MATCH($B94,Régions!$A$2:$A$6,0))</f>
        <v/>
      </c>
      <c r="AD94">
        <f>E94*INDEX(Régions!$AA$2:$AA$6,MATCH($B94,Régions!$A$2:$A$6,0))</f>
        <v/>
      </c>
      <c r="AE94">
        <f>F94*INDEX(Régions!$AB$2:$AB$6,MATCH($B94,Régions!$A$2:$A$6,0))</f>
        <v/>
      </c>
      <c r="AF94">
        <f>G94*INDEX(Régions!$AC$2:$AC$6,MATCH($B94,Régions!$A$2:$A$6,0))</f>
        <v/>
      </c>
      <c r="AG94">
        <f>H94*INDEX(Régions!$AD$2:$AD$6,MATCH($B94,Régions!$A$2:$A$6,0))</f>
        <v/>
      </c>
      <c r="AH94">
        <f>I94*INDEX(Régions!$AE$2:$AE$6,MATCH($B94,Régions!$A$2:$A$6,0))</f>
        <v/>
      </c>
      <c r="AI94">
        <f>D94*INDEX(Régions!$AF$2:$AF$6,MATCH($B94,Régions!$A$2:$A$6,0))</f>
        <v/>
      </c>
      <c r="AJ94">
        <f>E94*INDEX(Régions!$AG$2:$AG$6,MATCH($B94,Régions!$A$2:$A$6,0))</f>
        <v/>
      </c>
      <c r="AK94">
        <f>F94*INDEX(Régions!$AH$2:$AH$6,MATCH($B94,Régions!$A$2:$A$6,0))</f>
        <v/>
      </c>
      <c r="AL94">
        <f>G94*INDEX(Régions!$AI$2:$AI$6,MATCH($B94,Régions!$A$2:$A$6,0))</f>
        <v/>
      </c>
      <c r="AM94">
        <f>H94*INDEX(Régions!$AJ$2:$AJ$6,MATCH($B94,Régions!$A$2:$A$6,0))</f>
        <v/>
      </c>
      <c r="AN94">
        <f>I94*INDEX(Régions!$AK$2:$AK$6,MATCH($B94,Régions!$A$2:$A$6,0))</f>
        <v/>
      </c>
      <c r="AO94">
        <f>Régions!$Q$2*Q94/SUM($Q94:$V94)*100+(1-Régions!$Q$2)*MAX(K94*100+(INDEX(Régions!$AL$2:$AL$6,MATCH($B94,Régions!$A$2:$A$6,0))),0)</f>
        <v/>
      </c>
      <c r="AP94">
        <f>Régions!$Q$2*R94/SUM($Q94:$V94)*100+(1-Régions!$Q$2)*MAX(L94*100+(INDEX(Régions!$AM$2:$AM$6,MATCH($B94,Régions!$A$2:$A$6,0))),0)</f>
        <v/>
      </c>
      <c r="AQ94">
        <f>Régions!$Q$2*S94/SUM($Q94:$V94)*100+(1-Régions!$Q$2)*MAX(M94*100+(INDEX(Régions!$AN$2:$AN$6,MATCH($B94,Régions!$A$2:$A$6,0))),0)</f>
        <v/>
      </c>
      <c r="AR94">
        <f>Régions!$Q$2*T94/SUM($Q94:$V94)*100+(1-Régions!$Q$2)*MAX(N94*100+(INDEX(Régions!$AO$2:$AO$6,MATCH($B94,Régions!$A$2:$A$6,0))),0)</f>
        <v/>
      </c>
      <c r="AS94">
        <f>Régions!$Q$2*U94/SUM($Q94:$V94)*100+(1-Régions!$Q$2)*MAX(O94*100+(INDEX(Régions!$AP$2:$AP$6,MATCH($B94,Régions!$A$2:$A$6,0))),0)</f>
        <v/>
      </c>
      <c r="AT94">
        <f>Régions!$Q$2*V94/SUM($Q94:$V94)*100+(1-Régions!$Q$2)*MAX(P94*100+(INDEX(Régions!$AQ$2:$AQ$6,MATCH($B94,Régions!$A$2:$A$6,0))),0)</f>
        <v/>
      </c>
      <c r="AU94">
        <f>INDEX({"CAQ","PLQ","QS","PQ","PCQ","Autre"},MATCH(MAX(Q94:V94),Q94:V94,0))</f>
        <v/>
      </c>
      <c r="AV94">
        <f>INDEX({"CAQ","PLQ","QS","PQ","PCQ","Autre"},MATCH(MAX(W94:AB94),W94:AB94,0))</f>
        <v/>
      </c>
      <c r="AW94">
        <f>INDEX({"CAQ","PLQ","QS","PQ","PCQ","Autre"},MATCH(MAX(AC94:AH94),AC94:AH94,0))</f>
        <v/>
      </c>
      <c r="AX94">
        <f>INDEX({"CAQ","PLQ","QS","PQ","PCQ","Autre"},MATCH(MAX(AI94:AN94),AI94:AN94,0))</f>
        <v/>
      </c>
      <c r="AY94">
        <f>INDEX({"CAQ","PLQ","QS","PQ","PCQ","Autre"},MATCH(MAX(AO94:AT94),AO94:AT94,0))</f>
        <v/>
      </c>
      <c r="AZ94">
        <f>(MAX(K94:P94)-LARGE(K94:P94,2))*100</f>
        <v/>
      </c>
      <c r="BA94">
        <f>IF(AZ94&lt;5,"Oui","Non")</f>
        <v/>
      </c>
      <c r="BB94" t="n">
        <v>17.804</v>
      </c>
      <c r="BC94" t="n">
        <v>1.908</v>
      </c>
      <c r="BD94" t="n">
        <v>-1.472</v>
      </c>
      <c r="BE94" t="n">
        <v>-16.889</v>
      </c>
    </row>
    <row r="95">
      <c r="A95" t="inlineStr">
        <is>
          <t>Repentigny</t>
        </is>
      </c>
      <c r="B95" t="inlineStr">
        <is>
          <t>Banlieue de Montréal</t>
        </is>
      </c>
      <c r="C95">
        <f>INDEX({"CAQ","PLQ","QS","PQ","PCQ","Autre"},MATCH(MAX(D95:I95),D95:I95,0))</f>
        <v/>
      </c>
      <c r="D95" t="n">
        <v>20730.8</v>
      </c>
      <c r="E95" t="n">
        <v>3752.5</v>
      </c>
      <c r="F95" t="n">
        <v>5025.6</v>
      </c>
      <c r="G95" t="n">
        <v>6804.3</v>
      </c>
      <c r="H95" t="n">
        <v>2555.1</v>
      </c>
      <c r="I95" t="n">
        <v>303.5</v>
      </c>
      <c r="J95">
        <f>SUM(D95:I95)</f>
        <v/>
      </c>
      <c r="K95">
        <f>IFERROR(D95/$J95,0)</f>
        <v/>
      </c>
      <c r="L95">
        <f>IFERROR(E95/$J95,0)</f>
        <v/>
      </c>
      <c r="M95">
        <f>IFERROR(F95/$J95,0)</f>
        <v/>
      </c>
      <c r="N95">
        <f>IFERROR(G95/$J95,0)</f>
        <v/>
      </c>
      <c r="O95">
        <f>IFERROR(H95/$J95,0)</f>
        <v/>
      </c>
      <c r="P95">
        <f>IFERROR(I95/$J95,0)</f>
        <v/>
      </c>
      <c r="Q95">
        <f>D95*INDEX(Régions!$T$2:$T$6,MATCH($B95,Régions!$A$2:$A$6,0))</f>
        <v/>
      </c>
      <c r="R95">
        <f>E95*INDEX(Régions!$U$2:$U$6,MATCH($B95,Régions!$A$2:$A$6,0))</f>
        <v/>
      </c>
      <c r="S95">
        <f>F95*INDEX(Régions!$V$2:$V$6,MATCH($B95,Régions!$A$2:$A$6,0))</f>
        <v/>
      </c>
      <c r="T95">
        <f>G95*INDEX(Régions!$W$2:$W$6,MATCH($B95,Régions!$A$2:$A$6,0))</f>
        <v/>
      </c>
      <c r="U95">
        <f>H95*INDEX(Régions!$X$2:$X$6,MATCH($B95,Régions!$A$2:$A$6,0))</f>
        <v/>
      </c>
      <c r="V95">
        <f>I95*INDEX(Régions!$Y$2:$Y$6,MATCH($B95,Régions!$A$2:$A$6,0))</f>
        <v/>
      </c>
      <c r="W95">
        <f>Q95+(BB95/100)*$J95*Régions!$O$2</f>
        <v/>
      </c>
      <c r="X95">
        <f>R95+(BC95/100)*$J95*Régions!$O$2</f>
        <v/>
      </c>
      <c r="Y95">
        <f>S95+(BD95/100)*$J95*Régions!$O$2</f>
        <v/>
      </c>
      <c r="Z95">
        <f>T95+(BE95/100)*$J95*Régions!$O$2</f>
        <v/>
      </c>
      <c r="AA95">
        <f>U95</f>
        <v/>
      </c>
      <c r="AB95">
        <f>V95</f>
        <v/>
      </c>
      <c r="AC95">
        <f>D95*INDEX(Régions!$Z$2:$Z$6,MATCH($B95,Régions!$A$2:$A$6,0))</f>
        <v/>
      </c>
      <c r="AD95">
        <f>E95*INDEX(Régions!$AA$2:$AA$6,MATCH($B95,Régions!$A$2:$A$6,0))</f>
        <v/>
      </c>
      <c r="AE95">
        <f>F95*INDEX(Régions!$AB$2:$AB$6,MATCH($B95,Régions!$A$2:$A$6,0))</f>
        <v/>
      </c>
      <c r="AF95">
        <f>G95*INDEX(Régions!$AC$2:$AC$6,MATCH($B95,Régions!$A$2:$A$6,0))</f>
        <v/>
      </c>
      <c r="AG95">
        <f>H95*INDEX(Régions!$AD$2:$AD$6,MATCH($B95,Régions!$A$2:$A$6,0))</f>
        <v/>
      </c>
      <c r="AH95">
        <f>I95*INDEX(Régions!$AE$2:$AE$6,MATCH($B95,Régions!$A$2:$A$6,0))</f>
        <v/>
      </c>
      <c r="AI95">
        <f>D95*INDEX(Régions!$AF$2:$AF$6,MATCH($B95,Régions!$A$2:$A$6,0))</f>
        <v/>
      </c>
      <c r="AJ95">
        <f>E95*INDEX(Régions!$AG$2:$AG$6,MATCH($B95,Régions!$A$2:$A$6,0))</f>
        <v/>
      </c>
      <c r="AK95">
        <f>F95*INDEX(Régions!$AH$2:$AH$6,MATCH($B95,Régions!$A$2:$A$6,0))</f>
        <v/>
      </c>
      <c r="AL95">
        <f>G95*INDEX(Régions!$AI$2:$AI$6,MATCH($B95,Régions!$A$2:$A$6,0))</f>
        <v/>
      </c>
      <c r="AM95">
        <f>H95*INDEX(Régions!$AJ$2:$AJ$6,MATCH($B95,Régions!$A$2:$A$6,0))</f>
        <v/>
      </c>
      <c r="AN95">
        <f>I95*INDEX(Régions!$AK$2:$AK$6,MATCH($B95,Régions!$A$2:$A$6,0))</f>
        <v/>
      </c>
      <c r="AO95">
        <f>Régions!$Q$2*Q95/SUM($Q95:$V95)*100+(1-Régions!$Q$2)*MAX(K95*100+(INDEX(Régions!$AL$2:$AL$6,MATCH($B95,Régions!$A$2:$A$6,0))),0)</f>
        <v/>
      </c>
      <c r="AP95">
        <f>Régions!$Q$2*R95/SUM($Q95:$V95)*100+(1-Régions!$Q$2)*MAX(L95*100+(INDEX(Régions!$AM$2:$AM$6,MATCH($B95,Régions!$A$2:$A$6,0))),0)</f>
        <v/>
      </c>
      <c r="AQ95">
        <f>Régions!$Q$2*S95/SUM($Q95:$V95)*100+(1-Régions!$Q$2)*MAX(M95*100+(INDEX(Régions!$AN$2:$AN$6,MATCH($B95,Régions!$A$2:$A$6,0))),0)</f>
        <v/>
      </c>
      <c r="AR95">
        <f>Régions!$Q$2*T95/SUM($Q95:$V95)*100+(1-Régions!$Q$2)*MAX(N95*100+(INDEX(Régions!$AO$2:$AO$6,MATCH($B95,Régions!$A$2:$A$6,0))),0)</f>
        <v/>
      </c>
      <c r="AS95">
        <f>Régions!$Q$2*U95/SUM($Q95:$V95)*100+(1-Régions!$Q$2)*MAX(O95*100+(INDEX(Régions!$AP$2:$AP$6,MATCH($B95,Régions!$A$2:$A$6,0))),0)</f>
        <v/>
      </c>
      <c r="AT95">
        <f>Régions!$Q$2*V95/SUM($Q95:$V95)*100+(1-Régions!$Q$2)*MAX(P95*100+(INDEX(Régions!$AQ$2:$AQ$6,MATCH($B95,Régions!$A$2:$A$6,0))),0)</f>
        <v/>
      </c>
      <c r="AU95">
        <f>INDEX({"CAQ","PLQ","QS","PQ","PCQ","Autre"},MATCH(MAX(Q95:V95),Q95:V95,0))</f>
        <v/>
      </c>
      <c r="AV95">
        <f>INDEX({"CAQ","PLQ","QS","PQ","PCQ","Autre"},MATCH(MAX(W95:AB95),W95:AB95,0))</f>
        <v/>
      </c>
      <c r="AW95">
        <f>INDEX({"CAQ","PLQ","QS","PQ","PCQ","Autre"},MATCH(MAX(AC95:AH95),AC95:AH95,0))</f>
        <v/>
      </c>
      <c r="AX95">
        <f>INDEX({"CAQ","PLQ","QS","PQ","PCQ","Autre"},MATCH(MAX(AI95:AN95),AI95:AN95,0))</f>
        <v/>
      </c>
      <c r="AY95">
        <f>INDEX({"CAQ","PLQ","QS","PQ","PCQ","Autre"},MATCH(MAX(AO95:AT95),AO95:AT95,0))</f>
        <v/>
      </c>
      <c r="AZ95">
        <f>(MAX(K95:P95)-LARGE(K95:P95,2))*100</f>
        <v/>
      </c>
      <c r="BA95">
        <f>IF(AZ95&lt;5,"Oui","Non")</f>
        <v/>
      </c>
      <c r="BB95" t="n">
        <v>-0.59</v>
      </c>
      <c r="BC95" t="n">
        <v>3.298</v>
      </c>
      <c r="BD95" t="n">
        <v>-1.627</v>
      </c>
      <c r="BE95" t="n">
        <v>2.145</v>
      </c>
    </row>
    <row r="96">
      <c r="A96" t="inlineStr">
        <is>
          <t>Richelieu</t>
        </is>
      </c>
      <c r="B96" t="inlineStr">
        <is>
          <t>Banlieue de Montréal</t>
        </is>
      </c>
      <c r="C96">
        <f>INDEX({"CAQ","PLQ","QS","PQ","PCQ","Autre"},MATCH(MAX(D96:I96),D96:I96,0))</f>
        <v/>
      </c>
      <c r="D96" t="n">
        <v>19945.1</v>
      </c>
      <c r="E96" t="n">
        <v>1555.3</v>
      </c>
      <c r="F96" t="n">
        <v>3885.9</v>
      </c>
      <c r="G96" t="n">
        <v>7354.1</v>
      </c>
      <c r="H96" t="n">
        <v>3090.1</v>
      </c>
      <c r="I96" t="n">
        <v>313.9</v>
      </c>
      <c r="J96">
        <f>SUM(D96:I96)</f>
        <v/>
      </c>
      <c r="K96">
        <f>IFERROR(D96/$J96,0)</f>
        <v/>
      </c>
      <c r="L96">
        <f>IFERROR(E96/$J96,0)</f>
        <v/>
      </c>
      <c r="M96">
        <f>IFERROR(F96/$J96,0)</f>
        <v/>
      </c>
      <c r="N96">
        <f>IFERROR(G96/$J96,0)</f>
        <v/>
      </c>
      <c r="O96">
        <f>IFERROR(H96/$J96,0)</f>
        <v/>
      </c>
      <c r="P96">
        <f>IFERROR(I96/$J96,0)</f>
        <v/>
      </c>
      <c r="Q96">
        <f>D96*INDEX(Régions!$T$2:$T$6,MATCH($B96,Régions!$A$2:$A$6,0))</f>
        <v/>
      </c>
      <c r="R96">
        <f>E96*INDEX(Régions!$U$2:$U$6,MATCH($B96,Régions!$A$2:$A$6,0))</f>
        <v/>
      </c>
      <c r="S96">
        <f>F96*INDEX(Régions!$V$2:$V$6,MATCH($B96,Régions!$A$2:$A$6,0))</f>
        <v/>
      </c>
      <c r="T96">
        <f>G96*INDEX(Régions!$W$2:$W$6,MATCH($B96,Régions!$A$2:$A$6,0))</f>
        <v/>
      </c>
      <c r="U96">
        <f>H96*INDEX(Régions!$X$2:$X$6,MATCH($B96,Régions!$A$2:$A$6,0))</f>
        <v/>
      </c>
      <c r="V96">
        <f>I96*INDEX(Régions!$Y$2:$Y$6,MATCH($B96,Régions!$A$2:$A$6,0))</f>
        <v/>
      </c>
      <c r="W96">
        <f>Q96+(BB96/100)*$J96*Régions!$O$2</f>
        <v/>
      </c>
      <c r="X96">
        <f>R96+(BC96/100)*$J96*Régions!$O$2</f>
        <v/>
      </c>
      <c r="Y96">
        <f>S96+(BD96/100)*$J96*Régions!$O$2</f>
        <v/>
      </c>
      <c r="Z96">
        <f>T96+(BE96/100)*$J96*Régions!$O$2</f>
        <v/>
      </c>
      <c r="AA96">
        <f>U96</f>
        <v/>
      </c>
      <c r="AB96">
        <f>V96</f>
        <v/>
      </c>
      <c r="AC96">
        <f>D96*INDEX(Régions!$Z$2:$Z$6,MATCH($B96,Régions!$A$2:$A$6,0))</f>
        <v/>
      </c>
      <c r="AD96">
        <f>E96*INDEX(Régions!$AA$2:$AA$6,MATCH($B96,Régions!$A$2:$A$6,0))</f>
        <v/>
      </c>
      <c r="AE96">
        <f>F96*INDEX(Régions!$AB$2:$AB$6,MATCH($B96,Régions!$A$2:$A$6,0))</f>
        <v/>
      </c>
      <c r="AF96">
        <f>G96*INDEX(Régions!$AC$2:$AC$6,MATCH($B96,Régions!$A$2:$A$6,0))</f>
        <v/>
      </c>
      <c r="AG96">
        <f>H96*INDEX(Régions!$AD$2:$AD$6,MATCH($B96,Régions!$A$2:$A$6,0))</f>
        <v/>
      </c>
      <c r="AH96">
        <f>I96*INDEX(Régions!$AE$2:$AE$6,MATCH($B96,Régions!$A$2:$A$6,0))</f>
        <v/>
      </c>
      <c r="AI96">
        <f>D96*INDEX(Régions!$AF$2:$AF$6,MATCH($B96,Régions!$A$2:$A$6,0))</f>
        <v/>
      </c>
      <c r="AJ96">
        <f>E96*INDEX(Régions!$AG$2:$AG$6,MATCH($B96,Régions!$A$2:$A$6,0))</f>
        <v/>
      </c>
      <c r="AK96">
        <f>F96*INDEX(Régions!$AH$2:$AH$6,MATCH($B96,Régions!$A$2:$A$6,0))</f>
        <v/>
      </c>
      <c r="AL96">
        <f>G96*INDEX(Régions!$AI$2:$AI$6,MATCH($B96,Régions!$A$2:$A$6,0))</f>
        <v/>
      </c>
      <c r="AM96">
        <f>H96*INDEX(Régions!$AJ$2:$AJ$6,MATCH($B96,Régions!$A$2:$A$6,0))</f>
        <v/>
      </c>
      <c r="AN96">
        <f>I96*INDEX(Régions!$AK$2:$AK$6,MATCH($B96,Régions!$A$2:$A$6,0))</f>
        <v/>
      </c>
      <c r="AO96">
        <f>Régions!$Q$2*Q96/SUM($Q96:$V96)*100+(1-Régions!$Q$2)*MAX(K96*100+(INDEX(Régions!$AL$2:$AL$6,MATCH($B96,Régions!$A$2:$A$6,0))),0)</f>
        <v/>
      </c>
      <c r="AP96">
        <f>Régions!$Q$2*R96/SUM($Q96:$V96)*100+(1-Régions!$Q$2)*MAX(L96*100+(INDEX(Régions!$AM$2:$AM$6,MATCH($B96,Régions!$A$2:$A$6,0))),0)</f>
        <v/>
      </c>
      <c r="AQ96">
        <f>Régions!$Q$2*S96/SUM($Q96:$V96)*100+(1-Régions!$Q$2)*MAX(M96*100+(INDEX(Régions!$AN$2:$AN$6,MATCH($B96,Régions!$A$2:$A$6,0))),0)</f>
        <v/>
      </c>
      <c r="AR96">
        <f>Régions!$Q$2*T96/SUM($Q96:$V96)*100+(1-Régions!$Q$2)*MAX(N96*100+(INDEX(Régions!$AO$2:$AO$6,MATCH($B96,Régions!$A$2:$A$6,0))),0)</f>
        <v/>
      </c>
      <c r="AS96">
        <f>Régions!$Q$2*U96/SUM($Q96:$V96)*100+(1-Régions!$Q$2)*MAX(O96*100+(INDEX(Régions!$AP$2:$AP$6,MATCH($B96,Régions!$A$2:$A$6,0))),0)</f>
        <v/>
      </c>
      <c r="AT96">
        <f>Régions!$Q$2*V96/SUM($Q96:$V96)*100+(1-Régions!$Q$2)*MAX(P96*100+(INDEX(Régions!$AQ$2:$AQ$6,MATCH($B96,Régions!$A$2:$A$6,0))),0)</f>
        <v/>
      </c>
      <c r="AU96">
        <f>INDEX({"CAQ","PLQ","QS","PQ","PCQ","Autre"},MATCH(MAX(Q96:V96),Q96:V96,0))</f>
        <v/>
      </c>
      <c r="AV96">
        <f>INDEX({"CAQ","PLQ","QS","PQ","PCQ","Autre"},MATCH(MAX(W96:AB96),W96:AB96,0))</f>
        <v/>
      </c>
      <c r="AW96">
        <f>INDEX({"CAQ","PLQ","QS","PQ","PCQ","Autre"},MATCH(MAX(AC96:AH96),AC96:AH96,0))</f>
        <v/>
      </c>
      <c r="AX96">
        <f>INDEX({"CAQ","PLQ","QS","PQ","PCQ","Autre"},MATCH(MAX(AI96:AN96),AI96:AN96,0))</f>
        <v/>
      </c>
      <c r="AY96">
        <f>INDEX({"CAQ","PLQ","QS","PQ","PCQ","Autre"},MATCH(MAX(AO96:AT96),AO96:AT96,0))</f>
        <v/>
      </c>
      <c r="AZ96">
        <f>(MAX(K96:P96)-LARGE(K96:P96,2))*100</f>
        <v/>
      </c>
      <c r="BA96">
        <f>IF(AZ96&lt;5,"Oui","Non")</f>
        <v/>
      </c>
      <c r="BB96" t="n">
        <v>4.145</v>
      </c>
      <c r="BC96" t="n">
        <v>0.272</v>
      </c>
      <c r="BD96" t="n">
        <v>-2.234</v>
      </c>
      <c r="BE96" t="n">
        <v>-1.446</v>
      </c>
    </row>
    <row r="97">
      <c r="A97" t="inlineStr">
        <is>
          <t>Richmond</t>
        </is>
      </c>
      <c r="B97" t="inlineStr">
        <is>
          <t>Reste du Québec</t>
        </is>
      </c>
      <c r="C97">
        <f>INDEX({"CAQ","PLQ","QS","PQ","PCQ","Autre"},MATCH(MAX(D97:I97),D97:I97,0))</f>
        <v/>
      </c>
      <c r="D97" t="n">
        <v>18491.7</v>
      </c>
      <c r="E97" t="n">
        <v>2273.1</v>
      </c>
      <c r="F97" t="n">
        <v>8135.8</v>
      </c>
      <c r="G97" t="n">
        <v>4956.6</v>
      </c>
      <c r="H97" t="n">
        <v>5877.8</v>
      </c>
      <c r="I97" t="n">
        <v>193.8</v>
      </c>
      <c r="J97">
        <f>SUM(D97:I97)</f>
        <v/>
      </c>
      <c r="K97">
        <f>IFERROR(D97/$J97,0)</f>
        <v/>
      </c>
      <c r="L97">
        <f>IFERROR(E97/$J97,0)</f>
        <v/>
      </c>
      <c r="M97">
        <f>IFERROR(F97/$J97,0)</f>
        <v/>
      </c>
      <c r="N97">
        <f>IFERROR(G97/$J97,0)</f>
        <v/>
      </c>
      <c r="O97">
        <f>IFERROR(H97/$J97,0)</f>
        <v/>
      </c>
      <c r="P97">
        <f>IFERROR(I97/$J97,0)</f>
        <v/>
      </c>
      <c r="Q97">
        <f>D97*INDEX(Régions!$T$2:$T$6,MATCH($B97,Régions!$A$2:$A$6,0))</f>
        <v/>
      </c>
      <c r="R97">
        <f>E97*INDEX(Régions!$U$2:$U$6,MATCH($B97,Régions!$A$2:$A$6,0))</f>
        <v/>
      </c>
      <c r="S97">
        <f>F97*INDEX(Régions!$V$2:$V$6,MATCH($B97,Régions!$A$2:$A$6,0))</f>
        <v/>
      </c>
      <c r="T97">
        <f>G97*INDEX(Régions!$W$2:$W$6,MATCH($B97,Régions!$A$2:$A$6,0))</f>
        <v/>
      </c>
      <c r="U97">
        <f>H97*INDEX(Régions!$X$2:$X$6,MATCH($B97,Régions!$A$2:$A$6,0))</f>
        <v/>
      </c>
      <c r="V97">
        <f>I97*INDEX(Régions!$Y$2:$Y$6,MATCH($B97,Régions!$A$2:$A$6,0))</f>
        <v/>
      </c>
      <c r="W97">
        <f>Q97+(BB97/100)*$J97*Régions!$O$2</f>
        <v/>
      </c>
      <c r="X97">
        <f>R97+(BC97/100)*$J97*Régions!$O$2</f>
        <v/>
      </c>
      <c r="Y97">
        <f>S97+(BD97/100)*$J97*Régions!$O$2</f>
        <v/>
      </c>
      <c r="Z97">
        <f>T97+(BE97/100)*$J97*Régions!$O$2</f>
        <v/>
      </c>
      <c r="AA97">
        <f>U97</f>
        <v/>
      </c>
      <c r="AB97">
        <f>V97</f>
        <v/>
      </c>
      <c r="AC97">
        <f>D97*INDEX(Régions!$Z$2:$Z$6,MATCH($B97,Régions!$A$2:$A$6,0))</f>
        <v/>
      </c>
      <c r="AD97">
        <f>E97*INDEX(Régions!$AA$2:$AA$6,MATCH($B97,Régions!$A$2:$A$6,0))</f>
        <v/>
      </c>
      <c r="AE97">
        <f>F97*INDEX(Régions!$AB$2:$AB$6,MATCH($B97,Régions!$A$2:$A$6,0))</f>
        <v/>
      </c>
      <c r="AF97">
        <f>G97*INDEX(Régions!$AC$2:$AC$6,MATCH($B97,Régions!$A$2:$A$6,0))</f>
        <v/>
      </c>
      <c r="AG97">
        <f>H97*INDEX(Régions!$AD$2:$AD$6,MATCH($B97,Régions!$A$2:$A$6,0))</f>
        <v/>
      </c>
      <c r="AH97">
        <f>I97*INDEX(Régions!$AE$2:$AE$6,MATCH($B97,Régions!$A$2:$A$6,0))</f>
        <v/>
      </c>
      <c r="AI97">
        <f>D97*INDEX(Régions!$AF$2:$AF$6,MATCH($B97,Régions!$A$2:$A$6,0))</f>
        <v/>
      </c>
      <c r="AJ97">
        <f>E97*INDEX(Régions!$AG$2:$AG$6,MATCH($B97,Régions!$A$2:$A$6,0))</f>
        <v/>
      </c>
      <c r="AK97">
        <f>F97*INDEX(Régions!$AH$2:$AH$6,MATCH($B97,Régions!$A$2:$A$6,0))</f>
        <v/>
      </c>
      <c r="AL97">
        <f>G97*INDEX(Régions!$AI$2:$AI$6,MATCH($B97,Régions!$A$2:$A$6,0))</f>
        <v/>
      </c>
      <c r="AM97">
        <f>H97*INDEX(Régions!$AJ$2:$AJ$6,MATCH($B97,Régions!$A$2:$A$6,0))</f>
        <v/>
      </c>
      <c r="AN97">
        <f>I97*INDEX(Régions!$AK$2:$AK$6,MATCH($B97,Régions!$A$2:$A$6,0))</f>
        <v/>
      </c>
      <c r="AO97">
        <f>Régions!$Q$2*Q97/SUM($Q97:$V97)*100+(1-Régions!$Q$2)*MAX(K97*100+(INDEX(Régions!$AL$2:$AL$6,MATCH($B97,Régions!$A$2:$A$6,0))),0)</f>
        <v/>
      </c>
      <c r="AP97">
        <f>Régions!$Q$2*R97/SUM($Q97:$V97)*100+(1-Régions!$Q$2)*MAX(L97*100+(INDEX(Régions!$AM$2:$AM$6,MATCH($B97,Régions!$A$2:$A$6,0))),0)</f>
        <v/>
      </c>
      <c r="AQ97">
        <f>Régions!$Q$2*S97/SUM($Q97:$V97)*100+(1-Régions!$Q$2)*MAX(M97*100+(INDEX(Régions!$AN$2:$AN$6,MATCH($B97,Régions!$A$2:$A$6,0))),0)</f>
        <v/>
      </c>
      <c r="AR97">
        <f>Régions!$Q$2*T97/SUM($Q97:$V97)*100+(1-Régions!$Q$2)*MAX(N97*100+(INDEX(Régions!$AO$2:$AO$6,MATCH($B97,Régions!$A$2:$A$6,0))),0)</f>
        <v/>
      </c>
      <c r="AS97">
        <f>Régions!$Q$2*U97/SUM($Q97:$V97)*100+(1-Régions!$Q$2)*MAX(O97*100+(INDEX(Régions!$AP$2:$AP$6,MATCH($B97,Régions!$A$2:$A$6,0))),0)</f>
        <v/>
      </c>
      <c r="AT97">
        <f>Régions!$Q$2*V97/SUM($Q97:$V97)*100+(1-Régions!$Q$2)*MAX(P97*100+(INDEX(Régions!$AQ$2:$AQ$6,MATCH($B97,Régions!$A$2:$A$6,0))),0)</f>
        <v/>
      </c>
      <c r="AU97">
        <f>INDEX({"CAQ","PLQ","QS","PQ","PCQ","Autre"},MATCH(MAX(Q97:V97),Q97:V97,0))</f>
        <v/>
      </c>
      <c r="AV97">
        <f>INDEX({"CAQ","PLQ","QS","PQ","PCQ","Autre"},MATCH(MAX(W97:AB97),W97:AB97,0))</f>
        <v/>
      </c>
      <c r="AW97">
        <f>INDEX({"CAQ","PLQ","QS","PQ","PCQ","Autre"},MATCH(MAX(AC97:AH97),AC97:AH97,0))</f>
        <v/>
      </c>
      <c r="AX97">
        <f>INDEX({"CAQ","PLQ","QS","PQ","PCQ","Autre"},MATCH(MAX(AI97:AN97),AI97:AN97,0))</f>
        <v/>
      </c>
      <c r="AY97">
        <f>INDEX({"CAQ","PLQ","QS","PQ","PCQ","Autre"},MATCH(MAX(AO97:AT97),AO97:AT97,0))</f>
        <v/>
      </c>
      <c r="AZ97">
        <f>(MAX(K97:P97)-LARGE(K97:P97,2))*100</f>
        <v/>
      </c>
      <c r="BA97">
        <f>IF(AZ97&lt;5,"Oui","Non")</f>
        <v/>
      </c>
      <c r="BB97" t="n">
        <v>-0.58</v>
      </c>
      <c r="BC97" t="n">
        <v>-1.354</v>
      </c>
      <c r="BD97" t="n">
        <v>2.411</v>
      </c>
      <c r="BE97" t="n">
        <v>-0.884</v>
      </c>
    </row>
    <row r="98">
      <c r="A98" t="inlineStr">
        <is>
          <t>Rimouski</t>
        </is>
      </c>
      <c r="B98" t="inlineStr">
        <is>
          <t>Reste du Québec</t>
        </is>
      </c>
      <c r="C98">
        <f>INDEX({"CAQ","PLQ","QS","PQ","PCQ","Autre"},MATCH(MAX(D98:I98),D98:I98,0))</f>
        <v/>
      </c>
      <c r="D98" t="n">
        <v>13761</v>
      </c>
      <c r="E98" t="n">
        <v>992</v>
      </c>
      <c r="F98" t="n">
        <v>7042</v>
      </c>
      <c r="G98" t="n">
        <v>9440</v>
      </c>
      <c r="H98" t="n">
        <v>1566</v>
      </c>
      <c r="I98" t="n">
        <v>159</v>
      </c>
      <c r="J98">
        <f>SUM(D98:I98)</f>
        <v/>
      </c>
      <c r="K98">
        <f>IFERROR(D98/$J98,0)</f>
        <v/>
      </c>
      <c r="L98">
        <f>IFERROR(E98/$J98,0)</f>
        <v/>
      </c>
      <c r="M98">
        <f>IFERROR(F98/$J98,0)</f>
        <v/>
      </c>
      <c r="N98">
        <f>IFERROR(G98/$J98,0)</f>
        <v/>
      </c>
      <c r="O98">
        <f>IFERROR(H98/$J98,0)</f>
        <v/>
      </c>
      <c r="P98">
        <f>IFERROR(I98/$J98,0)</f>
        <v/>
      </c>
      <c r="Q98">
        <f>D98*INDEX(Régions!$T$2:$T$6,MATCH($B98,Régions!$A$2:$A$6,0))</f>
        <v/>
      </c>
      <c r="R98">
        <f>E98*INDEX(Régions!$U$2:$U$6,MATCH($B98,Régions!$A$2:$A$6,0))</f>
        <v/>
      </c>
      <c r="S98">
        <f>F98*INDEX(Régions!$V$2:$V$6,MATCH($B98,Régions!$A$2:$A$6,0))</f>
        <v/>
      </c>
      <c r="T98">
        <f>G98*INDEX(Régions!$W$2:$W$6,MATCH($B98,Régions!$A$2:$A$6,0))</f>
        <v/>
      </c>
      <c r="U98">
        <f>H98*INDEX(Régions!$X$2:$X$6,MATCH($B98,Régions!$A$2:$A$6,0))</f>
        <v/>
      </c>
      <c r="V98">
        <f>I98*INDEX(Régions!$Y$2:$Y$6,MATCH($B98,Régions!$A$2:$A$6,0))</f>
        <v/>
      </c>
      <c r="W98">
        <f>Q98+(BB98/100)*$J98*Régions!$O$2</f>
        <v/>
      </c>
      <c r="X98">
        <f>R98+(BC98/100)*$J98*Régions!$O$2</f>
        <v/>
      </c>
      <c r="Y98">
        <f>S98+(BD98/100)*$J98*Régions!$O$2</f>
        <v/>
      </c>
      <c r="Z98">
        <f>T98+(BE98/100)*$J98*Régions!$O$2</f>
        <v/>
      </c>
      <c r="AA98">
        <f>U98</f>
        <v/>
      </c>
      <c r="AB98">
        <f>V98</f>
        <v/>
      </c>
      <c r="AC98">
        <f>D98*INDEX(Régions!$Z$2:$Z$6,MATCH($B98,Régions!$A$2:$A$6,0))</f>
        <v/>
      </c>
      <c r="AD98">
        <f>E98*INDEX(Régions!$AA$2:$AA$6,MATCH($B98,Régions!$A$2:$A$6,0))</f>
        <v/>
      </c>
      <c r="AE98">
        <f>F98*INDEX(Régions!$AB$2:$AB$6,MATCH($B98,Régions!$A$2:$A$6,0))</f>
        <v/>
      </c>
      <c r="AF98">
        <f>G98*INDEX(Régions!$AC$2:$AC$6,MATCH($B98,Régions!$A$2:$A$6,0))</f>
        <v/>
      </c>
      <c r="AG98">
        <f>H98*INDEX(Régions!$AD$2:$AD$6,MATCH($B98,Régions!$A$2:$A$6,0))</f>
        <v/>
      </c>
      <c r="AH98">
        <f>I98*INDEX(Régions!$AE$2:$AE$6,MATCH($B98,Régions!$A$2:$A$6,0))</f>
        <v/>
      </c>
      <c r="AI98">
        <f>D98*INDEX(Régions!$AF$2:$AF$6,MATCH($B98,Régions!$A$2:$A$6,0))</f>
        <v/>
      </c>
      <c r="AJ98">
        <f>E98*INDEX(Régions!$AG$2:$AG$6,MATCH($B98,Régions!$A$2:$A$6,0))</f>
        <v/>
      </c>
      <c r="AK98">
        <f>F98*INDEX(Régions!$AH$2:$AH$6,MATCH($B98,Régions!$A$2:$A$6,0))</f>
        <v/>
      </c>
      <c r="AL98">
        <f>G98*INDEX(Régions!$AI$2:$AI$6,MATCH($B98,Régions!$A$2:$A$6,0))</f>
        <v/>
      </c>
      <c r="AM98">
        <f>H98*INDEX(Régions!$AJ$2:$AJ$6,MATCH($B98,Régions!$A$2:$A$6,0))</f>
        <v/>
      </c>
      <c r="AN98">
        <f>I98*INDEX(Régions!$AK$2:$AK$6,MATCH($B98,Régions!$A$2:$A$6,0))</f>
        <v/>
      </c>
      <c r="AO98">
        <f>Régions!$Q$2*Q98/SUM($Q98:$V98)*100+(1-Régions!$Q$2)*MAX(K98*100+(INDEX(Régions!$AL$2:$AL$6,MATCH($B98,Régions!$A$2:$A$6,0))),0)</f>
        <v/>
      </c>
      <c r="AP98">
        <f>Régions!$Q$2*R98/SUM($Q98:$V98)*100+(1-Régions!$Q$2)*MAX(L98*100+(INDEX(Régions!$AM$2:$AM$6,MATCH($B98,Régions!$A$2:$A$6,0))),0)</f>
        <v/>
      </c>
      <c r="AQ98">
        <f>Régions!$Q$2*S98/SUM($Q98:$V98)*100+(1-Régions!$Q$2)*MAX(M98*100+(INDEX(Régions!$AN$2:$AN$6,MATCH($B98,Régions!$A$2:$A$6,0))),0)</f>
        <v/>
      </c>
      <c r="AR98">
        <f>Régions!$Q$2*T98/SUM($Q98:$V98)*100+(1-Régions!$Q$2)*MAX(N98*100+(INDEX(Régions!$AO$2:$AO$6,MATCH($B98,Régions!$A$2:$A$6,0))),0)</f>
        <v/>
      </c>
      <c r="AS98">
        <f>Régions!$Q$2*U98/SUM($Q98:$V98)*100+(1-Régions!$Q$2)*MAX(O98*100+(INDEX(Régions!$AP$2:$AP$6,MATCH($B98,Régions!$A$2:$A$6,0))),0)</f>
        <v/>
      </c>
      <c r="AT98">
        <f>Régions!$Q$2*V98/SUM($Q98:$V98)*100+(1-Régions!$Q$2)*MAX(P98*100+(INDEX(Régions!$AQ$2:$AQ$6,MATCH($B98,Régions!$A$2:$A$6,0))),0)</f>
        <v/>
      </c>
      <c r="AU98">
        <f>INDEX({"CAQ","PLQ","QS","PQ","PCQ","Autre"},MATCH(MAX(Q98:V98),Q98:V98,0))</f>
        <v/>
      </c>
      <c r="AV98">
        <f>INDEX({"CAQ","PLQ","QS","PQ","PCQ","Autre"},MATCH(MAX(W98:AB98),W98:AB98,0))</f>
        <v/>
      </c>
      <c r="AW98">
        <f>INDEX({"CAQ","PLQ","QS","PQ","PCQ","Autre"},MATCH(MAX(AC98:AH98),AC98:AH98,0))</f>
        <v/>
      </c>
      <c r="AX98">
        <f>INDEX({"CAQ","PLQ","QS","PQ","PCQ","Autre"},MATCH(MAX(AI98:AN98),AI98:AN98,0))</f>
        <v/>
      </c>
      <c r="AY98">
        <f>INDEX({"CAQ","PLQ","QS","PQ","PCQ","Autre"},MATCH(MAX(AO98:AT98),AO98:AT98,0))</f>
        <v/>
      </c>
      <c r="AZ98">
        <f>(MAX(K98:P98)-LARGE(K98:P98,2))*100</f>
        <v/>
      </c>
      <c r="BA98">
        <f>IF(AZ98&lt;5,"Oui","Non")</f>
        <v/>
      </c>
      <c r="BB98" t="n">
        <v>9.445</v>
      </c>
      <c r="BC98" t="n">
        <v>3.784</v>
      </c>
      <c r="BD98" t="n">
        <v>5.12</v>
      </c>
      <c r="BE98" t="n">
        <v>-11.118</v>
      </c>
    </row>
    <row r="99">
      <c r="A99" t="inlineStr">
        <is>
          <t>Rivière-du-Loup–Témiscouata–Les Basques</t>
        </is>
      </c>
      <c r="B99" t="inlineStr">
        <is>
          <t>Reste du Québec</t>
        </is>
      </c>
      <c r="C99">
        <f>INDEX({"CAQ","PLQ","QS","PQ","PCQ","Autre"},MATCH(MAX(D99:I99),D99:I99,0))</f>
        <v/>
      </c>
      <c r="D99" t="n">
        <v>18183</v>
      </c>
      <c r="E99" t="n">
        <v>1388</v>
      </c>
      <c r="F99" t="n">
        <v>5102</v>
      </c>
      <c r="G99" t="n">
        <v>6141</v>
      </c>
      <c r="H99" t="n">
        <v>3937</v>
      </c>
      <c r="I99" t="n">
        <v>174</v>
      </c>
      <c r="J99">
        <f>SUM(D99:I99)</f>
        <v/>
      </c>
      <c r="K99">
        <f>IFERROR(D99/$J99,0)</f>
        <v/>
      </c>
      <c r="L99">
        <f>IFERROR(E99/$J99,0)</f>
        <v/>
      </c>
      <c r="M99">
        <f>IFERROR(F99/$J99,0)</f>
        <v/>
      </c>
      <c r="N99">
        <f>IFERROR(G99/$J99,0)</f>
        <v/>
      </c>
      <c r="O99">
        <f>IFERROR(H99/$J99,0)</f>
        <v/>
      </c>
      <c r="P99">
        <f>IFERROR(I99/$J99,0)</f>
        <v/>
      </c>
      <c r="Q99">
        <f>D99*INDEX(Régions!$T$2:$T$6,MATCH($B99,Régions!$A$2:$A$6,0))</f>
        <v/>
      </c>
      <c r="R99">
        <f>E99*INDEX(Régions!$U$2:$U$6,MATCH($B99,Régions!$A$2:$A$6,0))</f>
        <v/>
      </c>
      <c r="S99">
        <f>F99*INDEX(Régions!$V$2:$V$6,MATCH($B99,Régions!$A$2:$A$6,0))</f>
        <v/>
      </c>
      <c r="T99">
        <f>G99*INDEX(Régions!$W$2:$W$6,MATCH($B99,Régions!$A$2:$A$6,0))</f>
        <v/>
      </c>
      <c r="U99">
        <f>H99*INDEX(Régions!$X$2:$X$6,MATCH($B99,Régions!$A$2:$A$6,0))</f>
        <v/>
      </c>
      <c r="V99">
        <f>I99*INDEX(Régions!$Y$2:$Y$6,MATCH($B99,Régions!$A$2:$A$6,0))</f>
        <v/>
      </c>
      <c r="W99">
        <f>Q99+(BB99/100)*$J99*Régions!$O$2</f>
        <v/>
      </c>
      <c r="X99">
        <f>R99+(BC99/100)*$J99*Régions!$O$2</f>
        <v/>
      </c>
      <c r="Y99">
        <f>S99+(BD99/100)*$J99*Régions!$O$2</f>
        <v/>
      </c>
      <c r="Z99">
        <f>T99+(BE99/100)*$J99*Régions!$O$2</f>
        <v/>
      </c>
      <c r="AA99">
        <f>U99</f>
        <v/>
      </c>
      <c r="AB99">
        <f>V99</f>
        <v/>
      </c>
      <c r="AC99">
        <f>D99*INDEX(Régions!$Z$2:$Z$6,MATCH($B99,Régions!$A$2:$A$6,0))</f>
        <v/>
      </c>
      <c r="AD99">
        <f>E99*INDEX(Régions!$AA$2:$AA$6,MATCH($B99,Régions!$A$2:$A$6,0))</f>
        <v/>
      </c>
      <c r="AE99">
        <f>F99*INDEX(Régions!$AB$2:$AB$6,MATCH($B99,Régions!$A$2:$A$6,0))</f>
        <v/>
      </c>
      <c r="AF99">
        <f>G99*INDEX(Régions!$AC$2:$AC$6,MATCH($B99,Régions!$A$2:$A$6,0))</f>
        <v/>
      </c>
      <c r="AG99">
        <f>H99*INDEX(Régions!$AD$2:$AD$6,MATCH($B99,Régions!$A$2:$A$6,0))</f>
        <v/>
      </c>
      <c r="AH99">
        <f>I99*INDEX(Régions!$AE$2:$AE$6,MATCH($B99,Régions!$A$2:$A$6,0))</f>
        <v/>
      </c>
      <c r="AI99">
        <f>D99*INDEX(Régions!$AF$2:$AF$6,MATCH($B99,Régions!$A$2:$A$6,0))</f>
        <v/>
      </c>
      <c r="AJ99">
        <f>E99*INDEX(Régions!$AG$2:$AG$6,MATCH($B99,Régions!$A$2:$A$6,0))</f>
        <v/>
      </c>
      <c r="AK99">
        <f>F99*INDEX(Régions!$AH$2:$AH$6,MATCH($B99,Régions!$A$2:$A$6,0))</f>
        <v/>
      </c>
      <c r="AL99">
        <f>G99*INDEX(Régions!$AI$2:$AI$6,MATCH($B99,Régions!$A$2:$A$6,0))</f>
        <v/>
      </c>
      <c r="AM99">
        <f>H99*INDEX(Régions!$AJ$2:$AJ$6,MATCH($B99,Régions!$A$2:$A$6,0))</f>
        <v/>
      </c>
      <c r="AN99">
        <f>I99*INDEX(Régions!$AK$2:$AK$6,MATCH($B99,Régions!$A$2:$A$6,0))</f>
        <v/>
      </c>
      <c r="AO99">
        <f>Régions!$Q$2*Q99/SUM($Q99:$V99)*100+(1-Régions!$Q$2)*MAX(K99*100+(INDEX(Régions!$AL$2:$AL$6,MATCH($B99,Régions!$A$2:$A$6,0))),0)</f>
        <v/>
      </c>
      <c r="AP99">
        <f>Régions!$Q$2*R99/SUM($Q99:$V99)*100+(1-Régions!$Q$2)*MAX(L99*100+(INDEX(Régions!$AM$2:$AM$6,MATCH($B99,Régions!$A$2:$A$6,0))),0)</f>
        <v/>
      </c>
      <c r="AQ99">
        <f>Régions!$Q$2*S99/SUM($Q99:$V99)*100+(1-Régions!$Q$2)*MAX(M99*100+(INDEX(Régions!$AN$2:$AN$6,MATCH($B99,Régions!$A$2:$A$6,0))),0)</f>
        <v/>
      </c>
      <c r="AR99">
        <f>Régions!$Q$2*T99/SUM($Q99:$V99)*100+(1-Régions!$Q$2)*MAX(N99*100+(INDEX(Régions!$AO$2:$AO$6,MATCH($B99,Régions!$A$2:$A$6,0))),0)</f>
        <v/>
      </c>
      <c r="AS99">
        <f>Régions!$Q$2*U99/SUM($Q99:$V99)*100+(1-Régions!$Q$2)*MAX(O99*100+(INDEX(Régions!$AP$2:$AP$6,MATCH($B99,Régions!$A$2:$A$6,0))),0)</f>
        <v/>
      </c>
      <c r="AT99">
        <f>Régions!$Q$2*V99/SUM($Q99:$V99)*100+(1-Régions!$Q$2)*MAX(P99*100+(INDEX(Régions!$AQ$2:$AQ$6,MATCH($B99,Régions!$A$2:$A$6,0))),0)</f>
        <v/>
      </c>
      <c r="AU99">
        <f>INDEX({"CAQ","PLQ","QS","PQ","PCQ","Autre"},MATCH(MAX(Q99:V99),Q99:V99,0))</f>
        <v/>
      </c>
      <c r="AV99">
        <f>INDEX({"CAQ","PLQ","QS","PQ","PCQ","Autre"},MATCH(MAX(W99:AB99),W99:AB99,0))</f>
        <v/>
      </c>
      <c r="AW99">
        <f>INDEX({"CAQ","PLQ","QS","PQ","PCQ","Autre"},MATCH(MAX(AC99:AH99),AC99:AH99,0))</f>
        <v/>
      </c>
      <c r="AX99">
        <f>INDEX({"CAQ","PLQ","QS","PQ","PCQ","Autre"},MATCH(MAX(AI99:AN99),AI99:AN99,0))</f>
        <v/>
      </c>
      <c r="AY99">
        <f>INDEX({"CAQ","PLQ","QS","PQ","PCQ","Autre"},MATCH(MAX(AO99:AT99),AO99:AT99,0))</f>
        <v/>
      </c>
      <c r="AZ99">
        <f>(MAX(K99:P99)-LARGE(K99:P99,2))*100</f>
        <v/>
      </c>
      <c r="BA99">
        <f>IF(AZ99&lt;5,"Oui","Non")</f>
        <v/>
      </c>
      <c r="BB99" t="n">
        <v>5.48</v>
      </c>
      <c r="BC99" t="n">
        <v>-16.377</v>
      </c>
      <c r="BD99" t="n">
        <v>4.762</v>
      </c>
      <c r="BE99" t="n">
        <v>6.501</v>
      </c>
    </row>
    <row r="100">
      <c r="A100" t="inlineStr">
        <is>
          <t>Robert-Baldwin</t>
        </is>
      </c>
      <c r="B100" t="inlineStr">
        <is>
          <t>Île de Montréal</t>
        </is>
      </c>
      <c r="C100">
        <f>INDEX({"CAQ","PLQ","QS","PQ","PCQ","Autre"},MATCH(MAX(D100:I100),D100:I100,0))</f>
        <v/>
      </c>
      <c r="D100" t="n">
        <v>2909.6</v>
      </c>
      <c r="E100" t="n">
        <v>17229.8</v>
      </c>
      <c r="F100" t="n">
        <v>1498.2</v>
      </c>
      <c r="G100" t="n">
        <v>776.1</v>
      </c>
      <c r="H100" t="n">
        <v>6010.6</v>
      </c>
      <c r="I100" t="n">
        <v>1406.1</v>
      </c>
      <c r="J100">
        <f>SUM(D100:I100)</f>
        <v/>
      </c>
      <c r="K100">
        <f>IFERROR(D100/$J100,0)</f>
        <v/>
      </c>
      <c r="L100">
        <f>IFERROR(E100/$J100,0)</f>
        <v/>
      </c>
      <c r="M100">
        <f>IFERROR(F100/$J100,0)</f>
        <v/>
      </c>
      <c r="N100">
        <f>IFERROR(G100/$J100,0)</f>
        <v/>
      </c>
      <c r="O100">
        <f>IFERROR(H100/$J100,0)</f>
        <v/>
      </c>
      <c r="P100">
        <f>IFERROR(I100/$J100,0)</f>
        <v/>
      </c>
      <c r="Q100">
        <f>D100*INDEX(Régions!$T$2:$T$6,MATCH($B100,Régions!$A$2:$A$6,0))</f>
        <v/>
      </c>
      <c r="R100">
        <f>E100*INDEX(Régions!$U$2:$U$6,MATCH($B100,Régions!$A$2:$A$6,0))</f>
        <v/>
      </c>
      <c r="S100">
        <f>F100*INDEX(Régions!$V$2:$V$6,MATCH($B100,Régions!$A$2:$A$6,0))</f>
        <v/>
      </c>
      <c r="T100">
        <f>G100*INDEX(Régions!$W$2:$W$6,MATCH($B100,Régions!$A$2:$A$6,0))</f>
        <v/>
      </c>
      <c r="U100">
        <f>H100*INDEX(Régions!$X$2:$X$6,MATCH($B100,Régions!$A$2:$A$6,0))</f>
        <v/>
      </c>
      <c r="V100">
        <f>I100*INDEX(Régions!$Y$2:$Y$6,MATCH($B100,Régions!$A$2:$A$6,0))</f>
        <v/>
      </c>
      <c r="W100">
        <f>Q100+(BB100/100)*$J100*Régions!$O$2</f>
        <v/>
      </c>
      <c r="X100">
        <f>R100+(BC100/100)*$J100*Régions!$O$2</f>
        <v/>
      </c>
      <c r="Y100">
        <f>S100+(BD100/100)*$J100*Régions!$O$2</f>
        <v/>
      </c>
      <c r="Z100">
        <f>T100+(BE100/100)*$J100*Régions!$O$2</f>
        <v/>
      </c>
      <c r="AA100">
        <f>U100</f>
        <v/>
      </c>
      <c r="AB100">
        <f>V100</f>
        <v/>
      </c>
      <c r="AC100">
        <f>D100*INDEX(Régions!$Z$2:$Z$6,MATCH($B100,Régions!$A$2:$A$6,0))</f>
        <v/>
      </c>
      <c r="AD100">
        <f>E100*INDEX(Régions!$AA$2:$AA$6,MATCH($B100,Régions!$A$2:$A$6,0))</f>
        <v/>
      </c>
      <c r="AE100">
        <f>F100*INDEX(Régions!$AB$2:$AB$6,MATCH($B100,Régions!$A$2:$A$6,0))</f>
        <v/>
      </c>
      <c r="AF100">
        <f>G100*INDEX(Régions!$AC$2:$AC$6,MATCH($B100,Régions!$A$2:$A$6,0))</f>
        <v/>
      </c>
      <c r="AG100">
        <f>H100*INDEX(Régions!$AD$2:$AD$6,MATCH($B100,Régions!$A$2:$A$6,0))</f>
        <v/>
      </c>
      <c r="AH100">
        <f>I100*INDEX(Régions!$AE$2:$AE$6,MATCH($B100,Régions!$A$2:$A$6,0))</f>
        <v/>
      </c>
      <c r="AI100">
        <f>D100*INDEX(Régions!$AF$2:$AF$6,MATCH($B100,Régions!$A$2:$A$6,0))</f>
        <v/>
      </c>
      <c r="AJ100">
        <f>E100*INDEX(Régions!$AG$2:$AG$6,MATCH($B100,Régions!$A$2:$A$6,0))</f>
        <v/>
      </c>
      <c r="AK100">
        <f>F100*INDEX(Régions!$AH$2:$AH$6,MATCH($B100,Régions!$A$2:$A$6,0))</f>
        <v/>
      </c>
      <c r="AL100">
        <f>G100*INDEX(Régions!$AI$2:$AI$6,MATCH($B100,Régions!$A$2:$A$6,0))</f>
        <v/>
      </c>
      <c r="AM100">
        <f>H100*INDEX(Régions!$AJ$2:$AJ$6,MATCH($B100,Régions!$A$2:$A$6,0))</f>
        <v/>
      </c>
      <c r="AN100">
        <f>I100*INDEX(Régions!$AK$2:$AK$6,MATCH($B100,Régions!$A$2:$A$6,0))</f>
        <v/>
      </c>
      <c r="AO100">
        <f>Régions!$Q$2*Q100/SUM($Q100:$V100)*100+(1-Régions!$Q$2)*MAX(K100*100+(INDEX(Régions!$AL$2:$AL$6,MATCH($B100,Régions!$A$2:$A$6,0))),0)</f>
        <v/>
      </c>
      <c r="AP100">
        <f>Régions!$Q$2*R100/SUM($Q100:$V100)*100+(1-Régions!$Q$2)*MAX(L100*100+(INDEX(Régions!$AM$2:$AM$6,MATCH($B100,Régions!$A$2:$A$6,0))),0)</f>
        <v/>
      </c>
      <c r="AQ100">
        <f>Régions!$Q$2*S100/SUM($Q100:$V100)*100+(1-Régions!$Q$2)*MAX(M100*100+(INDEX(Régions!$AN$2:$AN$6,MATCH($B100,Régions!$A$2:$A$6,0))),0)</f>
        <v/>
      </c>
      <c r="AR100">
        <f>Régions!$Q$2*T100/SUM($Q100:$V100)*100+(1-Régions!$Q$2)*MAX(N100*100+(INDEX(Régions!$AO$2:$AO$6,MATCH($B100,Régions!$A$2:$A$6,0))),0)</f>
        <v/>
      </c>
      <c r="AS100">
        <f>Régions!$Q$2*U100/SUM($Q100:$V100)*100+(1-Régions!$Q$2)*MAX(O100*100+(INDEX(Régions!$AP$2:$AP$6,MATCH($B100,Régions!$A$2:$A$6,0))),0)</f>
        <v/>
      </c>
      <c r="AT100">
        <f>Régions!$Q$2*V100/SUM($Q100:$V100)*100+(1-Régions!$Q$2)*MAX(P100*100+(INDEX(Régions!$AQ$2:$AQ$6,MATCH($B100,Régions!$A$2:$A$6,0))),0)</f>
        <v/>
      </c>
      <c r="AU100">
        <f>INDEX({"CAQ","PLQ","QS","PQ","PCQ","Autre"},MATCH(MAX(Q100:V100),Q100:V100,0))</f>
        <v/>
      </c>
      <c r="AV100">
        <f>INDEX({"CAQ","PLQ","QS","PQ","PCQ","Autre"},MATCH(MAX(W100:AB100),W100:AB100,0))</f>
        <v/>
      </c>
      <c r="AW100">
        <f>INDEX({"CAQ","PLQ","QS","PQ","PCQ","Autre"},MATCH(MAX(AC100:AH100),AC100:AH100,0))</f>
        <v/>
      </c>
      <c r="AX100">
        <f>INDEX({"CAQ","PLQ","QS","PQ","PCQ","Autre"},MATCH(MAX(AI100:AN100),AI100:AN100,0))</f>
        <v/>
      </c>
      <c r="AY100">
        <f>INDEX({"CAQ","PLQ","QS","PQ","PCQ","Autre"},MATCH(MAX(AO100:AT100),AO100:AT100,0))</f>
        <v/>
      </c>
      <c r="AZ100">
        <f>(MAX(K100:P100)-LARGE(K100:P100,2))*100</f>
        <v/>
      </c>
      <c r="BA100">
        <f>IF(AZ100&lt;5,"Oui","Non")</f>
        <v/>
      </c>
      <c r="BB100" t="n">
        <v>-3.52</v>
      </c>
      <c r="BC100" t="n">
        <v>-7.298</v>
      </c>
      <c r="BD100" t="n">
        <v>-0.089</v>
      </c>
      <c r="BE100" t="n">
        <v>0.432</v>
      </c>
    </row>
    <row r="101">
      <c r="A101" t="inlineStr">
        <is>
          <t>Roberval</t>
        </is>
      </c>
      <c r="B101" t="inlineStr">
        <is>
          <t>Reste du Québec</t>
        </is>
      </c>
      <c r="C101">
        <f>INDEX({"CAQ","PLQ","QS","PQ","PCQ","Autre"},MATCH(MAX(D101:I101),D101:I101,0))</f>
        <v/>
      </c>
      <c r="D101" t="n">
        <v>15017</v>
      </c>
      <c r="E101" t="n">
        <v>1217</v>
      </c>
      <c r="F101" t="n">
        <v>1826</v>
      </c>
      <c r="G101" t="n">
        <v>5488</v>
      </c>
      <c r="H101" t="n">
        <v>3038</v>
      </c>
      <c r="I101" t="n">
        <v>141</v>
      </c>
      <c r="J101">
        <f>SUM(D101:I101)</f>
        <v/>
      </c>
      <c r="K101">
        <f>IFERROR(D101/$J101,0)</f>
        <v/>
      </c>
      <c r="L101">
        <f>IFERROR(E101/$J101,0)</f>
        <v/>
      </c>
      <c r="M101">
        <f>IFERROR(F101/$J101,0)</f>
        <v/>
      </c>
      <c r="N101">
        <f>IFERROR(G101/$J101,0)</f>
        <v/>
      </c>
      <c r="O101">
        <f>IFERROR(H101/$J101,0)</f>
        <v/>
      </c>
      <c r="P101">
        <f>IFERROR(I101/$J101,0)</f>
        <v/>
      </c>
      <c r="Q101">
        <f>D101*INDEX(Régions!$T$2:$T$6,MATCH($B101,Régions!$A$2:$A$6,0))</f>
        <v/>
      </c>
      <c r="R101">
        <f>E101*INDEX(Régions!$U$2:$U$6,MATCH($B101,Régions!$A$2:$A$6,0))</f>
        <v/>
      </c>
      <c r="S101">
        <f>F101*INDEX(Régions!$V$2:$V$6,MATCH($B101,Régions!$A$2:$A$6,0))</f>
        <v/>
      </c>
      <c r="T101">
        <f>G101*INDEX(Régions!$W$2:$W$6,MATCH($B101,Régions!$A$2:$A$6,0))</f>
        <v/>
      </c>
      <c r="U101">
        <f>H101*INDEX(Régions!$X$2:$X$6,MATCH($B101,Régions!$A$2:$A$6,0))</f>
        <v/>
      </c>
      <c r="V101">
        <f>I101*INDEX(Régions!$Y$2:$Y$6,MATCH($B101,Régions!$A$2:$A$6,0))</f>
        <v/>
      </c>
      <c r="W101">
        <f>Q101+(BB101/100)*$J101*Régions!$O$2</f>
        <v/>
      </c>
      <c r="X101">
        <f>R101+(BC101/100)*$J101*Régions!$O$2</f>
        <v/>
      </c>
      <c r="Y101">
        <f>S101+(BD101/100)*$J101*Régions!$O$2</f>
        <v/>
      </c>
      <c r="Z101">
        <f>T101+(BE101/100)*$J101*Régions!$O$2</f>
        <v/>
      </c>
      <c r="AA101">
        <f>U101</f>
        <v/>
      </c>
      <c r="AB101">
        <f>V101</f>
        <v/>
      </c>
      <c r="AC101">
        <f>D101*INDEX(Régions!$Z$2:$Z$6,MATCH($B101,Régions!$A$2:$A$6,0))</f>
        <v/>
      </c>
      <c r="AD101">
        <f>E101*INDEX(Régions!$AA$2:$AA$6,MATCH($B101,Régions!$A$2:$A$6,0))</f>
        <v/>
      </c>
      <c r="AE101">
        <f>F101*INDEX(Régions!$AB$2:$AB$6,MATCH($B101,Régions!$A$2:$A$6,0))</f>
        <v/>
      </c>
      <c r="AF101">
        <f>G101*INDEX(Régions!$AC$2:$AC$6,MATCH($B101,Régions!$A$2:$A$6,0))</f>
        <v/>
      </c>
      <c r="AG101">
        <f>H101*INDEX(Régions!$AD$2:$AD$6,MATCH($B101,Régions!$A$2:$A$6,0))</f>
        <v/>
      </c>
      <c r="AH101">
        <f>I101*INDEX(Régions!$AE$2:$AE$6,MATCH($B101,Régions!$A$2:$A$6,0))</f>
        <v/>
      </c>
      <c r="AI101">
        <f>D101*INDEX(Régions!$AF$2:$AF$6,MATCH($B101,Régions!$A$2:$A$6,0))</f>
        <v/>
      </c>
      <c r="AJ101">
        <f>E101*INDEX(Régions!$AG$2:$AG$6,MATCH($B101,Régions!$A$2:$A$6,0))</f>
        <v/>
      </c>
      <c r="AK101">
        <f>F101*INDEX(Régions!$AH$2:$AH$6,MATCH($B101,Régions!$A$2:$A$6,0))</f>
        <v/>
      </c>
      <c r="AL101">
        <f>G101*INDEX(Régions!$AI$2:$AI$6,MATCH($B101,Régions!$A$2:$A$6,0))</f>
        <v/>
      </c>
      <c r="AM101">
        <f>H101*INDEX(Régions!$AJ$2:$AJ$6,MATCH($B101,Régions!$A$2:$A$6,0))</f>
        <v/>
      </c>
      <c r="AN101">
        <f>I101*INDEX(Régions!$AK$2:$AK$6,MATCH($B101,Régions!$A$2:$A$6,0))</f>
        <v/>
      </c>
      <c r="AO101">
        <f>Régions!$Q$2*Q101/SUM($Q101:$V101)*100+(1-Régions!$Q$2)*MAX(K101*100+(INDEX(Régions!$AL$2:$AL$6,MATCH($B101,Régions!$A$2:$A$6,0))),0)</f>
        <v/>
      </c>
      <c r="AP101">
        <f>Régions!$Q$2*R101/SUM($Q101:$V101)*100+(1-Régions!$Q$2)*MAX(L101*100+(INDEX(Régions!$AM$2:$AM$6,MATCH($B101,Régions!$A$2:$A$6,0))),0)</f>
        <v/>
      </c>
      <c r="AQ101">
        <f>Régions!$Q$2*S101/SUM($Q101:$V101)*100+(1-Régions!$Q$2)*MAX(M101*100+(INDEX(Régions!$AN$2:$AN$6,MATCH($B101,Régions!$A$2:$A$6,0))),0)</f>
        <v/>
      </c>
      <c r="AR101">
        <f>Régions!$Q$2*T101/SUM($Q101:$V101)*100+(1-Régions!$Q$2)*MAX(N101*100+(INDEX(Régions!$AO$2:$AO$6,MATCH($B101,Régions!$A$2:$A$6,0))),0)</f>
        <v/>
      </c>
      <c r="AS101">
        <f>Régions!$Q$2*U101/SUM($Q101:$V101)*100+(1-Régions!$Q$2)*MAX(O101*100+(INDEX(Régions!$AP$2:$AP$6,MATCH($B101,Régions!$A$2:$A$6,0))),0)</f>
        <v/>
      </c>
      <c r="AT101">
        <f>Régions!$Q$2*V101/SUM($Q101:$V101)*100+(1-Régions!$Q$2)*MAX(P101*100+(INDEX(Régions!$AQ$2:$AQ$6,MATCH($B101,Régions!$A$2:$A$6,0))),0)</f>
        <v/>
      </c>
      <c r="AU101">
        <f>INDEX({"CAQ","PLQ","QS","PQ","PCQ","Autre"},MATCH(MAX(Q101:V101),Q101:V101,0))</f>
        <v/>
      </c>
      <c r="AV101">
        <f>INDEX({"CAQ","PLQ","QS","PQ","PCQ","Autre"},MATCH(MAX(W101:AB101),W101:AB101,0))</f>
        <v/>
      </c>
      <c r="AW101">
        <f>INDEX({"CAQ","PLQ","QS","PQ","PCQ","Autre"},MATCH(MAX(AC101:AH101),AC101:AH101,0))</f>
        <v/>
      </c>
      <c r="AX101">
        <f>INDEX({"CAQ","PLQ","QS","PQ","PCQ","Autre"},MATCH(MAX(AI101:AN101),AI101:AN101,0))</f>
        <v/>
      </c>
      <c r="AY101">
        <f>INDEX({"CAQ","PLQ","QS","PQ","PCQ","Autre"},MATCH(MAX(AO101:AT101),AO101:AT101,0))</f>
        <v/>
      </c>
      <c r="AZ101">
        <f>(MAX(K101:P101)-LARGE(K101:P101,2))*100</f>
        <v/>
      </c>
      <c r="BA101">
        <f>IF(AZ101&lt;5,"Oui","Non")</f>
        <v/>
      </c>
      <c r="BB101" t="n">
        <v>24.622</v>
      </c>
      <c r="BC101" t="n">
        <v>-24.795</v>
      </c>
      <c r="BD101" t="n">
        <v>-2.683</v>
      </c>
      <c r="BE101" t="n">
        <v>5.676</v>
      </c>
    </row>
    <row r="102">
      <c r="A102" t="inlineStr">
        <is>
          <t>Rosemont</t>
        </is>
      </c>
      <c r="B102" t="inlineStr">
        <is>
          <t>Île de Montréal</t>
        </is>
      </c>
      <c r="C102">
        <f>INDEX({"CAQ","PLQ","QS","PQ","PCQ","Autre"},MATCH(MAX(D102:I102),D102:I102,0))</f>
        <v/>
      </c>
      <c r="D102" t="n">
        <v>8157</v>
      </c>
      <c r="E102" t="n">
        <v>4170</v>
      </c>
      <c r="F102" t="n">
        <v>13311</v>
      </c>
      <c r="G102" t="n">
        <v>7527</v>
      </c>
      <c r="H102" t="n">
        <v>1605</v>
      </c>
      <c r="I102" t="n">
        <v>610</v>
      </c>
      <c r="J102">
        <f>SUM(D102:I102)</f>
        <v/>
      </c>
      <c r="K102">
        <f>IFERROR(D102/$J102,0)</f>
        <v/>
      </c>
      <c r="L102">
        <f>IFERROR(E102/$J102,0)</f>
        <v/>
      </c>
      <c r="M102">
        <f>IFERROR(F102/$J102,0)</f>
        <v/>
      </c>
      <c r="N102">
        <f>IFERROR(G102/$J102,0)</f>
        <v/>
      </c>
      <c r="O102">
        <f>IFERROR(H102/$J102,0)</f>
        <v/>
      </c>
      <c r="P102">
        <f>IFERROR(I102/$J102,0)</f>
        <v/>
      </c>
      <c r="Q102">
        <f>D102*INDEX(Régions!$T$2:$T$6,MATCH($B102,Régions!$A$2:$A$6,0))</f>
        <v/>
      </c>
      <c r="R102">
        <f>E102*INDEX(Régions!$U$2:$U$6,MATCH($B102,Régions!$A$2:$A$6,0))</f>
        <v/>
      </c>
      <c r="S102">
        <f>F102*INDEX(Régions!$V$2:$V$6,MATCH($B102,Régions!$A$2:$A$6,0))</f>
        <v/>
      </c>
      <c r="T102">
        <f>G102*INDEX(Régions!$W$2:$W$6,MATCH($B102,Régions!$A$2:$A$6,0))</f>
        <v/>
      </c>
      <c r="U102">
        <f>H102*INDEX(Régions!$X$2:$X$6,MATCH($B102,Régions!$A$2:$A$6,0))</f>
        <v/>
      </c>
      <c r="V102">
        <f>I102*INDEX(Régions!$Y$2:$Y$6,MATCH($B102,Régions!$A$2:$A$6,0))</f>
        <v/>
      </c>
      <c r="W102">
        <f>Q102+(BB102/100)*$J102*Régions!$O$2</f>
        <v/>
      </c>
      <c r="X102">
        <f>R102+(BC102/100)*$J102*Régions!$O$2</f>
        <v/>
      </c>
      <c r="Y102">
        <f>S102+(BD102/100)*$J102*Régions!$O$2</f>
        <v/>
      </c>
      <c r="Z102">
        <f>T102+(BE102/100)*$J102*Régions!$O$2</f>
        <v/>
      </c>
      <c r="AA102">
        <f>U102</f>
        <v/>
      </c>
      <c r="AB102">
        <f>V102</f>
        <v/>
      </c>
      <c r="AC102">
        <f>D102*INDEX(Régions!$Z$2:$Z$6,MATCH($B102,Régions!$A$2:$A$6,0))</f>
        <v/>
      </c>
      <c r="AD102">
        <f>E102*INDEX(Régions!$AA$2:$AA$6,MATCH($B102,Régions!$A$2:$A$6,0))</f>
        <v/>
      </c>
      <c r="AE102">
        <f>F102*INDEX(Régions!$AB$2:$AB$6,MATCH($B102,Régions!$A$2:$A$6,0))</f>
        <v/>
      </c>
      <c r="AF102">
        <f>G102*INDEX(Régions!$AC$2:$AC$6,MATCH($B102,Régions!$A$2:$A$6,0))</f>
        <v/>
      </c>
      <c r="AG102">
        <f>H102*INDEX(Régions!$AD$2:$AD$6,MATCH($B102,Régions!$A$2:$A$6,0))</f>
        <v/>
      </c>
      <c r="AH102">
        <f>I102*INDEX(Régions!$AE$2:$AE$6,MATCH($B102,Régions!$A$2:$A$6,0))</f>
        <v/>
      </c>
      <c r="AI102">
        <f>D102*INDEX(Régions!$AF$2:$AF$6,MATCH($B102,Régions!$A$2:$A$6,0))</f>
        <v/>
      </c>
      <c r="AJ102">
        <f>E102*INDEX(Régions!$AG$2:$AG$6,MATCH($B102,Régions!$A$2:$A$6,0))</f>
        <v/>
      </c>
      <c r="AK102">
        <f>F102*INDEX(Régions!$AH$2:$AH$6,MATCH($B102,Régions!$A$2:$A$6,0))</f>
        <v/>
      </c>
      <c r="AL102">
        <f>G102*INDEX(Régions!$AI$2:$AI$6,MATCH($B102,Régions!$A$2:$A$6,0))</f>
        <v/>
      </c>
      <c r="AM102">
        <f>H102*INDEX(Régions!$AJ$2:$AJ$6,MATCH($B102,Régions!$A$2:$A$6,0))</f>
        <v/>
      </c>
      <c r="AN102">
        <f>I102*INDEX(Régions!$AK$2:$AK$6,MATCH($B102,Régions!$A$2:$A$6,0))</f>
        <v/>
      </c>
      <c r="AO102">
        <f>Régions!$Q$2*Q102/SUM($Q102:$V102)*100+(1-Régions!$Q$2)*MAX(K102*100+(INDEX(Régions!$AL$2:$AL$6,MATCH($B102,Régions!$A$2:$A$6,0))),0)</f>
        <v/>
      </c>
      <c r="AP102">
        <f>Régions!$Q$2*R102/SUM($Q102:$V102)*100+(1-Régions!$Q$2)*MAX(L102*100+(INDEX(Régions!$AM$2:$AM$6,MATCH($B102,Régions!$A$2:$A$6,0))),0)</f>
        <v/>
      </c>
      <c r="AQ102">
        <f>Régions!$Q$2*S102/SUM($Q102:$V102)*100+(1-Régions!$Q$2)*MAX(M102*100+(INDEX(Régions!$AN$2:$AN$6,MATCH($B102,Régions!$A$2:$A$6,0))),0)</f>
        <v/>
      </c>
      <c r="AR102">
        <f>Régions!$Q$2*T102/SUM($Q102:$V102)*100+(1-Régions!$Q$2)*MAX(N102*100+(INDEX(Régions!$AO$2:$AO$6,MATCH($B102,Régions!$A$2:$A$6,0))),0)</f>
        <v/>
      </c>
      <c r="AS102">
        <f>Régions!$Q$2*U102/SUM($Q102:$V102)*100+(1-Régions!$Q$2)*MAX(O102*100+(INDEX(Régions!$AP$2:$AP$6,MATCH($B102,Régions!$A$2:$A$6,0))),0)</f>
        <v/>
      </c>
      <c r="AT102">
        <f>Régions!$Q$2*V102/SUM($Q102:$V102)*100+(1-Régions!$Q$2)*MAX(P102*100+(INDEX(Régions!$AQ$2:$AQ$6,MATCH($B102,Régions!$A$2:$A$6,0))),0)</f>
        <v/>
      </c>
      <c r="AU102">
        <f>INDEX({"CAQ","PLQ","QS","PQ","PCQ","Autre"},MATCH(MAX(Q102:V102),Q102:V102,0))</f>
        <v/>
      </c>
      <c r="AV102">
        <f>INDEX({"CAQ","PLQ","QS","PQ","PCQ","Autre"},MATCH(MAX(W102:AB102),W102:AB102,0))</f>
        <v/>
      </c>
      <c r="AW102">
        <f>INDEX({"CAQ","PLQ","QS","PQ","PCQ","Autre"},MATCH(MAX(AC102:AH102),AC102:AH102,0))</f>
        <v/>
      </c>
      <c r="AX102">
        <f>INDEX({"CAQ","PLQ","QS","PQ","PCQ","Autre"},MATCH(MAX(AI102:AN102),AI102:AN102,0))</f>
        <v/>
      </c>
      <c r="AY102">
        <f>INDEX({"CAQ","PLQ","QS","PQ","PCQ","Autre"},MATCH(MAX(AO102:AT102),AO102:AT102,0))</f>
        <v/>
      </c>
      <c r="AZ102">
        <f>(MAX(K102:P102)-LARGE(K102:P102,2))*100</f>
        <v/>
      </c>
      <c r="BA102">
        <f>IF(AZ102&lt;5,"Oui","Non")</f>
        <v/>
      </c>
      <c r="BB102" t="n">
        <v>5.544</v>
      </c>
      <c r="BC102" t="n">
        <v>3.812</v>
      </c>
      <c r="BD102" t="n">
        <v>1.599</v>
      </c>
      <c r="BE102" t="n">
        <v>-6.051</v>
      </c>
    </row>
    <row r="103">
      <c r="A103" t="inlineStr">
        <is>
          <t>Rousseau</t>
        </is>
      </c>
      <c r="B103" t="inlineStr">
        <is>
          <t>Banlieue de Montréal</t>
        </is>
      </c>
      <c r="C103">
        <f>INDEX({"CAQ","PLQ","QS","PQ","PCQ","Autre"},MATCH(MAX(D103:I103),D103:I103,0))</f>
        <v/>
      </c>
      <c r="D103" t="n">
        <v>14122.8</v>
      </c>
      <c r="E103" t="n">
        <v>964.2</v>
      </c>
      <c r="F103" t="n">
        <v>3669.4</v>
      </c>
      <c r="G103" t="n">
        <v>4987.7</v>
      </c>
      <c r="H103" t="n">
        <v>4180.7</v>
      </c>
      <c r="I103" t="n">
        <v>0.4</v>
      </c>
      <c r="J103">
        <f>SUM(D103:I103)</f>
        <v/>
      </c>
      <c r="K103">
        <f>IFERROR(D103/$J103,0)</f>
        <v/>
      </c>
      <c r="L103">
        <f>IFERROR(E103/$J103,0)</f>
        <v/>
      </c>
      <c r="M103">
        <f>IFERROR(F103/$J103,0)</f>
        <v/>
      </c>
      <c r="N103">
        <f>IFERROR(G103/$J103,0)</f>
        <v/>
      </c>
      <c r="O103">
        <f>IFERROR(H103/$J103,0)</f>
        <v/>
      </c>
      <c r="P103">
        <f>IFERROR(I103/$J103,0)</f>
        <v/>
      </c>
      <c r="Q103">
        <f>D103*INDEX(Régions!$T$2:$T$6,MATCH($B103,Régions!$A$2:$A$6,0))</f>
        <v/>
      </c>
      <c r="R103">
        <f>E103*INDEX(Régions!$U$2:$U$6,MATCH($B103,Régions!$A$2:$A$6,0))</f>
        <v/>
      </c>
      <c r="S103">
        <f>F103*INDEX(Régions!$V$2:$V$6,MATCH($B103,Régions!$A$2:$A$6,0))</f>
        <v/>
      </c>
      <c r="T103">
        <f>G103*INDEX(Régions!$W$2:$W$6,MATCH($B103,Régions!$A$2:$A$6,0))</f>
        <v/>
      </c>
      <c r="U103">
        <f>H103*INDEX(Régions!$X$2:$X$6,MATCH($B103,Régions!$A$2:$A$6,0))</f>
        <v/>
      </c>
      <c r="V103">
        <f>I103*INDEX(Régions!$Y$2:$Y$6,MATCH($B103,Régions!$A$2:$A$6,0))</f>
        <v/>
      </c>
      <c r="W103">
        <f>Q103+(BB103/100)*$J103*Régions!$O$2</f>
        <v/>
      </c>
      <c r="X103">
        <f>R103+(BC103/100)*$J103*Régions!$O$2</f>
        <v/>
      </c>
      <c r="Y103">
        <f>S103+(BD103/100)*$J103*Régions!$O$2</f>
        <v/>
      </c>
      <c r="Z103">
        <f>T103+(BE103/100)*$J103*Régions!$O$2</f>
        <v/>
      </c>
      <c r="AA103">
        <f>U103</f>
        <v/>
      </c>
      <c r="AB103">
        <f>V103</f>
        <v/>
      </c>
      <c r="AC103">
        <f>D103*INDEX(Régions!$Z$2:$Z$6,MATCH($B103,Régions!$A$2:$A$6,0))</f>
        <v/>
      </c>
      <c r="AD103">
        <f>E103*INDEX(Régions!$AA$2:$AA$6,MATCH($B103,Régions!$A$2:$A$6,0))</f>
        <v/>
      </c>
      <c r="AE103">
        <f>F103*INDEX(Régions!$AB$2:$AB$6,MATCH($B103,Régions!$A$2:$A$6,0))</f>
        <v/>
      </c>
      <c r="AF103">
        <f>G103*INDEX(Régions!$AC$2:$AC$6,MATCH($B103,Régions!$A$2:$A$6,0))</f>
        <v/>
      </c>
      <c r="AG103">
        <f>H103*INDEX(Régions!$AD$2:$AD$6,MATCH($B103,Régions!$A$2:$A$6,0))</f>
        <v/>
      </c>
      <c r="AH103">
        <f>I103*INDEX(Régions!$AE$2:$AE$6,MATCH($B103,Régions!$A$2:$A$6,0))</f>
        <v/>
      </c>
      <c r="AI103">
        <f>D103*INDEX(Régions!$AF$2:$AF$6,MATCH($B103,Régions!$A$2:$A$6,0))</f>
        <v/>
      </c>
      <c r="AJ103">
        <f>E103*INDEX(Régions!$AG$2:$AG$6,MATCH($B103,Régions!$A$2:$A$6,0))</f>
        <v/>
      </c>
      <c r="AK103">
        <f>F103*INDEX(Régions!$AH$2:$AH$6,MATCH($B103,Régions!$A$2:$A$6,0))</f>
        <v/>
      </c>
      <c r="AL103">
        <f>G103*INDEX(Régions!$AI$2:$AI$6,MATCH($B103,Régions!$A$2:$A$6,0))</f>
        <v/>
      </c>
      <c r="AM103">
        <f>H103*INDEX(Régions!$AJ$2:$AJ$6,MATCH($B103,Régions!$A$2:$A$6,0))</f>
        <v/>
      </c>
      <c r="AN103">
        <f>I103*INDEX(Régions!$AK$2:$AK$6,MATCH($B103,Régions!$A$2:$A$6,0))</f>
        <v/>
      </c>
      <c r="AO103">
        <f>Régions!$Q$2*Q103/SUM($Q103:$V103)*100+(1-Régions!$Q$2)*MAX(K103*100+(INDEX(Régions!$AL$2:$AL$6,MATCH($B103,Régions!$A$2:$A$6,0))),0)</f>
        <v/>
      </c>
      <c r="AP103">
        <f>Régions!$Q$2*R103/SUM($Q103:$V103)*100+(1-Régions!$Q$2)*MAX(L103*100+(INDEX(Régions!$AM$2:$AM$6,MATCH($B103,Régions!$A$2:$A$6,0))),0)</f>
        <v/>
      </c>
      <c r="AQ103">
        <f>Régions!$Q$2*S103/SUM($Q103:$V103)*100+(1-Régions!$Q$2)*MAX(M103*100+(INDEX(Régions!$AN$2:$AN$6,MATCH($B103,Régions!$A$2:$A$6,0))),0)</f>
        <v/>
      </c>
      <c r="AR103">
        <f>Régions!$Q$2*T103/SUM($Q103:$V103)*100+(1-Régions!$Q$2)*MAX(N103*100+(INDEX(Régions!$AO$2:$AO$6,MATCH($B103,Régions!$A$2:$A$6,0))),0)</f>
        <v/>
      </c>
      <c r="AS103">
        <f>Régions!$Q$2*U103/SUM($Q103:$V103)*100+(1-Régions!$Q$2)*MAX(O103*100+(INDEX(Régions!$AP$2:$AP$6,MATCH($B103,Régions!$A$2:$A$6,0))),0)</f>
        <v/>
      </c>
      <c r="AT103">
        <f>Régions!$Q$2*V103/SUM($Q103:$V103)*100+(1-Régions!$Q$2)*MAX(P103*100+(INDEX(Régions!$AQ$2:$AQ$6,MATCH($B103,Régions!$A$2:$A$6,0))),0)</f>
        <v/>
      </c>
      <c r="AU103">
        <f>INDEX({"CAQ","PLQ","QS","PQ","PCQ","Autre"},MATCH(MAX(Q103:V103),Q103:V103,0))</f>
        <v/>
      </c>
      <c r="AV103">
        <f>INDEX({"CAQ","PLQ","QS","PQ","PCQ","Autre"},MATCH(MAX(W103:AB103),W103:AB103,0))</f>
        <v/>
      </c>
      <c r="AW103">
        <f>INDEX({"CAQ","PLQ","QS","PQ","PCQ","Autre"},MATCH(MAX(AC103:AH103),AC103:AH103,0))</f>
        <v/>
      </c>
      <c r="AX103">
        <f>INDEX({"CAQ","PLQ","QS","PQ","PCQ","Autre"},MATCH(MAX(AI103:AN103),AI103:AN103,0))</f>
        <v/>
      </c>
      <c r="AY103">
        <f>INDEX({"CAQ","PLQ","QS","PQ","PCQ","Autre"},MATCH(MAX(AO103:AT103),AO103:AT103,0))</f>
        <v/>
      </c>
      <c r="AZ103">
        <f>(MAX(K103:P103)-LARGE(K103:P103,2))*100</f>
        <v/>
      </c>
      <c r="BA103">
        <f>IF(AZ103&lt;5,"Oui","Non")</f>
        <v/>
      </c>
      <c r="BB103" t="n">
        <v>-5.771</v>
      </c>
      <c r="BC103" t="n">
        <v>5.098</v>
      </c>
      <c r="BD103" t="n">
        <v>0.748</v>
      </c>
      <c r="BE103" t="n">
        <v>-5.322</v>
      </c>
    </row>
    <row r="104">
      <c r="A104" t="inlineStr">
        <is>
          <t>Rouyn-Noranda-Témiscamingue</t>
        </is>
      </c>
      <c r="B104" t="inlineStr">
        <is>
          <t>Reste du Québec</t>
        </is>
      </c>
      <c r="C104">
        <f>INDEX({"CAQ","PLQ","QS","PQ","PCQ","Autre"},MATCH(MAX(D104:I104),D104:I104,0))</f>
        <v/>
      </c>
      <c r="D104" t="n">
        <v>12975</v>
      </c>
      <c r="E104" t="n">
        <v>1255</v>
      </c>
      <c r="F104" t="n">
        <v>8890</v>
      </c>
      <c r="G104" t="n">
        <v>3232</v>
      </c>
      <c r="H104" t="n">
        <v>2202</v>
      </c>
      <c r="I104" t="n">
        <v>178</v>
      </c>
      <c r="J104">
        <f>SUM(D104:I104)</f>
        <v/>
      </c>
      <c r="K104">
        <f>IFERROR(D104/$J104,0)</f>
        <v/>
      </c>
      <c r="L104">
        <f>IFERROR(E104/$J104,0)</f>
        <v/>
      </c>
      <c r="M104">
        <f>IFERROR(F104/$J104,0)</f>
        <v/>
      </c>
      <c r="N104">
        <f>IFERROR(G104/$J104,0)</f>
        <v/>
      </c>
      <c r="O104">
        <f>IFERROR(H104/$J104,0)</f>
        <v/>
      </c>
      <c r="P104">
        <f>IFERROR(I104/$J104,0)</f>
        <v/>
      </c>
      <c r="Q104">
        <f>D104*INDEX(Régions!$T$2:$T$6,MATCH($B104,Régions!$A$2:$A$6,0))</f>
        <v/>
      </c>
      <c r="R104">
        <f>E104*INDEX(Régions!$U$2:$U$6,MATCH($B104,Régions!$A$2:$A$6,0))</f>
        <v/>
      </c>
      <c r="S104">
        <f>F104*INDEX(Régions!$V$2:$V$6,MATCH($B104,Régions!$A$2:$A$6,0))</f>
        <v/>
      </c>
      <c r="T104">
        <f>G104*INDEX(Régions!$W$2:$W$6,MATCH($B104,Régions!$A$2:$A$6,0))</f>
        <v/>
      </c>
      <c r="U104">
        <f>H104*INDEX(Régions!$X$2:$X$6,MATCH($B104,Régions!$A$2:$A$6,0))</f>
        <v/>
      </c>
      <c r="V104">
        <f>I104*INDEX(Régions!$Y$2:$Y$6,MATCH($B104,Régions!$A$2:$A$6,0))</f>
        <v/>
      </c>
      <c r="W104">
        <f>Q104+(BB104/100)*$J104*Régions!$O$2</f>
        <v/>
      </c>
      <c r="X104">
        <f>R104+(BC104/100)*$J104*Régions!$O$2</f>
        <v/>
      </c>
      <c r="Y104">
        <f>S104+(BD104/100)*$J104*Régions!$O$2</f>
        <v/>
      </c>
      <c r="Z104">
        <f>T104+(BE104/100)*$J104*Régions!$O$2</f>
        <v/>
      </c>
      <c r="AA104">
        <f>U104</f>
        <v/>
      </c>
      <c r="AB104">
        <f>V104</f>
        <v/>
      </c>
      <c r="AC104">
        <f>D104*INDEX(Régions!$Z$2:$Z$6,MATCH($B104,Régions!$A$2:$A$6,0))</f>
        <v/>
      </c>
      <c r="AD104">
        <f>E104*INDEX(Régions!$AA$2:$AA$6,MATCH($B104,Régions!$A$2:$A$6,0))</f>
        <v/>
      </c>
      <c r="AE104">
        <f>F104*INDEX(Régions!$AB$2:$AB$6,MATCH($B104,Régions!$A$2:$A$6,0))</f>
        <v/>
      </c>
      <c r="AF104">
        <f>G104*INDEX(Régions!$AC$2:$AC$6,MATCH($B104,Régions!$A$2:$A$6,0))</f>
        <v/>
      </c>
      <c r="AG104">
        <f>H104*INDEX(Régions!$AD$2:$AD$6,MATCH($B104,Régions!$A$2:$A$6,0))</f>
        <v/>
      </c>
      <c r="AH104">
        <f>I104*INDEX(Régions!$AE$2:$AE$6,MATCH($B104,Régions!$A$2:$A$6,0))</f>
        <v/>
      </c>
      <c r="AI104">
        <f>D104*INDEX(Régions!$AF$2:$AF$6,MATCH($B104,Régions!$A$2:$A$6,0))</f>
        <v/>
      </c>
      <c r="AJ104">
        <f>E104*INDEX(Régions!$AG$2:$AG$6,MATCH($B104,Régions!$A$2:$A$6,0))</f>
        <v/>
      </c>
      <c r="AK104">
        <f>F104*INDEX(Régions!$AH$2:$AH$6,MATCH($B104,Régions!$A$2:$A$6,0))</f>
        <v/>
      </c>
      <c r="AL104">
        <f>G104*INDEX(Régions!$AI$2:$AI$6,MATCH($B104,Régions!$A$2:$A$6,0))</f>
        <v/>
      </c>
      <c r="AM104">
        <f>H104*INDEX(Régions!$AJ$2:$AJ$6,MATCH($B104,Régions!$A$2:$A$6,0))</f>
        <v/>
      </c>
      <c r="AN104">
        <f>I104*INDEX(Régions!$AK$2:$AK$6,MATCH($B104,Régions!$A$2:$A$6,0))</f>
        <v/>
      </c>
      <c r="AO104">
        <f>Régions!$Q$2*Q104/SUM($Q104:$V104)*100+(1-Régions!$Q$2)*MAX(K104*100+(INDEX(Régions!$AL$2:$AL$6,MATCH($B104,Régions!$A$2:$A$6,0))),0)</f>
        <v/>
      </c>
      <c r="AP104">
        <f>Régions!$Q$2*R104/SUM($Q104:$V104)*100+(1-Régions!$Q$2)*MAX(L104*100+(INDEX(Régions!$AM$2:$AM$6,MATCH($B104,Régions!$A$2:$A$6,0))),0)</f>
        <v/>
      </c>
      <c r="AQ104">
        <f>Régions!$Q$2*S104/SUM($Q104:$V104)*100+(1-Régions!$Q$2)*MAX(M104*100+(INDEX(Régions!$AN$2:$AN$6,MATCH($B104,Régions!$A$2:$A$6,0))),0)</f>
        <v/>
      </c>
      <c r="AR104">
        <f>Régions!$Q$2*T104/SUM($Q104:$V104)*100+(1-Régions!$Q$2)*MAX(N104*100+(INDEX(Régions!$AO$2:$AO$6,MATCH($B104,Régions!$A$2:$A$6,0))),0)</f>
        <v/>
      </c>
      <c r="AS104">
        <f>Régions!$Q$2*U104/SUM($Q104:$V104)*100+(1-Régions!$Q$2)*MAX(O104*100+(INDEX(Régions!$AP$2:$AP$6,MATCH($B104,Régions!$A$2:$A$6,0))),0)</f>
        <v/>
      </c>
      <c r="AT104">
        <f>Régions!$Q$2*V104/SUM($Q104:$V104)*100+(1-Régions!$Q$2)*MAX(P104*100+(INDEX(Régions!$AQ$2:$AQ$6,MATCH($B104,Régions!$A$2:$A$6,0))),0)</f>
        <v/>
      </c>
      <c r="AU104">
        <f>INDEX({"CAQ","PLQ","QS","PQ","PCQ","Autre"},MATCH(MAX(Q104:V104),Q104:V104,0))</f>
        <v/>
      </c>
      <c r="AV104">
        <f>INDEX({"CAQ","PLQ","QS","PQ","PCQ","Autre"},MATCH(MAX(W104:AB104),W104:AB104,0))</f>
        <v/>
      </c>
      <c r="AW104">
        <f>INDEX({"CAQ","PLQ","QS","PQ","PCQ","Autre"},MATCH(MAX(AC104:AH104),AC104:AH104,0))</f>
        <v/>
      </c>
      <c r="AX104">
        <f>INDEX({"CAQ","PLQ","QS","PQ","PCQ","Autre"},MATCH(MAX(AI104:AN104),AI104:AN104,0))</f>
        <v/>
      </c>
      <c r="AY104">
        <f>INDEX({"CAQ","PLQ","QS","PQ","PCQ","Autre"},MATCH(MAX(AO104:AT104),AO104:AT104,0))</f>
        <v/>
      </c>
      <c r="AZ104">
        <f>(MAX(K104:P104)-LARGE(K104:P104,2))*100</f>
        <v/>
      </c>
      <c r="BA104">
        <f>IF(AZ104&lt;5,"Oui","Non")</f>
        <v/>
      </c>
      <c r="BB104" t="n">
        <v>7.42</v>
      </c>
      <c r="BC104" t="n">
        <v>1.087</v>
      </c>
      <c r="BD104" t="n">
        <v>0.044</v>
      </c>
      <c r="BE104" t="n">
        <v>-2.899</v>
      </c>
    </row>
    <row r="105">
      <c r="A105" t="inlineStr">
        <is>
          <t>Saint-François</t>
        </is>
      </c>
      <c r="B105" t="inlineStr">
        <is>
          <t>Reste du Québec</t>
        </is>
      </c>
      <c r="C105">
        <f>INDEX({"CAQ","PLQ","QS","PQ","PCQ","Autre"},MATCH(MAX(D105:I105),D105:I105,0))</f>
        <v/>
      </c>
      <c r="D105" t="n">
        <v>15653.4</v>
      </c>
      <c r="E105" t="n">
        <v>2916.9</v>
      </c>
      <c r="F105" t="n">
        <v>10409.4</v>
      </c>
      <c r="G105" t="n">
        <v>3362.6</v>
      </c>
      <c r="H105" t="n">
        <v>4319.2</v>
      </c>
      <c r="I105" t="n">
        <v>232.8</v>
      </c>
      <c r="J105">
        <f>SUM(D105:I105)</f>
        <v/>
      </c>
      <c r="K105">
        <f>IFERROR(D105/$J105,0)</f>
        <v/>
      </c>
      <c r="L105">
        <f>IFERROR(E105/$J105,0)</f>
        <v/>
      </c>
      <c r="M105">
        <f>IFERROR(F105/$J105,0)</f>
        <v/>
      </c>
      <c r="N105">
        <f>IFERROR(G105/$J105,0)</f>
        <v/>
      </c>
      <c r="O105">
        <f>IFERROR(H105/$J105,0)</f>
        <v/>
      </c>
      <c r="P105">
        <f>IFERROR(I105/$J105,0)</f>
        <v/>
      </c>
      <c r="Q105">
        <f>D105*INDEX(Régions!$T$2:$T$6,MATCH($B105,Régions!$A$2:$A$6,0))</f>
        <v/>
      </c>
      <c r="R105">
        <f>E105*INDEX(Régions!$U$2:$U$6,MATCH($B105,Régions!$A$2:$A$6,0))</f>
        <v/>
      </c>
      <c r="S105">
        <f>F105*INDEX(Régions!$V$2:$V$6,MATCH($B105,Régions!$A$2:$A$6,0))</f>
        <v/>
      </c>
      <c r="T105">
        <f>G105*INDEX(Régions!$W$2:$W$6,MATCH($B105,Régions!$A$2:$A$6,0))</f>
        <v/>
      </c>
      <c r="U105">
        <f>H105*INDEX(Régions!$X$2:$X$6,MATCH($B105,Régions!$A$2:$A$6,0))</f>
        <v/>
      </c>
      <c r="V105">
        <f>I105*INDEX(Régions!$Y$2:$Y$6,MATCH($B105,Régions!$A$2:$A$6,0))</f>
        <v/>
      </c>
      <c r="W105">
        <f>Q105+(BB105/100)*$J105*Régions!$O$2</f>
        <v/>
      </c>
      <c r="X105">
        <f>R105+(BC105/100)*$J105*Régions!$O$2</f>
        <v/>
      </c>
      <c r="Y105">
        <f>S105+(BD105/100)*$J105*Régions!$O$2</f>
        <v/>
      </c>
      <c r="Z105">
        <f>T105+(BE105/100)*$J105*Régions!$O$2</f>
        <v/>
      </c>
      <c r="AA105">
        <f>U105</f>
        <v/>
      </c>
      <c r="AB105">
        <f>V105</f>
        <v/>
      </c>
      <c r="AC105">
        <f>D105*INDEX(Régions!$Z$2:$Z$6,MATCH($B105,Régions!$A$2:$A$6,0))</f>
        <v/>
      </c>
      <c r="AD105">
        <f>E105*INDEX(Régions!$AA$2:$AA$6,MATCH($B105,Régions!$A$2:$A$6,0))</f>
        <v/>
      </c>
      <c r="AE105">
        <f>F105*INDEX(Régions!$AB$2:$AB$6,MATCH($B105,Régions!$A$2:$A$6,0))</f>
        <v/>
      </c>
      <c r="AF105">
        <f>G105*INDEX(Régions!$AC$2:$AC$6,MATCH($B105,Régions!$A$2:$A$6,0))</f>
        <v/>
      </c>
      <c r="AG105">
        <f>H105*INDEX(Régions!$AD$2:$AD$6,MATCH($B105,Régions!$A$2:$A$6,0))</f>
        <v/>
      </c>
      <c r="AH105">
        <f>I105*INDEX(Régions!$AE$2:$AE$6,MATCH($B105,Régions!$A$2:$A$6,0))</f>
        <v/>
      </c>
      <c r="AI105">
        <f>D105*INDEX(Régions!$AF$2:$AF$6,MATCH($B105,Régions!$A$2:$A$6,0))</f>
        <v/>
      </c>
      <c r="AJ105">
        <f>E105*INDEX(Régions!$AG$2:$AG$6,MATCH($B105,Régions!$A$2:$A$6,0))</f>
        <v/>
      </c>
      <c r="AK105">
        <f>F105*INDEX(Régions!$AH$2:$AH$6,MATCH($B105,Régions!$A$2:$A$6,0))</f>
        <v/>
      </c>
      <c r="AL105">
        <f>G105*INDEX(Régions!$AI$2:$AI$6,MATCH($B105,Régions!$A$2:$A$6,0))</f>
        <v/>
      </c>
      <c r="AM105">
        <f>H105*INDEX(Régions!$AJ$2:$AJ$6,MATCH($B105,Régions!$A$2:$A$6,0))</f>
        <v/>
      </c>
      <c r="AN105">
        <f>I105*INDEX(Régions!$AK$2:$AK$6,MATCH($B105,Régions!$A$2:$A$6,0))</f>
        <v/>
      </c>
      <c r="AO105">
        <f>Régions!$Q$2*Q105/SUM($Q105:$V105)*100+(1-Régions!$Q$2)*MAX(K105*100+(INDEX(Régions!$AL$2:$AL$6,MATCH($B105,Régions!$A$2:$A$6,0))),0)</f>
        <v/>
      </c>
      <c r="AP105">
        <f>Régions!$Q$2*R105/SUM($Q105:$V105)*100+(1-Régions!$Q$2)*MAX(L105*100+(INDEX(Régions!$AM$2:$AM$6,MATCH($B105,Régions!$A$2:$A$6,0))),0)</f>
        <v/>
      </c>
      <c r="AQ105">
        <f>Régions!$Q$2*S105/SUM($Q105:$V105)*100+(1-Régions!$Q$2)*MAX(M105*100+(INDEX(Régions!$AN$2:$AN$6,MATCH($B105,Régions!$A$2:$A$6,0))),0)</f>
        <v/>
      </c>
      <c r="AR105">
        <f>Régions!$Q$2*T105/SUM($Q105:$V105)*100+(1-Régions!$Q$2)*MAX(N105*100+(INDEX(Régions!$AO$2:$AO$6,MATCH($B105,Régions!$A$2:$A$6,0))),0)</f>
        <v/>
      </c>
      <c r="AS105">
        <f>Régions!$Q$2*U105/SUM($Q105:$V105)*100+(1-Régions!$Q$2)*MAX(O105*100+(INDEX(Régions!$AP$2:$AP$6,MATCH($B105,Régions!$A$2:$A$6,0))),0)</f>
        <v/>
      </c>
      <c r="AT105">
        <f>Régions!$Q$2*V105/SUM($Q105:$V105)*100+(1-Régions!$Q$2)*MAX(P105*100+(INDEX(Régions!$AQ$2:$AQ$6,MATCH($B105,Régions!$A$2:$A$6,0))),0)</f>
        <v/>
      </c>
      <c r="AU105">
        <f>INDEX({"CAQ","PLQ","QS","PQ","PCQ","Autre"},MATCH(MAX(Q105:V105),Q105:V105,0))</f>
        <v/>
      </c>
      <c r="AV105">
        <f>INDEX({"CAQ","PLQ","QS","PQ","PCQ","Autre"},MATCH(MAX(W105:AB105),W105:AB105,0))</f>
        <v/>
      </c>
      <c r="AW105">
        <f>INDEX({"CAQ","PLQ","QS","PQ","PCQ","Autre"},MATCH(MAX(AC105:AH105),AC105:AH105,0))</f>
        <v/>
      </c>
      <c r="AX105">
        <f>INDEX({"CAQ","PLQ","QS","PQ","PCQ","Autre"},MATCH(MAX(AI105:AN105),AI105:AN105,0))</f>
        <v/>
      </c>
      <c r="AY105">
        <f>INDEX({"CAQ","PLQ","QS","PQ","PCQ","Autre"},MATCH(MAX(AO105:AT105),AO105:AT105,0))</f>
        <v/>
      </c>
      <c r="AZ105">
        <f>(MAX(K105:P105)-LARGE(K105:P105,2))*100</f>
        <v/>
      </c>
      <c r="BA105">
        <f>IF(AZ105&lt;5,"Oui","Non")</f>
        <v/>
      </c>
      <c r="BB105" t="n">
        <v>0.293</v>
      </c>
      <c r="BC105" t="n">
        <v>-2.29</v>
      </c>
      <c r="BD105" t="n">
        <v>6.714</v>
      </c>
      <c r="BE105" t="n">
        <v>-2.909</v>
      </c>
    </row>
    <row r="106">
      <c r="A106" t="inlineStr">
        <is>
          <t>Saint-Henri-Sainte-Anne</t>
        </is>
      </c>
      <c r="B106" t="inlineStr">
        <is>
          <t>Île de Montréal</t>
        </is>
      </c>
      <c r="C106">
        <f>INDEX({"CAQ","PLQ","QS","PQ","PCQ","Autre"},MATCH(MAX(D106:I106),D106:I106,0))</f>
        <v/>
      </c>
      <c r="D106" t="n">
        <v>5751</v>
      </c>
      <c r="E106" t="n">
        <v>11728</v>
      </c>
      <c r="F106" t="n">
        <v>8992</v>
      </c>
      <c r="G106" t="n">
        <v>2683</v>
      </c>
      <c r="H106" t="n">
        <v>2063</v>
      </c>
      <c r="I106" t="n">
        <v>1223</v>
      </c>
      <c r="J106">
        <f>SUM(D106:I106)</f>
        <v/>
      </c>
      <c r="K106">
        <f>IFERROR(D106/$J106,0)</f>
        <v/>
      </c>
      <c r="L106">
        <f>IFERROR(E106/$J106,0)</f>
        <v/>
      </c>
      <c r="M106">
        <f>IFERROR(F106/$J106,0)</f>
        <v/>
      </c>
      <c r="N106">
        <f>IFERROR(G106/$J106,0)</f>
        <v/>
      </c>
      <c r="O106">
        <f>IFERROR(H106/$J106,0)</f>
        <v/>
      </c>
      <c r="P106">
        <f>IFERROR(I106/$J106,0)</f>
        <v/>
      </c>
      <c r="Q106">
        <f>D106*INDEX(Régions!$T$2:$T$6,MATCH($B106,Régions!$A$2:$A$6,0))</f>
        <v/>
      </c>
      <c r="R106">
        <f>E106*INDEX(Régions!$U$2:$U$6,MATCH($B106,Régions!$A$2:$A$6,0))</f>
        <v/>
      </c>
      <c r="S106">
        <f>F106*INDEX(Régions!$V$2:$V$6,MATCH($B106,Régions!$A$2:$A$6,0))</f>
        <v/>
      </c>
      <c r="T106">
        <f>G106*INDEX(Régions!$W$2:$W$6,MATCH($B106,Régions!$A$2:$A$6,0))</f>
        <v/>
      </c>
      <c r="U106">
        <f>H106*INDEX(Régions!$X$2:$X$6,MATCH($B106,Régions!$A$2:$A$6,0))</f>
        <v/>
      </c>
      <c r="V106">
        <f>I106*INDEX(Régions!$Y$2:$Y$6,MATCH($B106,Régions!$A$2:$A$6,0))</f>
        <v/>
      </c>
      <c r="W106">
        <f>Q106+(BB106/100)*$J106*Régions!$O$2</f>
        <v/>
      </c>
      <c r="X106">
        <f>R106+(BC106/100)*$J106*Régions!$O$2</f>
        <v/>
      </c>
      <c r="Y106">
        <f>S106+(BD106/100)*$J106*Régions!$O$2</f>
        <v/>
      </c>
      <c r="Z106">
        <f>T106+(BE106/100)*$J106*Régions!$O$2</f>
        <v/>
      </c>
      <c r="AA106">
        <f>U106</f>
        <v/>
      </c>
      <c r="AB106">
        <f>V106</f>
        <v/>
      </c>
      <c r="AC106">
        <f>D106*INDEX(Régions!$Z$2:$Z$6,MATCH($B106,Régions!$A$2:$A$6,0))</f>
        <v/>
      </c>
      <c r="AD106">
        <f>E106*INDEX(Régions!$AA$2:$AA$6,MATCH($B106,Régions!$A$2:$A$6,0))</f>
        <v/>
      </c>
      <c r="AE106">
        <f>F106*INDEX(Régions!$AB$2:$AB$6,MATCH($B106,Régions!$A$2:$A$6,0))</f>
        <v/>
      </c>
      <c r="AF106">
        <f>G106*INDEX(Régions!$AC$2:$AC$6,MATCH($B106,Régions!$A$2:$A$6,0))</f>
        <v/>
      </c>
      <c r="AG106">
        <f>H106*INDEX(Régions!$AD$2:$AD$6,MATCH($B106,Régions!$A$2:$A$6,0))</f>
        <v/>
      </c>
      <c r="AH106">
        <f>I106*INDEX(Régions!$AE$2:$AE$6,MATCH($B106,Régions!$A$2:$A$6,0))</f>
        <v/>
      </c>
      <c r="AI106">
        <f>D106*INDEX(Régions!$AF$2:$AF$6,MATCH($B106,Régions!$A$2:$A$6,0))</f>
        <v/>
      </c>
      <c r="AJ106">
        <f>E106*INDEX(Régions!$AG$2:$AG$6,MATCH($B106,Régions!$A$2:$A$6,0))</f>
        <v/>
      </c>
      <c r="AK106">
        <f>F106*INDEX(Régions!$AH$2:$AH$6,MATCH($B106,Régions!$A$2:$A$6,0))</f>
        <v/>
      </c>
      <c r="AL106">
        <f>G106*INDEX(Régions!$AI$2:$AI$6,MATCH($B106,Régions!$A$2:$A$6,0))</f>
        <v/>
      </c>
      <c r="AM106">
        <f>H106*INDEX(Régions!$AJ$2:$AJ$6,MATCH($B106,Régions!$A$2:$A$6,0))</f>
        <v/>
      </c>
      <c r="AN106">
        <f>I106*INDEX(Régions!$AK$2:$AK$6,MATCH($B106,Régions!$A$2:$A$6,0))</f>
        <v/>
      </c>
      <c r="AO106">
        <f>Régions!$Q$2*Q106/SUM($Q106:$V106)*100+(1-Régions!$Q$2)*MAX(K106*100+(INDEX(Régions!$AL$2:$AL$6,MATCH($B106,Régions!$A$2:$A$6,0))),0)</f>
        <v/>
      </c>
      <c r="AP106">
        <f>Régions!$Q$2*R106/SUM($Q106:$V106)*100+(1-Régions!$Q$2)*MAX(L106*100+(INDEX(Régions!$AM$2:$AM$6,MATCH($B106,Régions!$A$2:$A$6,0))),0)</f>
        <v/>
      </c>
      <c r="AQ106">
        <f>Régions!$Q$2*S106/SUM($Q106:$V106)*100+(1-Régions!$Q$2)*MAX(M106*100+(INDEX(Régions!$AN$2:$AN$6,MATCH($B106,Régions!$A$2:$A$6,0))),0)</f>
        <v/>
      </c>
      <c r="AR106">
        <f>Régions!$Q$2*T106/SUM($Q106:$V106)*100+(1-Régions!$Q$2)*MAX(N106*100+(INDEX(Régions!$AO$2:$AO$6,MATCH($B106,Régions!$A$2:$A$6,0))),0)</f>
        <v/>
      </c>
      <c r="AS106">
        <f>Régions!$Q$2*U106/SUM($Q106:$V106)*100+(1-Régions!$Q$2)*MAX(O106*100+(INDEX(Régions!$AP$2:$AP$6,MATCH($B106,Régions!$A$2:$A$6,0))),0)</f>
        <v/>
      </c>
      <c r="AT106">
        <f>Régions!$Q$2*V106/SUM($Q106:$V106)*100+(1-Régions!$Q$2)*MAX(P106*100+(INDEX(Régions!$AQ$2:$AQ$6,MATCH($B106,Régions!$A$2:$A$6,0))),0)</f>
        <v/>
      </c>
      <c r="AU106">
        <f>INDEX({"CAQ","PLQ","QS","PQ","PCQ","Autre"},MATCH(MAX(Q106:V106),Q106:V106,0))</f>
        <v/>
      </c>
      <c r="AV106">
        <f>INDEX({"CAQ","PLQ","QS","PQ","PCQ","Autre"},MATCH(MAX(W106:AB106),W106:AB106,0))</f>
        <v/>
      </c>
      <c r="AW106">
        <f>INDEX({"CAQ","PLQ","QS","PQ","PCQ","Autre"},MATCH(MAX(AC106:AH106),AC106:AH106,0))</f>
        <v/>
      </c>
      <c r="AX106">
        <f>INDEX({"CAQ","PLQ","QS","PQ","PCQ","Autre"},MATCH(MAX(AI106:AN106),AI106:AN106,0))</f>
        <v/>
      </c>
      <c r="AY106">
        <f>INDEX({"CAQ","PLQ","QS","PQ","PCQ","Autre"},MATCH(MAX(AO106:AT106),AO106:AT106,0))</f>
        <v/>
      </c>
      <c r="AZ106">
        <f>(MAX(K106:P106)-LARGE(K106:P106,2))*100</f>
        <v/>
      </c>
      <c r="BA106">
        <f>IF(AZ106&lt;5,"Oui","Non")</f>
        <v/>
      </c>
      <c r="BB106" t="n">
        <v>-2.901</v>
      </c>
      <c r="BC106" t="n">
        <v>6.893</v>
      </c>
      <c r="BD106" t="n">
        <v>3.11</v>
      </c>
      <c r="BE106" t="n">
        <v>-2.098</v>
      </c>
    </row>
    <row r="107">
      <c r="A107" t="inlineStr">
        <is>
          <t>Saint-Hyacinthe</t>
        </is>
      </c>
      <c r="B107" t="inlineStr">
        <is>
          <t>Reste du Québec</t>
        </is>
      </c>
      <c r="C107">
        <f>INDEX({"CAQ","PLQ","QS","PQ","PCQ","Autre"},MATCH(MAX(D107:I107),D107:I107,0))</f>
        <v/>
      </c>
      <c r="D107" t="n">
        <v>20566.5</v>
      </c>
      <c r="E107" t="n">
        <v>1598.8</v>
      </c>
      <c r="F107" t="n">
        <v>5221.8</v>
      </c>
      <c r="G107" t="n">
        <v>6419.9</v>
      </c>
      <c r="H107" t="n">
        <v>3668.9</v>
      </c>
      <c r="I107" t="n">
        <v>487.3</v>
      </c>
      <c r="J107">
        <f>SUM(D107:I107)</f>
        <v/>
      </c>
      <c r="K107">
        <f>IFERROR(D107/$J107,0)</f>
        <v/>
      </c>
      <c r="L107">
        <f>IFERROR(E107/$J107,0)</f>
        <v/>
      </c>
      <c r="M107">
        <f>IFERROR(F107/$J107,0)</f>
        <v/>
      </c>
      <c r="N107">
        <f>IFERROR(G107/$J107,0)</f>
        <v/>
      </c>
      <c r="O107">
        <f>IFERROR(H107/$J107,0)</f>
        <v/>
      </c>
      <c r="P107">
        <f>IFERROR(I107/$J107,0)</f>
        <v/>
      </c>
      <c r="Q107">
        <f>D107*INDEX(Régions!$T$2:$T$6,MATCH($B107,Régions!$A$2:$A$6,0))</f>
        <v/>
      </c>
      <c r="R107">
        <f>E107*INDEX(Régions!$U$2:$U$6,MATCH($B107,Régions!$A$2:$A$6,0))</f>
        <v/>
      </c>
      <c r="S107">
        <f>F107*INDEX(Régions!$V$2:$V$6,MATCH($B107,Régions!$A$2:$A$6,0))</f>
        <v/>
      </c>
      <c r="T107">
        <f>G107*INDEX(Régions!$W$2:$W$6,MATCH($B107,Régions!$A$2:$A$6,0))</f>
        <v/>
      </c>
      <c r="U107">
        <f>H107*INDEX(Régions!$X$2:$X$6,MATCH($B107,Régions!$A$2:$A$6,0))</f>
        <v/>
      </c>
      <c r="V107">
        <f>I107*INDEX(Régions!$Y$2:$Y$6,MATCH($B107,Régions!$A$2:$A$6,0))</f>
        <v/>
      </c>
      <c r="W107">
        <f>Q107+(BB107/100)*$J107*Régions!$O$2</f>
        <v/>
      </c>
      <c r="X107">
        <f>R107+(BC107/100)*$J107*Régions!$O$2</f>
        <v/>
      </c>
      <c r="Y107">
        <f>S107+(BD107/100)*$J107*Régions!$O$2</f>
        <v/>
      </c>
      <c r="Z107">
        <f>T107+(BE107/100)*$J107*Régions!$O$2</f>
        <v/>
      </c>
      <c r="AA107">
        <f>U107</f>
        <v/>
      </c>
      <c r="AB107">
        <f>V107</f>
        <v/>
      </c>
      <c r="AC107">
        <f>D107*INDEX(Régions!$Z$2:$Z$6,MATCH($B107,Régions!$A$2:$A$6,0))</f>
        <v/>
      </c>
      <c r="AD107">
        <f>E107*INDEX(Régions!$AA$2:$AA$6,MATCH($B107,Régions!$A$2:$A$6,0))</f>
        <v/>
      </c>
      <c r="AE107">
        <f>F107*INDEX(Régions!$AB$2:$AB$6,MATCH($B107,Régions!$A$2:$A$6,0))</f>
        <v/>
      </c>
      <c r="AF107">
        <f>G107*INDEX(Régions!$AC$2:$AC$6,MATCH($B107,Régions!$A$2:$A$6,0))</f>
        <v/>
      </c>
      <c r="AG107">
        <f>H107*INDEX(Régions!$AD$2:$AD$6,MATCH($B107,Régions!$A$2:$A$6,0))</f>
        <v/>
      </c>
      <c r="AH107">
        <f>I107*INDEX(Régions!$AE$2:$AE$6,MATCH($B107,Régions!$A$2:$A$6,0))</f>
        <v/>
      </c>
      <c r="AI107">
        <f>D107*INDEX(Régions!$AF$2:$AF$6,MATCH($B107,Régions!$A$2:$A$6,0))</f>
        <v/>
      </c>
      <c r="AJ107">
        <f>E107*INDEX(Régions!$AG$2:$AG$6,MATCH($B107,Régions!$A$2:$A$6,0))</f>
        <v/>
      </c>
      <c r="AK107">
        <f>F107*INDEX(Régions!$AH$2:$AH$6,MATCH($B107,Régions!$A$2:$A$6,0))</f>
        <v/>
      </c>
      <c r="AL107">
        <f>G107*INDEX(Régions!$AI$2:$AI$6,MATCH($B107,Régions!$A$2:$A$6,0))</f>
        <v/>
      </c>
      <c r="AM107">
        <f>H107*INDEX(Régions!$AJ$2:$AJ$6,MATCH($B107,Régions!$A$2:$A$6,0))</f>
        <v/>
      </c>
      <c r="AN107">
        <f>I107*INDEX(Régions!$AK$2:$AK$6,MATCH($B107,Régions!$A$2:$A$6,0))</f>
        <v/>
      </c>
      <c r="AO107">
        <f>Régions!$Q$2*Q107/SUM($Q107:$V107)*100+(1-Régions!$Q$2)*MAX(K107*100+(INDEX(Régions!$AL$2:$AL$6,MATCH($B107,Régions!$A$2:$A$6,0))),0)</f>
        <v/>
      </c>
      <c r="AP107">
        <f>Régions!$Q$2*R107/SUM($Q107:$V107)*100+(1-Régions!$Q$2)*MAX(L107*100+(INDEX(Régions!$AM$2:$AM$6,MATCH($B107,Régions!$A$2:$A$6,0))),0)</f>
        <v/>
      </c>
      <c r="AQ107">
        <f>Régions!$Q$2*S107/SUM($Q107:$V107)*100+(1-Régions!$Q$2)*MAX(M107*100+(INDEX(Régions!$AN$2:$AN$6,MATCH($B107,Régions!$A$2:$A$6,0))),0)</f>
        <v/>
      </c>
      <c r="AR107">
        <f>Régions!$Q$2*T107/SUM($Q107:$V107)*100+(1-Régions!$Q$2)*MAX(N107*100+(INDEX(Régions!$AO$2:$AO$6,MATCH($B107,Régions!$A$2:$A$6,0))),0)</f>
        <v/>
      </c>
      <c r="AS107">
        <f>Régions!$Q$2*U107/SUM($Q107:$V107)*100+(1-Régions!$Q$2)*MAX(O107*100+(INDEX(Régions!$AP$2:$AP$6,MATCH($B107,Régions!$A$2:$A$6,0))),0)</f>
        <v/>
      </c>
      <c r="AT107">
        <f>Régions!$Q$2*V107/SUM($Q107:$V107)*100+(1-Régions!$Q$2)*MAX(P107*100+(INDEX(Régions!$AQ$2:$AQ$6,MATCH($B107,Régions!$A$2:$A$6,0))),0)</f>
        <v/>
      </c>
      <c r="AU107">
        <f>INDEX({"CAQ","PLQ","QS","PQ","PCQ","Autre"},MATCH(MAX(Q107:V107),Q107:V107,0))</f>
        <v/>
      </c>
      <c r="AV107">
        <f>INDEX({"CAQ","PLQ","QS","PQ","PCQ","Autre"},MATCH(MAX(W107:AB107),W107:AB107,0))</f>
        <v/>
      </c>
      <c r="AW107">
        <f>INDEX({"CAQ","PLQ","QS","PQ","PCQ","Autre"},MATCH(MAX(AC107:AH107),AC107:AH107,0))</f>
        <v/>
      </c>
      <c r="AX107">
        <f>INDEX({"CAQ","PLQ","QS","PQ","PCQ","Autre"},MATCH(MAX(AI107:AN107),AI107:AN107,0))</f>
        <v/>
      </c>
      <c r="AY107">
        <f>INDEX({"CAQ","PLQ","QS","PQ","PCQ","Autre"},MATCH(MAX(AO107:AT107),AO107:AT107,0))</f>
        <v/>
      </c>
      <c r="AZ107">
        <f>(MAX(K107:P107)-LARGE(K107:P107,2))*100</f>
        <v/>
      </c>
      <c r="BA107">
        <f>IF(AZ107&lt;5,"Oui","Non")</f>
        <v/>
      </c>
      <c r="BB107" t="n">
        <v>-4.905</v>
      </c>
      <c r="BC107" t="n">
        <v>3.413</v>
      </c>
      <c r="BD107" t="n">
        <v>-1.703</v>
      </c>
      <c r="BE107" t="n">
        <v>4.678</v>
      </c>
    </row>
    <row r="108">
      <c r="A108" t="inlineStr">
        <is>
          <t>Saint-Jean</t>
        </is>
      </c>
      <c r="B108" t="inlineStr">
        <is>
          <t>Banlieue de Montréal</t>
        </is>
      </c>
      <c r="C108">
        <f>INDEX({"CAQ","PLQ","QS","PQ","PCQ","Autre"},MATCH(MAX(D108:I108),D108:I108,0))</f>
        <v/>
      </c>
      <c r="D108" t="n">
        <v>21147.7</v>
      </c>
      <c r="E108" t="n">
        <v>2495.8</v>
      </c>
      <c r="F108" t="n">
        <v>6163.1</v>
      </c>
      <c r="G108" t="n">
        <v>8025.5</v>
      </c>
      <c r="H108" t="n">
        <v>3505.8</v>
      </c>
      <c r="I108" t="n">
        <v>411.6</v>
      </c>
      <c r="J108">
        <f>SUM(D108:I108)</f>
        <v/>
      </c>
      <c r="K108">
        <f>IFERROR(D108/$J108,0)</f>
        <v/>
      </c>
      <c r="L108">
        <f>IFERROR(E108/$J108,0)</f>
        <v/>
      </c>
      <c r="M108">
        <f>IFERROR(F108/$J108,0)</f>
        <v/>
      </c>
      <c r="N108">
        <f>IFERROR(G108/$J108,0)</f>
        <v/>
      </c>
      <c r="O108">
        <f>IFERROR(H108/$J108,0)</f>
        <v/>
      </c>
      <c r="P108">
        <f>IFERROR(I108/$J108,0)</f>
        <v/>
      </c>
      <c r="Q108">
        <f>D108*INDEX(Régions!$T$2:$T$6,MATCH($B108,Régions!$A$2:$A$6,0))</f>
        <v/>
      </c>
      <c r="R108">
        <f>E108*INDEX(Régions!$U$2:$U$6,MATCH($B108,Régions!$A$2:$A$6,0))</f>
        <v/>
      </c>
      <c r="S108">
        <f>F108*INDEX(Régions!$V$2:$V$6,MATCH($B108,Régions!$A$2:$A$6,0))</f>
        <v/>
      </c>
      <c r="T108">
        <f>G108*INDEX(Régions!$W$2:$W$6,MATCH($B108,Régions!$A$2:$A$6,0))</f>
        <v/>
      </c>
      <c r="U108">
        <f>H108*INDEX(Régions!$X$2:$X$6,MATCH($B108,Régions!$A$2:$A$6,0))</f>
        <v/>
      </c>
      <c r="V108">
        <f>I108*INDEX(Régions!$Y$2:$Y$6,MATCH($B108,Régions!$A$2:$A$6,0))</f>
        <v/>
      </c>
      <c r="W108">
        <f>Q108+(BB108/100)*$J108*Régions!$O$2</f>
        <v/>
      </c>
      <c r="X108">
        <f>R108+(BC108/100)*$J108*Régions!$O$2</f>
        <v/>
      </c>
      <c r="Y108">
        <f>S108+(BD108/100)*$J108*Régions!$O$2</f>
        <v/>
      </c>
      <c r="Z108">
        <f>T108+(BE108/100)*$J108*Régions!$O$2</f>
        <v/>
      </c>
      <c r="AA108">
        <f>U108</f>
        <v/>
      </c>
      <c r="AB108">
        <f>V108</f>
        <v/>
      </c>
      <c r="AC108">
        <f>D108*INDEX(Régions!$Z$2:$Z$6,MATCH($B108,Régions!$A$2:$A$6,0))</f>
        <v/>
      </c>
      <c r="AD108">
        <f>E108*INDEX(Régions!$AA$2:$AA$6,MATCH($B108,Régions!$A$2:$A$6,0))</f>
        <v/>
      </c>
      <c r="AE108">
        <f>F108*INDEX(Régions!$AB$2:$AB$6,MATCH($B108,Régions!$A$2:$A$6,0))</f>
        <v/>
      </c>
      <c r="AF108">
        <f>G108*INDEX(Régions!$AC$2:$AC$6,MATCH($B108,Régions!$A$2:$A$6,0))</f>
        <v/>
      </c>
      <c r="AG108">
        <f>H108*INDEX(Régions!$AD$2:$AD$6,MATCH($B108,Régions!$A$2:$A$6,0))</f>
        <v/>
      </c>
      <c r="AH108">
        <f>I108*INDEX(Régions!$AE$2:$AE$6,MATCH($B108,Régions!$A$2:$A$6,0))</f>
        <v/>
      </c>
      <c r="AI108">
        <f>D108*INDEX(Régions!$AF$2:$AF$6,MATCH($B108,Régions!$A$2:$A$6,0))</f>
        <v/>
      </c>
      <c r="AJ108">
        <f>E108*INDEX(Régions!$AG$2:$AG$6,MATCH($B108,Régions!$A$2:$A$6,0))</f>
        <v/>
      </c>
      <c r="AK108">
        <f>F108*INDEX(Régions!$AH$2:$AH$6,MATCH($B108,Régions!$A$2:$A$6,0))</f>
        <v/>
      </c>
      <c r="AL108">
        <f>G108*INDEX(Régions!$AI$2:$AI$6,MATCH($B108,Régions!$A$2:$A$6,0))</f>
        <v/>
      </c>
      <c r="AM108">
        <f>H108*INDEX(Régions!$AJ$2:$AJ$6,MATCH($B108,Régions!$A$2:$A$6,0))</f>
        <v/>
      </c>
      <c r="AN108">
        <f>I108*INDEX(Régions!$AK$2:$AK$6,MATCH($B108,Régions!$A$2:$A$6,0))</f>
        <v/>
      </c>
      <c r="AO108">
        <f>Régions!$Q$2*Q108/SUM($Q108:$V108)*100+(1-Régions!$Q$2)*MAX(K108*100+(INDEX(Régions!$AL$2:$AL$6,MATCH($B108,Régions!$A$2:$A$6,0))),0)</f>
        <v/>
      </c>
      <c r="AP108">
        <f>Régions!$Q$2*R108/SUM($Q108:$V108)*100+(1-Régions!$Q$2)*MAX(L108*100+(INDEX(Régions!$AM$2:$AM$6,MATCH($B108,Régions!$A$2:$A$6,0))),0)</f>
        <v/>
      </c>
      <c r="AQ108">
        <f>Régions!$Q$2*S108/SUM($Q108:$V108)*100+(1-Régions!$Q$2)*MAX(M108*100+(INDEX(Régions!$AN$2:$AN$6,MATCH($B108,Régions!$A$2:$A$6,0))),0)</f>
        <v/>
      </c>
      <c r="AR108">
        <f>Régions!$Q$2*T108/SUM($Q108:$V108)*100+(1-Régions!$Q$2)*MAX(N108*100+(INDEX(Régions!$AO$2:$AO$6,MATCH($B108,Régions!$A$2:$A$6,0))),0)</f>
        <v/>
      </c>
      <c r="AS108">
        <f>Régions!$Q$2*U108/SUM($Q108:$V108)*100+(1-Régions!$Q$2)*MAX(O108*100+(INDEX(Régions!$AP$2:$AP$6,MATCH($B108,Régions!$A$2:$A$6,0))),0)</f>
        <v/>
      </c>
      <c r="AT108">
        <f>Régions!$Q$2*V108/SUM($Q108:$V108)*100+(1-Régions!$Q$2)*MAX(P108*100+(INDEX(Régions!$AQ$2:$AQ$6,MATCH($B108,Régions!$A$2:$A$6,0))),0)</f>
        <v/>
      </c>
      <c r="AU108">
        <f>INDEX({"CAQ","PLQ","QS","PQ","PCQ","Autre"},MATCH(MAX(Q108:V108),Q108:V108,0))</f>
        <v/>
      </c>
      <c r="AV108">
        <f>INDEX({"CAQ","PLQ","QS","PQ","PCQ","Autre"},MATCH(MAX(W108:AB108),W108:AB108,0))</f>
        <v/>
      </c>
      <c r="AW108">
        <f>INDEX({"CAQ","PLQ","QS","PQ","PCQ","Autre"},MATCH(MAX(AC108:AH108),AC108:AH108,0))</f>
        <v/>
      </c>
      <c r="AX108">
        <f>INDEX({"CAQ","PLQ","QS","PQ","PCQ","Autre"},MATCH(MAX(AI108:AN108),AI108:AN108,0))</f>
        <v/>
      </c>
      <c r="AY108">
        <f>INDEX({"CAQ","PLQ","QS","PQ","PCQ","Autre"},MATCH(MAX(AO108:AT108),AO108:AT108,0))</f>
        <v/>
      </c>
      <c r="AZ108">
        <f>(MAX(K108:P108)-LARGE(K108:P108,2))*100</f>
        <v/>
      </c>
      <c r="BA108">
        <f>IF(AZ108&lt;5,"Oui","Non")</f>
        <v/>
      </c>
      <c r="BB108" t="n">
        <v>8.042</v>
      </c>
      <c r="BC108" t="n">
        <v>1.215</v>
      </c>
      <c r="BD108" t="n">
        <v>0.931</v>
      </c>
      <c r="BE108" t="n">
        <v>-8.596</v>
      </c>
    </row>
    <row r="109">
      <c r="A109" t="inlineStr">
        <is>
          <t>Saint-Jérôme</t>
        </is>
      </c>
      <c r="B109" t="inlineStr">
        <is>
          <t>Reste du Québec</t>
        </is>
      </c>
      <c r="C109">
        <f>INDEX({"CAQ","PLQ","QS","PQ","PCQ","Autre"},MATCH(MAX(D109:I109),D109:I109,0))</f>
        <v/>
      </c>
      <c r="D109" t="n">
        <v>14458</v>
      </c>
      <c r="E109" t="n">
        <v>1308.7</v>
      </c>
      <c r="F109" t="n">
        <v>4515.5</v>
      </c>
      <c r="G109" t="n">
        <v>5442.5</v>
      </c>
      <c r="H109" t="n">
        <v>2816</v>
      </c>
      <c r="I109" t="n">
        <v>364.2</v>
      </c>
      <c r="J109">
        <f>SUM(D109:I109)</f>
        <v/>
      </c>
      <c r="K109">
        <f>IFERROR(D109/$J109,0)</f>
        <v/>
      </c>
      <c r="L109">
        <f>IFERROR(E109/$J109,0)</f>
        <v/>
      </c>
      <c r="M109">
        <f>IFERROR(F109/$J109,0)</f>
        <v/>
      </c>
      <c r="N109">
        <f>IFERROR(G109/$J109,0)</f>
        <v/>
      </c>
      <c r="O109">
        <f>IFERROR(H109/$J109,0)</f>
        <v/>
      </c>
      <c r="P109">
        <f>IFERROR(I109/$J109,0)</f>
        <v/>
      </c>
      <c r="Q109">
        <f>D109*INDEX(Régions!$T$2:$T$6,MATCH($B109,Régions!$A$2:$A$6,0))</f>
        <v/>
      </c>
      <c r="R109">
        <f>E109*INDEX(Régions!$U$2:$U$6,MATCH($B109,Régions!$A$2:$A$6,0))</f>
        <v/>
      </c>
      <c r="S109">
        <f>F109*INDEX(Régions!$V$2:$V$6,MATCH($B109,Régions!$A$2:$A$6,0))</f>
        <v/>
      </c>
      <c r="T109">
        <f>G109*INDEX(Régions!$W$2:$W$6,MATCH($B109,Régions!$A$2:$A$6,0))</f>
        <v/>
      </c>
      <c r="U109">
        <f>H109*INDEX(Régions!$X$2:$X$6,MATCH($B109,Régions!$A$2:$A$6,0))</f>
        <v/>
      </c>
      <c r="V109">
        <f>I109*INDEX(Régions!$Y$2:$Y$6,MATCH($B109,Régions!$A$2:$A$6,0))</f>
        <v/>
      </c>
      <c r="W109">
        <f>Q109+(BB109/100)*$J109*Régions!$O$2</f>
        <v/>
      </c>
      <c r="X109">
        <f>R109+(BC109/100)*$J109*Régions!$O$2</f>
        <v/>
      </c>
      <c r="Y109">
        <f>S109+(BD109/100)*$J109*Régions!$O$2</f>
        <v/>
      </c>
      <c r="Z109">
        <f>T109+(BE109/100)*$J109*Régions!$O$2</f>
        <v/>
      </c>
      <c r="AA109">
        <f>U109</f>
        <v/>
      </c>
      <c r="AB109">
        <f>V109</f>
        <v/>
      </c>
      <c r="AC109">
        <f>D109*INDEX(Régions!$Z$2:$Z$6,MATCH($B109,Régions!$A$2:$A$6,0))</f>
        <v/>
      </c>
      <c r="AD109">
        <f>E109*INDEX(Régions!$AA$2:$AA$6,MATCH($B109,Régions!$A$2:$A$6,0))</f>
        <v/>
      </c>
      <c r="AE109">
        <f>F109*INDEX(Régions!$AB$2:$AB$6,MATCH($B109,Régions!$A$2:$A$6,0))</f>
        <v/>
      </c>
      <c r="AF109">
        <f>G109*INDEX(Régions!$AC$2:$AC$6,MATCH($B109,Régions!$A$2:$A$6,0))</f>
        <v/>
      </c>
      <c r="AG109">
        <f>H109*INDEX(Régions!$AD$2:$AD$6,MATCH($B109,Régions!$A$2:$A$6,0))</f>
        <v/>
      </c>
      <c r="AH109">
        <f>I109*INDEX(Régions!$AE$2:$AE$6,MATCH($B109,Régions!$A$2:$A$6,0))</f>
        <v/>
      </c>
      <c r="AI109">
        <f>D109*INDEX(Régions!$AF$2:$AF$6,MATCH($B109,Régions!$A$2:$A$6,0))</f>
        <v/>
      </c>
      <c r="AJ109">
        <f>E109*INDEX(Régions!$AG$2:$AG$6,MATCH($B109,Régions!$A$2:$A$6,0))</f>
        <v/>
      </c>
      <c r="AK109">
        <f>F109*INDEX(Régions!$AH$2:$AH$6,MATCH($B109,Régions!$A$2:$A$6,0))</f>
        <v/>
      </c>
      <c r="AL109">
        <f>G109*INDEX(Régions!$AI$2:$AI$6,MATCH($B109,Régions!$A$2:$A$6,0))</f>
        <v/>
      </c>
      <c r="AM109">
        <f>H109*INDEX(Régions!$AJ$2:$AJ$6,MATCH($B109,Régions!$A$2:$A$6,0))</f>
        <v/>
      </c>
      <c r="AN109">
        <f>I109*INDEX(Régions!$AK$2:$AK$6,MATCH($B109,Régions!$A$2:$A$6,0))</f>
        <v/>
      </c>
      <c r="AO109">
        <f>Régions!$Q$2*Q109/SUM($Q109:$V109)*100+(1-Régions!$Q$2)*MAX(K109*100+(INDEX(Régions!$AL$2:$AL$6,MATCH($B109,Régions!$A$2:$A$6,0))),0)</f>
        <v/>
      </c>
      <c r="AP109">
        <f>Régions!$Q$2*R109/SUM($Q109:$V109)*100+(1-Régions!$Q$2)*MAX(L109*100+(INDEX(Régions!$AM$2:$AM$6,MATCH($B109,Régions!$A$2:$A$6,0))),0)</f>
        <v/>
      </c>
      <c r="AQ109">
        <f>Régions!$Q$2*S109/SUM($Q109:$V109)*100+(1-Régions!$Q$2)*MAX(M109*100+(INDEX(Régions!$AN$2:$AN$6,MATCH($B109,Régions!$A$2:$A$6,0))),0)</f>
        <v/>
      </c>
      <c r="AR109">
        <f>Régions!$Q$2*T109/SUM($Q109:$V109)*100+(1-Régions!$Q$2)*MAX(N109*100+(INDEX(Régions!$AO$2:$AO$6,MATCH($B109,Régions!$A$2:$A$6,0))),0)</f>
        <v/>
      </c>
      <c r="AS109">
        <f>Régions!$Q$2*U109/SUM($Q109:$V109)*100+(1-Régions!$Q$2)*MAX(O109*100+(INDEX(Régions!$AP$2:$AP$6,MATCH($B109,Régions!$A$2:$A$6,0))),0)</f>
        <v/>
      </c>
      <c r="AT109">
        <f>Régions!$Q$2*V109/SUM($Q109:$V109)*100+(1-Régions!$Q$2)*MAX(P109*100+(INDEX(Régions!$AQ$2:$AQ$6,MATCH($B109,Régions!$A$2:$A$6,0))),0)</f>
        <v/>
      </c>
      <c r="AU109">
        <f>INDEX({"CAQ","PLQ","QS","PQ","PCQ","Autre"},MATCH(MAX(Q109:V109),Q109:V109,0))</f>
        <v/>
      </c>
      <c r="AV109">
        <f>INDEX({"CAQ","PLQ","QS","PQ","PCQ","Autre"},MATCH(MAX(W109:AB109),W109:AB109,0))</f>
        <v/>
      </c>
      <c r="AW109">
        <f>INDEX({"CAQ","PLQ","QS","PQ","PCQ","Autre"},MATCH(MAX(AC109:AH109),AC109:AH109,0))</f>
        <v/>
      </c>
      <c r="AX109">
        <f>INDEX({"CAQ","PLQ","QS","PQ","PCQ","Autre"},MATCH(MAX(AI109:AN109),AI109:AN109,0))</f>
        <v/>
      </c>
      <c r="AY109">
        <f>INDEX({"CAQ","PLQ","QS","PQ","PCQ","Autre"},MATCH(MAX(AO109:AT109),AO109:AT109,0))</f>
        <v/>
      </c>
      <c r="AZ109">
        <f>(MAX(K109:P109)-LARGE(K109:P109,2))*100</f>
        <v/>
      </c>
      <c r="BA109">
        <f>IF(AZ109&lt;5,"Oui","Non")</f>
        <v/>
      </c>
      <c r="BB109" t="n">
        <v>-1.123</v>
      </c>
      <c r="BC109" t="n">
        <v>8.662000000000001</v>
      </c>
      <c r="BD109" t="n">
        <v>0.952</v>
      </c>
      <c r="BE109" t="n">
        <v>-4.431</v>
      </c>
    </row>
    <row r="110">
      <c r="A110" t="inlineStr">
        <is>
          <t>Saint-Laurent</t>
        </is>
      </c>
      <c r="B110" t="inlineStr">
        <is>
          <t>Île de Montréal</t>
        </is>
      </c>
      <c r="C110">
        <f>INDEX({"CAQ","PLQ","QS","PQ","PCQ","Autre"},MATCH(MAX(D110:I110),D110:I110,0))</f>
        <v/>
      </c>
      <c r="D110" t="n">
        <v>4091</v>
      </c>
      <c r="E110" t="n">
        <v>14304</v>
      </c>
      <c r="F110" t="n">
        <v>2840</v>
      </c>
      <c r="G110" t="n">
        <v>1696</v>
      </c>
      <c r="H110" t="n">
        <v>4506</v>
      </c>
      <c r="I110" t="n">
        <v>1191</v>
      </c>
      <c r="J110">
        <f>SUM(D110:I110)</f>
        <v/>
      </c>
      <c r="K110">
        <f>IFERROR(D110/$J110,0)</f>
        <v/>
      </c>
      <c r="L110">
        <f>IFERROR(E110/$J110,0)</f>
        <v/>
      </c>
      <c r="M110">
        <f>IFERROR(F110/$J110,0)</f>
        <v/>
      </c>
      <c r="N110">
        <f>IFERROR(G110/$J110,0)</f>
        <v/>
      </c>
      <c r="O110">
        <f>IFERROR(H110/$J110,0)</f>
        <v/>
      </c>
      <c r="P110">
        <f>IFERROR(I110/$J110,0)</f>
        <v/>
      </c>
      <c r="Q110">
        <f>D110*INDEX(Régions!$T$2:$T$6,MATCH($B110,Régions!$A$2:$A$6,0))</f>
        <v/>
      </c>
      <c r="R110">
        <f>E110*INDEX(Régions!$U$2:$U$6,MATCH($B110,Régions!$A$2:$A$6,0))</f>
        <v/>
      </c>
      <c r="S110">
        <f>F110*INDEX(Régions!$V$2:$V$6,MATCH($B110,Régions!$A$2:$A$6,0))</f>
        <v/>
      </c>
      <c r="T110">
        <f>G110*INDEX(Régions!$W$2:$W$6,MATCH($B110,Régions!$A$2:$A$6,0))</f>
        <v/>
      </c>
      <c r="U110">
        <f>H110*INDEX(Régions!$X$2:$X$6,MATCH($B110,Régions!$A$2:$A$6,0))</f>
        <v/>
      </c>
      <c r="V110">
        <f>I110*INDEX(Régions!$Y$2:$Y$6,MATCH($B110,Régions!$A$2:$A$6,0))</f>
        <v/>
      </c>
      <c r="W110">
        <f>Q110+(BB110/100)*$J110*Régions!$O$2</f>
        <v/>
      </c>
      <c r="X110">
        <f>R110+(BC110/100)*$J110*Régions!$O$2</f>
        <v/>
      </c>
      <c r="Y110">
        <f>S110+(BD110/100)*$J110*Régions!$O$2</f>
        <v/>
      </c>
      <c r="Z110">
        <f>T110+(BE110/100)*$J110*Régions!$O$2</f>
        <v/>
      </c>
      <c r="AA110">
        <f>U110</f>
        <v/>
      </c>
      <c r="AB110">
        <f>V110</f>
        <v/>
      </c>
      <c r="AC110">
        <f>D110*INDEX(Régions!$Z$2:$Z$6,MATCH($B110,Régions!$A$2:$A$6,0))</f>
        <v/>
      </c>
      <c r="AD110">
        <f>E110*INDEX(Régions!$AA$2:$AA$6,MATCH($B110,Régions!$A$2:$A$6,0))</f>
        <v/>
      </c>
      <c r="AE110">
        <f>F110*INDEX(Régions!$AB$2:$AB$6,MATCH($B110,Régions!$A$2:$A$6,0))</f>
        <v/>
      </c>
      <c r="AF110">
        <f>G110*INDEX(Régions!$AC$2:$AC$6,MATCH($B110,Régions!$A$2:$A$6,0))</f>
        <v/>
      </c>
      <c r="AG110">
        <f>H110*INDEX(Régions!$AD$2:$AD$6,MATCH($B110,Régions!$A$2:$A$6,0))</f>
        <v/>
      </c>
      <c r="AH110">
        <f>I110*INDEX(Régions!$AE$2:$AE$6,MATCH($B110,Régions!$A$2:$A$6,0))</f>
        <v/>
      </c>
      <c r="AI110">
        <f>D110*INDEX(Régions!$AF$2:$AF$6,MATCH($B110,Régions!$A$2:$A$6,0))</f>
        <v/>
      </c>
      <c r="AJ110">
        <f>E110*INDEX(Régions!$AG$2:$AG$6,MATCH($B110,Régions!$A$2:$A$6,0))</f>
        <v/>
      </c>
      <c r="AK110">
        <f>F110*INDEX(Régions!$AH$2:$AH$6,MATCH($B110,Régions!$A$2:$A$6,0))</f>
        <v/>
      </c>
      <c r="AL110">
        <f>G110*INDEX(Régions!$AI$2:$AI$6,MATCH($B110,Régions!$A$2:$A$6,0))</f>
        <v/>
      </c>
      <c r="AM110">
        <f>H110*INDEX(Régions!$AJ$2:$AJ$6,MATCH($B110,Régions!$A$2:$A$6,0))</f>
        <v/>
      </c>
      <c r="AN110">
        <f>I110*INDEX(Régions!$AK$2:$AK$6,MATCH($B110,Régions!$A$2:$A$6,0))</f>
        <v/>
      </c>
      <c r="AO110">
        <f>Régions!$Q$2*Q110/SUM($Q110:$V110)*100+(1-Régions!$Q$2)*MAX(K110*100+(INDEX(Régions!$AL$2:$AL$6,MATCH($B110,Régions!$A$2:$A$6,0))),0)</f>
        <v/>
      </c>
      <c r="AP110">
        <f>Régions!$Q$2*R110/SUM($Q110:$V110)*100+(1-Régions!$Q$2)*MAX(L110*100+(INDEX(Régions!$AM$2:$AM$6,MATCH($B110,Régions!$A$2:$A$6,0))),0)</f>
        <v/>
      </c>
      <c r="AQ110">
        <f>Régions!$Q$2*S110/SUM($Q110:$V110)*100+(1-Régions!$Q$2)*MAX(M110*100+(INDEX(Régions!$AN$2:$AN$6,MATCH($B110,Régions!$A$2:$A$6,0))),0)</f>
        <v/>
      </c>
      <c r="AR110">
        <f>Régions!$Q$2*T110/SUM($Q110:$V110)*100+(1-Régions!$Q$2)*MAX(N110*100+(INDEX(Régions!$AO$2:$AO$6,MATCH($B110,Régions!$A$2:$A$6,0))),0)</f>
        <v/>
      </c>
      <c r="AS110">
        <f>Régions!$Q$2*U110/SUM($Q110:$V110)*100+(1-Régions!$Q$2)*MAX(O110*100+(INDEX(Régions!$AP$2:$AP$6,MATCH($B110,Régions!$A$2:$A$6,0))),0)</f>
        <v/>
      </c>
      <c r="AT110">
        <f>Régions!$Q$2*V110/SUM($Q110:$V110)*100+(1-Régions!$Q$2)*MAX(P110*100+(INDEX(Régions!$AQ$2:$AQ$6,MATCH($B110,Régions!$A$2:$A$6,0))),0)</f>
        <v/>
      </c>
      <c r="AU110">
        <f>INDEX({"CAQ","PLQ","QS","PQ","PCQ","Autre"},MATCH(MAX(Q110:V110),Q110:V110,0))</f>
        <v/>
      </c>
      <c r="AV110">
        <f>INDEX({"CAQ","PLQ","QS","PQ","PCQ","Autre"},MATCH(MAX(W110:AB110),W110:AB110,0))</f>
        <v/>
      </c>
      <c r="AW110">
        <f>INDEX({"CAQ","PLQ","QS","PQ","PCQ","Autre"},MATCH(MAX(AC110:AH110),AC110:AH110,0))</f>
        <v/>
      </c>
      <c r="AX110">
        <f>INDEX({"CAQ","PLQ","QS","PQ","PCQ","Autre"},MATCH(MAX(AI110:AN110),AI110:AN110,0))</f>
        <v/>
      </c>
      <c r="AY110">
        <f>INDEX({"CAQ","PLQ","QS","PQ","PCQ","Autre"},MATCH(MAX(AO110:AT110),AO110:AT110,0))</f>
        <v/>
      </c>
      <c r="AZ110">
        <f>(MAX(K110:P110)-LARGE(K110:P110,2))*100</f>
        <v/>
      </c>
      <c r="BA110">
        <f>IF(AZ110&lt;5,"Oui","Non")</f>
        <v/>
      </c>
      <c r="BB110" t="n">
        <v>-2.819</v>
      </c>
      <c r="BC110" t="n">
        <v>-3.202</v>
      </c>
      <c r="BD110" t="n">
        <v>0.525</v>
      </c>
      <c r="BE110" t="n">
        <v>0.554</v>
      </c>
    </row>
    <row r="111">
      <c r="A111" t="inlineStr">
        <is>
          <t>Sainte-Marie-Saint-Jacques</t>
        </is>
      </c>
      <c r="B111" t="inlineStr">
        <is>
          <t>Île de Montréal</t>
        </is>
      </c>
      <c r="C111">
        <f>INDEX({"CAQ","PLQ","QS","PQ","PCQ","Autre"},MATCH(MAX(D111:I111),D111:I111,0))</f>
        <v/>
      </c>
      <c r="D111" t="n">
        <v>3268.9</v>
      </c>
      <c r="E111" t="n">
        <v>3621.4</v>
      </c>
      <c r="F111" t="n">
        <v>10894.5</v>
      </c>
      <c r="G111" t="n">
        <v>3362.8</v>
      </c>
      <c r="H111" t="n">
        <v>1138.2</v>
      </c>
      <c r="I111" t="n">
        <v>560.1</v>
      </c>
      <c r="J111">
        <f>SUM(D111:I111)</f>
        <v/>
      </c>
      <c r="K111">
        <f>IFERROR(D111/$J111,0)</f>
        <v/>
      </c>
      <c r="L111">
        <f>IFERROR(E111/$J111,0)</f>
        <v/>
      </c>
      <c r="M111">
        <f>IFERROR(F111/$J111,0)</f>
        <v/>
      </c>
      <c r="N111">
        <f>IFERROR(G111/$J111,0)</f>
        <v/>
      </c>
      <c r="O111">
        <f>IFERROR(H111/$J111,0)</f>
        <v/>
      </c>
      <c r="P111">
        <f>IFERROR(I111/$J111,0)</f>
        <v/>
      </c>
      <c r="Q111">
        <f>D111*INDEX(Régions!$T$2:$T$6,MATCH($B111,Régions!$A$2:$A$6,0))</f>
        <v/>
      </c>
      <c r="R111">
        <f>E111*INDEX(Régions!$U$2:$U$6,MATCH($B111,Régions!$A$2:$A$6,0))</f>
        <v/>
      </c>
      <c r="S111">
        <f>F111*INDEX(Régions!$V$2:$V$6,MATCH($B111,Régions!$A$2:$A$6,0))</f>
        <v/>
      </c>
      <c r="T111">
        <f>G111*INDEX(Régions!$W$2:$W$6,MATCH($B111,Régions!$A$2:$A$6,0))</f>
        <v/>
      </c>
      <c r="U111">
        <f>H111*INDEX(Régions!$X$2:$X$6,MATCH($B111,Régions!$A$2:$A$6,0))</f>
        <v/>
      </c>
      <c r="V111">
        <f>I111*INDEX(Régions!$Y$2:$Y$6,MATCH($B111,Régions!$A$2:$A$6,0))</f>
        <v/>
      </c>
      <c r="W111">
        <f>Q111+(BB111/100)*$J111*Régions!$O$2</f>
        <v/>
      </c>
      <c r="X111">
        <f>R111+(BC111/100)*$J111*Régions!$O$2</f>
        <v/>
      </c>
      <c r="Y111">
        <f>S111+(BD111/100)*$J111*Régions!$O$2</f>
        <v/>
      </c>
      <c r="Z111">
        <f>T111+(BE111/100)*$J111*Régions!$O$2</f>
        <v/>
      </c>
      <c r="AA111">
        <f>U111</f>
        <v/>
      </c>
      <c r="AB111">
        <f>V111</f>
        <v/>
      </c>
      <c r="AC111">
        <f>D111*INDEX(Régions!$Z$2:$Z$6,MATCH($B111,Régions!$A$2:$A$6,0))</f>
        <v/>
      </c>
      <c r="AD111">
        <f>E111*INDEX(Régions!$AA$2:$AA$6,MATCH($B111,Régions!$A$2:$A$6,0))</f>
        <v/>
      </c>
      <c r="AE111">
        <f>F111*INDEX(Régions!$AB$2:$AB$6,MATCH($B111,Régions!$A$2:$A$6,0))</f>
        <v/>
      </c>
      <c r="AF111">
        <f>G111*INDEX(Régions!$AC$2:$AC$6,MATCH($B111,Régions!$A$2:$A$6,0))</f>
        <v/>
      </c>
      <c r="AG111">
        <f>H111*INDEX(Régions!$AD$2:$AD$6,MATCH($B111,Régions!$A$2:$A$6,0))</f>
        <v/>
      </c>
      <c r="AH111">
        <f>I111*INDEX(Régions!$AE$2:$AE$6,MATCH($B111,Régions!$A$2:$A$6,0))</f>
        <v/>
      </c>
      <c r="AI111">
        <f>D111*INDEX(Régions!$AF$2:$AF$6,MATCH($B111,Régions!$A$2:$A$6,0))</f>
        <v/>
      </c>
      <c r="AJ111">
        <f>E111*INDEX(Régions!$AG$2:$AG$6,MATCH($B111,Régions!$A$2:$A$6,0))</f>
        <v/>
      </c>
      <c r="AK111">
        <f>F111*INDEX(Régions!$AH$2:$AH$6,MATCH($B111,Régions!$A$2:$A$6,0))</f>
        <v/>
      </c>
      <c r="AL111">
        <f>G111*INDEX(Régions!$AI$2:$AI$6,MATCH($B111,Régions!$A$2:$A$6,0))</f>
        <v/>
      </c>
      <c r="AM111">
        <f>H111*INDEX(Régions!$AJ$2:$AJ$6,MATCH($B111,Régions!$A$2:$A$6,0))</f>
        <v/>
      </c>
      <c r="AN111">
        <f>I111*INDEX(Régions!$AK$2:$AK$6,MATCH($B111,Régions!$A$2:$A$6,0))</f>
        <v/>
      </c>
      <c r="AO111">
        <f>Régions!$Q$2*Q111/SUM($Q111:$V111)*100+(1-Régions!$Q$2)*MAX(K111*100+(INDEX(Régions!$AL$2:$AL$6,MATCH($B111,Régions!$A$2:$A$6,0))),0)</f>
        <v/>
      </c>
      <c r="AP111">
        <f>Régions!$Q$2*R111/SUM($Q111:$V111)*100+(1-Régions!$Q$2)*MAX(L111*100+(INDEX(Régions!$AM$2:$AM$6,MATCH($B111,Régions!$A$2:$A$6,0))),0)</f>
        <v/>
      </c>
      <c r="AQ111">
        <f>Régions!$Q$2*S111/SUM($Q111:$V111)*100+(1-Régions!$Q$2)*MAX(M111*100+(INDEX(Régions!$AN$2:$AN$6,MATCH($B111,Régions!$A$2:$A$6,0))),0)</f>
        <v/>
      </c>
      <c r="AR111">
        <f>Régions!$Q$2*T111/SUM($Q111:$V111)*100+(1-Régions!$Q$2)*MAX(N111*100+(INDEX(Régions!$AO$2:$AO$6,MATCH($B111,Régions!$A$2:$A$6,0))),0)</f>
        <v/>
      </c>
      <c r="AS111">
        <f>Régions!$Q$2*U111/SUM($Q111:$V111)*100+(1-Régions!$Q$2)*MAX(O111*100+(INDEX(Régions!$AP$2:$AP$6,MATCH($B111,Régions!$A$2:$A$6,0))),0)</f>
        <v/>
      </c>
      <c r="AT111">
        <f>Régions!$Q$2*V111/SUM($Q111:$V111)*100+(1-Régions!$Q$2)*MAX(P111*100+(INDEX(Régions!$AQ$2:$AQ$6,MATCH($B111,Régions!$A$2:$A$6,0))),0)</f>
        <v/>
      </c>
      <c r="AU111">
        <f>INDEX({"CAQ","PLQ","QS","PQ","PCQ","Autre"},MATCH(MAX(Q111:V111),Q111:V111,0))</f>
        <v/>
      </c>
      <c r="AV111">
        <f>INDEX({"CAQ","PLQ","QS","PQ","PCQ","Autre"},MATCH(MAX(W111:AB111),W111:AB111,0))</f>
        <v/>
      </c>
      <c r="AW111">
        <f>INDEX({"CAQ","PLQ","QS","PQ","PCQ","Autre"},MATCH(MAX(AC111:AH111),AC111:AH111,0))</f>
        <v/>
      </c>
      <c r="AX111">
        <f>INDEX({"CAQ","PLQ","QS","PQ","PCQ","Autre"},MATCH(MAX(AI111:AN111),AI111:AN111,0))</f>
        <v/>
      </c>
      <c r="AY111">
        <f>INDEX({"CAQ","PLQ","QS","PQ","PCQ","Autre"},MATCH(MAX(AO111:AT111),AO111:AT111,0))</f>
        <v/>
      </c>
      <c r="AZ111">
        <f>(MAX(K111:P111)-LARGE(K111:P111,2))*100</f>
        <v/>
      </c>
      <c r="BA111">
        <f>IF(AZ111&lt;5,"Oui","Non")</f>
        <v/>
      </c>
      <c r="BB111" t="n">
        <v>1.363</v>
      </c>
      <c r="BC111" t="n">
        <v>3.5</v>
      </c>
      <c r="BD111" t="n">
        <v>-2.37</v>
      </c>
      <c r="BE111" t="n">
        <v>1.832</v>
      </c>
    </row>
    <row r="112">
      <c r="A112" t="inlineStr">
        <is>
          <t>Sainte-Rose</t>
        </is>
      </c>
      <c r="B112" t="inlineStr">
        <is>
          <t>Banlieue de Montréal</t>
        </is>
      </c>
      <c r="C112">
        <f>INDEX({"CAQ","PLQ","QS","PQ","PCQ","Autre"},MATCH(MAX(D112:I112),D112:I112,0))</f>
        <v/>
      </c>
      <c r="D112" t="n">
        <v>14091</v>
      </c>
      <c r="E112" t="n">
        <v>8778</v>
      </c>
      <c r="F112" t="n">
        <v>5243</v>
      </c>
      <c r="G112" t="n">
        <v>4536</v>
      </c>
      <c r="H112" t="n">
        <v>3429</v>
      </c>
      <c r="I112" t="n">
        <v>523</v>
      </c>
      <c r="J112">
        <f>SUM(D112:I112)</f>
        <v/>
      </c>
      <c r="K112">
        <f>IFERROR(D112/$J112,0)</f>
        <v/>
      </c>
      <c r="L112">
        <f>IFERROR(E112/$J112,0)</f>
        <v/>
      </c>
      <c r="M112">
        <f>IFERROR(F112/$J112,0)</f>
        <v/>
      </c>
      <c r="N112">
        <f>IFERROR(G112/$J112,0)</f>
        <v/>
      </c>
      <c r="O112">
        <f>IFERROR(H112/$J112,0)</f>
        <v/>
      </c>
      <c r="P112">
        <f>IFERROR(I112/$J112,0)</f>
        <v/>
      </c>
      <c r="Q112">
        <f>D112*INDEX(Régions!$T$2:$T$6,MATCH($B112,Régions!$A$2:$A$6,0))</f>
        <v/>
      </c>
      <c r="R112">
        <f>E112*INDEX(Régions!$U$2:$U$6,MATCH($B112,Régions!$A$2:$A$6,0))</f>
        <v/>
      </c>
      <c r="S112">
        <f>F112*INDEX(Régions!$V$2:$V$6,MATCH($B112,Régions!$A$2:$A$6,0))</f>
        <v/>
      </c>
      <c r="T112">
        <f>G112*INDEX(Régions!$W$2:$W$6,MATCH($B112,Régions!$A$2:$A$6,0))</f>
        <v/>
      </c>
      <c r="U112">
        <f>H112*INDEX(Régions!$X$2:$X$6,MATCH($B112,Régions!$A$2:$A$6,0))</f>
        <v/>
      </c>
      <c r="V112">
        <f>I112*INDEX(Régions!$Y$2:$Y$6,MATCH($B112,Régions!$A$2:$A$6,0))</f>
        <v/>
      </c>
      <c r="W112">
        <f>Q112+(BB112/100)*$J112*Régions!$O$2</f>
        <v/>
      </c>
      <c r="X112">
        <f>R112+(BC112/100)*$J112*Régions!$O$2</f>
        <v/>
      </c>
      <c r="Y112">
        <f>S112+(BD112/100)*$J112*Régions!$O$2</f>
        <v/>
      </c>
      <c r="Z112">
        <f>T112+(BE112/100)*$J112*Régions!$O$2</f>
        <v/>
      </c>
      <c r="AA112">
        <f>U112</f>
        <v/>
      </c>
      <c r="AB112">
        <f>V112</f>
        <v/>
      </c>
      <c r="AC112">
        <f>D112*INDEX(Régions!$Z$2:$Z$6,MATCH($B112,Régions!$A$2:$A$6,0))</f>
        <v/>
      </c>
      <c r="AD112">
        <f>E112*INDEX(Régions!$AA$2:$AA$6,MATCH($B112,Régions!$A$2:$A$6,0))</f>
        <v/>
      </c>
      <c r="AE112">
        <f>F112*INDEX(Régions!$AB$2:$AB$6,MATCH($B112,Régions!$A$2:$A$6,0))</f>
        <v/>
      </c>
      <c r="AF112">
        <f>G112*INDEX(Régions!$AC$2:$AC$6,MATCH($B112,Régions!$A$2:$A$6,0))</f>
        <v/>
      </c>
      <c r="AG112">
        <f>H112*INDEX(Régions!$AD$2:$AD$6,MATCH($B112,Régions!$A$2:$A$6,0))</f>
        <v/>
      </c>
      <c r="AH112">
        <f>I112*INDEX(Régions!$AE$2:$AE$6,MATCH($B112,Régions!$A$2:$A$6,0))</f>
        <v/>
      </c>
      <c r="AI112">
        <f>D112*INDEX(Régions!$AF$2:$AF$6,MATCH($B112,Régions!$A$2:$A$6,0))</f>
        <v/>
      </c>
      <c r="AJ112">
        <f>E112*INDEX(Régions!$AG$2:$AG$6,MATCH($B112,Régions!$A$2:$A$6,0))</f>
        <v/>
      </c>
      <c r="AK112">
        <f>F112*INDEX(Régions!$AH$2:$AH$6,MATCH($B112,Régions!$A$2:$A$6,0))</f>
        <v/>
      </c>
      <c r="AL112">
        <f>G112*INDEX(Régions!$AI$2:$AI$6,MATCH($B112,Régions!$A$2:$A$6,0))</f>
        <v/>
      </c>
      <c r="AM112">
        <f>H112*INDEX(Régions!$AJ$2:$AJ$6,MATCH($B112,Régions!$A$2:$A$6,0))</f>
        <v/>
      </c>
      <c r="AN112">
        <f>I112*INDEX(Régions!$AK$2:$AK$6,MATCH($B112,Régions!$A$2:$A$6,0))</f>
        <v/>
      </c>
      <c r="AO112">
        <f>Régions!$Q$2*Q112/SUM($Q112:$V112)*100+(1-Régions!$Q$2)*MAX(K112*100+(INDEX(Régions!$AL$2:$AL$6,MATCH($B112,Régions!$A$2:$A$6,0))),0)</f>
        <v/>
      </c>
      <c r="AP112">
        <f>Régions!$Q$2*R112/SUM($Q112:$V112)*100+(1-Régions!$Q$2)*MAX(L112*100+(INDEX(Régions!$AM$2:$AM$6,MATCH($B112,Régions!$A$2:$A$6,0))),0)</f>
        <v/>
      </c>
      <c r="AQ112">
        <f>Régions!$Q$2*S112/SUM($Q112:$V112)*100+(1-Régions!$Q$2)*MAX(M112*100+(INDEX(Régions!$AN$2:$AN$6,MATCH($B112,Régions!$A$2:$A$6,0))),0)</f>
        <v/>
      </c>
      <c r="AR112">
        <f>Régions!$Q$2*T112/SUM($Q112:$V112)*100+(1-Régions!$Q$2)*MAX(N112*100+(INDEX(Régions!$AO$2:$AO$6,MATCH($B112,Régions!$A$2:$A$6,0))),0)</f>
        <v/>
      </c>
      <c r="AS112">
        <f>Régions!$Q$2*U112/SUM($Q112:$V112)*100+(1-Régions!$Q$2)*MAX(O112*100+(INDEX(Régions!$AP$2:$AP$6,MATCH($B112,Régions!$A$2:$A$6,0))),0)</f>
        <v/>
      </c>
      <c r="AT112">
        <f>Régions!$Q$2*V112/SUM($Q112:$V112)*100+(1-Régions!$Q$2)*MAX(P112*100+(INDEX(Régions!$AQ$2:$AQ$6,MATCH($B112,Régions!$A$2:$A$6,0))),0)</f>
        <v/>
      </c>
      <c r="AU112">
        <f>INDEX({"CAQ","PLQ","QS","PQ","PCQ","Autre"},MATCH(MAX(Q112:V112),Q112:V112,0))</f>
        <v/>
      </c>
      <c r="AV112">
        <f>INDEX({"CAQ","PLQ","QS","PQ","PCQ","Autre"},MATCH(MAX(W112:AB112),W112:AB112,0))</f>
        <v/>
      </c>
      <c r="AW112">
        <f>INDEX({"CAQ","PLQ","QS","PQ","PCQ","Autre"},MATCH(MAX(AC112:AH112),AC112:AH112,0))</f>
        <v/>
      </c>
      <c r="AX112">
        <f>INDEX({"CAQ","PLQ","QS","PQ","PCQ","Autre"},MATCH(MAX(AI112:AN112),AI112:AN112,0))</f>
        <v/>
      </c>
      <c r="AY112">
        <f>INDEX({"CAQ","PLQ","QS","PQ","PCQ","Autre"},MATCH(MAX(AO112:AT112),AO112:AT112,0))</f>
        <v/>
      </c>
      <c r="AZ112">
        <f>(MAX(K112:P112)-LARGE(K112:P112,2))*100</f>
        <v/>
      </c>
      <c r="BA112">
        <f>IF(AZ112&lt;5,"Oui","Non")</f>
        <v/>
      </c>
      <c r="BB112" t="n">
        <v>-1.455</v>
      </c>
      <c r="BC112" t="n">
        <v>0.737</v>
      </c>
      <c r="BD112" t="n">
        <v>1.054</v>
      </c>
      <c r="BE112" t="n">
        <v>1.064</v>
      </c>
    </row>
    <row r="113">
      <c r="A113" t="inlineStr">
        <is>
          <t>Sanguinet</t>
        </is>
      </c>
      <c r="B113" t="inlineStr">
        <is>
          <t>Banlieue de Montréal</t>
        </is>
      </c>
      <c r="C113">
        <f>INDEX({"CAQ","PLQ","QS","PQ","PCQ","Autre"},MATCH(MAX(D113:I113),D113:I113,0))</f>
        <v/>
      </c>
      <c r="D113" t="n">
        <v>14616.3</v>
      </c>
      <c r="E113" t="n">
        <v>2955.2</v>
      </c>
      <c r="F113" t="n">
        <v>3927.1</v>
      </c>
      <c r="G113" t="n">
        <v>4882.6</v>
      </c>
      <c r="H113" t="n">
        <v>3164.6</v>
      </c>
      <c r="I113" t="n">
        <v>414</v>
      </c>
      <c r="J113">
        <f>SUM(D113:I113)</f>
        <v/>
      </c>
      <c r="K113">
        <f>IFERROR(D113/$J113,0)</f>
        <v/>
      </c>
      <c r="L113">
        <f>IFERROR(E113/$J113,0)</f>
        <v/>
      </c>
      <c r="M113">
        <f>IFERROR(F113/$J113,0)</f>
        <v/>
      </c>
      <c r="N113">
        <f>IFERROR(G113/$J113,0)</f>
        <v/>
      </c>
      <c r="O113">
        <f>IFERROR(H113/$J113,0)</f>
        <v/>
      </c>
      <c r="P113">
        <f>IFERROR(I113/$J113,0)</f>
        <v/>
      </c>
      <c r="Q113">
        <f>D113*INDEX(Régions!$T$2:$T$6,MATCH($B113,Régions!$A$2:$A$6,0))</f>
        <v/>
      </c>
      <c r="R113">
        <f>E113*INDEX(Régions!$U$2:$U$6,MATCH($B113,Régions!$A$2:$A$6,0))</f>
        <v/>
      </c>
      <c r="S113">
        <f>F113*INDEX(Régions!$V$2:$V$6,MATCH($B113,Régions!$A$2:$A$6,0))</f>
        <v/>
      </c>
      <c r="T113">
        <f>G113*INDEX(Régions!$W$2:$W$6,MATCH($B113,Régions!$A$2:$A$6,0))</f>
        <v/>
      </c>
      <c r="U113">
        <f>H113*INDEX(Régions!$X$2:$X$6,MATCH($B113,Régions!$A$2:$A$6,0))</f>
        <v/>
      </c>
      <c r="V113">
        <f>I113*INDEX(Régions!$Y$2:$Y$6,MATCH($B113,Régions!$A$2:$A$6,0))</f>
        <v/>
      </c>
      <c r="W113">
        <f>Q113+(BB113/100)*$J113*Régions!$O$2</f>
        <v/>
      </c>
      <c r="X113">
        <f>R113+(BC113/100)*$J113*Régions!$O$2</f>
        <v/>
      </c>
      <c r="Y113">
        <f>S113+(BD113/100)*$J113*Régions!$O$2</f>
        <v/>
      </c>
      <c r="Z113">
        <f>T113+(BE113/100)*$J113*Régions!$O$2</f>
        <v/>
      </c>
      <c r="AA113">
        <f>U113</f>
        <v/>
      </c>
      <c r="AB113">
        <f>V113</f>
        <v/>
      </c>
      <c r="AC113">
        <f>D113*INDEX(Régions!$Z$2:$Z$6,MATCH($B113,Régions!$A$2:$A$6,0))</f>
        <v/>
      </c>
      <c r="AD113">
        <f>E113*INDEX(Régions!$AA$2:$AA$6,MATCH($B113,Régions!$A$2:$A$6,0))</f>
        <v/>
      </c>
      <c r="AE113">
        <f>F113*INDEX(Régions!$AB$2:$AB$6,MATCH($B113,Régions!$A$2:$A$6,0))</f>
        <v/>
      </c>
      <c r="AF113">
        <f>G113*INDEX(Régions!$AC$2:$AC$6,MATCH($B113,Régions!$A$2:$A$6,0))</f>
        <v/>
      </c>
      <c r="AG113">
        <f>H113*INDEX(Régions!$AD$2:$AD$6,MATCH($B113,Régions!$A$2:$A$6,0))</f>
        <v/>
      </c>
      <c r="AH113">
        <f>I113*INDEX(Régions!$AE$2:$AE$6,MATCH($B113,Régions!$A$2:$A$6,0))</f>
        <v/>
      </c>
      <c r="AI113">
        <f>D113*INDEX(Régions!$AF$2:$AF$6,MATCH($B113,Régions!$A$2:$A$6,0))</f>
        <v/>
      </c>
      <c r="AJ113">
        <f>E113*INDEX(Régions!$AG$2:$AG$6,MATCH($B113,Régions!$A$2:$A$6,0))</f>
        <v/>
      </c>
      <c r="AK113">
        <f>F113*INDEX(Régions!$AH$2:$AH$6,MATCH($B113,Régions!$A$2:$A$6,0))</f>
        <v/>
      </c>
      <c r="AL113">
        <f>G113*INDEX(Régions!$AI$2:$AI$6,MATCH($B113,Régions!$A$2:$A$6,0))</f>
        <v/>
      </c>
      <c r="AM113">
        <f>H113*INDEX(Régions!$AJ$2:$AJ$6,MATCH($B113,Régions!$A$2:$A$6,0))</f>
        <v/>
      </c>
      <c r="AN113">
        <f>I113*INDEX(Régions!$AK$2:$AK$6,MATCH($B113,Régions!$A$2:$A$6,0))</f>
        <v/>
      </c>
      <c r="AO113">
        <f>Régions!$Q$2*Q113/SUM($Q113:$V113)*100+(1-Régions!$Q$2)*MAX(K113*100+(INDEX(Régions!$AL$2:$AL$6,MATCH($B113,Régions!$A$2:$A$6,0))),0)</f>
        <v/>
      </c>
      <c r="AP113">
        <f>Régions!$Q$2*R113/SUM($Q113:$V113)*100+(1-Régions!$Q$2)*MAX(L113*100+(INDEX(Régions!$AM$2:$AM$6,MATCH($B113,Régions!$A$2:$A$6,0))),0)</f>
        <v/>
      </c>
      <c r="AQ113">
        <f>Régions!$Q$2*S113/SUM($Q113:$V113)*100+(1-Régions!$Q$2)*MAX(M113*100+(INDEX(Régions!$AN$2:$AN$6,MATCH($B113,Régions!$A$2:$A$6,0))),0)</f>
        <v/>
      </c>
      <c r="AR113">
        <f>Régions!$Q$2*T113/SUM($Q113:$V113)*100+(1-Régions!$Q$2)*MAX(N113*100+(INDEX(Régions!$AO$2:$AO$6,MATCH($B113,Régions!$A$2:$A$6,0))),0)</f>
        <v/>
      </c>
      <c r="AS113">
        <f>Régions!$Q$2*U113/SUM($Q113:$V113)*100+(1-Régions!$Q$2)*MAX(O113*100+(INDEX(Régions!$AP$2:$AP$6,MATCH($B113,Régions!$A$2:$A$6,0))),0)</f>
        <v/>
      </c>
      <c r="AT113">
        <f>Régions!$Q$2*V113/SUM($Q113:$V113)*100+(1-Régions!$Q$2)*MAX(P113*100+(INDEX(Régions!$AQ$2:$AQ$6,MATCH($B113,Régions!$A$2:$A$6,0))),0)</f>
        <v/>
      </c>
      <c r="AU113">
        <f>INDEX({"CAQ","PLQ","QS","PQ","PCQ","Autre"},MATCH(MAX(Q113:V113),Q113:V113,0))</f>
        <v/>
      </c>
      <c r="AV113">
        <f>INDEX({"CAQ","PLQ","QS","PQ","PCQ","Autre"},MATCH(MAX(W113:AB113),W113:AB113,0))</f>
        <v/>
      </c>
      <c r="AW113">
        <f>INDEX({"CAQ","PLQ","QS","PQ","PCQ","Autre"},MATCH(MAX(AC113:AH113),AC113:AH113,0))</f>
        <v/>
      </c>
      <c r="AX113">
        <f>INDEX({"CAQ","PLQ","QS","PQ","PCQ","Autre"},MATCH(MAX(AI113:AN113),AI113:AN113,0))</f>
        <v/>
      </c>
      <c r="AY113">
        <f>INDEX({"CAQ","PLQ","QS","PQ","PCQ","Autre"},MATCH(MAX(AO113:AT113),AO113:AT113,0))</f>
        <v/>
      </c>
      <c r="AZ113">
        <f>(MAX(K113:P113)-LARGE(K113:P113,2))*100</f>
        <v/>
      </c>
      <c r="BA113">
        <f>IF(AZ113&lt;5,"Oui","Non")</f>
        <v/>
      </c>
      <c r="BB113" t="n">
        <v>2.137</v>
      </c>
      <c r="BC113" t="n">
        <v>2.744</v>
      </c>
      <c r="BD113" t="n">
        <v>-1.002</v>
      </c>
      <c r="BE113" t="n">
        <v>-5.293</v>
      </c>
    </row>
    <row r="114">
      <c r="A114" t="inlineStr">
        <is>
          <t>Sherbrooke</t>
        </is>
      </c>
      <c r="B114" t="inlineStr">
        <is>
          <t>Reste du Québec</t>
        </is>
      </c>
      <c r="C114">
        <f>INDEX({"CAQ","PLQ","QS","PQ","PCQ","Autre"},MATCH(MAX(D114:I114),D114:I114,0))</f>
        <v/>
      </c>
      <c r="D114" t="n">
        <v>13076</v>
      </c>
      <c r="E114" t="n">
        <v>2166</v>
      </c>
      <c r="F114" t="n">
        <v>15548</v>
      </c>
      <c r="G114" t="n">
        <v>3373</v>
      </c>
      <c r="H114" t="n">
        <v>2501</v>
      </c>
      <c r="I114" t="n">
        <v>434</v>
      </c>
      <c r="J114">
        <f>SUM(D114:I114)</f>
        <v/>
      </c>
      <c r="K114">
        <f>IFERROR(D114/$J114,0)</f>
        <v/>
      </c>
      <c r="L114">
        <f>IFERROR(E114/$J114,0)</f>
        <v/>
      </c>
      <c r="M114">
        <f>IFERROR(F114/$J114,0)</f>
        <v/>
      </c>
      <c r="N114">
        <f>IFERROR(G114/$J114,0)</f>
        <v/>
      </c>
      <c r="O114">
        <f>IFERROR(H114/$J114,0)</f>
        <v/>
      </c>
      <c r="P114">
        <f>IFERROR(I114/$J114,0)</f>
        <v/>
      </c>
      <c r="Q114">
        <f>D114*INDEX(Régions!$T$2:$T$6,MATCH($B114,Régions!$A$2:$A$6,0))</f>
        <v/>
      </c>
      <c r="R114">
        <f>E114*INDEX(Régions!$U$2:$U$6,MATCH($B114,Régions!$A$2:$A$6,0))</f>
        <v/>
      </c>
      <c r="S114">
        <f>F114*INDEX(Régions!$V$2:$V$6,MATCH($B114,Régions!$A$2:$A$6,0))</f>
        <v/>
      </c>
      <c r="T114">
        <f>G114*INDEX(Régions!$W$2:$W$6,MATCH($B114,Régions!$A$2:$A$6,0))</f>
        <v/>
      </c>
      <c r="U114">
        <f>H114*INDEX(Régions!$X$2:$X$6,MATCH($B114,Régions!$A$2:$A$6,0))</f>
        <v/>
      </c>
      <c r="V114">
        <f>I114*INDEX(Régions!$Y$2:$Y$6,MATCH($B114,Régions!$A$2:$A$6,0))</f>
        <v/>
      </c>
      <c r="W114">
        <f>Q114+(BB114/100)*$J114*Régions!$O$2</f>
        <v/>
      </c>
      <c r="X114">
        <f>R114+(BC114/100)*$J114*Régions!$O$2</f>
        <v/>
      </c>
      <c r="Y114">
        <f>S114+(BD114/100)*$J114*Régions!$O$2</f>
        <v/>
      </c>
      <c r="Z114">
        <f>T114+(BE114/100)*$J114*Régions!$O$2</f>
        <v/>
      </c>
      <c r="AA114">
        <f>U114</f>
        <v/>
      </c>
      <c r="AB114">
        <f>V114</f>
        <v/>
      </c>
      <c r="AC114">
        <f>D114*INDEX(Régions!$Z$2:$Z$6,MATCH($B114,Régions!$A$2:$A$6,0))</f>
        <v/>
      </c>
      <c r="AD114">
        <f>E114*INDEX(Régions!$AA$2:$AA$6,MATCH($B114,Régions!$A$2:$A$6,0))</f>
        <v/>
      </c>
      <c r="AE114">
        <f>F114*INDEX(Régions!$AB$2:$AB$6,MATCH($B114,Régions!$A$2:$A$6,0))</f>
        <v/>
      </c>
      <c r="AF114">
        <f>G114*INDEX(Régions!$AC$2:$AC$6,MATCH($B114,Régions!$A$2:$A$6,0))</f>
        <v/>
      </c>
      <c r="AG114">
        <f>H114*INDEX(Régions!$AD$2:$AD$6,MATCH($B114,Régions!$A$2:$A$6,0))</f>
        <v/>
      </c>
      <c r="AH114">
        <f>I114*INDEX(Régions!$AE$2:$AE$6,MATCH($B114,Régions!$A$2:$A$6,0))</f>
        <v/>
      </c>
      <c r="AI114">
        <f>D114*INDEX(Régions!$AF$2:$AF$6,MATCH($B114,Régions!$A$2:$A$6,0))</f>
        <v/>
      </c>
      <c r="AJ114">
        <f>E114*INDEX(Régions!$AG$2:$AG$6,MATCH($B114,Régions!$A$2:$A$6,0))</f>
        <v/>
      </c>
      <c r="AK114">
        <f>F114*INDEX(Régions!$AH$2:$AH$6,MATCH($B114,Régions!$A$2:$A$6,0))</f>
        <v/>
      </c>
      <c r="AL114">
        <f>G114*INDEX(Régions!$AI$2:$AI$6,MATCH($B114,Régions!$A$2:$A$6,0))</f>
        <v/>
      </c>
      <c r="AM114">
        <f>H114*INDEX(Régions!$AJ$2:$AJ$6,MATCH($B114,Régions!$A$2:$A$6,0))</f>
        <v/>
      </c>
      <c r="AN114">
        <f>I114*INDEX(Régions!$AK$2:$AK$6,MATCH($B114,Régions!$A$2:$A$6,0))</f>
        <v/>
      </c>
      <c r="AO114">
        <f>Régions!$Q$2*Q114/SUM($Q114:$V114)*100+(1-Régions!$Q$2)*MAX(K114*100+(INDEX(Régions!$AL$2:$AL$6,MATCH($B114,Régions!$A$2:$A$6,0))),0)</f>
        <v/>
      </c>
      <c r="AP114">
        <f>Régions!$Q$2*R114/SUM($Q114:$V114)*100+(1-Régions!$Q$2)*MAX(L114*100+(INDEX(Régions!$AM$2:$AM$6,MATCH($B114,Régions!$A$2:$A$6,0))),0)</f>
        <v/>
      </c>
      <c r="AQ114">
        <f>Régions!$Q$2*S114/SUM($Q114:$V114)*100+(1-Régions!$Q$2)*MAX(M114*100+(INDEX(Régions!$AN$2:$AN$6,MATCH($B114,Régions!$A$2:$A$6,0))),0)</f>
        <v/>
      </c>
      <c r="AR114">
        <f>Régions!$Q$2*T114/SUM($Q114:$V114)*100+(1-Régions!$Q$2)*MAX(N114*100+(INDEX(Régions!$AO$2:$AO$6,MATCH($B114,Régions!$A$2:$A$6,0))),0)</f>
        <v/>
      </c>
      <c r="AS114">
        <f>Régions!$Q$2*U114/SUM($Q114:$V114)*100+(1-Régions!$Q$2)*MAX(O114*100+(INDEX(Régions!$AP$2:$AP$6,MATCH($B114,Régions!$A$2:$A$6,0))),0)</f>
        <v/>
      </c>
      <c r="AT114">
        <f>Régions!$Q$2*V114/SUM($Q114:$V114)*100+(1-Régions!$Q$2)*MAX(P114*100+(INDEX(Régions!$AQ$2:$AQ$6,MATCH($B114,Régions!$A$2:$A$6,0))),0)</f>
        <v/>
      </c>
      <c r="AU114">
        <f>INDEX({"CAQ","PLQ","QS","PQ","PCQ","Autre"},MATCH(MAX(Q114:V114),Q114:V114,0))</f>
        <v/>
      </c>
      <c r="AV114">
        <f>INDEX({"CAQ","PLQ","QS","PQ","PCQ","Autre"},MATCH(MAX(W114:AB114),W114:AB114,0))</f>
        <v/>
      </c>
      <c r="AW114">
        <f>INDEX({"CAQ","PLQ","QS","PQ","PCQ","Autre"},MATCH(MAX(AC114:AH114),AC114:AH114,0))</f>
        <v/>
      </c>
      <c r="AX114">
        <f>INDEX({"CAQ","PLQ","QS","PQ","PCQ","Autre"},MATCH(MAX(AI114:AN114),AI114:AN114,0))</f>
        <v/>
      </c>
      <c r="AY114">
        <f>INDEX({"CAQ","PLQ","QS","PQ","PCQ","Autre"},MATCH(MAX(AO114:AT114),AO114:AT114,0))</f>
        <v/>
      </c>
      <c r="AZ114">
        <f>(MAX(K114:P114)-LARGE(K114:P114,2))*100</f>
        <v/>
      </c>
      <c r="BA114">
        <f>IF(AZ114&lt;5,"Oui","Non")</f>
        <v/>
      </c>
      <c r="BB114" t="n">
        <v>4.457</v>
      </c>
      <c r="BC114" t="n">
        <v>-5.726</v>
      </c>
      <c r="BD114" t="n">
        <v>8.82</v>
      </c>
      <c r="BE114" t="n">
        <v>-1.338</v>
      </c>
    </row>
    <row r="115">
      <c r="A115" t="inlineStr">
        <is>
          <t>Soulanges</t>
        </is>
      </c>
      <c r="B115" t="inlineStr">
        <is>
          <t>Banlieue de Montréal</t>
        </is>
      </c>
      <c r="C115">
        <f>INDEX({"CAQ","PLQ","QS","PQ","PCQ","Autre"},MATCH(MAX(D115:I115),D115:I115,0))</f>
        <v/>
      </c>
      <c r="D115" t="n">
        <v>15875.2</v>
      </c>
      <c r="E115" t="n">
        <v>8357.4</v>
      </c>
      <c r="F115" t="n">
        <v>4049.7</v>
      </c>
      <c r="G115" t="n">
        <v>3822.8</v>
      </c>
      <c r="H115" t="n">
        <v>4694.6</v>
      </c>
      <c r="I115" t="n">
        <v>752.2</v>
      </c>
      <c r="J115">
        <f>SUM(D115:I115)</f>
        <v/>
      </c>
      <c r="K115">
        <f>IFERROR(D115/$J115,0)</f>
        <v/>
      </c>
      <c r="L115">
        <f>IFERROR(E115/$J115,0)</f>
        <v/>
      </c>
      <c r="M115">
        <f>IFERROR(F115/$J115,0)</f>
        <v/>
      </c>
      <c r="N115">
        <f>IFERROR(G115/$J115,0)</f>
        <v/>
      </c>
      <c r="O115">
        <f>IFERROR(H115/$J115,0)</f>
        <v/>
      </c>
      <c r="P115">
        <f>IFERROR(I115/$J115,0)</f>
        <v/>
      </c>
      <c r="Q115">
        <f>D115*INDEX(Régions!$T$2:$T$6,MATCH($B115,Régions!$A$2:$A$6,0))</f>
        <v/>
      </c>
      <c r="R115">
        <f>E115*INDEX(Régions!$U$2:$U$6,MATCH($B115,Régions!$A$2:$A$6,0))</f>
        <v/>
      </c>
      <c r="S115">
        <f>F115*INDEX(Régions!$V$2:$V$6,MATCH($B115,Régions!$A$2:$A$6,0))</f>
        <v/>
      </c>
      <c r="T115">
        <f>G115*INDEX(Régions!$W$2:$W$6,MATCH($B115,Régions!$A$2:$A$6,0))</f>
        <v/>
      </c>
      <c r="U115">
        <f>H115*INDEX(Régions!$X$2:$X$6,MATCH($B115,Régions!$A$2:$A$6,0))</f>
        <v/>
      </c>
      <c r="V115">
        <f>I115*INDEX(Régions!$Y$2:$Y$6,MATCH($B115,Régions!$A$2:$A$6,0))</f>
        <v/>
      </c>
      <c r="W115">
        <f>Q115+(BB115/100)*$J115*Régions!$O$2</f>
        <v/>
      </c>
      <c r="X115">
        <f>R115+(BC115/100)*$J115*Régions!$O$2</f>
        <v/>
      </c>
      <c r="Y115">
        <f>S115+(BD115/100)*$J115*Régions!$O$2</f>
        <v/>
      </c>
      <c r="Z115">
        <f>T115+(BE115/100)*$J115*Régions!$O$2</f>
        <v/>
      </c>
      <c r="AA115">
        <f>U115</f>
        <v/>
      </c>
      <c r="AB115">
        <f>V115</f>
        <v/>
      </c>
      <c r="AC115">
        <f>D115*INDEX(Régions!$Z$2:$Z$6,MATCH($B115,Régions!$A$2:$A$6,0))</f>
        <v/>
      </c>
      <c r="AD115">
        <f>E115*INDEX(Régions!$AA$2:$AA$6,MATCH($B115,Régions!$A$2:$A$6,0))</f>
        <v/>
      </c>
      <c r="AE115">
        <f>F115*INDEX(Régions!$AB$2:$AB$6,MATCH($B115,Régions!$A$2:$A$6,0))</f>
        <v/>
      </c>
      <c r="AF115">
        <f>G115*INDEX(Régions!$AC$2:$AC$6,MATCH($B115,Régions!$A$2:$A$6,0))</f>
        <v/>
      </c>
      <c r="AG115">
        <f>H115*INDEX(Régions!$AD$2:$AD$6,MATCH($B115,Régions!$A$2:$A$6,0))</f>
        <v/>
      </c>
      <c r="AH115">
        <f>I115*INDEX(Régions!$AE$2:$AE$6,MATCH($B115,Régions!$A$2:$A$6,0))</f>
        <v/>
      </c>
      <c r="AI115">
        <f>D115*INDEX(Régions!$AF$2:$AF$6,MATCH($B115,Régions!$A$2:$A$6,0))</f>
        <v/>
      </c>
      <c r="AJ115">
        <f>E115*INDEX(Régions!$AG$2:$AG$6,MATCH($B115,Régions!$A$2:$A$6,0))</f>
        <v/>
      </c>
      <c r="AK115">
        <f>F115*INDEX(Régions!$AH$2:$AH$6,MATCH($B115,Régions!$A$2:$A$6,0))</f>
        <v/>
      </c>
      <c r="AL115">
        <f>G115*INDEX(Régions!$AI$2:$AI$6,MATCH($B115,Régions!$A$2:$A$6,0))</f>
        <v/>
      </c>
      <c r="AM115">
        <f>H115*INDEX(Régions!$AJ$2:$AJ$6,MATCH($B115,Régions!$A$2:$A$6,0))</f>
        <v/>
      </c>
      <c r="AN115">
        <f>I115*INDEX(Régions!$AK$2:$AK$6,MATCH($B115,Régions!$A$2:$A$6,0))</f>
        <v/>
      </c>
      <c r="AO115">
        <f>Régions!$Q$2*Q115/SUM($Q115:$V115)*100+(1-Régions!$Q$2)*MAX(K115*100+(INDEX(Régions!$AL$2:$AL$6,MATCH($B115,Régions!$A$2:$A$6,0))),0)</f>
        <v/>
      </c>
      <c r="AP115">
        <f>Régions!$Q$2*R115/SUM($Q115:$V115)*100+(1-Régions!$Q$2)*MAX(L115*100+(INDEX(Régions!$AM$2:$AM$6,MATCH($B115,Régions!$A$2:$A$6,0))),0)</f>
        <v/>
      </c>
      <c r="AQ115">
        <f>Régions!$Q$2*S115/SUM($Q115:$V115)*100+(1-Régions!$Q$2)*MAX(M115*100+(INDEX(Régions!$AN$2:$AN$6,MATCH($B115,Régions!$A$2:$A$6,0))),0)</f>
        <v/>
      </c>
      <c r="AR115">
        <f>Régions!$Q$2*T115/SUM($Q115:$V115)*100+(1-Régions!$Q$2)*MAX(N115*100+(INDEX(Régions!$AO$2:$AO$6,MATCH($B115,Régions!$A$2:$A$6,0))),0)</f>
        <v/>
      </c>
      <c r="AS115">
        <f>Régions!$Q$2*U115/SUM($Q115:$V115)*100+(1-Régions!$Q$2)*MAX(O115*100+(INDEX(Régions!$AP$2:$AP$6,MATCH($B115,Régions!$A$2:$A$6,0))),0)</f>
        <v/>
      </c>
      <c r="AT115">
        <f>Régions!$Q$2*V115/SUM($Q115:$V115)*100+(1-Régions!$Q$2)*MAX(P115*100+(INDEX(Régions!$AQ$2:$AQ$6,MATCH($B115,Régions!$A$2:$A$6,0))),0)</f>
        <v/>
      </c>
      <c r="AU115">
        <f>INDEX({"CAQ","PLQ","QS","PQ","PCQ","Autre"},MATCH(MAX(Q115:V115),Q115:V115,0))</f>
        <v/>
      </c>
      <c r="AV115">
        <f>INDEX({"CAQ","PLQ","QS","PQ","PCQ","Autre"},MATCH(MAX(W115:AB115),W115:AB115,0))</f>
        <v/>
      </c>
      <c r="AW115">
        <f>INDEX({"CAQ","PLQ","QS","PQ","PCQ","Autre"},MATCH(MAX(AC115:AH115),AC115:AH115,0))</f>
        <v/>
      </c>
      <c r="AX115">
        <f>INDEX({"CAQ","PLQ","QS","PQ","PCQ","Autre"},MATCH(MAX(AI115:AN115),AI115:AN115,0))</f>
        <v/>
      </c>
      <c r="AY115">
        <f>INDEX({"CAQ","PLQ","QS","PQ","PCQ","Autre"},MATCH(MAX(AO115:AT115),AO115:AT115,0))</f>
        <v/>
      </c>
      <c r="AZ115">
        <f>(MAX(K115:P115)-LARGE(K115:P115,2))*100</f>
        <v/>
      </c>
      <c r="BA115">
        <f>IF(AZ115&lt;5,"Oui","Non")</f>
        <v/>
      </c>
      <c r="BB115" t="n">
        <v>0.161</v>
      </c>
      <c r="BC115" t="n">
        <v>-4.825</v>
      </c>
      <c r="BD115" t="n">
        <v>-0.11</v>
      </c>
      <c r="BE115" t="n">
        <v>3.101</v>
      </c>
    </row>
    <row r="116">
      <c r="A116" t="inlineStr">
        <is>
          <t>Taillon</t>
        </is>
      </c>
      <c r="B116" t="inlineStr">
        <is>
          <t>Banlieue de Montréal</t>
        </is>
      </c>
      <c r="C116">
        <f>INDEX({"CAQ","PLQ","QS","PQ","PCQ","Autre"},MATCH(MAX(D116:I116),D116:I116,0))</f>
        <v/>
      </c>
      <c r="D116" t="n">
        <v>14635</v>
      </c>
      <c r="E116" t="n">
        <v>4096</v>
      </c>
      <c r="F116" t="n">
        <v>6663</v>
      </c>
      <c r="G116" t="n">
        <v>7160</v>
      </c>
      <c r="H116" t="n">
        <v>2280</v>
      </c>
      <c r="I116" t="n">
        <v>422</v>
      </c>
      <c r="J116">
        <f>SUM(D116:I116)</f>
        <v/>
      </c>
      <c r="K116">
        <f>IFERROR(D116/$J116,0)</f>
        <v/>
      </c>
      <c r="L116">
        <f>IFERROR(E116/$J116,0)</f>
        <v/>
      </c>
      <c r="M116">
        <f>IFERROR(F116/$J116,0)</f>
        <v/>
      </c>
      <c r="N116">
        <f>IFERROR(G116/$J116,0)</f>
        <v/>
      </c>
      <c r="O116">
        <f>IFERROR(H116/$J116,0)</f>
        <v/>
      </c>
      <c r="P116">
        <f>IFERROR(I116/$J116,0)</f>
        <v/>
      </c>
      <c r="Q116">
        <f>D116*INDEX(Régions!$T$2:$T$6,MATCH($B116,Régions!$A$2:$A$6,0))</f>
        <v/>
      </c>
      <c r="R116">
        <f>E116*INDEX(Régions!$U$2:$U$6,MATCH($B116,Régions!$A$2:$A$6,0))</f>
        <v/>
      </c>
      <c r="S116">
        <f>F116*INDEX(Régions!$V$2:$V$6,MATCH($B116,Régions!$A$2:$A$6,0))</f>
        <v/>
      </c>
      <c r="T116">
        <f>G116*INDEX(Régions!$W$2:$W$6,MATCH($B116,Régions!$A$2:$A$6,0))</f>
        <v/>
      </c>
      <c r="U116">
        <f>H116*INDEX(Régions!$X$2:$X$6,MATCH($B116,Régions!$A$2:$A$6,0))</f>
        <v/>
      </c>
      <c r="V116">
        <f>I116*INDEX(Régions!$Y$2:$Y$6,MATCH($B116,Régions!$A$2:$A$6,0))</f>
        <v/>
      </c>
      <c r="W116">
        <f>Q116+(BB116/100)*$J116*Régions!$O$2</f>
        <v/>
      </c>
      <c r="X116">
        <f>R116+(BC116/100)*$J116*Régions!$O$2</f>
        <v/>
      </c>
      <c r="Y116">
        <f>S116+(BD116/100)*$J116*Régions!$O$2</f>
        <v/>
      </c>
      <c r="Z116">
        <f>T116+(BE116/100)*$J116*Régions!$O$2</f>
        <v/>
      </c>
      <c r="AA116">
        <f>U116</f>
        <v/>
      </c>
      <c r="AB116">
        <f>V116</f>
        <v/>
      </c>
      <c r="AC116">
        <f>D116*INDEX(Régions!$Z$2:$Z$6,MATCH($B116,Régions!$A$2:$A$6,0))</f>
        <v/>
      </c>
      <c r="AD116">
        <f>E116*INDEX(Régions!$AA$2:$AA$6,MATCH($B116,Régions!$A$2:$A$6,0))</f>
        <v/>
      </c>
      <c r="AE116">
        <f>F116*INDEX(Régions!$AB$2:$AB$6,MATCH($B116,Régions!$A$2:$A$6,0))</f>
        <v/>
      </c>
      <c r="AF116">
        <f>G116*INDEX(Régions!$AC$2:$AC$6,MATCH($B116,Régions!$A$2:$A$6,0))</f>
        <v/>
      </c>
      <c r="AG116">
        <f>H116*INDEX(Régions!$AD$2:$AD$6,MATCH($B116,Régions!$A$2:$A$6,0))</f>
        <v/>
      </c>
      <c r="AH116">
        <f>I116*INDEX(Régions!$AE$2:$AE$6,MATCH($B116,Régions!$A$2:$A$6,0))</f>
        <v/>
      </c>
      <c r="AI116">
        <f>D116*INDEX(Régions!$AF$2:$AF$6,MATCH($B116,Régions!$A$2:$A$6,0))</f>
        <v/>
      </c>
      <c r="AJ116">
        <f>E116*INDEX(Régions!$AG$2:$AG$6,MATCH($B116,Régions!$A$2:$A$6,0))</f>
        <v/>
      </c>
      <c r="AK116">
        <f>F116*INDEX(Régions!$AH$2:$AH$6,MATCH($B116,Régions!$A$2:$A$6,0))</f>
        <v/>
      </c>
      <c r="AL116">
        <f>G116*INDEX(Régions!$AI$2:$AI$6,MATCH($B116,Régions!$A$2:$A$6,0))</f>
        <v/>
      </c>
      <c r="AM116">
        <f>H116*INDEX(Régions!$AJ$2:$AJ$6,MATCH($B116,Régions!$A$2:$A$6,0))</f>
        <v/>
      </c>
      <c r="AN116">
        <f>I116*INDEX(Régions!$AK$2:$AK$6,MATCH($B116,Régions!$A$2:$A$6,0))</f>
        <v/>
      </c>
      <c r="AO116">
        <f>Régions!$Q$2*Q116/SUM($Q116:$V116)*100+(1-Régions!$Q$2)*MAX(K116*100+(INDEX(Régions!$AL$2:$AL$6,MATCH($B116,Régions!$A$2:$A$6,0))),0)</f>
        <v/>
      </c>
      <c r="AP116">
        <f>Régions!$Q$2*R116/SUM($Q116:$V116)*100+(1-Régions!$Q$2)*MAX(L116*100+(INDEX(Régions!$AM$2:$AM$6,MATCH($B116,Régions!$A$2:$A$6,0))),0)</f>
        <v/>
      </c>
      <c r="AQ116">
        <f>Régions!$Q$2*S116/SUM($Q116:$V116)*100+(1-Régions!$Q$2)*MAX(M116*100+(INDEX(Régions!$AN$2:$AN$6,MATCH($B116,Régions!$A$2:$A$6,0))),0)</f>
        <v/>
      </c>
      <c r="AR116">
        <f>Régions!$Q$2*T116/SUM($Q116:$V116)*100+(1-Régions!$Q$2)*MAX(N116*100+(INDEX(Régions!$AO$2:$AO$6,MATCH($B116,Régions!$A$2:$A$6,0))),0)</f>
        <v/>
      </c>
      <c r="AS116">
        <f>Régions!$Q$2*U116/SUM($Q116:$V116)*100+(1-Régions!$Q$2)*MAX(O116*100+(INDEX(Régions!$AP$2:$AP$6,MATCH($B116,Régions!$A$2:$A$6,0))),0)</f>
        <v/>
      </c>
      <c r="AT116">
        <f>Régions!$Q$2*V116/SUM($Q116:$V116)*100+(1-Régions!$Q$2)*MAX(P116*100+(INDEX(Régions!$AQ$2:$AQ$6,MATCH($B116,Régions!$A$2:$A$6,0))),0)</f>
        <v/>
      </c>
      <c r="AU116">
        <f>INDEX({"CAQ","PLQ","QS","PQ","PCQ","Autre"},MATCH(MAX(Q116:V116),Q116:V116,0))</f>
        <v/>
      </c>
      <c r="AV116">
        <f>INDEX({"CAQ","PLQ","QS","PQ","PCQ","Autre"},MATCH(MAX(W116:AB116),W116:AB116,0))</f>
        <v/>
      </c>
      <c r="AW116">
        <f>INDEX({"CAQ","PLQ","QS","PQ","PCQ","Autre"},MATCH(MAX(AC116:AH116),AC116:AH116,0))</f>
        <v/>
      </c>
      <c r="AX116">
        <f>INDEX({"CAQ","PLQ","QS","PQ","PCQ","Autre"},MATCH(MAX(AI116:AN116),AI116:AN116,0))</f>
        <v/>
      </c>
      <c r="AY116">
        <f>INDEX({"CAQ","PLQ","QS","PQ","PCQ","Autre"},MATCH(MAX(AO116:AT116),AO116:AT116,0))</f>
        <v/>
      </c>
      <c r="AZ116">
        <f>(MAX(K116:P116)-LARGE(K116:P116,2))*100</f>
        <v/>
      </c>
      <c r="BA116">
        <f>IF(AZ116&lt;5,"Oui","Non")</f>
        <v/>
      </c>
      <c r="BB116" t="n">
        <v>4.641</v>
      </c>
      <c r="BC116" t="n">
        <v>1.754</v>
      </c>
      <c r="BD116" t="n">
        <v>1.827</v>
      </c>
      <c r="BE116" t="n">
        <v>-4.606</v>
      </c>
    </row>
    <row r="117">
      <c r="A117" t="inlineStr">
        <is>
          <t>Taschereau</t>
        </is>
      </c>
      <c r="B117" t="inlineStr">
        <is>
          <t>Québec RMR</t>
        </is>
      </c>
      <c r="C117">
        <f>INDEX({"CAQ","PLQ","QS","PQ","PCQ","Autre"},MATCH(MAX(D117:I117),D117:I117,0))</f>
        <v/>
      </c>
      <c r="D117" t="n">
        <v>7537</v>
      </c>
      <c r="E117" t="n">
        <v>2025</v>
      </c>
      <c r="F117" t="n">
        <v>13588</v>
      </c>
      <c r="G117" t="n">
        <v>7757</v>
      </c>
      <c r="H117" t="n">
        <v>3012</v>
      </c>
      <c r="I117" t="n">
        <v>451</v>
      </c>
      <c r="J117">
        <f>SUM(D117:I117)</f>
        <v/>
      </c>
      <c r="K117">
        <f>IFERROR(D117/$J117,0)</f>
        <v/>
      </c>
      <c r="L117">
        <f>IFERROR(E117/$J117,0)</f>
        <v/>
      </c>
      <c r="M117">
        <f>IFERROR(F117/$J117,0)</f>
        <v/>
      </c>
      <c r="N117">
        <f>IFERROR(G117/$J117,0)</f>
        <v/>
      </c>
      <c r="O117">
        <f>IFERROR(H117/$J117,0)</f>
        <v/>
      </c>
      <c r="P117">
        <f>IFERROR(I117/$J117,0)</f>
        <v/>
      </c>
      <c r="Q117">
        <f>D117*INDEX(Régions!$T$2:$T$6,MATCH($B117,Régions!$A$2:$A$6,0))</f>
        <v/>
      </c>
      <c r="R117">
        <f>E117*INDEX(Régions!$U$2:$U$6,MATCH($B117,Régions!$A$2:$A$6,0))</f>
        <v/>
      </c>
      <c r="S117">
        <f>F117*INDEX(Régions!$V$2:$V$6,MATCH($B117,Régions!$A$2:$A$6,0))</f>
        <v/>
      </c>
      <c r="T117">
        <f>G117*INDEX(Régions!$W$2:$W$6,MATCH($B117,Régions!$A$2:$A$6,0))</f>
        <v/>
      </c>
      <c r="U117">
        <f>H117*INDEX(Régions!$X$2:$X$6,MATCH($B117,Régions!$A$2:$A$6,0))</f>
        <v/>
      </c>
      <c r="V117">
        <f>I117*INDEX(Régions!$Y$2:$Y$6,MATCH($B117,Régions!$A$2:$A$6,0))</f>
        <v/>
      </c>
      <c r="W117">
        <f>Q117+(BB117/100)*$J117*Régions!$O$2</f>
        <v/>
      </c>
      <c r="X117">
        <f>R117+(BC117/100)*$J117*Régions!$O$2</f>
        <v/>
      </c>
      <c r="Y117">
        <f>S117+(BD117/100)*$J117*Régions!$O$2</f>
        <v/>
      </c>
      <c r="Z117">
        <f>T117+(BE117/100)*$J117*Régions!$O$2</f>
        <v/>
      </c>
      <c r="AA117">
        <f>U117</f>
        <v/>
      </c>
      <c r="AB117">
        <f>V117</f>
        <v/>
      </c>
      <c r="AC117">
        <f>D117*INDEX(Régions!$Z$2:$Z$6,MATCH($B117,Régions!$A$2:$A$6,0))</f>
        <v/>
      </c>
      <c r="AD117">
        <f>E117*INDEX(Régions!$AA$2:$AA$6,MATCH($B117,Régions!$A$2:$A$6,0))</f>
        <v/>
      </c>
      <c r="AE117">
        <f>F117*INDEX(Régions!$AB$2:$AB$6,MATCH($B117,Régions!$A$2:$A$6,0))</f>
        <v/>
      </c>
      <c r="AF117">
        <f>G117*INDEX(Régions!$AC$2:$AC$6,MATCH($B117,Régions!$A$2:$A$6,0))</f>
        <v/>
      </c>
      <c r="AG117">
        <f>H117*INDEX(Régions!$AD$2:$AD$6,MATCH($B117,Régions!$A$2:$A$6,0))</f>
        <v/>
      </c>
      <c r="AH117">
        <f>I117*INDEX(Régions!$AE$2:$AE$6,MATCH($B117,Régions!$A$2:$A$6,0))</f>
        <v/>
      </c>
      <c r="AI117">
        <f>D117*INDEX(Régions!$AF$2:$AF$6,MATCH($B117,Régions!$A$2:$A$6,0))</f>
        <v/>
      </c>
      <c r="AJ117">
        <f>E117*INDEX(Régions!$AG$2:$AG$6,MATCH($B117,Régions!$A$2:$A$6,0))</f>
        <v/>
      </c>
      <c r="AK117">
        <f>F117*INDEX(Régions!$AH$2:$AH$6,MATCH($B117,Régions!$A$2:$A$6,0))</f>
        <v/>
      </c>
      <c r="AL117">
        <f>G117*INDEX(Régions!$AI$2:$AI$6,MATCH($B117,Régions!$A$2:$A$6,0))</f>
        <v/>
      </c>
      <c r="AM117">
        <f>H117*INDEX(Régions!$AJ$2:$AJ$6,MATCH($B117,Régions!$A$2:$A$6,0))</f>
        <v/>
      </c>
      <c r="AN117">
        <f>I117*INDEX(Régions!$AK$2:$AK$6,MATCH($B117,Régions!$A$2:$A$6,0))</f>
        <v/>
      </c>
      <c r="AO117">
        <f>Régions!$Q$2*Q117/SUM($Q117:$V117)*100+(1-Régions!$Q$2)*MAX(K117*100+(INDEX(Régions!$AL$2:$AL$6,MATCH($B117,Régions!$A$2:$A$6,0))),0)</f>
        <v/>
      </c>
      <c r="AP117">
        <f>Régions!$Q$2*R117/SUM($Q117:$V117)*100+(1-Régions!$Q$2)*MAX(L117*100+(INDEX(Régions!$AM$2:$AM$6,MATCH($B117,Régions!$A$2:$A$6,0))),0)</f>
        <v/>
      </c>
      <c r="AQ117">
        <f>Régions!$Q$2*S117/SUM($Q117:$V117)*100+(1-Régions!$Q$2)*MAX(M117*100+(INDEX(Régions!$AN$2:$AN$6,MATCH($B117,Régions!$A$2:$A$6,0))),0)</f>
        <v/>
      </c>
      <c r="AR117">
        <f>Régions!$Q$2*T117/SUM($Q117:$V117)*100+(1-Régions!$Q$2)*MAX(N117*100+(INDEX(Régions!$AO$2:$AO$6,MATCH($B117,Régions!$A$2:$A$6,0))),0)</f>
        <v/>
      </c>
      <c r="AS117">
        <f>Régions!$Q$2*U117/SUM($Q117:$V117)*100+(1-Régions!$Q$2)*MAX(O117*100+(INDEX(Régions!$AP$2:$AP$6,MATCH($B117,Régions!$A$2:$A$6,0))),0)</f>
        <v/>
      </c>
      <c r="AT117">
        <f>Régions!$Q$2*V117/SUM($Q117:$V117)*100+(1-Régions!$Q$2)*MAX(P117*100+(INDEX(Régions!$AQ$2:$AQ$6,MATCH($B117,Régions!$A$2:$A$6,0))),0)</f>
        <v/>
      </c>
      <c r="AU117">
        <f>INDEX({"CAQ","PLQ","QS","PQ","PCQ","Autre"},MATCH(MAX(Q117:V117),Q117:V117,0))</f>
        <v/>
      </c>
      <c r="AV117">
        <f>INDEX({"CAQ","PLQ","QS","PQ","PCQ","Autre"},MATCH(MAX(W117:AB117),W117:AB117,0))</f>
        <v/>
      </c>
      <c r="AW117">
        <f>INDEX({"CAQ","PLQ","QS","PQ","PCQ","Autre"},MATCH(MAX(AC117:AH117),AC117:AH117,0))</f>
        <v/>
      </c>
      <c r="AX117">
        <f>INDEX({"CAQ","PLQ","QS","PQ","PCQ","Autre"},MATCH(MAX(AI117:AN117),AI117:AN117,0))</f>
        <v/>
      </c>
      <c r="AY117">
        <f>INDEX({"CAQ","PLQ","QS","PQ","PCQ","Autre"},MATCH(MAX(AO117:AT117),AO117:AT117,0))</f>
        <v/>
      </c>
      <c r="AZ117">
        <f>(MAX(K117:P117)-LARGE(K117:P117,2))*100</f>
        <v/>
      </c>
      <c r="BA117">
        <f>IF(AZ117&lt;5,"Oui","Non")</f>
        <v/>
      </c>
      <c r="BB117" t="n">
        <v>5.736</v>
      </c>
      <c r="BC117" t="n">
        <v>3.128</v>
      </c>
      <c r="BD117" t="n">
        <v>-2.674</v>
      </c>
      <c r="BE117" t="n">
        <v>2.902</v>
      </c>
    </row>
    <row r="118">
      <c r="A118" t="inlineStr">
        <is>
          <t>Terrebonne</t>
        </is>
      </c>
      <c r="B118" t="inlineStr">
        <is>
          <t>Banlieue de Montréal</t>
        </is>
      </c>
      <c r="C118">
        <f>INDEX({"CAQ","PLQ","QS","PQ","PCQ","Autre"},MATCH(MAX(D118:I118),D118:I118,0))</f>
        <v/>
      </c>
      <c r="D118" t="n">
        <v>18541.6</v>
      </c>
      <c r="E118" t="n">
        <v>3813.7</v>
      </c>
      <c r="F118" t="n">
        <v>4745.6</v>
      </c>
      <c r="G118" t="n">
        <v>7081.1</v>
      </c>
      <c r="H118" t="n">
        <v>2976.6</v>
      </c>
      <c r="I118" t="n">
        <v>344</v>
      </c>
      <c r="J118">
        <f>SUM(D118:I118)</f>
        <v/>
      </c>
      <c r="K118">
        <f>IFERROR(D118/$J118,0)</f>
        <v/>
      </c>
      <c r="L118">
        <f>IFERROR(E118/$J118,0)</f>
        <v/>
      </c>
      <c r="M118">
        <f>IFERROR(F118/$J118,0)</f>
        <v/>
      </c>
      <c r="N118">
        <f>IFERROR(G118/$J118,0)</f>
        <v/>
      </c>
      <c r="O118">
        <f>IFERROR(H118/$J118,0)</f>
        <v/>
      </c>
      <c r="P118">
        <f>IFERROR(I118/$J118,0)</f>
        <v/>
      </c>
      <c r="Q118">
        <f>D118*INDEX(Régions!$T$2:$T$6,MATCH($B118,Régions!$A$2:$A$6,0))</f>
        <v/>
      </c>
      <c r="R118">
        <f>E118*INDEX(Régions!$U$2:$U$6,MATCH($B118,Régions!$A$2:$A$6,0))</f>
        <v/>
      </c>
      <c r="S118">
        <f>F118*INDEX(Régions!$V$2:$V$6,MATCH($B118,Régions!$A$2:$A$6,0))</f>
        <v/>
      </c>
      <c r="T118">
        <f>G118*INDEX(Régions!$W$2:$W$6,MATCH($B118,Régions!$A$2:$A$6,0))</f>
        <v/>
      </c>
      <c r="U118">
        <f>H118*INDEX(Régions!$X$2:$X$6,MATCH($B118,Régions!$A$2:$A$6,0))</f>
        <v/>
      </c>
      <c r="V118">
        <f>I118*INDEX(Régions!$Y$2:$Y$6,MATCH($B118,Régions!$A$2:$A$6,0))</f>
        <v/>
      </c>
      <c r="W118">
        <f>Q118+(BB118/100)*$J118*Régions!$O$2</f>
        <v/>
      </c>
      <c r="X118">
        <f>R118+(BC118/100)*$J118*Régions!$O$2</f>
        <v/>
      </c>
      <c r="Y118">
        <f>S118+(BD118/100)*$J118*Régions!$O$2</f>
        <v/>
      </c>
      <c r="Z118">
        <f>T118+(BE118/100)*$J118*Régions!$O$2</f>
        <v/>
      </c>
      <c r="AA118">
        <f>U118</f>
        <v/>
      </c>
      <c r="AB118">
        <f>V118</f>
        <v/>
      </c>
      <c r="AC118">
        <f>D118*INDEX(Régions!$Z$2:$Z$6,MATCH($B118,Régions!$A$2:$A$6,0))</f>
        <v/>
      </c>
      <c r="AD118">
        <f>E118*INDEX(Régions!$AA$2:$AA$6,MATCH($B118,Régions!$A$2:$A$6,0))</f>
        <v/>
      </c>
      <c r="AE118">
        <f>F118*INDEX(Régions!$AB$2:$AB$6,MATCH($B118,Régions!$A$2:$A$6,0))</f>
        <v/>
      </c>
      <c r="AF118">
        <f>G118*INDEX(Régions!$AC$2:$AC$6,MATCH($B118,Régions!$A$2:$A$6,0))</f>
        <v/>
      </c>
      <c r="AG118">
        <f>H118*INDEX(Régions!$AD$2:$AD$6,MATCH($B118,Régions!$A$2:$A$6,0))</f>
        <v/>
      </c>
      <c r="AH118">
        <f>I118*INDEX(Régions!$AE$2:$AE$6,MATCH($B118,Régions!$A$2:$A$6,0))</f>
        <v/>
      </c>
      <c r="AI118">
        <f>D118*INDEX(Régions!$AF$2:$AF$6,MATCH($B118,Régions!$A$2:$A$6,0))</f>
        <v/>
      </c>
      <c r="AJ118">
        <f>E118*INDEX(Régions!$AG$2:$AG$6,MATCH($B118,Régions!$A$2:$A$6,0))</f>
        <v/>
      </c>
      <c r="AK118">
        <f>F118*INDEX(Régions!$AH$2:$AH$6,MATCH($B118,Régions!$A$2:$A$6,0))</f>
        <v/>
      </c>
      <c r="AL118">
        <f>G118*INDEX(Régions!$AI$2:$AI$6,MATCH($B118,Régions!$A$2:$A$6,0))</f>
        <v/>
      </c>
      <c r="AM118">
        <f>H118*INDEX(Régions!$AJ$2:$AJ$6,MATCH($B118,Régions!$A$2:$A$6,0))</f>
        <v/>
      </c>
      <c r="AN118">
        <f>I118*INDEX(Régions!$AK$2:$AK$6,MATCH($B118,Régions!$A$2:$A$6,0))</f>
        <v/>
      </c>
      <c r="AO118">
        <f>Régions!$Q$2*Q118/SUM($Q118:$V118)*100+(1-Régions!$Q$2)*MAX(K118*100+(INDEX(Régions!$AL$2:$AL$6,MATCH($B118,Régions!$A$2:$A$6,0))),0)</f>
        <v/>
      </c>
      <c r="AP118">
        <f>Régions!$Q$2*R118/SUM($Q118:$V118)*100+(1-Régions!$Q$2)*MAX(L118*100+(INDEX(Régions!$AM$2:$AM$6,MATCH($B118,Régions!$A$2:$A$6,0))),0)</f>
        <v/>
      </c>
      <c r="AQ118">
        <f>Régions!$Q$2*S118/SUM($Q118:$V118)*100+(1-Régions!$Q$2)*MAX(M118*100+(INDEX(Régions!$AN$2:$AN$6,MATCH($B118,Régions!$A$2:$A$6,0))),0)</f>
        <v/>
      </c>
      <c r="AR118">
        <f>Régions!$Q$2*T118/SUM($Q118:$V118)*100+(1-Régions!$Q$2)*MAX(N118*100+(INDEX(Régions!$AO$2:$AO$6,MATCH($B118,Régions!$A$2:$A$6,0))),0)</f>
        <v/>
      </c>
      <c r="AS118">
        <f>Régions!$Q$2*U118/SUM($Q118:$V118)*100+(1-Régions!$Q$2)*MAX(O118*100+(INDEX(Régions!$AP$2:$AP$6,MATCH($B118,Régions!$A$2:$A$6,0))),0)</f>
        <v/>
      </c>
      <c r="AT118">
        <f>Régions!$Q$2*V118/SUM($Q118:$V118)*100+(1-Régions!$Q$2)*MAX(P118*100+(INDEX(Régions!$AQ$2:$AQ$6,MATCH($B118,Régions!$A$2:$A$6,0))),0)</f>
        <v/>
      </c>
      <c r="AU118">
        <f>INDEX({"CAQ","PLQ","QS","PQ","PCQ","Autre"},MATCH(MAX(Q118:V118),Q118:V118,0))</f>
        <v/>
      </c>
      <c r="AV118">
        <f>INDEX({"CAQ","PLQ","QS","PQ","PCQ","Autre"},MATCH(MAX(W118:AB118),W118:AB118,0))</f>
        <v/>
      </c>
      <c r="AW118">
        <f>INDEX({"CAQ","PLQ","QS","PQ","PCQ","Autre"},MATCH(MAX(AC118:AH118),AC118:AH118,0))</f>
        <v/>
      </c>
      <c r="AX118">
        <f>INDEX({"CAQ","PLQ","QS","PQ","PCQ","Autre"},MATCH(MAX(AI118:AN118),AI118:AN118,0))</f>
        <v/>
      </c>
      <c r="AY118">
        <f>INDEX({"CAQ","PLQ","QS","PQ","PCQ","Autre"},MATCH(MAX(AO118:AT118),AO118:AT118,0))</f>
        <v/>
      </c>
      <c r="AZ118">
        <f>(MAX(K118:P118)-LARGE(K118:P118,2))*100</f>
        <v/>
      </c>
      <c r="BA118">
        <f>IF(AZ118&lt;5,"Oui","Non")</f>
        <v/>
      </c>
      <c r="BB118" t="n">
        <v>3.363</v>
      </c>
      <c r="BC118" t="n">
        <v>4.923</v>
      </c>
      <c r="BD118" t="n">
        <v>0.403</v>
      </c>
      <c r="BE118" t="n">
        <v>-7.438</v>
      </c>
    </row>
    <row r="119">
      <c r="A119" t="inlineStr">
        <is>
          <t>Trois-Rivières</t>
        </is>
      </c>
      <c r="B119" t="inlineStr">
        <is>
          <t>Reste du Québec</t>
        </is>
      </c>
      <c r="C119">
        <f>INDEX({"CAQ","PLQ","QS","PQ","PCQ","Autre"},MATCH(MAX(D119:I119),D119:I119,0))</f>
        <v/>
      </c>
      <c r="D119" t="n">
        <v>18859</v>
      </c>
      <c r="E119" t="n">
        <v>2056</v>
      </c>
      <c r="F119" t="n">
        <v>6069</v>
      </c>
      <c r="G119" t="n">
        <v>5323</v>
      </c>
      <c r="H119" t="n">
        <v>4552</v>
      </c>
      <c r="I119" t="n">
        <v>256</v>
      </c>
      <c r="J119">
        <f>SUM(D119:I119)</f>
        <v/>
      </c>
      <c r="K119">
        <f>IFERROR(D119/$J119,0)</f>
        <v/>
      </c>
      <c r="L119">
        <f>IFERROR(E119/$J119,0)</f>
        <v/>
      </c>
      <c r="M119">
        <f>IFERROR(F119/$J119,0)</f>
        <v/>
      </c>
      <c r="N119">
        <f>IFERROR(G119/$J119,0)</f>
        <v/>
      </c>
      <c r="O119">
        <f>IFERROR(H119/$J119,0)</f>
        <v/>
      </c>
      <c r="P119">
        <f>IFERROR(I119/$J119,0)</f>
        <v/>
      </c>
      <c r="Q119">
        <f>D119*INDEX(Régions!$T$2:$T$6,MATCH($B119,Régions!$A$2:$A$6,0))</f>
        <v/>
      </c>
      <c r="R119">
        <f>E119*INDEX(Régions!$U$2:$U$6,MATCH($B119,Régions!$A$2:$A$6,0))</f>
        <v/>
      </c>
      <c r="S119">
        <f>F119*INDEX(Régions!$V$2:$V$6,MATCH($B119,Régions!$A$2:$A$6,0))</f>
        <v/>
      </c>
      <c r="T119">
        <f>G119*INDEX(Régions!$W$2:$W$6,MATCH($B119,Régions!$A$2:$A$6,0))</f>
        <v/>
      </c>
      <c r="U119">
        <f>H119*INDEX(Régions!$X$2:$X$6,MATCH($B119,Régions!$A$2:$A$6,0))</f>
        <v/>
      </c>
      <c r="V119">
        <f>I119*INDEX(Régions!$Y$2:$Y$6,MATCH($B119,Régions!$A$2:$A$6,0))</f>
        <v/>
      </c>
      <c r="W119">
        <f>Q119+(BB119/100)*$J119*Régions!$O$2</f>
        <v/>
      </c>
      <c r="X119">
        <f>R119+(BC119/100)*$J119*Régions!$O$2</f>
        <v/>
      </c>
      <c r="Y119">
        <f>S119+(BD119/100)*$J119*Régions!$O$2</f>
        <v/>
      </c>
      <c r="Z119">
        <f>T119+(BE119/100)*$J119*Régions!$O$2</f>
        <v/>
      </c>
      <c r="AA119">
        <f>U119</f>
        <v/>
      </c>
      <c r="AB119">
        <f>V119</f>
        <v/>
      </c>
      <c r="AC119">
        <f>D119*INDEX(Régions!$Z$2:$Z$6,MATCH($B119,Régions!$A$2:$A$6,0))</f>
        <v/>
      </c>
      <c r="AD119">
        <f>E119*INDEX(Régions!$AA$2:$AA$6,MATCH($B119,Régions!$A$2:$A$6,0))</f>
        <v/>
      </c>
      <c r="AE119">
        <f>F119*INDEX(Régions!$AB$2:$AB$6,MATCH($B119,Régions!$A$2:$A$6,0))</f>
        <v/>
      </c>
      <c r="AF119">
        <f>G119*INDEX(Régions!$AC$2:$AC$6,MATCH($B119,Régions!$A$2:$A$6,0))</f>
        <v/>
      </c>
      <c r="AG119">
        <f>H119*INDEX(Régions!$AD$2:$AD$6,MATCH($B119,Régions!$A$2:$A$6,0))</f>
        <v/>
      </c>
      <c r="AH119">
        <f>I119*INDEX(Régions!$AE$2:$AE$6,MATCH($B119,Régions!$A$2:$A$6,0))</f>
        <v/>
      </c>
      <c r="AI119">
        <f>D119*INDEX(Régions!$AF$2:$AF$6,MATCH($B119,Régions!$A$2:$A$6,0))</f>
        <v/>
      </c>
      <c r="AJ119">
        <f>E119*INDEX(Régions!$AG$2:$AG$6,MATCH($B119,Régions!$A$2:$A$6,0))</f>
        <v/>
      </c>
      <c r="AK119">
        <f>F119*INDEX(Régions!$AH$2:$AH$6,MATCH($B119,Régions!$A$2:$A$6,0))</f>
        <v/>
      </c>
      <c r="AL119">
        <f>G119*INDEX(Régions!$AI$2:$AI$6,MATCH($B119,Régions!$A$2:$A$6,0))</f>
        <v/>
      </c>
      <c r="AM119">
        <f>H119*INDEX(Régions!$AJ$2:$AJ$6,MATCH($B119,Régions!$A$2:$A$6,0))</f>
        <v/>
      </c>
      <c r="AN119">
        <f>I119*INDEX(Régions!$AK$2:$AK$6,MATCH($B119,Régions!$A$2:$A$6,0))</f>
        <v/>
      </c>
      <c r="AO119">
        <f>Régions!$Q$2*Q119/SUM($Q119:$V119)*100+(1-Régions!$Q$2)*MAX(K119*100+(INDEX(Régions!$AL$2:$AL$6,MATCH($B119,Régions!$A$2:$A$6,0))),0)</f>
        <v/>
      </c>
      <c r="AP119">
        <f>Régions!$Q$2*R119/SUM($Q119:$V119)*100+(1-Régions!$Q$2)*MAX(L119*100+(INDEX(Régions!$AM$2:$AM$6,MATCH($B119,Régions!$A$2:$A$6,0))),0)</f>
        <v/>
      </c>
      <c r="AQ119">
        <f>Régions!$Q$2*S119/SUM($Q119:$V119)*100+(1-Régions!$Q$2)*MAX(M119*100+(INDEX(Régions!$AN$2:$AN$6,MATCH($B119,Régions!$A$2:$A$6,0))),0)</f>
        <v/>
      </c>
      <c r="AR119">
        <f>Régions!$Q$2*T119/SUM($Q119:$V119)*100+(1-Régions!$Q$2)*MAX(N119*100+(INDEX(Régions!$AO$2:$AO$6,MATCH($B119,Régions!$A$2:$A$6,0))),0)</f>
        <v/>
      </c>
      <c r="AS119">
        <f>Régions!$Q$2*U119/SUM($Q119:$V119)*100+(1-Régions!$Q$2)*MAX(O119*100+(INDEX(Régions!$AP$2:$AP$6,MATCH($B119,Régions!$A$2:$A$6,0))),0)</f>
        <v/>
      </c>
      <c r="AT119">
        <f>Régions!$Q$2*V119/SUM($Q119:$V119)*100+(1-Régions!$Q$2)*MAX(P119*100+(INDEX(Régions!$AQ$2:$AQ$6,MATCH($B119,Régions!$A$2:$A$6,0))),0)</f>
        <v/>
      </c>
      <c r="AU119">
        <f>INDEX({"CAQ","PLQ","QS","PQ","PCQ","Autre"},MATCH(MAX(Q119:V119),Q119:V119,0))</f>
        <v/>
      </c>
      <c r="AV119">
        <f>INDEX({"CAQ","PLQ","QS","PQ","PCQ","Autre"},MATCH(MAX(W119:AB119),W119:AB119,0))</f>
        <v/>
      </c>
      <c r="AW119">
        <f>INDEX({"CAQ","PLQ","QS","PQ","PCQ","Autre"},MATCH(MAX(AC119:AH119),AC119:AH119,0))</f>
        <v/>
      </c>
      <c r="AX119">
        <f>INDEX({"CAQ","PLQ","QS","PQ","PCQ","Autre"},MATCH(MAX(AI119:AN119),AI119:AN119,0))</f>
        <v/>
      </c>
      <c r="AY119">
        <f>INDEX({"CAQ","PLQ","QS","PQ","PCQ","Autre"},MATCH(MAX(AO119:AT119),AO119:AT119,0))</f>
        <v/>
      </c>
      <c r="AZ119">
        <f>(MAX(K119:P119)-LARGE(K119:P119,2))*100</f>
        <v/>
      </c>
      <c r="BA119">
        <f>IF(AZ119&lt;5,"Oui","Non")</f>
        <v/>
      </c>
      <c r="BB119" t="n">
        <v>2.334</v>
      </c>
      <c r="BC119" t="n">
        <v>-4.197</v>
      </c>
      <c r="BD119" t="n">
        <v>0.349</v>
      </c>
      <c r="BE119" t="n">
        <v>3.072</v>
      </c>
    </row>
    <row r="120">
      <c r="A120" t="inlineStr">
        <is>
          <t>Ungava</t>
        </is>
      </c>
      <c r="B120" t="inlineStr">
        <is>
          <t>Reste du Québec</t>
        </is>
      </c>
      <c r="C120">
        <f>INDEX({"CAQ","PLQ","QS","PQ","PCQ","Autre"},MATCH(MAX(D120:I120),D120:I120,0))</f>
        <v/>
      </c>
      <c r="D120" t="n">
        <v>3132</v>
      </c>
      <c r="E120" t="n">
        <v>1571</v>
      </c>
      <c r="F120" t="n">
        <v>2092</v>
      </c>
      <c r="G120" t="n">
        <v>1084</v>
      </c>
      <c r="H120" t="n">
        <v>756</v>
      </c>
      <c r="I120" t="n">
        <v>0</v>
      </c>
      <c r="J120">
        <f>SUM(D120:I120)</f>
        <v/>
      </c>
      <c r="K120">
        <f>IFERROR(D120/$J120,0)</f>
        <v/>
      </c>
      <c r="L120">
        <f>IFERROR(E120/$J120,0)</f>
        <v/>
      </c>
      <c r="M120">
        <f>IFERROR(F120/$J120,0)</f>
        <v/>
      </c>
      <c r="N120">
        <f>IFERROR(G120/$J120,0)</f>
        <v/>
      </c>
      <c r="O120">
        <f>IFERROR(H120/$J120,0)</f>
        <v/>
      </c>
      <c r="P120">
        <f>IFERROR(I120/$J120,0)</f>
        <v/>
      </c>
      <c r="Q120">
        <f>D120*INDEX(Régions!$T$2:$T$6,MATCH($B120,Régions!$A$2:$A$6,0))</f>
        <v/>
      </c>
      <c r="R120">
        <f>E120*INDEX(Régions!$U$2:$U$6,MATCH($B120,Régions!$A$2:$A$6,0))</f>
        <v/>
      </c>
      <c r="S120">
        <f>F120*INDEX(Régions!$V$2:$V$6,MATCH($B120,Régions!$A$2:$A$6,0))</f>
        <v/>
      </c>
      <c r="T120">
        <f>G120*INDEX(Régions!$W$2:$W$6,MATCH($B120,Régions!$A$2:$A$6,0))</f>
        <v/>
      </c>
      <c r="U120">
        <f>H120*INDEX(Régions!$X$2:$X$6,MATCH($B120,Régions!$A$2:$A$6,0))</f>
        <v/>
      </c>
      <c r="V120">
        <f>I120*INDEX(Régions!$Y$2:$Y$6,MATCH($B120,Régions!$A$2:$A$6,0))</f>
        <v/>
      </c>
      <c r="W120">
        <f>Q120+(BB120/100)*$J120*Régions!$O$2</f>
        <v/>
      </c>
      <c r="X120">
        <f>R120+(BC120/100)*$J120*Régions!$O$2</f>
        <v/>
      </c>
      <c r="Y120">
        <f>S120+(BD120/100)*$J120*Régions!$O$2</f>
        <v/>
      </c>
      <c r="Z120">
        <f>T120+(BE120/100)*$J120*Régions!$O$2</f>
        <v/>
      </c>
      <c r="AA120">
        <f>U120</f>
        <v/>
      </c>
      <c r="AB120">
        <f>V120</f>
        <v/>
      </c>
      <c r="AC120">
        <f>D120*INDEX(Régions!$Z$2:$Z$6,MATCH($B120,Régions!$A$2:$A$6,0))</f>
        <v/>
      </c>
      <c r="AD120">
        <f>E120*INDEX(Régions!$AA$2:$AA$6,MATCH($B120,Régions!$A$2:$A$6,0))</f>
        <v/>
      </c>
      <c r="AE120">
        <f>F120*INDEX(Régions!$AB$2:$AB$6,MATCH($B120,Régions!$A$2:$A$6,0))</f>
        <v/>
      </c>
      <c r="AF120">
        <f>G120*INDEX(Régions!$AC$2:$AC$6,MATCH($B120,Régions!$A$2:$A$6,0))</f>
        <v/>
      </c>
      <c r="AG120">
        <f>H120*INDEX(Régions!$AD$2:$AD$6,MATCH($B120,Régions!$A$2:$A$6,0))</f>
        <v/>
      </c>
      <c r="AH120">
        <f>I120*INDEX(Régions!$AE$2:$AE$6,MATCH($B120,Régions!$A$2:$A$6,0))</f>
        <v/>
      </c>
      <c r="AI120">
        <f>D120*INDEX(Régions!$AF$2:$AF$6,MATCH($B120,Régions!$A$2:$A$6,0))</f>
        <v/>
      </c>
      <c r="AJ120">
        <f>E120*INDEX(Régions!$AG$2:$AG$6,MATCH($B120,Régions!$A$2:$A$6,0))</f>
        <v/>
      </c>
      <c r="AK120">
        <f>F120*INDEX(Régions!$AH$2:$AH$6,MATCH($B120,Régions!$A$2:$A$6,0))</f>
        <v/>
      </c>
      <c r="AL120">
        <f>G120*INDEX(Régions!$AI$2:$AI$6,MATCH($B120,Régions!$A$2:$A$6,0))</f>
        <v/>
      </c>
      <c r="AM120">
        <f>H120*INDEX(Régions!$AJ$2:$AJ$6,MATCH($B120,Régions!$A$2:$A$6,0))</f>
        <v/>
      </c>
      <c r="AN120">
        <f>I120*INDEX(Régions!$AK$2:$AK$6,MATCH($B120,Régions!$A$2:$A$6,0))</f>
        <v/>
      </c>
      <c r="AO120">
        <f>Régions!$Q$2*Q120/SUM($Q120:$V120)*100+(1-Régions!$Q$2)*MAX(K120*100+(INDEX(Régions!$AL$2:$AL$6,MATCH($B120,Régions!$A$2:$A$6,0))),0)</f>
        <v/>
      </c>
      <c r="AP120">
        <f>Régions!$Q$2*R120/SUM($Q120:$V120)*100+(1-Régions!$Q$2)*MAX(L120*100+(INDEX(Régions!$AM$2:$AM$6,MATCH($B120,Régions!$A$2:$A$6,0))),0)</f>
        <v/>
      </c>
      <c r="AQ120">
        <f>Régions!$Q$2*S120/SUM($Q120:$V120)*100+(1-Régions!$Q$2)*MAX(M120*100+(INDEX(Régions!$AN$2:$AN$6,MATCH($B120,Régions!$A$2:$A$6,0))),0)</f>
        <v/>
      </c>
      <c r="AR120">
        <f>Régions!$Q$2*T120/SUM($Q120:$V120)*100+(1-Régions!$Q$2)*MAX(N120*100+(INDEX(Régions!$AO$2:$AO$6,MATCH($B120,Régions!$A$2:$A$6,0))),0)</f>
        <v/>
      </c>
      <c r="AS120">
        <f>Régions!$Q$2*U120/SUM($Q120:$V120)*100+(1-Régions!$Q$2)*MAX(O120*100+(INDEX(Régions!$AP$2:$AP$6,MATCH($B120,Régions!$A$2:$A$6,0))),0)</f>
        <v/>
      </c>
      <c r="AT120">
        <f>Régions!$Q$2*V120/SUM($Q120:$V120)*100+(1-Régions!$Q$2)*MAX(P120*100+(INDEX(Régions!$AQ$2:$AQ$6,MATCH($B120,Régions!$A$2:$A$6,0))),0)</f>
        <v/>
      </c>
      <c r="AU120">
        <f>INDEX({"CAQ","PLQ","QS","PQ","PCQ","Autre"},MATCH(MAX(Q120:V120),Q120:V120,0))</f>
        <v/>
      </c>
      <c r="AV120">
        <f>INDEX({"CAQ","PLQ","QS","PQ","PCQ","Autre"},MATCH(MAX(W120:AB120),W120:AB120,0))</f>
        <v/>
      </c>
      <c r="AW120">
        <f>INDEX({"CAQ","PLQ","QS","PQ","PCQ","Autre"},MATCH(MAX(AC120:AH120),AC120:AH120,0))</f>
        <v/>
      </c>
      <c r="AX120">
        <f>INDEX({"CAQ","PLQ","QS","PQ","PCQ","Autre"},MATCH(MAX(AI120:AN120),AI120:AN120,0))</f>
        <v/>
      </c>
      <c r="AY120">
        <f>INDEX({"CAQ","PLQ","QS","PQ","PCQ","Autre"},MATCH(MAX(AO120:AT120),AO120:AT120,0))</f>
        <v/>
      </c>
      <c r="AZ120">
        <f>(MAX(K120:P120)-LARGE(K120:P120,2))*100</f>
        <v/>
      </c>
      <c r="BA120">
        <f>IF(AZ120&lt;5,"Oui","Non")</f>
        <v/>
      </c>
      <c r="BB120" t="n">
        <v>2.36</v>
      </c>
      <c r="BC120" t="n">
        <v>6.382</v>
      </c>
      <c r="BD120" t="n">
        <v>8.875</v>
      </c>
      <c r="BE120" t="n">
        <v>-9.250999999999999</v>
      </c>
    </row>
    <row r="121">
      <c r="A121" t="inlineStr">
        <is>
          <t>Vachon</t>
        </is>
      </c>
      <c r="B121" t="inlineStr">
        <is>
          <t>Reste du Québec</t>
        </is>
      </c>
      <c r="C121">
        <f>INDEX({"CAQ","PLQ","QS","PQ","PCQ","Autre"},MATCH(MAX(D121:I121),D121:I121,0))</f>
        <v/>
      </c>
      <c r="D121" t="n">
        <v>15984</v>
      </c>
      <c r="E121" t="n">
        <v>5718</v>
      </c>
      <c r="F121" t="n">
        <v>5343</v>
      </c>
      <c r="G121" t="n">
        <v>4757</v>
      </c>
      <c r="H121" t="n">
        <v>3166</v>
      </c>
      <c r="I121" t="n">
        <v>621</v>
      </c>
      <c r="J121">
        <f>SUM(D121:I121)</f>
        <v/>
      </c>
      <c r="K121">
        <f>IFERROR(D121/$J121,0)</f>
        <v/>
      </c>
      <c r="L121">
        <f>IFERROR(E121/$J121,0)</f>
        <v/>
      </c>
      <c r="M121">
        <f>IFERROR(F121/$J121,0)</f>
        <v/>
      </c>
      <c r="N121">
        <f>IFERROR(G121/$J121,0)</f>
        <v/>
      </c>
      <c r="O121">
        <f>IFERROR(H121/$J121,0)</f>
        <v/>
      </c>
      <c r="P121">
        <f>IFERROR(I121/$J121,0)</f>
        <v/>
      </c>
      <c r="Q121">
        <f>D121*INDEX(Régions!$T$2:$T$6,MATCH($B121,Régions!$A$2:$A$6,0))</f>
        <v/>
      </c>
      <c r="R121">
        <f>E121*INDEX(Régions!$U$2:$U$6,MATCH($B121,Régions!$A$2:$A$6,0))</f>
        <v/>
      </c>
      <c r="S121">
        <f>F121*INDEX(Régions!$V$2:$V$6,MATCH($B121,Régions!$A$2:$A$6,0))</f>
        <v/>
      </c>
      <c r="T121">
        <f>G121*INDEX(Régions!$W$2:$W$6,MATCH($B121,Régions!$A$2:$A$6,0))</f>
        <v/>
      </c>
      <c r="U121">
        <f>H121*INDEX(Régions!$X$2:$X$6,MATCH($B121,Régions!$A$2:$A$6,0))</f>
        <v/>
      </c>
      <c r="V121">
        <f>I121*INDEX(Régions!$Y$2:$Y$6,MATCH($B121,Régions!$A$2:$A$6,0))</f>
        <v/>
      </c>
      <c r="W121">
        <f>Q121+(BB121/100)*$J121*Régions!$O$2</f>
        <v/>
      </c>
      <c r="X121">
        <f>R121+(BC121/100)*$J121*Régions!$O$2</f>
        <v/>
      </c>
      <c r="Y121">
        <f>S121+(BD121/100)*$J121*Régions!$O$2</f>
        <v/>
      </c>
      <c r="Z121">
        <f>T121+(BE121/100)*$J121*Régions!$O$2</f>
        <v/>
      </c>
      <c r="AA121">
        <f>U121</f>
        <v/>
      </c>
      <c r="AB121">
        <f>V121</f>
        <v/>
      </c>
      <c r="AC121">
        <f>D121*INDEX(Régions!$Z$2:$Z$6,MATCH($B121,Régions!$A$2:$A$6,0))</f>
        <v/>
      </c>
      <c r="AD121">
        <f>E121*INDEX(Régions!$AA$2:$AA$6,MATCH($B121,Régions!$A$2:$A$6,0))</f>
        <v/>
      </c>
      <c r="AE121">
        <f>F121*INDEX(Régions!$AB$2:$AB$6,MATCH($B121,Régions!$A$2:$A$6,0))</f>
        <v/>
      </c>
      <c r="AF121">
        <f>G121*INDEX(Régions!$AC$2:$AC$6,MATCH($B121,Régions!$A$2:$A$6,0))</f>
        <v/>
      </c>
      <c r="AG121">
        <f>H121*INDEX(Régions!$AD$2:$AD$6,MATCH($B121,Régions!$A$2:$A$6,0))</f>
        <v/>
      </c>
      <c r="AH121">
        <f>I121*INDEX(Régions!$AE$2:$AE$6,MATCH($B121,Régions!$A$2:$A$6,0))</f>
        <v/>
      </c>
      <c r="AI121">
        <f>D121*INDEX(Régions!$AF$2:$AF$6,MATCH($B121,Régions!$A$2:$A$6,0))</f>
        <v/>
      </c>
      <c r="AJ121">
        <f>E121*INDEX(Régions!$AG$2:$AG$6,MATCH($B121,Régions!$A$2:$A$6,0))</f>
        <v/>
      </c>
      <c r="AK121">
        <f>F121*INDEX(Régions!$AH$2:$AH$6,MATCH($B121,Régions!$A$2:$A$6,0))</f>
        <v/>
      </c>
      <c r="AL121">
        <f>G121*INDEX(Régions!$AI$2:$AI$6,MATCH($B121,Régions!$A$2:$A$6,0))</f>
        <v/>
      </c>
      <c r="AM121">
        <f>H121*INDEX(Régions!$AJ$2:$AJ$6,MATCH($B121,Régions!$A$2:$A$6,0))</f>
        <v/>
      </c>
      <c r="AN121">
        <f>I121*INDEX(Régions!$AK$2:$AK$6,MATCH($B121,Régions!$A$2:$A$6,0))</f>
        <v/>
      </c>
      <c r="AO121">
        <f>Régions!$Q$2*Q121/SUM($Q121:$V121)*100+(1-Régions!$Q$2)*MAX(K121*100+(INDEX(Régions!$AL$2:$AL$6,MATCH($B121,Régions!$A$2:$A$6,0))),0)</f>
        <v/>
      </c>
      <c r="AP121">
        <f>Régions!$Q$2*R121/SUM($Q121:$V121)*100+(1-Régions!$Q$2)*MAX(L121*100+(INDEX(Régions!$AM$2:$AM$6,MATCH($B121,Régions!$A$2:$A$6,0))),0)</f>
        <v/>
      </c>
      <c r="AQ121">
        <f>Régions!$Q$2*S121/SUM($Q121:$V121)*100+(1-Régions!$Q$2)*MAX(M121*100+(INDEX(Régions!$AN$2:$AN$6,MATCH($B121,Régions!$A$2:$A$6,0))),0)</f>
        <v/>
      </c>
      <c r="AR121">
        <f>Régions!$Q$2*T121/SUM($Q121:$V121)*100+(1-Régions!$Q$2)*MAX(N121*100+(INDEX(Régions!$AO$2:$AO$6,MATCH($B121,Régions!$A$2:$A$6,0))),0)</f>
        <v/>
      </c>
      <c r="AS121">
        <f>Régions!$Q$2*U121/SUM($Q121:$V121)*100+(1-Régions!$Q$2)*MAX(O121*100+(INDEX(Régions!$AP$2:$AP$6,MATCH($B121,Régions!$A$2:$A$6,0))),0)</f>
        <v/>
      </c>
      <c r="AT121">
        <f>Régions!$Q$2*V121/SUM($Q121:$V121)*100+(1-Régions!$Q$2)*MAX(P121*100+(INDEX(Régions!$AQ$2:$AQ$6,MATCH($B121,Régions!$A$2:$A$6,0))),0)</f>
        <v/>
      </c>
      <c r="AU121">
        <f>INDEX({"CAQ","PLQ","QS","PQ","PCQ","Autre"},MATCH(MAX(Q121:V121),Q121:V121,0))</f>
        <v/>
      </c>
      <c r="AV121">
        <f>INDEX({"CAQ","PLQ","QS","PQ","PCQ","Autre"},MATCH(MAX(W121:AB121),W121:AB121,0))</f>
        <v/>
      </c>
      <c r="AW121">
        <f>INDEX({"CAQ","PLQ","QS","PQ","PCQ","Autre"},MATCH(MAX(AC121:AH121),AC121:AH121,0))</f>
        <v/>
      </c>
      <c r="AX121">
        <f>INDEX({"CAQ","PLQ","QS","PQ","PCQ","Autre"},MATCH(MAX(AI121:AN121),AI121:AN121,0))</f>
        <v/>
      </c>
      <c r="AY121">
        <f>INDEX({"CAQ","PLQ","QS","PQ","PCQ","Autre"},MATCH(MAX(AO121:AT121),AO121:AT121,0))</f>
        <v/>
      </c>
      <c r="AZ121">
        <f>(MAX(K121:P121)-LARGE(K121:P121,2))*100</f>
        <v/>
      </c>
      <c r="BA121">
        <f>IF(AZ121&lt;5,"Oui","Non")</f>
        <v/>
      </c>
      <c r="BB121" t="n">
        <v>-6.103</v>
      </c>
      <c r="BC121" t="n">
        <v>8.140000000000001</v>
      </c>
      <c r="BD121" t="n">
        <v>1.698</v>
      </c>
      <c r="BE121" t="n">
        <v>0.488</v>
      </c>
    </row>
    <row r="122">
      <c r="A122" t="inlineStr">
        <is>
          <t>Vanier-Les Rivières</t>
        </is>
      </c>
      <c r="B122" t="inlineStr">
        <is>
          <t>Québec RMR</t>
        </is>
      </c>
      <c r="C122">
        <f>INDEX({"CAQ","PLQ","QS","PQ","PCQ","Autre"},MATCH(MAX(D122:I122),D122:I122,0))</f>
        <v/>
      </c>
      <c r="D122" t="n">
        <v>19276.5</v>
      </c>
      <c r="E122" t="n">
        <v>2556.4</v>
      </c>
      <c r="F122" t="n">
        <v>4943.2</v>
      </c>
      <c r="G122" t="n">
        <v>5317.4</v>
      </c>
      <c r="H122" t="n">
        <v>7939.6</v>
      </c>
      <c r="I122" t="n">
        <v>644.6</v>
      </c>
      <c r="J122">
        <f>SUM(D122:I122)</f>
        <v/>
      </c>
      <c r="K122">
        <f>IFERROR(D122/$J122,0)</f>
        <v/>
      </c>
      <c r="L122">
        <f>IFERROR(E122/$J122,0)</f>
        <v/>
      </c>
      <c r="M122">
        <f>IFERROR(F122/$J122,0)</f>
        <v/>
      </c>
      <c r="N122">
        <f>IFERROR(G122/$J122,0)</f>
        <v/>
      </c>
      <c r="O122">
        <f>IFERROR(H122/$J122,0)</f>
        <v/>
      </c>
      <c r="P122">
        <f>IFERROR(I122/$J122,0)</f>
        <v/>
      </c>
      <c r="Q122">
        <f>D122*INDEX(Régions!$T$2:$T$6,MATCH($B122,Régions!$A$2:$A$6,0))</f>
        <v/>
      </c>
      <c r="R122">
        <f>E122*INDEX(Régions!$U$2:$U$6,MATCH($B122,Régions!$A$2:$A$6,0))</f>
        <v/>
      </c>
      <c r="S122">
        <f>F122*INDEX(Régions!$V$2:$V$6,MATCH($B122,Régions!$A$2:$A$6,0))</f>
        <v/>
      </c>
      <c r="T122">
        <f>G122*INDEX(Régions!$W$2:$W$6,MATCH($B122,Régions!$A$2:$A$6,0))</f>
        <v/>
      </c>
      <c r="U122">
        <f>H122*INDEX(Régions!$X$2:$X$6,MATCH($B122,Régions!$A$2:$A$6,0))</f>
        <v/>
      </c>
      <c r="V122">
        <f>I122*INDEX(Régions!$Y$2:$Y$6,MATCH($B122,Régions!$A$2:$A$6,0))</f>
        <v/>
      </c>
      <c r="W122">
        <f>Q122+(BB122/100)*$J122*Régions!$O$2</f>
        <v/>
      </c>
      <c r="X122">
        <f>R122+(BC122/100)*$J122*Régions!$O$2</f>
        <v/>
      </c>
      <c r="Y122">
        <f>S122+(BD122/100)*$J122*Régions!$O$2</f>
        <v/>
      </c>
      <c r="Z122">
        <f>T122+(BE122/100)*$J122*Régions!$O$2</f>
        <v/>
      </c>
      <c r="AA122">
        <f>U122</f>
        <v/>
      </c>
      <c r="AB122">
        <f>V122</f>
        <v/>
      </c>
      <c r="AC122">
        <f>D122*INDEX(Régions!$Z$2:$Z$6,MATCH($B122,Régions!$A$2:$A$6,0))</f>
        <v/>
      </c>
      <c r="AD122">
        <f>E122*INDEX(Régions!$AA$2:$AA$6,MATCH($B122,Régions!$A$2:$A$6,0))</f>
        <v/>
      </c>
      <c r="AE122">
        <f>F122*INDEX(Régions!$AB$2:$AB$6,MATCH($B122,Régions!$A$2:$A$6,0))</f>
        <v/>
      </c>
      <c r="AF122">
        <f>G122*INDEX(Régions!$AC$2:$AC$6,MATCH($B122,Régions!$A$2:$A$6,0))</f>
        <v/>
      </c>
      <c r="AG122">
        <f>H122*INDEX(Régions!$AD$2:$AD$6,MATCH($B122,Régions!$A$2:$A$6,0))</f>
        <v/>
      </c>
      <c r="AH122">
        <f>I122*INDEX(Régions!$AE$2:$AE$6,MATCH($B122,Régions!$A$2:$A$6,0))</f>
        <v/>
      </c>
      <c r="AI122">
        <f>D122*INDEX(Régions!$AF$2:$AF$6,MATCH($B122,Régions!$A$2:$A$6,0))</f>
        <v/>
      </c>
      <c r="AJ122">
        <f>E122*INDEX(Régions!$AG$2:$AG$6,MATCH($B122,Régions!$A$2:$A$6,0))</f>
        <v/>
      </c>
      <c r="AK122">
        <f>F122*INDEX(Régions!$AH$2:$AH$6,MATCH($B122,Régions!$A$2:$A$6,0))</f>
        <v/>
      </c>
      <c r="AL122">
        <f>G122*INDEX(Régions!$AI$2:$AI$6,MATCH($B122,Régions!$A$2:$A$6,0))</f>
        <v/>
      </c>
      <c r="AM122">
        <f>H122*INDEX(Régions!$AJ$2:$AJ$6,MATCH($B122,Régions!$A$2:$A$6,0))</f>
        <v/>
      </c>
      <c r="AN122">
        <f>I122*INDEX(Régions!$AK$2:$AK$6,MATCH($B122,Régions!$A$2:$A$6,0))</f>
        <v/>
      </c>
      <c r="AO122">
        <f>Régions!$Q$2*Q122/SUM($Q122:$V122)*100+(1-Régions!$Q$2)*MAX(K122*100+(INDEX(Régions!$AL$2:$AL$6,MATCH($B122,Régions!$A$2:$A$6,0))),0)</f>
        <v/>
      </c>
      <c r="AP122">
        <f>Régions!$Q$2*R122/SUM($Q122:$V122)*100+(1-Régions!$Q$2)*MAX(L122*100+(INDEX(Régions!$AM$2:$AM$6,MATCH($B122,Régions!$A$2:$A$6,0))),0)</f>
        <v/>
      </c>
      <c r="AQ122">
        <f>Régions!$Q$2*S122/SUM($Q122:$V122)*100+(1-Régions!$Q$2)*MAX(M122*100+(INDEX(Régions!$AN$2:$AN$6,MATCH($B122,Régions!$A$2:$A$6,0))),0)</f>
        <v/>
      </c>
      <c r="AR122">
        <f>Régions!$Q$2*T122/SUM($Q122:$V122)*100+(1-Régions!$Q$2)*MAX(N122*100+(INDEX(Régions!$AO$2:$AO$6,MATCH($B122,Régions!$A$2:$A$6,0))),0)</f>
        <v/>
      </c>
      <c r="AS122">
        <f>Régions!$Q$2*U122/SUM($Q122:$V122)*100+(1-Régions!$Q$2)*MAX(O122*100+(INDEX(Régions!$AP$2:$AP$6,MATCH($B122,Régions!$A$2:$A$6,0))),0)</f>
        <v/>
      </c>
      <c r="AT122">
        <f>Régions!$Q$2*V122/SUM($Q122:$V122)*100+(1-Régions!$Q$2)*MAX(P122*100+(INDEX(Régions!$AQ$2:$AQ$6,MATCH($B122,Régions!$A$2:$A$6,0))),0)</f>
        <v/>
      </c>
      <c r="AU122">
        <f>INDEX({"CAQ","PLQ","QS","PQ","PCQ","Autre"},MATCH(MAX(Q122:V122),Q122:V122,0))</f>
        <v/>
      </c>
      <c r="AV122">
        <f>INDEX({"CAQ","PLQ","QS","PQ","PCQ","Autre"},MATCH(MAX(W122:AB122),W122:AB122,0))</f>
        <v/>
      </c>
      <c r="AW122">
        <f>INDEX({"CAQ","PLQ","QS","PQ","PCQ","Autre"},MATCH(MAX(AC122:AH122),AC122:AH122,0))</f>
        <v/>
      </c>
      <c r="AX122">
        <f>INDEX({"CAQ","PLQ","QS","PQ","PCQ","Autre"},MATCH(MAX(AI122:AN122),AI122:AN122,0))</f>
        <v/>
      </c>
      <c r="AY122">
        <f>INDEX({"CAQ","PLQ","QS","PQ","PCQ","Autre"},MATCH(MAX(AO122:AT122),AO122:AT122,0))</f>
        <v/>
      </c>
      <c r="AZ122">
        <f>(MAX(K122:P122)-LARGE(K122:P122,2))*100</f>
        <v/>
      </c>
      <c r="BA122">
        <f>IF(AZ122&lt;5,"Oui","Non")</f>
        <v/>
      </c>
      <c r="BB122" t="n">
        <v>5.069</v>
      </c>
      <c r="BC122" t="n">
        <v>-4.373</v>
      </c>
      <c r="BD122" t="n">
        <v>0.249</v>
      </c>
      <c r="BE122" t="n">
        <v>1.101</v>
      </c>
    </row>
    <row r="123">
      <c r="A123" t="inlineStr">
        <is>
          <t>Vaudreuil</t>
        </is>
      </c>
      <c r="B123" t="inlineStr">
        <is>
          <t>Banlieue de Montréal</t>
        </is>
      </c>
      <c r="C123">
        <f>INDEX({"CAQ","PLQ","QS","PQ","PCQ","Autre"},MATCH(MAX(D123:I123),D123:I123,0))</f>
        <v/>
      </c>
      <c r="D123" t="n">
        <v>12598.9</v>
      </c>
      <c r="E123" t="n">
        <v>13155.7</v>
      </c>
      <c r="F123" t="n">
        <v>3549</v>
      </c>
      <c r="G123" t="n">
        <v>2959.3</v>
      </c>
      <c r="H123" t="n">
        <v>5167.4</v>
      </c>
      <c r="I123" t="n">
        <v>1013.2</v>
      </c>
      <c r="J123">
        <f>SUM(D123:I123)</f>
        <v/>
      </c>
      <c r="K123">
        <f>IFERROR(D123/$J123,0)</f>
        <v/>
      </c>
      <c r="L123">
        <f>IFERROR(E123/$J123,0)</f>
        <v/>
      </c>
      <c r="M123">
        <f>IFERROR(F123/$J123,0)</f>
        <v/>
      </c>
      <c r="N123">
        <f>IFERROR(G123/$J123,0)</f>
        <v/>
      </c>
      <c r="O123">
        <f>IFERROR(H123/$J123,0)</f>
        <v/>
      </c>
      <c r="P123">
        <f>IFERROR(I123/$J123,0)</f>
        <v/>
      </c>
      <c r="Q123">
        <f>D123*INDEX(Régions!$T$2:$T$6,MATCH($B123,Régions!$A$2:$A$6,0))</f>
        <v/>
      </c>
      <c r="R123">
        <f>E123*INDEX(Régions!$U$2:$U$6,MATCH($B123,Régions!$A$2:$A$6,0))</f>
        <v/>
      </c>
      <c r="S123">
        <f>F123*INDEX(Régions!$V$2:$V$6,MATCH($B123,Régions!$A$2:$A$6,0))</f>
        <v/>
      </c>
      <c r="T123">
        <f>G123*INDEX(Régions!$W$2:$W$6,MATCH($B123,Régions!$A$2:$A$6,0))</f>
        <v/>
      </c>
      <c r="U123">
        <f>H123*INDEX(Régions!$X$2:$X$6,MATCH($B123,Régions!$A$2:$A$6,0))</f>
        <v/>
      </c>
      <c r="V123">
        <f>I123*INDEX(Régions!$Y$2:$Y$6,MATCH($B123,Régions!$A$2:$A$6,0))</f>
        <v/>
      </c>
      <c r="W123">
        <f>Q123+(BB123/100)*$J123*Régions!$O$2</f>
        <v/>
      </c>
      <c r="X123">
        <f>R123+(BC123/100)*$J123*Régions!$O$2</f>
        <v/>
      </c>
      <c r="Y123">
        <f>S123+(BD123/100)*$J123*Régions!$O$2</f>
        <v/>
      </c>
      <c r="Z123">
        <f>T123+(BE123/100)*$J123*Régions!$O$2</f>
        <v/>
      </c>
      <c r="AA123">
        <f>U123</f>
        <v/>
      </c>
      <c r="AB123">
        <f>V123</f>
        <v/>
      </c>
      <c r="AC123">
        <f>D123*INDEX(Régions!$Z$2:$Z$6,MATCH($B123,Régions!$A$2:$A$6,0))</f>
        <v/>
      </c>
      <c r="AD123">
        <f>E123*INDEX(Régions!$AA$2:$AA$6,MATCH($B123,Régions!$A$2:$A$6,0))</f>
        <v/>
      </c>
      <c r="AE123">
        <f>F123*INDEX(Régions!$AB$2:$AB$6,MATCH($B123,Régions!$A$2:$A$6,0))</f>
        <v/>
      </c>
      <c r="AF123">
        <f>G123*INDEX(Régions!$AC$2:$AC$6,MATCH($B123,Régions!$A$2:$A$6,0))</f>
        <v/>
      </c>
      <c r="AG123">
        <f>H123*INDEX(Régions!$AD$2:$AD$6,MATCH($B123,Régions!$A$2:$A$6,0))</f>
        <v/>
      </c>
      <c r="AH123">
        <f>I123*INDEX(Régions!$AE$2:$AE$6,MATCH($B123,Régions!$A$2:$A$6,0))</f>
        <v/>
      </c>
      <c r="AI123">
        <f>D123*INDEX(Régions!$AF$2:$AF$6,MATCH($B123,Régions!$A$2:$A$6,0))</f>
        <v/>
      </c>
      <c r="AJ123">
        <f>E123*INDEX(Régions!$AG$2:$AG$6,MATCH($B123,Régions!$A$2:$A$6,0))</f>
        <v/>
      </c>
      <c r="AK123">
        <f>F123*INDEX(Régions!$AH$2:$AH$6,MATCH($B123,Régions!$A$2:$A$6,0))</f>
        <v/>
      </c>
      <c r="AL123">
        <f>G123*INDEX(Régions!$AI$2:$AI$6,MATCH($B123,Régions!$A$2:$A$6,0))</f>
        <v/>
      </c>
      <c r="AM123">
        <f>H123*INDEX(Régions!$AJ$2:$AJ$6,MATCH($B123,Régions!$A$2:$A$6,0))</f>
        <v/>
      </c>
      <c r="AN123">
        <f>I123*INDEX(Régions!$AK$2:$AK$6,MATCH($B123,Régions!$A$2:$A$6,0))</f>
        <v/>
      </c>
      <c r="AO123">
        <f>Régions!$Q$2*Q123/SUM($Q123:$V123)*100+(1-Régions!$Q$2)*MAX(K123*100+(INDEX(Régions!$AL$2:$AL$6,MATCH($B123,Régions!$A$2:$A$6,0))),0)</f>
        <v/>
      </c>
      <c r="AP123">
        <f>Régions!$Q$2*R123/SUM($Q123:$V123)*100+(1-Régions!$Q$2)*MAX(L123*100+(INDEX(Régions!$AM$2:$AM$6,MATCH($B123,Régions!$A$2:$A$6,0))),0)</f>
        <v/>
      </c>
      <c r="AQ123">
        <f>Régions!$Q$2*S123/SUM($Q123:$V123)*100+(1-Régions!$Q$2)*MAX(M123*100+(INDEX(Régions!$AN$2:$AN$6,MATCH($B123,Régions!$A$2:$A$6,0))),0)</f>
        <v/>
      </c>
      <c r="AR123">
        <f>Régions!$Q$2*T123/SUM($Q123:$V123)*100+(1-Régions!$Q$2)*MAX(N123*100+(INDEX(Régions!$AO$2:$AO$6,MATCH($B123,Régions!$A$2:$A$6,0))),0)</f>
        <v/>
      </c>
      <c r="AS123">
        <f>Régions!$Q$2*U123/SUM($Q123:$V123)*100+(1-Régions!$Q$2)*MAX(O123*100+(INDEX(Régions!$AP$2:$AP$6,MATCH($B123,Régions!$A$2:$A$6,0))),0)</f>
        <v/>
      </c>
      <c r="AT123">
        <f>Régions!$Q$2*V123/SUM($Q123:$V123)*100+(1-Régions!$Q$2)*MAX(P123*100+(INDEX(Régions!$AQ$2:$AQ$6,MATCH($B123,Régions!$A$2:$A$6,0))),0)</f>
        <v/>
      </c>
      <c r="AU123">
        <f>INDEX({"CAQ","PLQ","QS","PQ","PCQ","Autre"},MATCH(MAX(Q123:V123),Q123:V123,0))</f>
        <v/>
      </c>
      <c r="AV123">
        <f>INDEX({"CAQ","PLQ","QS","PQ","PCQ","Autre"},MATCH(MAX(W123:AB123),W123:AB123,0))</f>
        <v/>
      </c>
      <c r="AW123">
        <f>INDEX({"CAQ","PLQ","QS","PQ","PCQ","Autre"},MATCH(MAX(AC123:AH123),AC123:AH123,0))</f>
        <v/>
      </c>
      <c r="AX123">
        <f>INDEX({"CAQ","PLQ","QS","PQ","PCQ","Autre"},MATCH(MAX(AI123:AN123),AI123:AN123,0))</f>
        <v/>
      </c>
      <c r="AY123">
        <f>INDEX({"CAQ","PLQ","QS","PQ","PCQ","Autre"},MATCH(MAX(AO123:AT123),AO123:AT123,0))</f>
        <v/>
      </c>
      <c r="AZ123">
        <f>(MAX(K123:P123)-LARGE(K123:P123,2))*100</f>
        <v/>
      </c>
      <c r="BA123">
        <f>IF(AZ123&lt;5,"Oui","Non")</f>
        <v/>
      </c>
      <c r="BB123" t="n">
        <v>-2.972</v>
      </c>
      <c r="BC123" t="n">
        <v>1.172</v>
      </c>
      <c r="BD123" t="n">
        <v>-0.207</v>
      </c>
      <c r="BE123" t="n">
        <v>0.8159999999999999</v>
      </c>
    </row>
    <row r="124">
      <c r="A124" t="inlineStr">
        <is>
          <t>Verchères</t>
        </is>
      </c>
      <c r="B124" t="inlineStr">
        <is>
          <t>Banlieue de Montréal</t>
        </is>
      </c>
      <c r="C124">
        <f>INDEX({"CAQ","PLQ","QS","PQ","PCQ","Autre"},MATCH(MAX(D124:I124),D124:I124,0))</f>
        <v/>
      </c>
      <c r="D124" t="n">
        <v>20822.1</v>
      </c>
      <c r="E124" t="n">
        <v>2144.5</v>
      </c>
      <c r="F124" t="n">
        <v>5862.6</v>
      </c>
      <c r="G124" t="n">
        <v>8410</v>
      </c>
      <c r="H124" t="n">
        <v>2875.4</v>
      </c>
      <c r="I124" t="n">
        <v>489.1</v>
      </c>
      <c r="J124">
        <f>SUM(D124:I124)</f>
        <v/>
      </c>
      <c r="K124">
        <f>IFERROR(D124/$J124,0)</f>
        <v/>
      </c>
      <c r="L124">
        <f>IFERROR(E124/$J124,0)</f>
        <v/>
      </c>
      <c r="M124">
        <f>IFERROR(F124/$J124,0)</f>
        <v/>
      </c>
      <c r="N124">
        <f>IFERROR(G124/$J124,0)</f>
        <v/>
      </c>
      <c r="O124">
        <f>IFERROR(H124/$J124,0)</f>
        <v/>
      </c>
      <c r="P124">
        <f>IFERROR(I124/$J124,0)</f>
        <v/>
      </c>
      <c r="Q124">
        <f>D124*INDEX(Régions!$T$2:$T$6,MATCH($B124,Régions!$A$2:$A$6,0))</f>
        <v/>
      </c>
      <c r="R124">
        <f>E124*INDEX(Régions!$U$2:$U$6,MATCH($B124,Régions!$A$2:$A$6,0))</f>
        <v/>
      </c>
      <c r="S124">
        <f>F124*INDEX(Régions!$V$2:$V$6,MATCH($B124,Régions!$A$2:$A$6,0))</f>
        <v/>
      </c>
      <c r="T124">
        <f>G124*INDEX(Régions!$W$2:$W$6,MATCH($B124,Régions!$A$2:$A$6,0))</f>
        <v/>
      </c>
      <c r="U124">
        <f>H124*INDEX(Régions!$X$2:$X$6,MATCH($B124,Régions!$A$2:$A$6,0))</f>
        <v/>
      </c>
      <c r="V124">
        <f>I124*INDEX(Régions!$Y$2:$Y$6,MATCH($B124,Régions!$A$2:$A$6,0))</f>
        <v/>
      </c>
      <c r="W124">
        <f>Q124+(BB124/100)*$J124*Régions!$O$2</f>
        <v/>
      </c>
      <c r="X124">
        <f>R124+(BC124/100)*$J124*Régions!$O$2</f>
        <v/>
      </c>
      <c r="Y124">
        <f>S124+(BD124/100)*$J124*Régions!$O$2</f>
        <v/>
      </c>
      <c r="Z124">
        <f>T124+(BE124/100)*$J124*Régions!$O$2</f>
        <v/>
      </c>
      <c r="AA124">
        <f>U124</f>
        <v/>
      </c>
      <c r="AB124">
        <f>V124</f>
        <v/>
      </c>
      <c r="AC124">
        <f>D124*INDEX(Régions!$Z$2:$Z$6,MATCH($B124,Régions!$A$2:$A$6,0))</f>
        <v/>
      </c>
      <c r="AD124">
        <f>E124*INDEX(Régions!$AA$2:$AA$6,MATCH($B124,Régions!$A$2:$A$6,0))</f>
        <v/>
      </c>
      <c r="AE124">
        <f>F124*INDEX(Régions!$AB$2:$AB$6,MATCH($B124,Régions!$A$2:$A$6,0))</f>
        <v/>
      </c>
      <c r="AF124">
        <f>G124*INDEX(Régions!$AC$2:$AC$6,MATCH($B124,Régions!$A$2:$A$6,0))</f>
        <v/>
      </c>
      <c r="AG124">
        <f>H124*INDEX(Régions!$AD$2:$AD$6,MATCH($B124,Régions!$A$2:$A$6,0))</f>
        <v/>
      </c>
      <c r="AH124">
        <f>I124*INDEX(Régions!$AE$2:$AE$6,MATCH($B124,Régions!$A$2:$A$6,0))</f>
        <v/>
      </c>
      <c r="AI124">
        <f>D124*INDEX(Régions!$AF$2:$AF$6,MATCH($B124,Régions!$A$2:$A$6,0))</f>
        <v/>
      </c>
      <c r="AJ124">
        <f>E124*INDEX(Régions!$AG$2:$AG$6,MATCH($B124,Régions!$A$2:$A$6,0))</f>
        <v/>
      </c>
      <c r="AK124">
        <f>F124*INDEX(Régions!$AH$2:$AH$6,MATCH($B124,Régions!$A$2:$A$6,0))</f>
        <v/>
      </c>
      <c r="AL124">
        <f>G124*INDEX(Régions!$AI$2:$AI$6,MATCH($B124,Régions!$A$2:$A$6,0))</f>
        <v/>
      </c>
      <c r="AM124">
        <f>H124*INDEX(Régions!$AJ$2:$AJ$6,MATCH($B124,Régions!$A$2:$A$6,0))</f>
        <v/>
      </c>
      <c r="AN124">
        <f>I124*INDEX(Régions!$AK$2:$AK$6,MATCH($B124,Régions!$A$2:$A$6,0))</f>
        <v/>
      </c>
      <c r="AO124">
        <f>Régions!$Q$2*Q124/SUM($Q124:$V124)*100+(1-Régions!$Q$2)*MAX(K124*100+(INDEX(Régions!$AL$2:$AL$6,MATCH($B124,Régions!$A$2:$A$6,0))),0)</f>
        <v/>
      </c>
      <c r="AP124">
        <f>Régions!$Q$2*R124/SUM($Q124:$V124)*100+(1-Régions!$Q$2)*MAX(L124*100+(INDEX(Régions!$AM$2:$AM$6,MATCH($B124,Régions!$A$2:$A$6,0))),0)</f>
        <v/>
      </c>
      <c r="AQ124">
        <f>Régions!$Q$2*S124/SUM($Q124:$V124)*100+(1-Régions!$Q$2)*MAX(M124*100+(INDEX(Régions!$AN$2:$AN$6,MATCH($B124,Régions!$A$2:$A$6,0))),0)</f>
        <v/>
      </c>
      <c r="AR124">
        <f>Régions!$Q$2*T124/SUM($Q124:$V124)*100+(1-Régions!$Q$2)*MAX(N124*100+(INDEX(Régions!$AO$2:$AO$6,MATCH($B124,Régions!$A$2:$A$6,0))),0)</f>
        <v/>
      </c>
      <c r="AS124">
        <f>Régions!$Q$2*U124/SUM($Q124:$V124)*100+(1-Régions!$Q$2)*MAX(O124*100+(INDEX(Régions!$AP$2:$AP$6,MATCH($B124,Régions!$A$2:$A$6,0))),0)</f>
        <v/>
      </c>
      <c r="AT124">
        <f>Régions!$Q$2*V124/SUM($Q124:$V124)*100+(1-Régions!$Q$2)*MAX(P124*100+(INDEX(Régions!$AQ$2:$AQ$6,MATCH($B124,Régions!$A$2:$A$6,0))),0)</f>
        <v/>
      </c>
      <c r="AU124">
        <f>INDEX({"CAQ","PLQ","QS","PQ","PCQ","Autre"},MATCH(MAX(Q124:V124),Q124:V124,0))</f>
        <v/>
      </c>
      <c r="AV124">
        <f>INDEX({"CAQ","PLQ","QS","PQ","PCQ","Autre"},MATCH(MAX(W124:AB124),W124:AB124,0))</f>
        <v/>
      </c>
      <c r="AW124">
        <f>INDEX({"CAQ","PLQ","QS","PQ","PCQ","Autre"},MATCH(MAX(AC124:AH124),AC124:AH124,0))</f>
        <v/>
      </c>
      <c r="AX124">
        <f>INDEX({"CAQ","PLQ","QS","PQ","PCQ","Autre"},MATCH(MAX(AI124:AN124),AI124:AN124,0))</f>
        <v/>
      </c>
      <c r="AY124">
        <f>INDEX({"CAQ","PLQ","QS","PQ","PCQ","Autre"},MATCH(MAX(AO124:AT124),AO124:AT124,0))</f>
        <v/>
      </c>
      <c r="AZ124">
        <f>(MAX(K124:P124)-LARGE(K124:P124,2))*100</f>
        <v/>
      </c>
      <c r="BA124">
        <f>IF(AZ124&lt;5,"Oui","Non")</f>
        <v/>
      </c>
      <c r="BB124" t="n">
        <v>10.681</v>
      </c>
      <c r="BC124" t="n">
        <v>3.329</v>
      </c>
      <c r="BD124" t="n">
        <v>0.283</v>
      </c>
      <c r="BE124" t="n">
        <v>-11.781</v>
      </c>
    </row>
    <row r="125">
      <c r="A125" t="inlineStr">
        <is>
          <t>Verdun</t>
        </is>
      </c>
      <c r="B125" t="inlineStr">
        <is>
          <t>Île de Montréal</t>
        </is>
      </c>
      <c r="C125">
        <f>INDEX({"CAQ","PLQ","QS","PQ","PCQ","Autre"},MATCH(MAX(D125:I125),D125:I125,0))</f>
        <v/>
      </c>
      <c r="D125" t="n">
        <v>7150</v>
      </c>
      <c r="E125" t="n">
        <v>9101</v>
      </c>
      <c r="F125" t="n">
        <v>9562</v>
      </c>
      <c r="G125" t="n">
        <v>2591</v>
      </c>
      <c r="H125" t="n">
        <v>1965</v>
      </c>
      <c r="I125" t="n">
        <v>724</v>
      </c>
      <c r="J125">
        <f>SUM(D125:I125)</f>
        <v/>
      </c>
      <c r="K125">
        <f>IFERROR(D125/$J125,0)</f>
        <v/>
      </c>
      <c r="L125">
        <f>IFERROR(E125/$J125,0)</f>
        <v/>
      </c>
      <c r="M125">
        <f>IFERROR(F125/$J125,0)</f>
        <v/>
      </c>
      <c r="N125">
        <f>IFERROR(G125/$J125,0)</f>
        <v/>
      </c>
      <c r="O125">
        <f>IFERROR(H125/$J125,0)</f>
        <v/>
      </c>
      <c r="P125">
        <f>IFERROR(I125/$J125,0)</f>
        <v/>
      </c>
      <c r="Q125">
        <f>D125*INDEX(Régions!$T$2:$T$6,MATCH($B125,Régions!$A$2:$A$6,0))</f>
        <v/>
      </c>
      <c r="R125">
        <f>E125*INDEX(Régions!$U$2:$U$6,MATCH($B125,Régions!$A$2:$A$6,0))</f>
        <v/>
      </c>
      <c r="S125">
        <f>F125*INDEX(Régions!$V$2:$V$6,MATCH($B125,Régions!$A$2:$A$6,0))</f>
        <v/>
      </c>
      <c r="T125">
        <f>G125*INDEX(Régions!$W$2:$W$6,MATCH($B125,Régions!$A$2:$A$6,0))</f>
        <v/>
      </c>
      <c r="U125">
        <f>H125*INDEX(Régions!$X$2:$X$6,MATCH($B125,Régions!$A$2:$A$6,0))</f>
        <v/>
      </c>
      <c r="V125">
        <f>I125*INDEX(Régions!$Y$2:$Y$6,MATCH($B125,Régions!$A$2:$A$6,0))</f>
        <v/>
      </c>
      <c r="W125">
        <f>Q125+(BB125/100)*$J125*Régions!$O$2</f>
        <v/>
      </c>
      <c r="X125">
        <f>R125+(BC125/100)*$J125*Régions!$O$2</f>
        <v/>
      </c>
      <c r="Y125">
        <f>S125+(BD125/100)*$J125*Régions!$O$2</f>
        <v/>
      </c>
      <c r="Z125">
        <f>T125+(BE125/100)*$J125*Régions!$O$2</f>
        <v/>
      </c>
      <c r="AA125">
        <f>U125</f>
        <v/>
      </c>
      <c r="AB125">
        <f>V125</f>
        <v/>
      </c>
      <c r="AC125">
        <f>D125*INDEX(Régions!$Z$2:$Z$6,MATCH($B125,Régions!$A$2:$A$6,0))</f>
        <v/>
      </c>
      <c r="AD125">
        <f>E125*INDEX(Régions!$AA$2:$AA$6,MATCH($B125,Régions!$A$2:$A$6,0))</f>
        <v/>
      </c>
      <c r="AE125">
        <f>F125*INDEX(Régions!$AB$2:$AB$6,MATCH($B125,Régions!$A$2:$A$6,0))</f>
        <v/>
      </c>
      <c r="AF125">
        <f>G125*INDEX(Régions!$AC$2:$AC$6,MATCH($B125,Régions!$A$2:$A$6,0))</f>
        <v/>
      </c>
      <c r="AG125">
        <f>H125*INDEX(Régions!$AD$2:$AD$6,MATCH($B125,Régions!$A$2:$A$6,0))</f>
        <v/>
      </c>
      <c r="AH125">
        <f>I125*INDEX(Régions!$AE$2:$AE$6,MATCH($B125,Régions!$A$2:$A$6,0))</f>
        <v/>
      </c>
      <c r="AI125">
        <f>D125*INDEX(Régions!$AF$2:$AF$6,MATCH($B125,Régions!$A$2:$A$6,0))</f>
        <v/>
      </c>
      <c r="AJ125">
        <f>E125*INDEX(Régions!$AG$2:$AG$6,MATCH($B125,Régions!$A$2:$A$6,0))</f>
        <v/>
      </c>
      <c r="AK125">
        <f>F125*INDEX(Régions!$AH$2:$AH$6,MATCH($B125,Régions!$A$2:$A$6,0))</f>
        <v/>
      </c>
      <c r="AL125">
        <f>G125*INDEX(Régions!$AI$2:$AI$6,MATCH($B125,Régions!$A$2:$A$6,0))</f>
        <v/>
      </c>
      <c r="AM125">
        <f>H125*INDEX(Régions!$AJ$2:$AJ$6,MATCH($B125,Régions!$A$2:$A$6,0))</f>
        <v/>
      </c>
      <c r="AN125">
        <f>I125*INDEX(Régions!$AK$2:$AK$6,MATCH($B125,Régions!$A$2:$A$6,0))</f>
        <v/>
      </c>
      <c r="AO125">
        <f>Régions!$Q$2*Q125/SUM($Q125:$V125)*100+(1-Régions!$Q$2)*MAX(K125*100+(INDEX(Régions!$AL$2:$AL$6,MATCH($B125,Régions!$A$2:$A$6,0))),0)</f>
        <v/>
      </c>
      <c r="AP125">
        <f>Régions!$Q$2*R125/SUM($Q125:$V125)*100+(1-Régions!$Q$2)*MAX(L125*100+(INDEX(Régions!$AM$2:$AM$6,MATCH($B125,Régions!$A$2:$A$6,0))),0)</f>
        <v/>
      </c>
      <c r="AQ125">
        <f>Régions!$Q$2*S125/SUM($Q125:$V125)*100+(1-Régions!$Q$2)*MAX(M125*100+(INDEX(Régions!$AN$2:$AN$6,MATCH($B125,Régions!$A$2:$A$6,0))),0)</f>
        <v/>
      </c>
      <c r="AR125">
        <f>Régions!$Q$2*T125/SUM($Q125:$V125)*100+(1-Régions!$Q$2)*MAX(N125*100+(INDEX(Régions!$AO$2:$AO$6,MATCH($B125,Régions!$A$2:$A$6,0))),0)</f>
        <v/>
      </c>
      <c r="AS125">
        <f>Régions!$Q$2*U125/SUM($Q125:$V125)*100+(1-Régions!$Q$2)*MAX(O125*100+(INDEX(Régions!$AP$2:$AP$6,MATCH($B125,Régions!$A$2:$A$6,0))),0)</f>
        <v/>
      </c>
      <c r="AT125">
        <f>Régions!$Q$2*V125/SUM($Q125:$V125)*100+(1-Régions!$Q$2)*MAX(P125*100+(INDEX(Régions!$AQ$2:$AQ$6,MATCH($B125,Régions!$A$2:$A$6,0))),0)</f>
        <v/>
      </c>
      <c r="AU125">
        <f>INDEX({"CAQ","PLQ","QS","PQ","PCQ","Autre"},MATCH(MAX(Q125:V125),Q125:V125,0))</f>
        <v/>
      </c>
      <c r="AV125">
        <f>INDEX({"CAQ","PLQ","QS","PQ","PCQ","Autre"},MATCH(MAX(W125:AB125),W125:AB125,0))</f>
        <v/>
      </c>
      <c r="AW125">
        <f>INDEX({"CAQ","PLQ","QS","PQ","PCQ","Autre"},MATCH(MAX(AC125:AH125),AC125:AH125,0))</f>
        <v/>
      </c>
      <c r="AX125">
        <f>INDEX({"CAQ","PLQ","QS","PQ","PCQ","Autre"},MATCH(MAX(AI125:AN125),AI125:AN125,0))</f>
        <v/>
      </c>
      <c r="AY125">
        <f>INDEX({"CAQ","PLQ","QS","PQ","PCQ","Autre"},MATCH(MAX(AO125:AT125),AO125:AT125,0))</f>
        <v/>
      </c>
      <c r="AZ125">
        <f>(MAX(K125:P125)-LARGE(K125:P125,2))*100</f>
        <v/>
      </c>
      <c r="BA125">
        <f>IF(AZ125&lt;5,"Oui","Non")</f>
        <v/>
      </c>
      <c r="BB125" t="n">
        <v>0.668</v>
      </c>
      <c r="BC125" t="n">
        <v>2.56</v>
      </c>
      <c r="BD125" t="n">
        <v>6.024</v>
      </c>
      <c r="BE125" t="n">
        <v>-3.185</v>
      </c>
    </row>
    <row r="126">
      <c r="A126" t="inlineStr">
        <is>
          <t>Viau</t>
        </is>
      </c>
      <c r="B126" t="inlineStr">
        <is>
          <t>Île de Montréal</t>
        </is>
      </c>
      <c r="C126">
        <f>INDEX({"CAQ","PLQ","QS","PQ","PCQ","Autre"},MATCH(MAX(D126:I126),D126:I126,0))</f>
        <v/>
      </c>
      <c r="D126" t="n">
        <v>3201.9</v>
      </c>
      <c r="E126" t="n">
        <v>8050.4</v>
      </c>
      <c r="F126" t="n">
        <v>6421.6</v>
      </c>
      <c r="G126" t="n">
        <v>1598.8</v>
      </c>
      <c r="H126" t="n">
        <v>1294.4</v>
      </c>
      <c r="I126" t="n">
        <v>522.3</v>
      </c>
      <c r="J126">
        <f>SUM(D126:I126)</f>
        <v/>
      </c>
      <c r="K126">
        <f>IFERROR(D126/$J126,0)</f>
        <v/>
      </c>
      <c r="L126">
        <f>IFERROR(E126/$J126,0)</f>
        <v/>
      </c>
      <c r="M126">
        <f>IFERROR(F126/$J126,0)</f>
        <v/>
      </c>
      <c r="N126">
        <f>IFERROR(G126/$J126,0)</f>
        <v/>
      </c>
      <c r="O126">
        <f>IFERROR(H126/$J126,0)</f>
        <v/>
      </c>
      <c r="P126">
        <f>IFERROR(I126/$J126,0)</f>
        <v/>
      </c>
      <c r="Q126">
        <f>D126*INDEX(Régions!$T$2:$T$6,MATCH($B126,Régions!$A$2:$A$6,0))</f>
        <v/>
      </c>
      <c r="R126">
        <f>E126*INDEX(Régions!$U$2:$U$6,MATCH($B126,Régions!$A$2:$A$6,0))</f>
        <v/>
      </c>
      <c r="S126">
        <f>F126*INDEX(Régions!$V$2:$V$6,MATCH($B126,Régions!$A$2:$A$6,0))</f>
        <v/>
      </c>
      <c r="T126">
        <f>G126*INDEX(Régions!$W$2:$W$6,MATCH($B126,Régions!$A$2:$A$6,0))</f>
        <v/>
      </c>
      <c r="U126">
        <f>H126*INDEX(Régions!$X$2:$X$6,MATCH($B126,Régions!$A$2:$A$6,0))</f>
        <v/>
      </c>
      <c r="V126">
        <f>I126*INDEX(Régions!$Y$2:$Y$6,MATCH($B126,Régions!$A$2:$A$6,0))</f>
        <v/>
      </c>
      <c r="W126">
        <f>Q126+(BB126/100)*$J126*Régions!$O$2</f>
        <v/>
      </c>
      <c r="X126">
        <f>R126+(BC126/100)*$J126*Régions!$O$2</f>
        <v/>
      </c>
      <c r="Y126">
        <f>S126+(BD126/100)*$J126*Régions!$O$2</f>
        <v/>
      </c>
      <c r="Z126">
        <f>T126+(BE126/100)*$J126*Régions!$O$2</f>
        <v/>
      </c>
      <c r="AA126">
        <f>U126</f>
        <v/>
      </c>
      <c r="AB126">
        <f>V126</f>
        <v/>
      </c>
      <c r="AC126">
        <f>D126*INDEX(Régions!$Z$2:$Z$6,MATCH($B126,Régions!$A$2:$A$6,0))</f>
        <v/>
      </c>
      <c r="AD126">
        <f>E126*INDEX(Régions!$AA$2:$AA$6,MATCH($B126,Régions!$A$2:$A$6,0))</f>
        <v/>
      </c>
      <c r="AE126">
        <f>F126*INDEX(Régions!$AB$2:$AB$6,MATCH($B126,Régions!$A$2:$A$6,0))</f>
        <v/>
      </c>
      <c r="AF126">
        <f>G126*INDEX(Régions!$AC$2:$AC$6,MATCH($B126,Régions!$A$2:$A$6,0))</f>
        <v/>
      </c>
      <c r="AG126">
        <f>H126*INDEX(Régions!$AD$2:$AD$6,MATCH($B126,Régions!$A$2:$A$6,0))</f>
        <v/>
      </c>
      <c r="AH126">
        <f>I126*INDEX(Régions!$AE$2:$AE$6,MATCH($B126,Régions!$A$2:$A$6,0))</f>
        <v/>
      </c>
      <c r="AI126">
        <f>D126*INDEX(Régions!$AF$2:$AF$6,MATCH($B126,Régions!$A$2:$A$6,0))</f>
        <v/>
      </c>
      <c r="AJ126">
        <f>E126*INDEX(Régions!$AG$2:$AG$6,MATCH($B126,Régions!$A$2:$A$6,0))</f>
        <v/>
      </c>
      <c r="AK126">
        <f>F126*INDEX(Régions!$AH$2:$AH$6,MATCH($B126,Régions!$A$2:$A$6,0))</f>
        <v/>
      </c>
      <c r="AL126">
        <f>G126*INDEX(Régions!$AI$2:$AI$6,MATCH($B126,Régions!$A$2:$A$6,0))</f>
        <v/>
      </c>
      <c r="AM126">
        <f>H126*INDEX(Régions!$AJ$2:$AJ$6,MATCH($B126,Régions!$A$2:$A$6,0))</f>
        <v/>
      </c>
      <c r="AN126">
        <f>I126*INDEX(Régions!$AK$2:$AK$6,MATCH($B126,Régions!$A$2:$A$6,0))</f>
        <v/>
      </c>
      <c r="AO126">
        <f>Régions!$Q$2*Q126/SUM($Q126:$V126)*100+(1-Régions!$Q$2)*MAX(K126*100+(INDEX(Régions!$AL$2:$AL$6,MATCH($B126,Régions!$A$2:$A$6,0))),0)</f>
        <v/>
      </c>
      <c r="AP126">
        <f>Régions!$Q$2*R126/SUM($Q126:$V126)*100+(1-Régions!$Q$2)*MAX(L126*100+(INDEX(Régions!$AM$2:$AM$6,MATCH($B126,Régions!$A$2:$A$6,0))),0)</f>
        <v/>
      </c>
      <c r="AQ126">
        <f>Régions!$Q$2*S126/SUM($Q126:$V126)*100+(1-Régions!$Q$2)*MAX(M126*100+(INDEX(Régions!$AN$2:$AN$6,MATCH($B126,Régions!$A$2:$A$6,0))),0)</f>
        <v/>
      </c>
      <c r="AR126">
        <f>Régions!$Q$2*T126/SUM($Q126:$V126)*100+(1-Régions!$Q$2)*MAX(N126*100+(INDEX(Régions!$AO$2:$AO$6,MATCH($B126,Régions!$A$2:$A$6,0))),0)</f>
        <v/>
      </c>
      <c r="AS126">
        <f>Régions!$Q$2*U126/SUM($Q126:$V126)*100+(1-Régions!$Q$2)*MAX(O126*100+(INDEX(Régions!$AP$2:$AP$6,MATCH($B126,Régions!$A$2:$A$6,0))),0)</f>
        <v/>
      </c>
      <c r="AT126">
        <f>Régions!$Q$2*V126/SUM($Q126:$V126)*100+(1-Régions!$Q$2)*MAX(P126*100+(INDEX(Régions!$AQ$2:$AQ$6,MATCH($B126,Régions!$A$2:$A$6,0))),0)</f>
        <v/>
      </c>
      <c r="AU126">
        <f>INDEX({"CAQ","PLQ","QS","PQ","PCQ","Autre"},MATCH(MAX(Q126:V126),Q126:V126,0))</f>
        <v/>
      </c>
      <c r="AV126">
        <f>INDEX({"CAQ","PLQ","QS","PQ","PCQ","Autre"},MATCH(MAX(W126:AB126),W126:AB126,0))</f>
        <v/>
      </c>
      <c r="AW126">
        <f>INDEX({"CAQ","PLQ","QS","PQ","PCQ","Autre"},MATCH(MAX(AC126:AH126),AC126:AH126,0))</f>
        <v/>
      </c>
      <c r="AX126">
        <f>INDEX({"CAQ","PLQ","QS","PQ","PCQ","Autre"},MATCH(MAX(AI126:AN126),AI126:AN126,0))</f>
        <v/>
      </c>
      <c r="AY126">
        <f>INDEX({"CAQ","PLQ","QS","PQ","PCQ","Autre"},MATCH(MAX(AO126:AT126),AO126:AT126,0))</f>
        <v/>
      </c>
      <c r="AZ126">
        <f>(MAX(K126:P126)-LARGE(K126:P126,2))*100</f>
        <v/>
      </c>
      <c r="BA126">
        <f>IF(AZ126&lt;5,"Oui","Non")</f>
        <v/>
      </c>
      <c r="BB126" t="n">
        <v>-2.496</v>
      </c>
      <c r="BC126" t="n">
        <v>0.348</v>
      </c>
      <c r="BD126" t="n">
        <v>5.337</v>
      </c>
      <c r="BE126" t="n">
        <v>0.369</v>
      </c>
    </row>
    <row r="127">
      <c r="A127" t="inlineStr">
        <is>
          <t>Vimont-Auteuil</t>
        </is>
      </c>
      <c r="B127" t="inlineStr">
        <is>
          <t>Banlieue de Montréal</t>
        </is>
      </c>
      <c r="C127">
        <f>INDEX({"CAQ","PLQ","QS","PQ","PCQ","Autre"},MATCH(MAX(D127:I127),D127:I127,0))</f>
        <v/>
      </c>
      <c r="D127" t="n">
        <v>10957</v>
      </c>
      <c r="E127" t="n">
        <v>9541</v>
      </c>
      <c r="F127" t="n">
        <v>3669</v>
      </c>
      <c r="G127" t="n">
        <v>3379</v>
      </c>
      <c r="H127" t="n">
        <v>4118</v>
      </c>
      <c r="I127" t="n">
        <v>301</v>
      </c>
      <c r="J127">
        <f>SUM(D127:I127)</f>
        <v/>
      </c>
      <c r="K127">
        <f>IFERROR(D127/$J127,0)</f>
        <v/>
      </c>
      <c r="L127">
        <f>IFERROR(E127/$J127,0)</f>
        <v/>
      </c>
      <c r="M127">
        <f>IFERROR(F127/$J127,0)</f>
        <v/>
      </c>
      <c r="N127">
        <f>IFERROR(G127/$J127,0)</f>
        <v/>
      </c>
      <c r="O127">
        <f>IFERROR(H127/$J127,0)</f>
        <v/>
      </c>
      <c r="P127">
        <f>IFERROR(I127/$J127,0)</f>
        <v/>
      </c>
      <c r="Q127">
        <f>D127*INDEX(Régions!$T$2:$T$6,MATCH($B127,Régions!$A$2:$A$6,0))</f>
        <v/>
      </c>
      <c r="R127">
        <f>E127*INDEX(Régions!$U$2:$U$6,MATCH($B127,Régions!$A$2:$A$6,0))</f>
        <v/>
      </c>
      <c r="S127">
        <f>F127*INDEX(Régions!$V$2:$V$6,MATCH($B127,Régions!$A$2:$A$6,0))</f>
        <v/>
      </c>
      <c r="T127">
        <f>G127*INDEX(Régions!$W$2:$W$6,MATCH($B127,Régions!$A$2:$A$6,0))</f>
        <v/>
      </c>
      <c r="U127">
        <f>H127*INDEX(Régions!$X$2:$X$6,MATCH($B127,Régions!$A$2:$A$6,0))</f>
        <v/>
      </c>
      <c r="V127">
        <f>I127*INDEX(Régions!$Y$2:$Y$6,MATCH($B127,Régions!$A$2:$A$6,0))</f>
        <v/>
      </c>
      <c r="W127">
        <f>Q127+(BB127/100)*$J127*Régions!$O$2</f>
        <v/>
      </c>
      <c r="X127">
        <f>R127+(BC127/100)*$J127*Régions!$O$2</f>
        <v/>
      </c>
      <c r="Y127">
        <f>S127+(BD127/100)*$J127*Régions!$O$2</f>
        <v/>
      </c>
      <c r="Z127">
        <f>T127+(BE127/100)*$J127*Régions!$O$2</f>
        <v/>
      </c>
      <c r="AA127">
        <f>U127</f>
        <v/>
      </c>
      <c r="AB127">
        <f>V127</f>
        <v/>
      </c>
      <c r="AC127">
        <f>D127*INDEX(Régions!$Z$2:$Z$6,MATCH($B127,Régions!$A$2:$A$6,0))</f>
        <v/>
      </c>
      <c r="AD127">
        <f>E127*INDEX(Régions!$AA$2:$AA$6,MATCH($B127,Régions!$A$2:$A$6,0))</f>
        <v/>
      </c>
      <c r="AE127">
        <f>F127*INDEX(Régions!$AB$2:$AB$6,MATCH($B127,Régions!$A$2:$A$6,0))</f>
        <v/>
      </c>
      <c r="AF127">
        <f>G127*INDEX(Régions!$AC$2:$AC$6,MATCH($B127,Régions!$A$2:$A$6,0))</f>
        <v/>
      </c>
      <c r="AG127">
        <f>H127*INDEX(Régions!$AD$2:$AD$6,MATCH($B127,Régions!$A$2:$A$6,0))</f>
        <v/>
      </c>
      <c r="AH127">
        <f>I127*INDEX(Régions!$AE$2:$AE$6,MATCH($B127,Régions!$A$2:$A$6,0))</f>
        <v/>
      </c>
      <c r="AI127">
        <f>D127*INDEX(Régions!$AF$2:$AF$6,MATCH($B127,Régions!$A$2:$A$6,0))</f>
        <v/>
      </c>
      <c r="AJ127">
        <f>E127*INDEX(Régions!$AG$2:$AG$6,MATCH($B127,Régions!$A$2:$A$6,0))</f>
        <v/>
      </c>
      <c r="AK127">
        <f>F127*INDEX(Régions!$AH$2:$AH$6,MATCH($B127,Régions!$A$2:$A$6,0))</f>
        <v/>
      </c>
      <c r="AL127">
        <f>G127*INDEX(Régions!$AI$2:$AI$6,MATCH($B127,Régions!$A$2:$A$6,0))</f>
        <v/>
      </c>
      <c r="AM127">
        <f>H127*INDEX(Régions!$AJ$2:$AJ$6,MATCH($B127,Régions!$A$2:$A$6,0))</f>
        <v/>
      </c>
      <c r="AN127">
        <f>I127*INDEX(Régions!$AK$2:$AK$6,MATCH($B127,Régions!$A$2:$A$6,0))</f>
        <v/>
      </c>
      <c r="AO127">
        <f>Régions!$Q$2*Q127/SUM($Q127:$V127)*100+(1-Régions!$Q$2)*MAX(K127*100+(INDEX(Régions!$AL$2:$AL$6,MATCH($B127,Régions!$A$2:$A$6,0))),0)</f>
        <v/>
      </c>
      <c r="AP127">
        <f>Régions!$Q$2*R127/SUM($Q127:$V127)*100+(1-Régions!$Q$2)*MAX(L127*100+(INDEX(Régions!$AM$2:$AM$6,MATCH($B127,Régions!$A$2:$A$6,0))),0)</f>
        <v/>
      </c>
      <c r="AQ127">
        <f>Régions!$Q$2*S127/SUM($Q127:$V127)*100+(1-Régions!$Q$2)*MAX(M127*100+(INDEX(Régions!$AN$2:$AN$6,MATCH($B127,Régions!$A$2:$A$6,0))),0)</f>
        <v/>
      </c>
      <c r="AR127">
        <f>Régions!$Q$2*T127/SUM($Q127:$V127)*100+(1-Régions!$Q$2)*MAX(N127*100+(INDEX(Régions!$AO$2:$AO$6,MATCH($B127,Régions!$A$2:$A$6,0))),0)</f>
        <v/>
      </c>
      <c r="AS127">
        <f>Régions!$Q$2*U127/SUM($Q127:$V127)*100+(1-Régions!$Q$2)*MAX(O127*100+(INDEX(Régions!$AP$2:$AP$6,MATCH($B127,Régions!$A$2:$A$6,0))),0)</f>
        <v/>
      </c>
      <c r="AT127">
        <f>Régions!$Q$2*V127/SUM($Q127:$V127)*100+(1-Régions!$Q$2)*MAX(P127*100+(INDEX(Régions!$AQ$2:$AQ$6,MATCH($B127,Régions!$A$2:$A$6,0))),0)</f>
        <v/>
      </c>
      <c r="AU127">
        <f>INDEX({"CAQ","PLQ","QS","PQ","PCQ","Autre"},MATCH(MAX(Q127:V127),Q127:V127,0))</f>
        <v/>
      </c>
      <c r="AV127">
        <f>INDEX({"CAQ","PLQ","QS","PQ","PCQ","Autre"},MATCH(MAX(W127:AB127),W127:AB127,0))</f>
        <v/>
      </c>
      <c r="AW127">
        <f>INDEX({"CAQ","PLQ","QS","PQ","PCQ","Autre"},MATCH(MAX(AC127:AH127),AC127:AH127,0))</f>
        <v/>
      </c>
      <c r="AX127">
        <f>INDEX({"CAQ","PLQ","QS","PQ","PCQ","Autre"},MATCH(MAX(AI127:AN127),AI127:AN127,0))</f>
        <v/>
      </c>
      <c r="AY127">
        <f>INDEX({"CAQ","PLQ","QS","PQ","PCQ","Autre"},MATCH(MAX(AO127:AT127),AO127:AT127,0))</f>
        <v/>
      </c>
      <c r="AZ127">
        <f>(MAX(K127:P127)-LARGE(K127:P127,2))*100</f>
        <v/>
      </c>
      <c r="BA127">
        <f>IF(AZ127&lt;5,"Oui","Non")</f>
        <v/>
      </c>
      <c r="BB127" t="n">
        <v>-3.705</v>
      </c>
      <c r="BC127" t="n">
        <v>0.037</v>
      </c>
      <c r="BD127" t="n">
        <v>0.569</v>
      </c>
      <c r="BE127" t="n">
        <v>1.351</v>
      </c>
    </row>
    <row r="128">
      <c r="A128" t="inlineStr">
        <is>
          <t>Westmount-Saint-Louis</t>
        </is>
      </c>
      <c r="B128" t="inlineStr">
        <is>
          <t>Île de Montréal</t>
        </is>
      </c>
      <c r="C128">
        <f>INDEX({"CAQ","PLQ","QS","PQ","PCQ","Autre"},MATCH(MAX(D128:I128),D128:I128,0))</f>
        <v/>
      </c>
      <c r="D128" t="n">
        <v>2112</v>
      </c>
      <c r="E128" t="n">
        <v>10576</v>
      </c>
      <c r="F128" t="n">
        <v>2687</v>
      </c>
      <c r="G128" t="n">
        <v>1267</v>
      </c>
      <c r="H128" t="n">
        <v>2959</v>
      </c>
      <c r="I128" t="n">
        <v>1351</v>
      </c>
      <c r="J128">
        <f>SUM(D128:I128)</f>
        <v/>
      </c>
      <c r="K128">
        <f>IFERROR(D128/$J128,0)</f>
        <v/>
      </c>
      <c r="L128">
        <f>IFERROR(E128/$J128,0)</f>
        <v/>
      </c>
      <c r="M128">
        <f>IFERROR(F128/$J128,0)</f>
        <v/>
      </c>
      <c r="N128">
        <f>IFERROR(G128/$J128,0)</f>
        <v/>
      </c>
      <c r="O128">
        <f>IFERROR(H128/$J128,0)</f>
        <v/>
      </c>
      <c r="P128">
        <f>IFERROR(I128/$J128,0)</f>
        <v/>
      </c>
      <c r="Q128">
        <f>D128*INDEX(Régions!$T$2:$T$6,MATCH($B128,Régions!$A$2:$A$6,0))</f>
        <v/>
      </c>
      <c r="R128">
        <f>E128*INDEX(Régions!$U$2:$U$6,MATCH($B128,Régions!$A$2:$A$6,0))</f>
        <v/>
      </c>
      <c r="S128">
        <f>F128*INDEX(Régions!$V$2:$V$6,MATCH($B128,Régions!$A$2:$A$6,0))</f>
        <v/>
      </c>
      <c r="T128">
        <f>G128*INDEX(Régions!$W$2:$W$6,MATCH($B128,Régions!$A$2:$A$6,0))</f>
        <v/>
      </c>
      <c r="U128">
        <f>H128*INDEX(Régions!$X$2:$X$6,MATCH($B128,Régions!$A$2:$A$6,0))</f>
        <v/>
      </c>
      <c r="V128">
        <f>I128*INDEX(Régions!$Y$2:$Y$6,MATCH($B128,Régions!$A$2:$A$6,0))</f>
        <v/>
      </c>
      <c r="W128">
        <f>Q128+(BB128/100)*$J128*Régions!$O$2</f>
        <v/>
      </c>
      <c r="X128">
        <f>R128+(BC128/100)*$J128*Régions!$O$2</f>
        <v/>
      </c>
      <c r="Y128">
        <f>S128+(BD128/100)*$J128*Régions!$O$2</f>
        <v/>
      </c>
      <c r="Z128">
        <f>T128+(BE128/100)*$J128*Régions!$O$2</f>
        <v/>
      </c>
      <c r="AA128">
        <f>U128</f>
        <v/>
      </c>
      <c r="AB128">
        <f>V128</f>
        <v/>
      </c>
      <c r="AC128">
        <f>D128*INDEX(Régions!$Z$2:$Z$6,MATCH($B128,Régions!$A$2:$A$6,0))</f>
        <v/>
      </c>
      <c r="AD128">
        <f>E128*INDEX(Régions!$AA$2:$AA$6,MATCH($B128,Régions!$A$2:$A$6,0))</f>
        <v/>
      </c>
      <c r="AE128">
        <f>F128*INDEX(Régions!$AB$2:$AB$6,MATCH($B128,Régions!$A$2:$A$6,0))</f>
        <v/>
      </c>
      <c r="AF128">
        <f>G128*INDEX(Régions!$AC$2:$AC$6,MATCH($B128,Régions!$A$2:$A$6,0))</f>
        <v/>
      </c>
      <c r="AG128">
        <f>H128*INDEX(Régions!$AD$2:$AD$6,MATCH($B128,Régions!$A$2:$A$6,0))</f>
        <v/>
      </c>
      <c r="AH128">
        <f>I128*INDEX(Régions!$AE$2:$AE$6,MATCH($B128,Régions!$A$2:$A$6,0))</f>
        <v/>
      </c>
      <c r="AI128">
        <f>D128*INDEX(Régions!$AF$2:$AF$6,MATCH($B128,Régions!$A$2:$A$6,0))</f>
        <v/>
      </c>
      <c r="AJ128">
        <f>E128*INDEX(Régions!$AG$2:$AG$6,MATCH($B128,Régions!$A$2:$A$6,0))</f>
        <v/>
      </c>
      <c r="AK128">
        <f>F128*INDEX(Régions!$AH$2:$AH$6,MATCH($B128,Régions!$A$2:$A$6,0))</f>
        <v/>
      </c>
      <c r="AL128">
        <f>G128*INDEX(Régions!$AI$2:$AI$6,MATCH($B128,Régions!$A$2:$A$6,0))</f>
        <v/>
      </c>
      <c r="AM128">
        <f>H128*INDEX(Régions!$AJ$2:$AJ$6,MATCH($B128,Régions!$A$2:$A$6,0))</f>
        <v/>
      </c>
      <c r="AN128">
        <f>I128*INDEX(Régions!$AK$2:$AK$6,MATCH($B128,Régions!$A$2:$A$6,0))</f>
        <v/>
      </c>
      <c r="AO128">
        <f>Régions!$Q$2*Q128/SUM($Q128:$V128)*100+(1-Régions!$Q$2)*MAX(K128*100+(INDEX(Régions!$AL$2:$AL$6,MATCH($B128,Régions!$A$2:$A$6,0))),0)</f>
        <v/>
      </c>
      <c r="AP128">
        <f>Régions!$Q$2*R128/SUM($Q128:$V128)*100+(1-Régions!$Q$2)*MAX(L128*100+(INDEX(Régions!$AM$2:$AM$6,MATCH($B128,Régions!$A$2:$A$6,0))),0)</f>
        <v/>
      </c>
      <c r="AQ128">
        <f>Régions!$Q$2*S128/SUM($Q128:$V128)*100+(1-Régions!$Q$2)*MAX(M128*100+(INDEX(Régions!$AN$2:$AN$6,MATCH($B128,Régions!$A$2:$A$6,0))),0)</f>
        <v/>
      </c>
      <c r="AR128">
        <f>Régions!$Q$2*T128/SUM($Q128:$V128)*100+(1-Régions!$Q$2)*MAX(N128*100+(INDEX(Régions!$AO$2:$AO$6,MATCH($B128,Régions!$A$2:$A$6,0))),0)</f>
        <v/>
      </c>
      <c r="AS128">
        <f>Régions!$Q$2*U128/SUM($Q128:$V128)*100+(1-Régions!$Q$2)*MAX(O128*100+(INDEX(Régions!$AP$2:$AP$6,MATCH($B128,Régions!$A$2:$A$6,0))),0)</f>
        <v/>
      </c>
      <c r="AT128">
        <f>Régions!$Q$2*V128/SUM($Q128:$V128)*100+(1-Régions!$Q$2)*MAX(P128*100+(INDEX(Régions!$AQ$2:$AQ$6,MATCH($B128,Régions!$A$2:$A$6,0))),0)</f>
        <v/>
      </c>
      <c r="AU128">
        <f>INDEX({"CAQ","PLQ","QS","PQ","PCQ","Autre"},MATCH(MAX(Q128:V128),Q128:V128,0))</f>
        <v/>
      </c>
      <c r="AV128">
        <f>INDEX({"CAQ","PLQ","QS","PQ","PCQ","Autre"},MATCH(MAX(W128:AB128),W128:AB128,0))</f>
        <v/>
      </c>
      <c r="AW128">
        <f>INDEX({"CAQ","PLQ","QS","PQ","PCQ","Autre"},MATCH(MAX(AC128:AH128),AC128:AH128,0))</f>
        <v/>
      </c>
      <c r="AX128">
        <f>INDEX({"CAQ","PLQ","QS","PQ","PCQ","Autre"},MATCH(MAX(AI128:AN128),AI128:AN128,0))</f>
        <v/>
      </c>
      <c r="AY128">
        <f>INDEX({"CAQ","PLQ","QS","PQ","PCQ","Autre"},MATCH(MAX(AO128:AT128),AO128:AT128,0))</f>
        <v/>
      </c>
      <c r="AZ128">
        <f>(MAX(K128:P128)-LARGE(K128:P128,2))*100</f>
        <v/>
      </c>
      <c r="BA128">
        <f>IF(AZ128&lt;5,"Oui","Non")</f>
        <v/>
      </c>
      <c r="BB128" t="n">
        <v>-1.548</v>
      </c>
      <c r="BC128" t="n">
        <v>-7.438</v>
      </c>
      <c r="BD128" t="n">
        <v>1.795</v>
      </c>
      <c r="BE128" t="n">
        <v>2.083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cols>
    <col width="24" customWidth="1" min="1" max="1"/>
  </cols>
  <sheetData>
    <row r="1">
      <c r="A1" s="6" t="inlineStr">
        <is>
          <t>Région</t>
        </is>
      </c>
      <c r="B1" s="6" t="inlineStr">
        <is>
          <t>Réf. CAQ%</t>
        </is>
      </c>
      <c r="C1" s="6" t="inlineStr">
        <is>
          <t>Réf. PLQ%</t>
        </is>
      </c>
      <c r="D1" s="6" t="inlineStr">
        <is>
          <t>Réf. QS%</t>
        </is>
      </c>
      <c r="E1" s="6" t="inlineStr">
        <is>
          <t>Réf. PQ%</t>
        </is>
      </c>
      <c r="F1" s="6" t="inlineStr">
        <is>
          <t>Réf. PCQ%</t>
        </is>
      </c>
      <c r="G1" s="6" t="inlineStr">
        <is>
          <t>Réf. Autre%</t>
        </is>
      </c>
      <c r="H1" s="6" t="inlineStr">
        <is>
          <t>Sond. CAQ</t>
        </is>
      </c>
      <c r="I1" s="6" t="inlineStr">
        <is>
          <t>Sond. PLQ</t>
        </is>
      </c>
      <c r="J1" s="6" t="inlineStr">
        <is>
          <t>Sond. QS</t>
        </is>
      </c>
      <c r="K1" s="6" t="inlineStr">
        <is>
          <t>Sond. PQ</t>
        </is>
      </c>
      <c r="L1" s="6" t="inlineStr">
        <is>
          <t>Sond. PCQ</t>
        </is>
      </c>
      <c r="M1" s="6" t="inlineStr">
        <is>
          <t>Sond. Autre</t>
        </is>
      </c>
      <c r="N1" s="6" t="inlineStr">
        <is>
          <t>Marge (pp)</t>
        </is>
      </c>
      <c r="O1" s="6" t="inlineStr">
        <is>
          <t>Poids prop.</t>
        </is>
      </c>
      <c r="P1" s="2" t="inlineStr">
        <is>
          <t>Poids swing prop.</t>
        </is>
      </c>
      <c r="T1" s="2" t="inlineStr">
        <is>
          <t>SwA CAQ</t>
        </is>
      </c>
      <c r="U1" s="2" t="inlineStr">
        <is>
          <t>SwA PLQ</t>
        </is>
      </c>
      <c r="V1" s="2" t="inlineStr">
        <is>
          <t>SwA QS</t>
        </is>
      </c>
      <c r="W1" s="2" t="inlineStr">
        <is>
          <t>SwA PQ</t>
        </is>
      </c>
      <c r="X1" s="2" t="inlineStr">
        <is>
          <t>SwA PCQ</t>
        </is>
      </c>
      <c r="Y1" s="2" t="inlineStr">
        <is>
          <t>SwA Autre</t>
        </is>
      </c>
      <c r="Z1" s="2" t="inlineStr">
        <is>
          <t>SwC CAQ</t>
        </is>
      </c>
      <c r="AA1" s="2" t="inlineStr">
        <is>
          <t>SwC PLQ</t>
        </is>
      </c>
      <c r="AB1" s="2" t="inlineStr">
        <is>
          <t>SwC QS</t>
        </is>
      </c>
      <c r="AC1" s="2" t="inlineStr">
        <is>
          <t>SwC PQ</t>
        </is>
      </c>
      <c r="AD1" s="2" t="inlineStr">
        <is>
          <t>SwC PCQ</t>
        </is>
      </c>
      <c r="AE1" s="2" t="inlineStr">
        <is>
          <t>SwC Autre</t>
        </is>
      </c>
      <c r="AF1" s="2" t="inlineStr">
        <is>
          <t>SwD CAQ</t>
        </is>
      </c>
      <c r="AG1" s="2" t="inlineStr">
        <is>
          <t>SwD PLQ</t>
        </is>
      </c>
      <c r="AH1" s="2" t="inlineStr">
        <is>
          <t>SwD QS</t>
        </is>
      </c>
      <c r="AI1" s="2" t="inlineStr">
        <is>
          <t>SwD PQ</t>
        </is>
      </c>
      <c r="AJ1" s="2" t="inlineStr">
        <is>
          <t>SwD PCQ</t>
        </is>
      </c>
      <c r="AK1" s="2" t="inlineStr">
        <is>
          <t>SwD Autre</t>
        </is>
      </c>
      <c r="AL1" s="2" t="inlineStr">
        <is>
          <t>Δunif CAQ</t>
        </is>
      </c>
      <c r="AM1" s="2" t="inlineStr">
        <is>
          <t>Δunif PLQ</t>
        </is>
      </c>
      <c r="AN1" s="2" t="inlineStr">
        <is>
          <t>Δunif QS</t>
        </is>
      </c>
      <c r="AO1" s="2" t="inlineStr">
        <is>
          <t>Δunif PQ</t>
        </is>
      </c>
      <c r="AP1" s="2" t="inlineStr">
        <is>
          <t>Δunif PCQ</t>
        </is>
      </c>
      <c r="AQ1" s="2" t="inlineStr">
        <is>
          <t>Δunif Autre</t>
        </is>
      </c>
    </row>
    <row r="2">
      <c r="A2" t="inlineStr">
        <is>
          <t>Montréal RMR</t>
        </is>
      </c>
      <c r="B2">
        <f>(SUMIFS(Modèle!$D$2:$D$128,Modèle!$B$2:$B$128,$A$3)+SUMIFS(Modèle!$D$2:$D$128,Modèle!$B$2:$B$128,$A$4))/(SUMIFS(Modèle!$J$2:$J$128,Modèle!$B$2:$B$128,$A$3)+SUMIFS(Modèle!$J$2:$J$128,Modèle!$B$2:$B$128,$A$4))*100</f>
        <v/>
      </c>
      <c r="C2">
        <f>(SUMIFS(Modèle!$E$2:$E$128,Modèle!$B$2:$B$128,$A$3)+SUMIFS(Modèle!$E$2:$E$128,Modèle!$B$2:$B$128,$A$4))/(SUMIFS(Modèle!$J$2:$J$128,Modèle!$B$2:$B$128,$A$3)+SUMIFS(Modèle!$J$2:$J$128,Modèle!$B$2:$B$128,$A$4))*100</f>
        <v/>
      </c>
      <c r="D2">
        <f>(SUMIFS(Modèle!$F$2:$F$128,Modèle!$B$2:$B$128,$A$3)+SUMIFS(Modèle!$F$2:$F$128,Modèle!$B$2:$B$128,$A$4))/(SUMIFS(Modèle!$J$2:$J$128,Modèle!$B$2:$B$128,$A$3)+SUMIFS(Modèle!$J$2:$J$128,Modèle!$B$2:$B$128,$A$4))*100</f>
        <v/>
      </c>
      <c r="E2">
        <f>(SUMIFS(Modèle!$G$2:$G$128,Modèle!$B$2:$B$128,$A$3)+SUMIFS(Modèle!$G$2:$G$128,Modèle!$B$2:$B$128,$A$4))/(SUMIFS(Modèle!$J$2:$J$128,Modèle!$B$2:$B$128,$A$3)+SUMIFS(Modèle!$J$2:$J$128,Modèle!$B$2:$B$128,$A$4))*100</f>
        <v/>
      </c>
      <c r="F2">
        <f>(SUMIFS(Modèle!$H$2:$H$128,Modèle!$B$2:$B$128,$A$3)+SUMIFS(Modèle!$H$2:$H$128,Modèle!$B$2:$B$128,$A$4))/(SUMIFS(Modèle!$J$2:$J$128,Modèle!$B$2:$B$128,$A$3)+SUMIFS(Modèle!$J$2:$J$128,Modèle!$B$2:$B$128,$A$4))*100</f>
        <v/>
      </c>
      <c r="G2">
        <f>(SUMIFS(Modèle!$I$2:$I$128,Modèle!$B$2:$B$128,$A$3)+SUMIFS(Modèle!$I$2:$I$128,Modèle!$B$2:$B$128,$A$4))/(SUMIFS(Modèle!$J$2:$J$128,Modèle!$B$2:$B$128,$A$3)+SUMIFS(Modèle!$J$2:$J$128,Modèle!$B$2:$B$128,$A$4))*100</f>
        <v/>
      </c>
      <c r="H2">
        <f>Agrégat!B29</f>
        <v/>
      </c>
      <c r="I2">
        <f>Agrégat!C29</f>
        <v/>
      </c>
      <c r="J2">
        <f>Agrégat!D29</f>
        <v/>
      </c>
      <c r="K2">
        <f>Agrégat!E29</f>
        <v/>
      </c>
      <c r="L2">
        <f>Agrégat!F29</f>
        <v/>
      </c>
      <c r="M2">
        <f>Agrégat!G29</f>
        <v/>
      </c>
      <c r="N2" s="9" t="n">
        <v>6</v>
      </c>
      <c r="O2" s="9" t="n">
        <v>0.5</v>
      </c>
      <c r="Q2" s="9" t="n">
        <v>0.8</v>
      </c>
      <c r="R2" t="inlineStr">
        <is>
          <t>← poids prop. (scén. E)</t>
        </is>
      </c>
      <c r="T2">
        <f>IFERROR(H2/B2,1)</f>
        <v/>
      </c>
      <c r="U2">
        <f>IFERROR(I2/C2,1)</f>
        <v/>
      </c>
      <c r="V2">
        <f>IFERROR(J2/D2,1)</f>
        <v/>
      </c>
      <c r="W2">
        <f>IFERROR(K2/E2,1)</f>
        <v/>
      </c>
      <c r="X2">
        <f>IFERROR(L2/F2,1)</f>
        <v/>
      </c>
      <c r="Y2">
        <f>IFERROR(M2/G2,1)</f>
        <v/>
      </c>
      <c r="Z2">
        <f>IFERROR((H2+$N$2)/B2,1)</f>
        <v/>
      </c>
      <c r="AA2">
        <f>IFERROR((I2+$N$2)/C2,1)</f>
        <v/>
      </c>
      <c r="AB2">
        <f>IFERROR((J2+$N$2)/D2,1)</f>
        <v/>
      </c>
      <c r="AC2">
        <f>IFERROR((K2+$N$2)/E2,1)</f>
        <v/>
      </c>
      <c r="AD2">
        <f>IFERROR((L2+$N$2)/F2,1)</f>
        <v/>
      </c>
      <c r="AE2">
        <f>IFERROR((M2+$N$2)/G2,1)</f>
        <v/>
      </c>
      <c r="AF2">
        <f>IFERROR(MAX(H2-$N$2,0)/B2,1)</f>
        <v/>
      </c>
      <c r="AG2">
        <f>IFERROR(MAX(I2-$N$2,0)/C2,1)</f>
        <v/>
      </c>
      <c r="AH2">
        <f>IFERROR(MAX(J2-$N$2,0)/D2,1)</f>
        <v/>
      </c>
      <c r="AI2">
        <f>IFERROR(MAX(K2-$N$2,0)/E2,1)</f>
        <v/>
      </c>
      <c r="AJ2">
        <f>IFERROR(MAX(L2-$N$2,0)/F2,1)</f>
        <v/>
      </c>
      <c r="AK2">
        <f>IFERROR(MAX(M2-$N$2,0)/G2,1)</f>
        <v/>
      </c>
      <c r="AL2">
        <f>IFERROR(H2*100/SUM($H2:$M2)-B2,0)</f>
        <v/>
      </c>
      <c r="AM2">
        <f>IFERROR(I2*100/SUM($H2:$M2)-C2,0)</f>
        <v/>
      </c>
      <c r="AN2">
        <f>IFERROR(J2*100/SUM($H2:$M2)-D2,0)</f>
        <v/>
      </c>
      <c r="AO2">
        <f>IFERROR(K2*100/SUM($H2:$M2)-E2,0)</f>
        <v/>
      </c>
      <c r="AP2">
        <f>IFERROR(L2*100/SUM($H2:$M2)-F2,0)</f>
        <v/>
      </c>
      <c r="AQ2">
        <f>IFERROR(M2*100/SUM($H2:$M2)-G2,0)</f>
        <v/>
      </c>
    </row>
    <row r="3">
      <c r="A3" t="inlineStr">
        <is>
          <t>Île de Montréal</t>
        </is>
      </c>
      <c r="B3">
        <f>SUMIFS(Modèle!$D$2:$D$128,Modèle!$B$2:$B$128,$A3)/SUMIFS(Modèle!$J$2:$J$128,Modèle!$B$2:$B$128,$A3)*100</f>
        <v/>
      </c>
      <c r="C3">
        <f>SUMIFS(Modèle!$E$2:$E$128,Modèle!$B$2:$B$128,$A3)/SUMIFS(Modèle!$J$2:$J$128,Modèle!$B$2:$B$128,$A3)*100</f>
        <v/>
      </c>
      <c r="D3">
        <f>SUMIFS(Modèle!$F$2:$F$128,Modèle!$B$2:$B$128,$A3)/SUMIFS(Modèle!$J$2:$J$128,Modèle!$B$2:$B$128,$A3)*100</f>
        <v/>
      </c>
      <c r="E3">
        <f>SUMIFS(Modèle!$G$2:$G$128,Modèle!$B$2:$B$128,$A3)/SUMIFS(Modèle!$J$2:$J$128,Modèle!$B$2:$B$128,$A3)*100</f>
        <v/>
      </c>
      <c r="F3">
        <f>SUMIFS(Modèle!$H$2:$H$128,Modèle!$B$2:$B$128,$A3)/SUMIFS(Modèle!$J$2:$J$128,Modèle!$B$2:$B$128,$A3)*100</f>
        <v/>
      </c>
      <c r="G3">
        <f>SUMIFS(Modèle!$I$2:$I$128,Modèle!$B$2:$B$128,$A3)/SUMIFS(Modèle!$J$2:$J$128,Modèle!$B$2:$B$128,$A3)*100</f>
        <v/>
      </c>
      <c r="H3">
        <f>Agrégat!B30</f>
        <v/>
      </c>
      <c r="I3">
        <f>Agrégat!C30</f>
        <v/>
      </c>
      <c r="J3">
        <f>Agrégat!D30</f>
        <v/>
      </c>
      <c r="K3">
        <f>Agrégat!E30</f>
        <v/>
      </c>
      <c r="L3">
        <f>Agrégat!F30</f>
        <v/>
      </c>
      <c r="M3">
        <f>Agrégat!G30</f>
        <v/>
      </c>
      <c r="N3" t="inlineStr">
        <is>
          <t>← marge (pp)</t>
        </is>
      </c>
      <c r="O3" t="inlineStr">
        <is>
          <t>← inertie</t>
        </is>
      </c>
      <c r="T3">
        <f>IFERROR(H3/B3,1)</f>
        <v/>
      </c>
      <c r="U3">
        <f>IFERROR(I3/C3,1)</f>
        <v/>
      </c>
      <c r="V3">
        <f>IFERROR(J3/D3,1)</f>
        <v/>
      </c>
      <c r="W3">
        <f>IFERROR(K3/E3,1)</f>
        <v/>
      </c>
      <c r="X3">
        <f>IFERROR(L3/F3,1)</f>
        <v/>
      </c>
      <c r="Y3">
        <f>IFERROR(M3/G3,1)</f>
        <v/>
      </c>
      <c r="Z3">
        <f>IFERROR((H3+$N$2)/B3,1)</f>
        <v/>
      </c>
      <c r="AA3">
        <f>IFERROR((I3+$N$2)/C3,1)</f>
        <v/>
      </c>
      <c r="AB3">
        <f>IFERROR((J3+$N$2)/D3,1)</f>
        <v/>
      </c>
      <c r="AC3">
        <f>IFERROR((K3+$N$2)/E3,1)</f>
        <v/>
      </c>
      <c r="AD3">
        <f>IFERROR((L3+$N$2)/F3,1)</f>
        <v/>
      </c>
      <c r="AE3">
        <f>IFERROR((M3+$N$2)/G3,1)</f>
        <v/>
      </c>
      <c r="AF3">
        <f>IFERROR(MAX(H3-$N$2,0)/B3,1)</f>
        <v/>
      </c>
      <c r="AG3">
        <f>IFERROR(MAX(I3-$N$2,0)/C3,1)</f>
        <v/>
      </c>
      <c r="AH3">
        <f>IFERROR(MAX(J3-$N$2,0)/D3,1)</f>
        <v/>
      </c>
      <c r="AI3">
        <f>IFERROR(MAX(K3-$N$2,0)/E3,1)</f>
        <v/>
      </c>
      <c r="AJ3">
        <f>IFERROR(MAX(L3-$N$2,0)/F3,1)</f>
        <v/>
      </c>
      <c r="AK3">
        <f>IFERROR(MAX(M3-$N$2,0)/G3,1)</f>
        <v/>
      </c>
      <c r="AL3">
        <f>IFERROR(H3*100/SUM($H3:$M3)-B3,0)</f>
        <v/>
      </c>
      <c r="AM3">
        <f>IFERROR(I3*100/SUM($H3:$M3)-C3,0)</f>
        <v/>
      </c>
      <c r="AN3">
        <f>IFERROR(J3*100/SUM($H3:$M3)-D3,0)</f>
        <v/>
      </c>
      <c r="AO3">
        <f>IFERROR(K3*100/SUM($H3:$M3)-E3,0)</f>
        <v/>
      </c>
      <c r="AP3">
        <f>IFERROR(L3*100/SUM($H3:$M3)-F3,0)</f>
        <v/>
      </c>
      <c r="AQ3">
        <f>IFERROR(M3*100/SUM($H3:$M3)-G3,0)</f>
        <v/>
      </c>
    </row>
    <row r="4">
      <c r="A4" t="inlineStr">
        <is>
          <t>Banlieue de Montréal</t>
        </is>
      </c>
      <c r="B4">
        <f>SUMIFS(Modèle!$D$2:$D$128,Modèle!$B$2:$B$128,$A4)/SUMIFS(Modèle!$J$2:$J$128,Modèle!$B$2:$B$128,$A4)*100</f>
        <v/>
      </c>
      <c r="C4">
        <f>SUMIFS(Modèle!$E$2:$E$128,Modèle!$B$2:$B$128,$A4)/SUMIFS(Modèle!$J$2:$J$128,Modèle!$B$2:$B$128,$A4)*100</f>
        <v/>
      </c>
      <c r="D4">
        <f>SUMIFS(Modèle!$F$2:$F$128,Modèle!$B$2:$B$128,$A4)/SUMIFS(Modèle!$J$2:$J$128,Modèle!$B$2:$B$128,$A4)*100</f>
        <v/>
      </c>
      <c r="E4">
        <f>SUMIFS(Modèle!$G$2:$G$128,Modèle!$B$2:$B$128,$A4)/SUMIFS(Modèle!$J$2:$J$128,Modèle!$B$2:$B$128,$A4)*100</f>
        <v/>
      </c>
      <c r="F4">
        <f>SUMIFS(Modèle!$H$2:$H$128,Modèle!$B$2:$B$128,$A4)/SUMIFS(Modèle!$J$2:$J$128,Modèle!$B$2:$B$128,$A4)*100</f>
        <v/>
      </c>
      <c r="G4">
        <f>SUMIFS(Modèle!$I$2:$I$128,Modèle!$B$2:$B$128,$A4)/SUMIFS(Modèle!$J$2:$J$128,Modèle!$B$2:$B$128,$A4)*100</f>
        <v/>
      </c>
      <c r="H4">
        <f>Agrégat!B31</f>
        <v/>
      </c>
      <c r="I4">
        <f>Agrégat!C31</f>
        <v/>
      </c>
      <c r="J4">
        <f>Agrégat!D31</f>
        <v/>
      </c>
      <c r="K4">
        <f>Agrégat!E31</f>
        <v/>
      </c>
      <c r="L4">
        <f>Agrégat!F31</f>
        <v/>
      </c>
      <c r="M4">
        <f>Agrégat!G31</f>
        <v/>
      </c>
      <c r="T4">
        <f>IFERROR(H4/B4,1)</f>
        <v/>
      </c>
      <c r="U4">
        <f>IFERROR(I4/C4,1)</f>
        <v/>
      </c>
      <c r="V4">
        <f>IFERROR(J4/D4,1)</f>
        <v/>
      </c>
      <c r="W4">
        <f>IFERROR(K4/E4,1)</f>
        <v/>
      </c>
      <c r="X4">
        <f>IFERROR(L4/F4,1)</f>
        <v/>
      </c>
      <c r="Y4">
        <f>IFERROR(M4/G4,1)</f>
        <v/>
      </c>
      <c r="Z4">
        <f>IFERROR((H4+$N$2)/B4,1)</f>
        <v/>
      </c>
      <c r="AA4">
        <f>IFERROR((I4+$N$2)/C4,1)</f>
        <v/>
      </c>
      <c r="AB4">
        <f>IFERROR((J4+$N$2)/D4,1)</f>
        <v/>
      </c>
      <c r="AC4">
        <f>IFERROR((K4+$N$2)/E4,1)</f>
        <v/>
      </c>
      <c r="AD4">
        <f>IFERROR((L4+$N$2)/F4,1)</f>
        <v/>
      </c>
      <c r="AE4">
        <f>IFERROR((M4+$N$2)/G4,1)</f>
        <v/>
      </c>
      <c r="AF4">
        <f>IFERROR(MAX(H4-$N$2,0)/B4,1)</f>
        <v/>
      </c>
      <c r="AG4">
        <f>IFERROR(MAX(I4-$N$2,0)/C4,1)</f>
        <v/>
      </c>
      <c r="AH4">
        <f>IFERROR(MAX(J4-$N$2,0)/D4,1)</f>
        <v/>
      </c>
      <c r="AI4">
        <f>IFERROR(MAX(K4-$N$2,0)/E4,1)</f>
        <v/>
      </c>
      <c r="AJ4">
        <f>IFERROR(MAX(L4-$N$2,0)/F4,1)</f>
        <v/>
      </c>
      <c r="AK4">
        <f>IFERROR(MAX(M4-$N$2,0)/G4,1)</f>
        <v/>
      </c>
      <c r="AL4">
        <f>IFERROR(H4*100/SUM($H4:$M4)-B4,0)</f>
        <v/>
      </c>
      <c r="AM4">
        <f>IFERROR(I4*100/SUM($H4:$M4)-C4,0)</f>
        <v/>
      </c>
      <c r="AN4">
        <f>IFERROR(J4*100/SUM($H4:$M4)-D4,0)</f>
        <v/>
      </c>
      <c r="AO4">
        <f>IFERROR(K4*100/SUM($H4:$M4)-E4,0)</f>
        <v/>
      </c>
      <c r="AP4">
        <f>IFERROR(L4*100/SUM($H4:$M4)-F4,0)</f>
        <v/>
      </c>
      <c r="AQ4">
        <f>IFERROR(M4*100/SUM($H4:$M4)-G4,0)</f>
        <v/>
      </c>
    </row>
    <row r="5">
      <c r="A5" t="inlineStr">
        <is>
          <t>Québec RMR</t>
        </is>
      </c>
      <c r="B5">
        <f>SUMIFS(Modèle!$D$2:$D$128,Modèle!$B$2:$B$128,$A5)/SUMIFS(Modèle!$J$2:$J$128,Modèle!$B$2:$B$128,$A5)*100</f>
        <v/>
      </c>
      <c r="C5">
        <f>SUMIFS(Modèle!$E$2:$E$128,Modèle!$B$2:$B$128,$A5)/SUMIFS(Modèle!$J$2:$J$128,Modèle!$B$2:$B$128,$A5)*100</f>
        <v/>
      </c>
      <c r="D5">
        <f>SUMIFS(Modèle!$F$2:$F$128,Modèle!$B$2:$B$128,$A5)/SUMIFS(Modèle!$J$2:$J$128,Modèle!$B$2:$B$128,$A5)*100</f>
        <v/>
      </c>
      <c r="E5">
        <f>SUMIFS(Modèle!$G$2:$G$128,Modèle!$B$2:$B$128,$A5)/SUMIFS(Modèle!$J$2:$J$128,Modèle!$B$2:$B$128,$A5)*100</f>
        <v/>
      </c>
      <c r="F5">
        <f>SUMIFS(Modèle!$H$2:$H$128,Modèle!$B$2:$B$128,$A5)/SUMIFS(Modèle!$J$2:$J$128,Modèle!$B$2:$B$128,$A5)*100</f>
        <v/>
      </c>
      <c r="G5">
        <f>SUMIFS(Modèle!$I$2:$I$128,Modèle!$B$2:$B$128,$A5)/SUMIFS(Modèle!$J$2:$J$128,Modèle!$B$2:$B$128,$A5)*100</f>
        <v/>
      </c>
      <c r="H5">
        <f>Agrégat!B32</f>
        <v/>
      </c>
      <c r="I5">
        <f>Agrégat!C32</f>
        <v/>
      </c>
      <c r="J5">
        <f>Agrégat!D32</f>
        <v/>
      </c>
      <c r="K5">
        <f>Agrégat!E32</f>
        <v/>
      </c>
      <c r="L5">
        <f>Agrégat!F32</f>
        <v/>
      </c>
      <c r="M5">
        <f>Agrégat!G32</f>
        <v/>
      </c>
      <c r="T5">
        <f>IFERROR(H5/B5,1)</f>
        <v/>
      </c>
      <c r="U5">
        <f>IFERROR(I5/C5,1)</f>
        <v/>
      </c>
      <c r="V5">
        <f>IFERROR(J5/D5,1)</f>
        <v/>
      </c>
      <c r="W5">
        <f>IFERROR(K5/E5,1)</f>
        <v/>
      </c>
      <c r="X5">
        <f>IFERROR(L5/F5,1)</f>
        <v/>
      </c>
      <c r="Y5">
        <f>IFERROR(M5/G5,1)</f>
        <v/>
      </c>
      <c r="Z5">
        <f>IFERROR((H5+$N$2)/B5,1)</f>
        <v/>
      </c>
      <c r="AA5">
        <f>IFERROR((I5+$N$2)/C5,1)</f>
        <v/>
      </c>
      <c r="AB5">
        <f>IFERROR((J5+$N$2)/D5,1)</f>
        <v/>
      </c>
      <c r="AC5">
        <f>IFERROR((K5+$N$2)/E5,1)</f>
        <v/>
      </c>
      <c r="AD5">
        <f>IFERROR((L5+$N$2)/F5,1)</f>
        <v/>
      </c>
      <c r="AE5">
        <f>IFERROR((M5+$N$2)/G5,1)</f>
        <v/>
      </c>
      <c r="AF5">
        <f>IFERROR(MAX(H5-$N$2,0)/B5,1)</f>
        <v/>
      </c>
      <c r="AG5">
        <f>IFERROR(MAX(I5-$N$2,0)/C5,1)</f>
        <v/>
      </c>
      <c r="AH5">
        <f>IFERROR(MAX(J5-$N$2,0)/D5,1)</f>
        <v/>
      </c>
      <c r="AI5">
        <f>IFERROR(MAX(K5-$N$2,0)/E5,1)</f>
        <v/>
      </c>
      <c r="AJ5">
        <f>IFERROR(MAX(L5-$N$2,0)/F5,1)</f>
        <v/>
      </c>
      <c r="AK5">
        <f>IFERROR(MAX(M5-$N$2,0)/G5,1)</f>
        <v/>
      </c>
      <c r="AL5">
        <f>IFERROR(H5*100/SUM($H5:$M5)-B5,0)</f>
        <v/>
      </c>
      <c r="AM5">
        <f>IFERROR(I5*100/SUM($H5:$M5)-C5,0)</f>
        <v/>
      </c>
      <c r="AN5">
        <f>IFERROR(J5*100/SUM($H5:$M5)-D5,0)</f>
        <v/>
      </c>
      <c r="AO5">
        <f>IFERROR(K5*100/SUM($H5:$M5)-E5,0)</f>
        <v/>
      </c>
      <c r="AP5">
        <f>IFERROR(L5*100/SUM($H5:$M5)-F5,0)</f>
        <v/>
      </c>
      <c r="AQ5">
        <f>IFERROR(M5*100/SUM($H5:$M5)-G5,0)</f>
        <v/>
      </c>
    </row>
    <row r="6">
      <c r="A6" t="inlineStr">
        <is>
          <t>Reste du Québec</t>
        </is>
      </c>
      <c r="B6">
        <f>SUMIFS(Modèle!$D$2:$D$128,Modèle!$B$2:$B$128,$A6)/SUMIFS(Modèle!$J$2:$J$128,Modèle!$B$2:$B$128,$A6)*100</f>
        <v/>
      </c>
      <c r="C6">
        <f>SUMIFS(Modèle!$E$2:$E$128,Modèle!$B$2:$B$128,$A6)/SUMIFS(Modèle!$J$2:$J$128,Modèle!$B$2:$B$128,$A6)*100</f>
        <v/>
      </c>
      <c r="D6">
        <f>SUMIFS(Modèle!$F$2:$F$128,Modèle!$B$2:$B$128,$A6)/SUMIFS(Modèle!$J$2:$J$128,Modèle!$B$2:$B$128,$A6)*100</f>
        <v/>
      </c>
      <c r="E6">
        <f>SUMIFS(Modèle!$G$2:$G$128,Modèle!$B$2:$B$128,$A6)/SUMIFS(Modèle!$J$2:$J$128,Modèle!$B$2:$B$128,$A6)*100</f>
        <v/>
      </c>
      <c r="F6">
        <f>SUMIFS(Modèle!$H$2:$H$128,Modèle!$B$2:$B$128,$A6)/SUMIFS(Modèle!$J$2:$J$128,Modèle!$B$2:$B$128,$A6)*100</f>
        <v/>
      </c>
      <c r="G6">
        <f>SUMIFS(Modèle!$I$2:$I$128,Modèle!$B$2:$B$128,$A6)/SUMIFS(Modèle!$J$2:$J$128,Modèle!$B$2:$B$128,$A6)*100</f>
        <v/>
      </c>
      <c r="H6">
        <f>Agrégat!B33</f>
        <v/>
      </c>
      <c r="I6">
        <f>Agrégat!C33</f>
        <v/>
      </c>
      <c r="J6">
        <f>Agrégat!D33</f>
        <v/>
      </c>
      <c r="K6">
        <f>Agrégat!E33</f>
        <v/>
      </c>
      <c r="L6">
        <f>Agrégat!F33</f>
        <v/>
      </c>
      <c r="M6">
        <f>Agrégat!G33</f>
        <v/>
      </c>
      <c r="T6">
        <f>IFERROR(H6/B6,1)</f>
        <v/>
      </c>
      <c r="U6">
        <f>IFERROR(I6/C6,1)</f>
        <v/>
      </c>
      <c r="V6">
        <f>IFERROR(J6/D6,1)</f>
        <v/>
      </c>
      <c r="W6">
        <f>IFERROR(K6/E6,1)</f>
        <v/>
      </c>
      <c r="X6">
        <f>IFERROR(L6/F6,1)</f>
        <v/>
      </c>
      <c r="Y6">
        <f>IFERROR(M6/G6,1)</f>
        <v/>
      </c>
      <c r="Z6">
        <f>IFERROR((H6+$N$2)/B6,1)</f>
        <v/>
      </c>
      <c r="AA6">
        <f>IFERROR((I6+$N$2)/C6,1)</f>
        <v/>
      </c>
      <c r="AB6">
        <f>IFERROR((J6+$N$2)/D6,1)</f>
        <v/>
      </c>
      <c r="AC6">
        <f>IFERROR((K6+$N$2)/E6,1)</f>
        <v/>
      </c>
      <c r="AD6">
        <f>IFERROR((L6+$N$2)/F6,1)</f>
        <v/>
      </c>
      <c r="AE6">
        <f>IFERROR((M6+$N$2)/G6,1)</f>
        <v/>
      </c>
      <c r="AF6">
        <f>IFERROR(MAX(H6-$N$2,0)/B6,1)</f>
        <v/>
      </c>
      <c r="AG6">
        <f>IFERROR(MAX(I6-$N$2,0)/C6,1)</f>
        <v/>
      </c>
      <c r="AH6">
        <f>IFERROR(MAX(J6-$N$2,0)/D6,1)</f>
        <v/>
      </c>
      <c r="AI6">
        <f>IFERROR(MAX(K6-$N$2,0)/E6,1)</f>
        <v/>
      </c>
      <c r="AJ6">
        <f>IFERROR(MAX(L6-$N$2,0)/F6,1)</f>
        <v/>
      </c>
      <c r="AK6">
        <f>IFERROR(MAX(M6-$N$2,0)/G6,1)</f>
        <v/>
      </c>
      <c r="AL6">
        <f>IFERROR(H6*100/SUM($H6:$M6)-B6,0)</f>
        <v/>
      </c>
      <c r="AM6">
        <f>IFERROR(I6*100/SUM($H6:$M6)-C6,0)</f>
        <v/>
      </c>
      <c r="AN6">
        <f>IFERROR(J6*100/SUM($H6:$M6)-D6,0)</f>
        <v/>
      </c>
      <c r="AO6">
        <f>IFERROR(K6*100/SUM($H6:$M6)-E6,0)</f>
        <v/>
      </c>
      <c r="AP6">
        <f>IFERROR(L6*100/SUM($H6:$M6)-F6,0)</f>
        <v/>
      </c>
      <c r="AQ6">
        <f>IFERROR(M6*100/SUM($H6:$M6)-G6,0)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71"/>
  <sheetViews>
    <sheetView workbookViewId="0">
      <selection activeCell="A1" sqref="A1"/>
    </sheetView>
  </sheetViews>
  <sheetFormatPr baseColWidth="8" defaultRowHeight="15"/>
  <cols>
    <col width="30" customWidth="1" min="1" max="1"/>
    <col width="30" customWidth="1" min="5" max="5"/>
  </cols>
  <sheetData>
    <row r="1">
      <c r="A1" s="5" t="inlineStr">
        <is>
          <t>MATRICE DE CORRESPONDANCE GÉOGRAPHIQUE (reprise de v4.1) — poids électoraux des sections de vote 2026 par circonscription source</t>
        </is>
      </c>
    </row>
    <row r="3">
      <c r="A3" s="6" t="inlineStr">
        <is>
          <t>Circonscription 2026</t>
        </is>
      </c>
      <c r="B3" s="6" t="inlineStr">
        <is>
          <t>Région</t>
        </is>
      </c>
      <c r="C3" s="6" t="inlineStr">
        <is>
          <t>Carte source</t>
        </is>
      </c>
      <c r="D3" s="6" t="inlineStr">
        <is>
          <t>Code source</t>
        </is>
      </c>
      <c r="E3" s="6" t="inlineStr">
        <is>
          <t>Circonscription source</t>
        </is>
      </c>
      <c r="F3" s="6" t="inlineStr">
        <is>
          <t>Poids électoral</t>
        </is>
      </c>
      <c r="G3" s="6" t="inlineStr">
        <is>
          <t>Rang</t>
        </is>
      </c>
    </row>
    <row r="4">
      <c r="A4" t="inlineStr">
        <is>
          <t>Abitibi-Est</t>
        </is>
      </c>
      <c r="B4" t="inlineStr">
        <is>
          <t>Reste du Québec</t>
        </is>
      </c>
      <c r="C4" t="inlineStr">
        <is>
          <t>2022</t>
        </is>
      </c>
      <c r="D4" t="n">
        <v>648</v>
      </c>
      <c r="E4" t="inlineStr">
        <is>
          <t>Abitibi-Est</t>
        </is>
      </c>
      <c r="F4" t="n">
        <v>0.999999999999977</v>
      </c>
      <c r="G4" t="n">
        <v>1</v>
      </c>
    </row>
    <row r="5">
      <c r="A5" t="inlineStr">
        <is>
          <t>Abitibi-Est</t>
        </is>
      </c>
      <c r="B5" t="inlineStr">
        <is>
          <t>Reste du Québec</t>
        </is>
      </c>
      <c r="C5" t="inlineStr">
        <is>
          <t>2017</t>
        </is>
      </c>
      <c r="D5" t="n">
        <v>648</v>
      </c>
      <c r="E5" t="inlineStr">
        <is>
          <t>Abitibi-Est</t>
        </is>
      </c>
      <c r="F5" t="n">
        <v>0.999999999999977</v>
      </c>
      <c r="G5" t="n">
        <v>1</v>
      </c>
    </row>
    <row r="6">
      <c r="A6" t="inlineStr">
        <is>
          <t>Abitibi-Ouest</t>
        </is>
      </c>
      <c r="B6" t="inlineStr">
        <is>
          <t>Reste du Québec</t>
        </is>
      </c>
      <c r="C6" t="inlineStr">
        <is>
          <t>2022</t>
        </is>
      </c>
      <c r="D6" t="n">
        <v>642</v>
      </c>
      <c r="E6" t="inlineStr">
        <is>
          <t>Abitibi-Ouest</t>
        </is>
      </c>
      <c r="F6" t="n">
        <v>0.999991546862965</v>
      </c>
      <c r="G6" t="n">
        <v>1</v>
      </c>
    </row>
    <row r="7">
      <c r="A7" t="inlineStr">
        <is>
          <t>Abitibi-Ouest</t>
        </is>
      </c>
      <c r="B7" t="inlineStr">
        <is>
          <t>Reste du Québec</t>
        </is>
      </c>
      <c r="C7" t="inlineStr">
        <is>
          <t>2017</t>
        </is>
      </c>
      <c r="D7" t="n">
        <v>642</v>
      </c>
      <c r="E7" t="inlineStr">
        <is>
          <t>Abitibi-Ouest</t>
        </is>
      </c>
      <c r="F7" t="n">
        <v>0.999991536090987</v>
      </c>
      <c r="G7" t="n">
        <v>1</v>
      </c>
    </row>
    <row r="8">
      <c r="A8" t="inlineStr">
        <is>
          <t>Acadie</t>
        </is>
      </c>
      <c r="B8" t="inlineStr">
        <is>
          <t>Île de Montréal</t>
        </is>
      </c>
      <c r="C8" t="inlineStr">
        <is>
          <t>2022</t>
        </is>
      </c>
      <c r="D8" t="n">
        <v>338</v>
      </c>
      <c r="E8" t="inlineStr">
        <is>
          <t>Acadie</t>
        </is>
      </c>
      <c r="F8" t="n">
        <v>0.9999999999992349</v>
      </c>
      <c r="G8" t="n">
        <v>1</v>
      </c>
    </row>
    <row r="9">
      <c r="A9" t="inlineStr">
        <is>
          <t>Acadie</t>
        </is>
      </c>
      <c r="B9" t="inlineStr">
        <is>
          <t>Île de Montréal</t>
        </is>
      </c>
      <c r="C9" t="inlineStr">
        <is>
          <t>2017</t>
        </is>
      </c>
      <c r="D9" t="n">
        <v>338</v>
      </c>
      <c r="E9" t="inlineStr">
        <is>
          <t>Acadie</t>
        </is>
      </c>
      <c r="F9" t="n">
        <v>0.9999999999992349</v>
      </c>
      <c r="G9" t="n">
        <v>1</v>
      </c>
    </row>
    <row r="10">
      <c r="A10" t="inlineStr">
        <is>
          <t>Anjou-Louis-Riel</t>
        </is>
      </c>
      <c r="B10" t="inlineStr">
        <is>
          <t>Île de Montréal</t>
        </is>
      </c>
      <c r="C10" t="inlineStr">
        <is>
          <t>2022</t>
        </is>
      </c>
      <c r="D10" t="n">
        <v>366</v>
      </c>
      <c r="E10" t="inlineStr">
        <is>
          <t>Anjou-Louis-Riel</t>
        </is>
      </c>
      <c r="F10" t="n">
        <v>0.999999999998801</v>
      </c>
      <c r="G10" t="n">
        <v>1</v>
      </c>
    </row>
    <row r="11">
      <c r="A11" t="inlineStr">
        <is>
          <t>Anjou-Louis-Riel</t>
        </is>
      </c>
      <c r="B11" t="inlineStr">
        <is>
          <t>Île de Montréal</t>
        </is>
      </c>
      <c r="C11" t="inlineStr">
        <is>
          <t>2017</t>
        </is>
      </c>
      <c r="D11" t="n">
        <v>366</v>
      </c>
      <c r="E11" t="inlineStr">
        <is>
          <t>Anjou-Louis-Riel</t>
        </is>
      </c>
      <c r="F11" t="n">
        <v>0.999999999998801</v>
      </c>
      <c r="G11" t="n">
        <v>1</v>
      </c>
    </row>
    <row r="12">
      <c r="A12" t="inlineStr">
        <is>
          <t>Argenteuil</t>
        </is>
      </c>
      <c r="B12" t="inlineStr">
        <is>
          <t>Reste du Québec</t>
        </is>
      </c>
      <c r="C12" t="inlineStr">
        <is>
          <t>2022</t>
        </is>
      </c>
      <c r="D12" t="n">
        <v>520</v>
      </c>
      <c r="E12" t="inlineStr">
        <is>
          <t>Argenteuil</t>
        </is>
      </c>
      <c r="F12" t="n">
        <v>0.965755837207952</v>
      </c>
      <c r="G12" t="n">
        <v>1</v>
      </c>
    </row>
    <row r="13">
      <c r="A13" t="inlineStr">
        <is>
          <t>Argenteuil</t>
        </is>
      </c>
      <c r="B13" t="inlineStr">
        <is>
          <t>Reste du Québec</t>
        </is>
      </c>
      <c r="C13" t="inlineStr">
        <is>
          <t>2022</t>
        </is>
      </c>
      <c r="D13" t="n">
        <v>514</v>
      </c>
      <c r="E13" t="inlineStr">
        <is>
          <t>Mirabel</t>
        </is>
      </c>
      <c r="F13" t="n">
        <v>0.0342440119760537</v>
      </c>
      <c r="G13" t="n">
        <v>2</v>
      </c>
    </row>
    <row r="14">
      <c r="A14" t="inlineStr">
        <is>
          <t>Argenteuil</t>
        </is>
      </c>
      <c r="B14" t="inlineStr">
        <is>
          <t>Reste du Québec</t>
        </is>
      </c>
      <c r="C14" t="inlineStr">
        <is>
          <t>2017</t>
        </is>
      </c>
      <c r="D14" t="n">
        <v>520</v>
      </c>
      <c r="E14" t="inlineStr">
        <is>
          <t>Argenteuil</t>
        </is>
      </c>
      <c r="F14" t="n">
        <v>0.965642889234662</v>
      </c>
      <c r="G14" t="n">
        <v>1</v>
      </c>
    </row>
    <row r="15">
      <c r="A15" t="inlineStr">
        <is>
          <t>Argenteuil</t>
        </is>
      </c>
      <c r="B15" t="inlineStr">
        <is>
          <t>Reste du Québec</t>
        </is>
      </c>
      <c r="C15" t="inlineStr">
        <is>
          <t>2017</t>
        </is>
      </c>
      <c r="D15" t="n">
        <v>514</v>
      </c>
      <c r="E15" t="inlineStr">
        <is>
          <t>Mirabel</t>
        </is>
      </c>
      <c r="F15" t="n">
        <v>0.0342440119760537</v>
      </c>
      <c r="G15" t="n">
        <v>2</v>
      </c>
    </row>
    <row r="16">
      <c r="A16" t="inlineStr">
        <is>
          <t>Argenteuil</t>
        </is>
      </c>
      <c r="B16" t="inlineStr">
        <is>
          <t>Reste du Québec</t>
        </is>
      </c>
      <c r="C16" t="inlineStr">
        <is>
          <t>2017</t>
        </is>
      </c>
      <c r="D16" t="n">
        <v>220</v>
      </c>
      <c r="E16" t="inlineStr">
        <is>
          <t>Soulanges</t>
        </is>
      </c>
      <c r="F16" t="n">
        <v>0.000111436203688597</v>
      </c>
      <c r="G16" t="n">
        <v>3</v>
      </c>
    </row>
    <row r="17">
      <c r="A17" t="inlineStr">
        <is>
          <t>Arthabaska-L'Érable</t>
        </is>
      </c>
      <c r="B17" t="inlineStr">
        <is>
          <t>Reste du Québec</t>
        </is>
      </c>
      <c r="C17" t="inlineStr">
        <is>
          <t>2022</t>
        </is>
      </c>
      <c r="D17" t="n">
        <v>144</v>
      </c>
      <c r="E17" t="inlineStr">
        <is>
          <t>Arthabaska</t>
        </is>
      </c>
      <c r="F17" t="n">
        <v>0.994604571177945</v>
      </c>
      <c r="G17" t="n">
        <v>1</v>
      </c>
    </row>
    <row r="18">
      <c r="A18" t="inlineStr">
        <is>
          <t>Arthabaska-L'Érable</t>
        </is>
      </c>
      <c r="B18" t="inlineStr">
        <is>
          <t>Reste du Québec</t>
        </is>
      </c>
      <c r="C18" t="inlineStr">
        <is>
          <t>2022</t>
        </is>
      </c>
      <c r="D18" t="n">
        <v>138</v>
      </c>
      <c r="E18" t="inlineStr">
        <is>
          <t>Drummond-Bois-Francs</t>
        </is>
      </c>
      <c r="F18" t="n">
        <v>0.00537995673840928</v>
      </c>
      <c r="G18" t="n">
        <v>2</v>
      </c>
    </row>
    <row r="19">
      <c r="A19" t="inlineStr">
        <is>
          <t>Arthabaska-L'Érable</t>
        </is>
      </c>
      <c r="B19" t="inlineStr">
        <is>
          <t>Reste du Québec</t>
        </is>
      </c>
      <c r="C19" t="inlineStr">
        <is>
          <t>2017</t>
        </is>
      </c>
      <c r="D19" t="n">
        <v>144</v>
      </c>
      <c r="E19" t="inlineStr">
        <is>
          <t>Arthabaska</t>
        </is>
      </c>
      <c r="F19" t="n">
        <v>0.994604571176983</v>
      </c>
      <c r="G19" t="n">
        <v>1</v>
      </c>
    </row>
    <row r="20">
      <c r="A20" t="inlineStr">
        <is>
          <t>Arthabaska-L'Érable</t>
        </is>
      </c>
      <c r="B20" t="inlineStr">
        <is>
          <t>Reste du Québec</t>
        </is>
      </c>
      <c r="C20" t="inlineStr">
        <is>
          <t>2017</t>
        </is>
      </c>
      <c r="D20" t="n">
        <v>138</v>
      </c>
      <c r="E20" t="inlineStr">
        <is>
          <t>Drummond-Bois-Francs</t>
        </is>
      </c>
      <c r="F20" t="n">
        <v>0.00537995673937146</v>
      </c>
      <c r="G20" t="n">
        <v>2</v>
      </c>
    </row>
    <row r="21">
      <c r="A21" t="inlineStr">
        <is>
          <t>Beauce-Nord</t>
        </is>
      </c>
      <c r="B21" t="inlineStr">
        <is>
          <t>Reste du Québec</t>
        </is>
      </c>
      <c r="C21" t="inlineStr">
        <is>
          <t>2022</t>
        </is>
      </c>
      <c r="D21" t="n">
        <v>806</v>
      </c>
      <c r="E21" t="inlineStr">
        <is>
          <t>Beauce-Nord</t>
        </is>
      </c>
      <c r="F21" t="n">
        <v>0.9999999999999371</v>
      </c>
      <c r="G21" t="n">
        <v>1</v>
      </c>
    </row>
    <row r="22">
      <c r="A22" t="inlineStr">
        <is>
          <t>Beauce-Nord</t>
        </is>
      </c>
      <c r="B22" t="inlineStr">
        <is>
          <t>Reste du Québec</t>
        </is>
      </c>
      <c r="C22" t="inlineStr">
        <is>
          <t>2017</t>
        </is>
      </c>
      <c r="D22" t="n">
        <v>806</v>
      </c>
      <c r="E22" t="inlineStr">
        <is>
          <t>Beauce-Nord</t>
        </is>
      </c>
      <c r="F22" t="n">
        <v>0.999995446964973</v>
      </c>
      <c r="G22" t="n">
        <v>1</v>
      </c>
    </row>
    <row r="23">
      <c r="A23" t="inlineStr">
        <is>
          <t>Beauce-Sud</t>
        </is>
      </c>
      <c r="B23" t="inlineStr">
        <is>
          <t>Reste du Québec</t>
        </is>
      </c>
      <c r="C23" t="inlineStr">
        <is>
          <t>2022</t>
        </is>
      </c>
      <c r="D23" t="n">
        <v>802</v>
      </c>
      <c r="E23" t="inlineStr">
        <is>
          <t>Beauce-Sud</t>
        </is>
      </c>
      <c r="F23" t="n">
        <v>0.999999999999973</v>
      </c>
      <c r="G23" t="n">
        <v>1</v>
      </c>
    </row>
    <row r="24">
      <c r="A24" t="inlineStr">
        <is>
          <t>Beauce-Sud</t>
        </is>
      </c>
      <c r="B24" t="inlineStr">
        <is>
          <t>Reste du Québec</t>
        </is>
      </c>
      <c r="C24" t="inlineStr">
        <is>
          <t>2017</t>
        </is>
      </c>
      <c r="D24" t="n">
        <v>802</v>
      </c>
      <c r="E24" t="inlineStr">
        <is>
          <t>Beauce-Sud</t>
        </is>
      </c>
      <c r="F24" t="n">
        <v>0.99992759969124</v>
      </c>
      <c r="G24" t="n">
        <v>1</v>
      </c>
    </row>
    <row r="25">
      <c r="A25" t="inlineStr">
        <is>
          <t>Beauharnois</t>
        </is>
      </c>
      <c r="B25" t="inlineStr">
        <is>
          <t>Banlieue de Montréal</t>
        </is>
      </c>
      <c r="C25" t="inlineStr">
        <is>
          <t>2022</t>
        </is>
      </c>
      <c r="D25" t="n">
        <v>218</v>
      </c>
      <c r="E25" t="inlineStr">
        <is>
          <t>Beauharnois</t>
        </is>
      </c>
      <c r="F25" t="n">
        <v>0.897041022192302</v>
      </c>
      <c r="G25" t="n">
        <v>1</v>
      </c>
    </row>
    <row r="26">
      <c r="A26" t="inlineStr">
        <is>
          <t>Beauharnois</t>
        </is>
      </c>
      <c r="B26" t="inlineStr">
        <is>
          <t>Banlieue de Montréal</t>
        </is>
      </c>
      <c r="C26" t="inlineStr">
        <is>
          <t>2022</t>
        </is>
      </c>
      <c r="D26" t="n">
        <v>220</v>
      </c>
      <c r="E26" t="inlineStr">
        <is>
          <t>Soulanges</t>
        </is>
      </c>
      <c r="F26" t="n">
        <v>0.102958977807675</v>
      </c>
      <c r="G26" t="n">
        <v>2</v>
      </c>
    </row>
    <row r="27">
      <c r="A27" t="inlineStr">
        <is>
          <t>Beauharnois</t>
        </is>
      </c>
      <c r="B27" t="inlineStr">
        <is>
          <t>Banlieue de Montréal</t>
        </is>
      </c>
      <c r="C27" t="inlineStr">
        <is>
          <t>2017</t>
        </is>
      </c>
      <c r="D27" t="n">
        <v>218</v>
      </c>
      <c r="E27" t="inlineStr">
        <is>
          <t>Beauharnois</t>
        </is>
      </c>
      <c r="F27" t="n">
        <v>0.897041022192302</v>
      </c>
      <c r="G27" t="n">
        <v>1</v>
      </c>
    </row>
    <row r="28">
      <c r="A28" t="inlineStr">
        <is>
          <t>Beauharnois</t>
        </is>
      </c>
      <c r="B28" t="inlineStr">
        <is>
          <t>Banlieue de Montréal</t>
        </is>
      </c>
      <c r="C28" t="inlineStr">
        <is>
          <t>2017</t>
        </is>
      </c>
      <c r="D28" t="n">
        <v>220</v>
      </c>
      <c r="E28" t="inlineStr">
        <is>
          <t>Soulanges</t>
        </is>
      </c>
      <c r="F28" t="n">
        <v>0.102958977807675</v>
      </c>
      <c r="G28" t="n">
        <v>2</v>
      </c>
    </row>
    <row r="29">
      <c r="A29" t="inlineStr">
        <is>
          <t>Bellechasse</t>
        </is>
      </c>
      <c r="B29" t="inlineStr">
        <is>
          <t>Reste du Québec</t>
        </is>
      </c>
      <c r="C29" t="inlineStr">
        <is>
          <t>2022</t>
        </is>
      </c>
      <c r="D29" t="n">
        <v>822</v>
      </c>
      <c r="E29" t="inlineStr">
        <is>
          <t>Bellechasse</t>
        </is>
      </c>
      <c r="F29" t="n">
        <v>0.999999999999941</v>
      </c>
      <c r="G29" t="n">
        <v>1</v>
      </c>
    </row>
    <row r="30">
      <c r="A30" t="inlineStr">
        <is>
          <t>Bellechasse</t>
        </is>
      </c>
      <c r="B30" t="inlineStr">
        <is>
          <t>Reste du Québec</t>
        </is>
      </c>
      <c r="C30" t="inlineStr">
        <is>
          <t>2017</t>
        </is>
      </c>
      <c r="D30" t="n">
        <v>822</v>
      </c>
      <c r="E30" t="inlineStr">
        <is>
          <t>Bellechasse</t>
        </is>
      </c>
      <c r="F30" t="n">
        <v>0.999999137615174</v>
      </c>
      <c r="G30" t="n">
        <v>1</v>
      </c>
    </row>
    <row r="31">
      <c r="A31" t="inlineStr">
        <is>
          <t>Bellefeuille</t>
        </is>
      </c>
      <c r="B31" t="inlineStr">
        <is>
          <t>Banlieue de Montréal</t>
        </is>
      </c>
      <c r="C31" t="inlineStr">
        <is>
          <t>2022</t>
        </is>
      </c>
      <c r="D31" t="n">
        <v>526</v>
      </c>
      <c r="E31" t="inlineStr">
        <is>
          <t>Saint-Jérôme</t>
        </is>
      </c>
      <c r="F31" t="n">
        <v>0.426662523306364</v>
      </c>
      <c r="G31" t="n">
        <v>1</v>
      </c>
    </row>
    <row r="32">
      <c r="A32" t="inlineStr">
        <is>
          <t>Bellefeuille</t>
        </is>
      </c>
      <c r="B32" t="inlineStr">
        <is>
          <t>Banlieue de Montréal</t>
        </is>
      </c>
      <c r="C32" t="inlineStr">
        <is>
          <t>2022</t>
        </is>
      </c>
      <c r="D32" t="n">
        <v>520</v>
      </c>
      <c r="E32" t="inlineStr">
        <is>
          <t>Argenteuil</t>
        </is>
      </c>
      <c r="F32" t="n">
        <v>0.316101393944888</v>
      </c>
      <c r="G32" t="n">
        <v>2</v>
      </c>
    </row>
    <row r="33">
      <c r="A33" t="inlineStr">
        <is>
          <t>Bellefeuille</t>
        </is>
      </c>
      <c r="B33" t="inlineStr">
        <is>
          <t>Banlieue de Montréal</t>
        </is>
      </c>
      <c r="C33" t="inlineStr">
        <is>
          <t>2022</t>
        </is>
      </c>
      <c r="D33" t="n">
        <v>514</v>
      </c>
      <c r="E33" t="inlineStr">
        <is>
          <t>Mirabel</t>
        </is>
      </c>
      <c r="F33" t="n">
        <v>0.25723608274873</v>
      </c>
      <c r="G33" t="n">
        <v>3</v>
      </c>
    </row>
    <row r="34">
      <c r="A34" t="inlineStr">
        <is>
          <t>Bellefeuille</t>
        </is>
      </c>
      <c r="B34" t="inlineStr">
        <is>
          <t>Banlieue de Montréal</t>
        </is>
      </c>
      <c r="C34" t="inlineStr">
        <is>
          <t>2017</t>
        </is>
      </c>
      <c r="D34" t="n">
        <v>526</v>
      </c>
      <c r="E34" t="inlineStr">
        <is>
          <t>Saint-Jérôme</t>
        </is>
      </c>
      <c r="F34" t="n">
        <v>0.426662523306364</v>
      </c>
      <c r="G34" t="n">
        <v>1</v>
      </c>
    </row>
    <row r="35">
      <c r="A35" t="inlineStr">
        <is>
          <t>Bellefeuille</t>
        </is>
      </c>
      <c r="B35" t="inlineStr">
        <is>
          <t>Banlieue de Montréal</t>
        </is>
      </c>
      <c r="C35" t="inlineStr">
        <is>
          <t>2017</t>
        </is>
      </c>
      <c r="D35" t="n">
        <v>520</v>
      </c>
      <c r="E35" t="inlineStr">
        <is>
          <t>Argenteuil</t>
        </is>
      </c>
      <c r="F35" t="n">
        <v>0.316101393944888</v>
      </c>
      <c r="G35" t="n">
        <v>2</v>
      </c>
    </row>
    <row r="36">
      <c r="A36" t="inlineStr">
        <is>
          <t>Bellefeuille</t>
        </is>
      </c>
      <c r="B36" t="inlineStr">
        <is>
          <t>Banlieue de Montréal</t>
        </is>
      </c>
      <c r="C36" t="inlineStr">
        <is>
          <t>2017</t>
        </is>
      </c>
      <c r="D36" t="n">
        <v>514</v>
      </c>
      <c r="E36" t="inlineStr">
        <is>
          <t>Mirabel</t>
        </is>
      </c>
      <c r="F36" t="n">
        <v>0.25723608274873</v>
      </c>
      <c r="G36" t="n">
        <v>3</v>
      </c>
    </row>
    <row r="37">
      <c r="A37" t="inlineStr">
        <is>
          <t>Berthier</t>
        </is>
      </c>
      <c r="B37" t="inlineStr">
        <is>
          <t>Reste du Québec</t>
        </is>
      </c>
      <c r="C37" t="inlineStr">
        <is>
          <t>2022</t>
        </is>
      </c>
      <c r="D37" t="n">
        <v>566</v>
      </c>
      <c r="E37" t="inlineStr">
        <is>
          <t>Berthier</t>
        </is>
      </c>
      <c r="F37" t="n">
        <v>0.999607396623085</v>
      </c>
      <c r="G37" t="n">
        <v>1</v>
      </c>
    </row>
    <row r="38">
      <c r="A38" t="inlineStr">
        <is>
          <t>Berthier</t>
        </is>
      </c>
      <c r="B38" t="inlineStr">
        <is>
          <t>Reste du Québec</t>
        </is>
      </c>
      <c r="C38" t="inlineStr">
        <is>
          <t>2022</t>
        </is>
      </c>
      <c r="D38" t="n">
        <v>588</v>
      </c>
      <c r="E38" t="inlineStr">
        <is>
          <t>Bertrand</t>
        </is>
      </c>
      <c r="F38" t="n">
        <v>0.000216719714509921</v>
      </c>
      <c r="G38" t="n">
        <v>2</v>
      </c>
    </row>
    <row r="39">
      <c r="A39" t="inlineStr">
        <is>
          <t>Berthier</t>
        </is>
      </c>
      <c r="B39" t="inlineStr">
        <is>
          <t>Reste du Québec</t>
        </is>
      </c>
      <c r="C39" t="inlineStr">
        <is>
          <t>2022</t>
        </is>
      </c>
      <c r="D39" t="n">
        <v>570</v>
      </c>
      <c r="E39" t="inlineStr">
        <is>
          <t>Joliette</t>
        </is>
      </c>
      <c r="F39" t="n">
        <v>0.000100116838632025</v>
      </c>
      <c r="G39" t="n">
        <v>3</v>
      </c>
    </row>
    <row r="40">
      <c r="A40" t="inlineStr">
        <is>
          <t>Berthier</t>
        </is>
      </c>
      <c r="B40" t="inlineStr">
        <is>
          <t>Reste du Québec</t>
        </is>
      </c>
      <c r="C40" t="inlineStr">
        <is>
          <t>2017</t>
        </is>
      </c>
      <c r="D40" t="n">
        <v>566</v>
      </c>
      <c r="E40" t="inlineStr">
        <is>
          <t>Berthier</t>
        </is>
      </c>
      <c r="F40" t="n">
        <v>0.999596106638015</v>
      </c>
      <c r="G40" t="n">
        <v>1</v>
      </c>
    </row>
    <row r="41">
      <c r="A41" t="inlineStr">
        <is>
          <t>Berthier</t>
        </is>
      </c>
      <c r="B41" t="inlineStr">
        <is>
          <t>Reste du Québec</t>
        </is>
      </c>
      <c r="C41" t="inlineStr">
        <is>
          <t>2017</t>
        </is>
      </c>
      <c r="D41" t="n">
        <v>588</v>
      </c>
      <c r="E41" t="inlineStr">
        <is>
          <t>Bertrand</t>
        </is>
      </c>
      <c r="F41" t="n">
        <v>0.000216728221052498</v>
      </c>
      <c r="G41" t="n">
        <v>2</v>
      </c>
    </row>
    <row r="42">
      <c r="A42" t="inlineStr">
        <is>
          <t>Berthier</t>
        </is>
      </c>
      <c r="B42" t="inlineStr">
        <is>
          <t>Reste du Québec</t>
        </is>
      </c>
      <c r="C42" t="inlineStr">
        <is>
          <t>2017</t>
        </is>
      </c>
      <c r="D42" t="n">
        <v>570</v>
      </c>
      <c r="E42" t="inlineStr">
        <is>
          <t>Joliette</t>
        </is>
      </c>
      <c r="F42" t="n">
        <v>0.000111398317159462</v>
      </c>
      <c r="G42" t="n">
        <v>3</v>
      </c>
    </row>
    <row r="43">
      <c r="A43" t="inlineStr">
        <is>
          <t>Bertrand</t>
        </is>
      </c>
      <c r="B43" t="inlineStr">
        <is>
          <t>Banlieue de Montréal</t>
        </is>
      </c>
      <c r="C43" t="inlineStr">
        <is>
          <t>2022</t>
        </is>
      </c>
      <c r="D43" t="n">
        <v>588</v>
      </c>
      <c r="E43" t="inlineStr">
        <is>
          <t>Bertrand</t>
        </is>
      </c>
      <c r="F43" t="n">
        <v>0.999777686501788</v>
      </c>
      <c r="G43" t="n">
        <v>1</v>
      </c>
    </row>
    <row r="44">
      <c r="A44" t="inlineStr">
        <is>
          <t>Bertrand</t>
        </is>
      </c>
      <c r="B44" t="inlineStr">
        <is>
          <t>Banlieue de Montréal</t>
        </is>
      </c>
      <c r="C44" t="inlineStr">
        <is>
          <t>2022</t>
        </is>
      </c>
      <c r="D44" t="n">
        <v>576</v>
      </c>
      <c r="E44" t="inlineStr">
        <is>
          <t>Rousseau</t>
        </is>
      </c>
      <c r="F44" t="n">
        <v>0.000182629276388235</v>
      </c>
      <c r="G44" t="n">
        <v>2</v>
      </c>
    </row>
    <row r="45">
      <c r="A45" t="inlineStr">
        <is>
          <t>Bertrand</t>
        </is>
      </c>
      <c r="B45" t="inlineStr">
        <is>
          <t>Banlieue de Montréal</t>
        </is>
      </c>
      <c r="C45" t="inlineStr">
        <is>
          <t>2017</t>
        </is>
      </c>
      <c r="D45" t="n">
        <v>588</v>
      </c>
      <c r="E45" t="inlineStr">
        <is>
          <t>Bertrand</t>
        </is>
      </c>
      <c r="F45" t="n">
        <v>0.999774153591382</v>
      </c>
      <c r="G45" t="n">
        <v>1</v>
      </c>
    </row>
    <row r="46">
      <c r="A46" t="inlineStr">
        <is>
          <t>Bertrand</t>
        </is>
      </c>
      <c r="B46" t="inlineStr">
        <is>
          <t>Banlieue de Montréal</t>
        </is>
      </c>
      <c r="C46" t="inlineStr">
        <is>
          <t>2017</t>
        </is>
      </c>
      <c r="D46" t="n">
        <v>576</v>
      </c>
      <c r="E46" t="inlineStr">
        <is>
          <t>Rousseau</t>
        </is>
      </c>
      <c r="F46" t="n">
        <v>0.000182629276388235</v>
      </c>
      <c r="G46" t="n">
        <v>2</v>
      </c>
    </row>
    <row r="47">
      <c r="A47" t="inlineStr">
        <is>
          <t>Blainville</t>
        </is>
      </c>
      <c r="B47" t="inlineStr">
        <is>
          <t>Banlieue de Montréal</t>
        </is>
      </c>
      <c r="C47" t="inlineStr">
        <is>
          <t>2022</t>
        </is>
      </c>
      <c r="D47" t="n">
        <v>536</v>
      </c>
      <c r="E47" t="inlineStr">
        <is>
          <t>Blainville</t>
        </is>
      </c>
      <c r="F47" t="n">
        <v>0.999880404478988</v>
      </c>
      <c r="G47" t="n">
        <v>1</v>
      </c>
    </row>
    <row r="48">
      <c r="A48" t="inlineStr">
        <is>
          <t>Blainville</t>
        </is>
      </c>
      <c r="B48" t="inlineStr">
        <is>
          <t>Banlieue de Montréal</t>
        </is>
      </c>
      <c r="C48" t="inlineStr">
        <is>
          <t>2022</t>
        </is>
      </c>
      <c r="D48" t="n">
        <v>542</v>
      </c>
      <c r="E48" t="inlineStr">
        <is>
          <t>Terrebonne</t>
        </is>
      </c>
      <c r="F48" t="n">
        <v>0.000119595520527649</v>
      </c>
      <c r="G48" t="n">
        <v>2</v>
      </c>
    </row>
    <row r="49">
      <c r="A49" t="inlineStr">
        <is>
          <t>Blainville</t>
        </is>
      </c>
      <c r="B49" t="inlineStr">
        <is>
          <t>Banlieue de Montréal</t>
        </is>
      </c>
      <c r="C49" t="inlineStr">
        <is>
          <t>2017</t>
        </is>
      </c>
      <c r="D49" t="n">
        <v>536</v>
      </c>
      <c r="E49" t="inlineStr">
        <is>
          <t>Blainville</t>
        </is>
      </c>
      <c r="F49" t="n">
        <v>0.999880404478988</v>
      </c>
      <c r="G49" t="n">
        <v>1</v>
      </c>
    </row>
    <row r="50">
      <c r="A50" t="inlineStr">
        <is>
          <t>Blainville</t>
        </is>
      </c>
      <c r="B50" t="inlineStr">
        <is>
          <t>Banlieue de Montréal</t>
        </is>
      </c>
      <c r="C50" t="inlineStr">
        <is>
          <t>2017</t>
        </is>
      </c>
      <c r="D50" t="n">
        <v>542</v>
      </c>
      <c r="E50" t="inlineStr">
        <is>
          <t>Terrebonne</t>
        </is>
      </c>
      <c r="F50" t="n">
        <v>0.000119595520527649</v>
      </c>
      <c r="G50" t="n">
        <v>2</v>
      </c>
    </row>
    <row r="51">
      <c r="A51" t="inlineStr">
        <is>
          <t>Bonaventure</t>
        </is>
      </c>
      <c r="B51" t="inlineStr">
        <is>
          <t>Reste du Québec</t>
        </is>
      </c>
      <c r="C51" t="inlineStr">
        <is>
          <t>2022</t>
        </is>
      </c>
      <c r="D51" t="n">
        <v>850</v>
      </c>
      <c r="E51" t="inlineStr">
        <is>
          <t>Bonaventure</t>
        </is>
      </c>
      <c r="F51" t="n">
        <v>0.99999999999999</v>
      </c>
      <c r="G51" t="n">
        <v>1</v>
      </c>
    </row>
    <row r="52">
      <c r="A52" t="inlineStr">
        <is>
          <t>Bonaventure</t>
        </is>
      </c>
      <c r="B52" t="inlineStr">
        <is>
          <t>Reste du Québec</t>
        </is>
      </c>
      <c r="C52" t="inlineStr">
        <is>
          <t>2017</t>
        </is>
      </c>
      <c r="D52" t="n">
        <v>850</v>
      </c>
      <c r="E52" t="inlineStr">
        <is>
          <t>Bonaventure</t>
        </is>
      </c>
      <c r="F52" t="n">
        <v>0.999969293620385</v>
      </c>
      <c r="G52" t="n">
        <v>1</v>
      </c>
    </row>
    <row r="53">
      <c r="A53" t="inlineStr">
        <is>
          <t>Borduas</t>
        </is>
      </c>
      <c r="B53" t="inlineStr">
        <is>
          <t>Banlieue de Montréal</t>
        </is>
      </c>
      <c r="C53" t="inlineStr">
        <is>
          <t>2022</t>
        </is>
      </c>
      <c r="D53" t="n">
        <v>258</v>
      </c>
      <c r="E53" t="inlineStr">
        <is>
          <t>Borduas</t>
        </is>
      </c>
      <c r="F53" t="n">
        <v>0.999979485918431</v>
      </c>
      <c r="G53" t="n">
        <v>1</v>
      </c>
    </row>
    <row r="54">
      <c r="A54" t="inlineStr">
        <is>
          <t>Borduas</t>
        </is>
      </c>
      <c r="B54" t="inlineStr">
        <is>
          <t>Banlieue de Montréal</t>
        </is>
      </c>
      <c r="C54" t="inlineStr">
        <is>
          <t>2017</t>
        </is>
      </c>
      <c r="D54" t="n">
        <v>258</v>
      </c>
      <c r="E54" t="inlineStr">
        <is>
          <t>Borduas</t>
        </is>
      </c>
      <c r="F54" t="n">
        <v>0.999979485918431</v>
      </c>
      <c r="G54" t="n">
        <v>1</v>
      </c>
    </row>
    <row r="55">
      <c r="A55" t="inlineStr">
        <is>
          <t>Bourassa-Sauvé</t>
        </is>
      </c>
      <c r="B55" t="inlineStr">
        <is>
          <t>Île de Montréal</t>
        </is>
      </c>
      <c r="C55" t="inlineStr">
        <is>
          <t>2022</t>
        </is>
      </c>
      <c r="D55" t="n">
        <v>360</v>
      </c>
      <c r="E55" t="inlineStr">
        <is>
          <t>Bourassa-Sauvé</t>
        </is>
      </c>
      <c r="F55" t="n">
        <v>0.999999999999462</v>
      </c>
      <c r="G55" t="n">
        <v>1</v>
      </c>
    </row>
    <row r="56">
      <c r="A56" t="inlineStr">
        <is>
          <t>Bourassa-Sauvé</t>
        </is>
      </c>
      <c r="B56" t="inlineStr">
        <is>
          <t>Île de Montréal</t>
        </is>
      </c>
      <c r="C56" t="inlineStr">
        <is>
          <t>2017</t>
        </is>
      </c>
      <c r="D56" t="n">
        <v>360</v>
      </c>
      <c r="E56" t="inlineStr">
        <is>
          <t>Bourassa-Sauvé</t>
        </is>
      </c>
      <c r="F56" t="n">
        <v>0.999999999999462</v>
      </c>
      <c r="G56" t="n">
        <v>1</v>
      </c>
    </row>
    <row r="57">
      <c r="A57" t="inlineStr">
        <is>
          <t>Brome-Missisquoi</t>
        </is>
      </c>
      <c r="B57" t="inlineStr">
        <is>
          <t>Banlieue de Montréal</t>
        </is>
      </c>
      <c r="C57" t="inlineStr">
        <is>
          <t>2022</t>
        </is>
      </c>
      <c r="D57" t="n">
        <v>204</v>
      </c>
      <c r="E57" t="inlineStr">
        <is>
          <t>Brome-Missisquoi</t>
        </is>
      </c>
      <c r="F57" t="n">
        <v>0.999996297762221</v>
      </c>
      <c r="G57" t="n">
        <v>1</v>
      </c>
    </row>
    <row r="58">
      <c r="A58" t="inlineStr">
        <is>
          <t>Brome-Missisquoi</t>
        </is>
      </c>
      <c r="B58" t="inlineStr">
        <is>
          <t>Banlieue de Montréal</t>
        </is>
      </c>
      <c r="C58" t="inlineStr">
        <is>
          <t>2017</t>
        </is>
      </c>
      <c r="D58" t="n">
        <v>204</v>
      </c>
      <c r="E58" t="inlineStr">
        <is>
          <t>Brome-Missisquoi</t>
        </is>
      </c>
      <c r="F58" t="n">
        <v>0.999945238206183</v>
      </c>
      <c r="G58" t="n">
        <v>1</v>
      </c>
    </row>
    <row r="59">
      <c r="A59" t="inlineStr">
        <is>
          <t>Camille-Laurin</t>
        </is>
      </c>
      <c r="B59" t="inlineStr">
        <is>
          <t>Île de Montréal</t>
        </is>
      </c>
      <c r="C59" t="inlineStr">
        <is>
          <t>2022</t>
        </is>
      </c>
      <c r="D59" t="n">
        <v>370</v>
      </c>
      <c r="E59" t="inlineStr">
        <is>
          <t>Camille-Laurin</t>
        </is>
      </c>
      <c r="F59" t="n">
        <v>0.999999999999287</v>
      </c>
      <c r="G59" t="n">
        <v>1</v>
      </c>
    </row>
    <row r="60">
      <c r="A60" t="inlineStr">
        <is>
          <t>Camille-Laurin</t>
        </is>
      </c>
      <c r="B60" t="inlineStr">
        <is>
          <t>Île de Montréal</t>
        </is>
      </c>
      <c r="C60" t="inlineStr">
        <is>
          <t>2017</t>
        </is>
      </c>
      <c r="D60" t="n">
        <v>370</v>
      </c>
      <c r="E60" t="inlineStr">
        <is>
          <t>Bourget</t>
        </is>
      </c>
      <c r="F60" t="n">
        <v>0.999999999999287</v>
      </c>
      <c r="G60" t="n">
        <v>1</v>
      </c>
    </row>
    <row r="61">
      <c r="A61" t="inlineStr">
        <is>
          <t>Chambly</t>
        </is>
      </c>
      <c r="B61" t="inlineStr">
        <is>
          <t>Banlieue de Montréal</t>
        </is>
      </c>
      <c r="C61" t="inlineStr">
        <is>
          <t>2022</t>
        </is>
      </c>
      <c r="D61" t="n">
        <v>238</v>
      </c>
      <c r="E61" t="inlineStr">
        <is>
          <t>Chambly</t>
        </is>
      </c>
      <c r="F61" t="n">
        <v>0.999901525119173</v>
      </c>
      <c r="G61" t="n">
        <v>1</v>
      </c>
    </row>
    <row r="62">
      <c r="A62" t="inlineStr">
        <is>
          <t>Chambly</t>
        </is>
      </c>
      <c r="B62" t="inlineStr">
        <is>
          <t>Banlieue de Montréal</t>
        </is>
      </c>
      <c r="C62" t="inlineStr">
        <is>
          <t>2017</t>
        </is>
      </c>
      <c r="D62" t="n">
        <v>238</v>
      </c>
      <c r="E62" t="inlineStr">
        <is>
          <t>Chambly</t>
        </is>
      </c>
      <c r="F62" t="n">
        <v>0.999829182998028</v>
      </c>
      <c r="G62" t="n">
        <v>1</v>
      </c>
    </row>
    <row r="63">
      <c r="A63" t="inlineStr">
        <is>
          <t>Champlain</t>
        </is>
      </c>
      <c r="B63" t="inlineStr">
        <is>
          <t>Reste du Québec</t>
        </is>
      </c>
      <c r="C63" t="inlineStr">
        <is>
          <t>2022</t>
        </is>
      </c>
      <c r="D63" t="n">
        <v>676</v>
      </c>
      <c r="E63" t="inlineStr">
        <is>
          <t>Champlain</t>
        </is>
      </c>
      <c r="F63" t="n">
        <v>0.999997948311944</v>
      </c>
      <c r="G63" t="n">
        <v>1</v>
      </c>
    </row>
    <row r="64">
      <c r="A64" t="inlineStr">
        <is>
          <t>Champlain</t>
        </is>
      </c>
      <c r="B64" t="inlineStr">
        <is>
          <t>Reste du Québec</t>
        </is>
      </c>
      <c r="C64" t="inlineStr">
        <is>
          <t>2017</t>
        </is>
      </c>
      <c r="D64" t="n">
        <v>676</v>
      </c>
      <c r="E64" t="inlineStr">
        <is>
          <t>Champlain</t>
        </is>
      </c>
      <c r="F64" t="n">
        <v>0.999980619731165</v>
      </c>
      <c r="G64" t="n">
        <v>1</v>
      </c>
    </row>
    <row r="65">
      <c r="A65" t="inlineStr">
        <is>
          <t>Chapleau</t>
        </is>
      </c>
      <c r="B65" t="inlineStr">
        <is>
          <t>Île de Montréal</t>
        </is>
      </c>
      <c r="C65" t="inlineStr">
        <is>
          <t>2022</t>
        </is>
      </c>
      <c r="D65" t="n">
        <v>620</v>
      </c>
      <c r="E65" t="inlineStr">
        <is>
          <t>Chapleau</t>
        </is>
      </c>
      <c r="F65" t="n">
        <v>0.907760879180499</v>
      </c>
      <c r="G65" t="n">
        <v>1</v>
      </c>
    </row>
    <row r="66">
      <c r="A66" t="inlineStr">
        <is>
          <t>Chapleau</t>
        </is>
      </c>
      <c r="B66" t="inlineStr">
        <is>
          <t>Île de Montréal</t>
        </is>
      </c>
      <c r="C66" t="inlineStr">
        <is>
          <t>2022</t>
        </is>
      </c>
      <c r="D66" t="n">
        <v>626</v>
      </c>
      <c r="E66" t="inlineStr">
        <is>
          <t>Papineau</t>
        </is>
      </c>
      <c r="F66" t="n">
        <v>0.09223912081928801</v>
      </c>
      <c r="G66" t="n">
        <v>2</v>
      </c>
    </row>
    <row r="67">
      <c r="A67" t="inlineStr">
        <is>
          <t>Chapleau</t>
        </is>
      </c>
      <c r="B67" t="inlineStr">
        <is>
          <t>Île de Montréal</t>
        </is>
      </c>
      <c r="C67" t="inlineStr">
        <is>
          <t>2017</t>
        </is>
      </c>
      <c r="D67" t="n">
        <v>620</v>
      </c>
      <c r="E67" t="inlineStr">
        <is>
          <t>Chapleau</t>
        </is>
      </c>
      <c r="F67" t="n">
        <v>0.9077891661141571</v>
      </c>
      <c r="G67" t="n">
        <v>1</v>
      </c>
    </row>
    <row r="68">
      <c r="A68" t="inlineStr">
        <is>
          <t>Chapleau</t>
        </is>
      </c>
      <c r="B68" t="inlineStr">
        <is>
          <t>Île de Montréal</t>
        </is>
      </c>
      <c r="C68" t="inlineStr">
        <is>
          <t>2017</t>
        </is>
      </c>
      <c r="D68" t="n">
        <v>626</v>
      </c>
      <c r="E68" t="inlineStr">
        <is>
          <t>Papineau</t>
        </is>
      </c>
      <c r="F68" t="n">
        <v>0.0921914589103771</v>
      </c>
      <c r="G68" t="n">
        <v>2</v>
      </c>
    </row>
    <row r="69">
      <c r="A69" t="inlineStr">
        <is>
          <t>Charlesbourg</t>
        </is>
      </c>
      <c r="B69" t="inlineStr">
        <is>
          <t>Québec RMR</t>
        </is>
      </c>
      <c r="C69" t="inlineStr">
        <is>
          <t>2022</t>
        </is>
      </c>
      <c r="D69" t="n">
        <v>748</v>
      </c>
      <c r="E69" t="inlineStr">
        <is>
          <t>Charlesbourg</t>
        </is>
      </c>
      <c r="F69" t="n">
        <v>0.999999999999473</v>
      </c>
      <c r="G69" t="n">
        <v>1</v>
      </c>
    </row>
    <row r="70">
      <c r="A70" t="inlineStr">
        <is>
          <t>Charlesbourg</t>
        </is>
      </c>
      <c r="B70" t="inlineStr">
        <is>
          <t>Québec RMR</t>
        </is>
      </c>
      <c r="C70" t="inlineStr">
        <is>
          <t>2017</t>
        </is>
      </c>
      <c r="D70" t="n">
        <v>748</v>
      </c>
      <c r="E70" t="inlineStr">
        <is>
          <t>Charlesbourg</t>
        </is>
      </c>
      <c r="F70" t="n">
        <v>0.999999999999492</v>
      </c>
      <c r="G70" t="n">
        <v>1</v>
      </c>
    </row>
    <row r="71">
      <c r="A71" t="inlineStr">
        <is>
          <t>Charlevoix-Côte-de-Beaupré</t>
        </is>
      </c>
      <c r="B71" t="inlineStr">
        <is>
          <t>Québec RMR</t>
        </is>
      </c>
      <c r="C71" t="inlineStr">
        <is>
          <t>2022</t>
        </is>
      </c>
      <c r="D71" t="n">
        <v>760</v>
      </c>
      <c r="E71" t="inlineStr">
        <is>
          <t>Charlevoix-Côte-de-Beaupré</t>
        </is>
      </c>
      <c r="F71" t="n">
        <v>0.999999974544855</v>
      </c>
      <c r="G71" t="n">
        <v>1</v>
      </c>
    </row>
    <row r="72">
      <c r="A72" t="inlineStr">
        <is>
          <t>Charlevoix-Côte-de-Beaupré</t>
        </is>
      </c>
      <c r="B72" t="inlineStr">
        <is>
          <t>Québec RMR</t>
        </is>
      </c>
      <c r="C72" t="inlineStr">
        <is>
          <t>2017</t>
        </is>
      </c>
      <c r="D72" t="n">
        <v>760</v>
      </c>
      <c r="E72" t="inlineStr">
        <is>
          <t>Charlevoix-Côte-de-Beaupré</t>
        </is>
      </c>
      <c r="F72" t="n">
        <v>0.999945787630282</v>
      </c>
      <c r="G72" t="n">
        <v>1</v>
      </c>
    </row>
    <row r="73">
      <c r="A73" t="inlineStr">
        <is>
          <t>Châteauguay</t>
        </is>
      </c>
      <c r="B73" t="inlineStr">
        <is>
          <t>Banlieue de Montréal</t>
        </is>
      </c>
      <c r="C73" t="inlineStr">
        <is>
          <t>2022</t>
        </is>
      </c>
      <c r="D73" t="n">
        <v>226</v>
      </c>
      <c r="E73" t="inlineStr">
        <is>
          <t>Châteauguay</t>
        </is>
      </c>
      <c r="F73" t="n">
        <v>0.999999409229371</v>
      </c>
      <c r="G73" t="n">
        <v>1</v>
      </c>
    </row>
    <row r="74">
      <c r="A74" t="inlineStr">
        <is>
          <t>Châteauguay</t>
        </is>
      </c>
      <c r="B74" t="inlineStr">
        <is>
          <t>Banlieue de Montréal</t>
        </is>
      </c>
      <c r="C74" t="inlineStr">
        <is>
          <t>2017</t>
        </is>
      </c>
      <c r="D74" t="n">
        <v>226</v>
      </c>
      <c r="E74" t="inlineStr">
        <is>
          <t>Châteauguay</t>
        </is>
      </c>
      <c r="F74" t="n">
        <v>0.999996469273679</v>
      </c>
      <c r="G74" t="n">
        <v>1</v>
      </c>
    </row>
    <row r="75">
      <c r="A75" t="inlineStr">
        <is>
          <t>Chauveau</t>
        </is>
      </c>
      <c r="B75" t="inlineStr">
        <is>
          <t>Québec RMR</t>
        </is>
      </c>
      <c r="C75" t="inlineStr">
        <is>
          <t>2022</t>
        </is>
      </c>
      <c r="D75" t="n">
        <v>754</v>
      </c>
      <c r="E75" t="inlineStr">
        <is>
          <t>Chauveau</t>
        </is>
      </c>
      <c r="F75" t="n">
        <v>0.999999999760986</v>
      </c>
      <c r="G75" t="n">
        <v>1</v>
      </c>
    </row>
    <row r="76">
      <c r="A76" t="inlineStr">
        <is>
          <t>Chauveau</t>
        </is>
      </c>
      <c r="B76" t="inlineStr">
        <is>
          <t>Québec RMR</t>
        </is>
      </c>
      <c r="C76" t="inlineStr">
        <is>
          <t>2017</t>
        </is>
      </c>
      <c r="D76" t="n">
        <v>754</v>
      </c>
      <c r="E76" t="inlineStr">
        <is>
          <t>Chauveau</t>
        </is>
      </c>
      <c r="F76" t="n">
        <v>0.999995750052199</v>
      </c>
      <c r="G76" t="n">
        <v>1</v>
      </c>
    </row>
    <row r="77">
      <c r="A77" t="inlineStr">
        <is>
          <t>Chicoutimi</t>
        </is>
      </c>
      <c r="B77" t="inlineStr">
        <is>
          <t>Reste du Québec</t>
        </is>
      </c>
      <c r="C77" t="inlineStr">
        <is>
          <t>2022</t>
        </is>
      </c>
      <c r="D77" t="n">
        <v>918</v>
      </c>
      <c r="E77" t="inlineStr">
        <is>
          <t>Chicoutimi</t>
        </is>
      </c>
      <c r="F77" t="n">
        <v>0.999612818939312</v>
      </c>
      <c r="G77" t="n">
        <v>1</v>
      </c>
    </row>
    <row r="78">
      <c r="A78" t="inlineStr">
        <is>
          <t>Chicoutimi</t>
        </is>
      </c>
      <c r="B78" t="inlineStr">
        <is>
          <t>Reste du Québec</t>
        </is>
      </c>
      <c r="C78" t="inlineStr">
        <is>
          <t>2022</t>
        </is>
      </c>
      <c r="D78" t="n">
        <v>914</v>
      </c>
      <c r="E78" t="inlineStr">
        <is>
          <t>Dubuc</t>
        </is>
      </c>
      <c r="F78" t="n">
        <v>0.000387181060632778</v>
      </c>
      <c r="G78" t="n">
        <v>2</v>
      </c>
    </row>
    <row r="79">
      <c r="A79" t="inlineStr">
        <is>
          <t>Chicoutimi</t>
        </is>
      </c>
      <c r="B79" t="inlineStr">
        <is>
          <t>Reste du Québec</t>
        </is>
      </c>
      <c r="C79" t="inlineStr">
        <is>
          <t>2017</t>
        </is>
      </c>
      <c r="D79" t="n">
        <v>918</v>
      </c>
      <c r="E79" t="inlineStr">
        <is>
          <t>Chicoutimi</t>
        </is>
      </c>
      <c r="F79" t="n">
        <v>0.999612818938048</v>
      </c>
      <c r="G79" t="n">
        <v>1</v>
      </c>
    </row>
    <row r="80">
      <c r="A80" t="inlineStr">
        <is>
          <t>Chicoutimi</t>
        </is>
      </c>
      <c r="B80" t="inlineStr">
        <is>
          <t>Reste du Québec</t>
        </is>
      </c>
      <c r="C80" t="inlineStr">
        <is>
          <t>2017</t>
        </is>
      </c>
      <c r="D80" t="n">
        <v>914</v>
      </c>
      <c r="E80" t="inlineStr">
        <is>
          <t>Dubuc</t>
        </is>
      </c>
      <c r="F80" t="n">
        <v>0.000387181061897011</v>
      </c>
      <c r="G80" t="n">
        <v>2</v>
      </c>
    </row>
    <row r="81">
      <c r="A81" t="inlineStr">
        <is>
          <t>Chomedey</t>
        </is>
      </c>
      <c r="B81" t="inlineStr">
        <is>
          <t>Banlieue de Montréal</t>
        </is>
      </c>
      <c r="C81" t="inlineStr">
        <is>
          <t>2022</t>
        </is>
      </c>
      <c r="D81" t="n">
        <v>460</v>
      </c>
      <c r="E81" t="inlineStr">
        <is>
          <t>Chomedey</t>
        </is>
      </c>
      <c r="F81" t="n">
        <v>0.999999999999576</v>
      </c>
      <c r="G81" t="n">
        <v>1</v>
      </c>
    </row>
    <row r="82">
      <c r="A82" t="inlineStr">
        <is>
          <t>Chomedey</t>
        </is>
      </c>
      <c r="B82" t="inlineStr">
        <is>
          <t>Banlieue de Montréal</t>
        </is>
      </c>
      <c r="C82" t="inlineStr">
        <is>
          <t>2017</t>
        </is>
      </c>
      <c r="D82" t="n">
        <v>460</v>
      </c>
      <c r="E82" t="inlineStr">
        <is>
          <t>Chomedey</t>
        </is>
      </c>
      <c r="F82" t="n">
        <v>0.999999999999576</v>
      </c>
      <c r="G82" t="n">
        <v>1</v>
      </c>
    </row>
    <row r="83">
      <c r="A83" t="inlineStr">
        <is>
          <t>Chutes-de-la-Chaudière</t>
        </is>
      </c>
      <c r="B83" t="inlineStr">
        <is>
          <t>Québec RMR</t>
        </is>
      </c>
      <c r="C83" t="inlineStr">
        <is>
          <t>2022</t>
        </is>
      </c>
      <c r="D83" t="n">
        <v>814</v>
      </c>
      <c r="E83" t="inlineStr">
        <is>
          <t>Chutes-de-la-Chaudière</t>
        </is>
      </c>
      <c r="F83" t="n">
        <v>0.999999999999851</v>
      </c>
      <c r="G83" t="n">
        <v>1</v>
      </c>
    </row>
    <row r="84">
      <c r="A84" t="inlineStr">
        <is>
          <t>Chutes-de-la-Chaudière</t>
        </is>
      </c>
      <c r="B84" t="inlineStr">
        <is>
          <t>Québec RMR</t>
        </is>
      </c>
      <c r="C84" t="inlineStr">
        <is>
          <t>2017</t>
        </is>
      </c>
      <c r="D84" t="n">
        <v>814</v>
      </c>
      <c r="E84" t="inlineStr">
        <is>
          <t>Chutes-de-la-Chaudière</t>
        </is>
      </c>
      <c r="F84" t="n">
        <v>0.999999999999851</v>
      </c>
      <c r="G84" t="n">
        <v>1</v>
      </c>
    </row>
    <row r="85">
      <c r="A85" t="inlineStr">
        <is>
          <t>Côte-du-Sud</t>
        </is>
      </c>
      <c r="B85" t="inlineStr">
        <is>
          <t>Reste du Québec</t>
        </is>
      </c>
      <c r="C85" t="inlineStr">
        <is>
          <t>2022</t>
        </is>
      </c>
      <c r="D85" t="n">
        <v>826</v>
      </c>
      <c r="E85" t="inlineStr">
        <is>
          <t>Côte-du-Sud</t>
        </is>
      </c>
      <c r="F85" t="n">
        <v>0.999999999999984</v>
      </c>
      <c r="G85" t="n">
        <v>1</v>
      </c>
    </row>
    <row r="86">
      <c r="A86" t="inlineStr">
        <is>
          <t>Côte-du-Sud</t>
        </is>
      </c>
      <c r="B86" t="inlineStr">
        <is>
          <t>Reste du Québec</t>
        </is>
      </c>
      <c r="C86" t="inlineStr">
        <is>
          <t>2017</t>
        </is>
      </c>
      <c r="D86" t="n">
        <v>826</v>
      </c>
      <c r="E86" t="inlineStr">
        <is>
          <t>Côte-du-Sud</t>
        </is>
      </c>
      <c r="F86" t="n">
        <v>0.999999999086751</v>
      </c>
      <c r="G86" t="n">
        <v>1</v>
      </c>
    </row>
    <row r="87">
      <c r="A87" t="inlineStr">
        <is>
          <t>Daniel-Johnson</t>
        </is>
      </c>
      <c r="B87" t="inlineStr">
        <is>
          <t>Banlieue de Montréal</t>
        </is>
      </c>
      <c r="C87" t="inlineStr">
        <is>
          <t>2022</t>
        </is>
      </c>
      <c r="D87" t="n">
        <v>126</v>
      </c>
      <c r="E87" t="inlineStr">
        <is>
          <t>Johnson</t>
        </is>
      </c>
      <c r="F87" t="n">
        <v>0.460455429747185</v>
      </c>
      <c r="G87" t="n">
        <v>1</v>
      </c>
    </row>
    <row r="88">
      <c r="A88" t="inlineStr">
        <is>
          <t>Daniel-Johnson</t>
        </is>
      </c>
      <c r="B88" t="inlineStr">
        <is>
          <t>Banlieue de Montréal</t>
        </is>
      </c>
      <c r="C88" t="inlineStr">
        <is>
          <t>2022</t>
        </is>
      </c>
      <c r="D88" t="n">
        <v>204</v>
      </c>
      <c r="E88" t="inlineStr">
        <is>
          <t>Brome-Missisquoi</t>
        </is>
      </c>
      <c r="F88" t="n">
        <v>0.235109362947582</v>
      </c>
      <c r="G88" t="n">
        <v>2</v>
      </c>
    </row>
    <row r="89">
      <c r="A89" t="inlineStr">
        <is>
          <t>Daniel-Johnson</t>
        </is>
      </c>
      <c r="B89" t="inlineStr">
        <is>
          <t>Banlieue de Montréal</t>
        </is>
      </c>
      <c r="C89" t="inlineStr">
        <is>
          <t>2022</t>
        </is>
      </c>
      <c r="D89" t="n">
        <v>260</v>
      </c>
      <c r="E89" t="inlineStr">
        <is>
          <t>Saint-Hyacinthe</t>
        </is>
      </c>
      <c r="F89" t="n">
        <v>0.186733226929931</v>
      </c>
      <c r="G89" t="n">
        <v>3</v>
      </c>
    </row>
    <row r="90">
      <c r="A90" t="inlineStr">
        <is>
          <t>Daniel-Johnson</t>
        </is>
      </c>
      <c r="B90" t="inlineStr">
        <is>
          <t>Banlieue de Montréal</t>
        </is>
      </c>
      <c r="C90" t="inlineStr">
        <is>
          <t>2022</t>
        </is>
      </c>
      <c r="D90" t="n">
        <v>132</v>
      </c>
      <c r="E90" t="inlineStr">
        <is>
          <t>Richmond</t>
        </is>
      </c>
      <c r="F90" t="n">
        <v>0.0862142465642164</v>
      </c>
      <c r="G90" t="n">
        <v>4</v>
      </c>
    </row>
    <row r="91">
      <c r="A91" t="inlineStr">
        <is>
          <t>Daniel-Johnson</t>
        </is>
      </c>
      <c r="B91" t="inlineStr">
        <is>
          <t>Banlieue de Montréal</t>
        </is>
      </c>
      <c r="C91" t="inlineStr">
        <is>
          <t>2022</t>
        </is>
      </c>
      <c r="D91" t="n">
        <v>120</v>
      </c>
      <c r="E91" t="inlineStr">
        <is>
          <t>Orford</t>
        </is>
      </c>
      <c r="F91" t="n">
        <v>0.0313569133744528</v>
      </c>
      <c r="G91" t="n">
        <v>5</v>
      </c>
    </row>
    <row r="92">
      <c r="A92" t="inlineStr">
        <is>
          <t>Daniel-Johnson</t>
        </is>
      </c>
      <c r="B92" t="inlineStr">
        <is>
          <t>Banlieue de Montréal</t>
        </is>
      </c>
      <c r="C92" t="inlineStr">
        <is>
          <t>2022</t>
        </is>
      </c>
      <c r="D92" t="n">
        <v>210</v>
      </c>
      <c r="E92" t="inlineStr">
        <is>
          <t>Iberville</t>
        </is>
      </c>
      <c r="F92" t="n">
        <v>0.000130820436592187</v>
      </c>
      <c r="G92" t="n">
        <v>6</v>
      </c>
    </row>
    <row r="93">
      <c r="A93" t="inlineStr">
        <is>
          <t>Daniel-Johnson</t>
        </is>
      </c>
      <c r="B93" t="inlineStr">
        <is>
          <t>Banlieue de Montréal</t>
        </is>
      </c>
      <c r="C93" t="inlineStr">
        <is>
          <t>2017</t>
        </is>
      </c>
      <c r="D93" t="n">
        <v>126</v>
      </c>
      <c r="E93" t="inlineStr">
        <is>
          <t>Johnson</t>
        </is>
      </c>
      <c r="F93" t="n">
        <v>0.460455429747185</v>
      </c>
      <c r="G93" t="n">
        <v>1</v>
      </c>
    </row>
    <row r="94">
      <c r="A94" t="inlineStr">
        <is>
          <t>Daniel-Johnson</t>
        </is>
      </c>
      <c r="B94" t="inlineStr">
        <is>
          <t>Banlieue de Montréal</t>
        </is>
      </c>
      <c r="C94" t="inlineStr">
        <is>
          <t>2017</t>
        </is>
      </c>
      <c r="D94" t="n">
        <v>204</v>
      </c>
      <c r="E94" t="inlineStr">
        <is>
          <t>Brome-Missisquoi</t>
        </is>
      </c>
      <c r="F94" t="n">
        <v>0.235109362947582</v>
      </c>
      <c r="G94" t="n">
        <v>2</v>
      </c>
    </row>
    <row r="95">
      <c r="A95" t="inlineStr">
        <is>
          <t>Daniel-Johnson</t>
        </is>
      </c>
      <c r="B95" t="inlineStr">
        <is>
          <t>Banlieue de Montréal</t>
        </is>
      </c>
      <c r="C95" t="inlineStr">
        <is>
          <t>2017</t>
        </is>
      </c>
      <c r="D95" t="n">
        <v>260</v>
      </c>
      <c r="E95" t="inlineStr">
        <is>
          <t>Saint-Hyacinthe</t>
        </is>
      </c>
      <c r="F95" t="n">
        <v>0.186733226929931</v>
      </c>
      <c r="G95" t="n">
        <v>3</v>
      </c>
    </row>
    <row r="96">
      <c r="A96" t="inlineStr">
        <is>
          <t>Daniel-Johnson</t>
        </is>
      </c>
      <c r="B96" t="inlineStr">
        <is>
          <t>Banlieue de Montréal</t>
        </is>
      </c>
      <c r="C96" t="inlineStr">
        <is>
          <t>2017</t>
        </is>
      </c>
      <c r="D96" t="n">
        <v>132</v>
      </c>
      <c r="E96" t="inlineStr">
        <is>
          <t>Richmond</t>
        </is>
      </c>
      <c r="F96" t="n">
        <v>0.0862142465642164</v>
      </c>
      <c r="G96" t="n">
        <v>4</v>
      </c>
    </row>
    <row r="97">
      <c r="A97" t="inlineStr">
        <is>
          <t>Daniel-Johnson</t>
        </is>
      </c>
      <c r="B97" t="inlineStr">
        <is>
          <t>Banlieue de Montréal</t>
        </is>
      </c>
      <c r="C97" t="inlineStr">
        <is>
          <t>2017</t>
        </is>
      </c>
      <c r="D97" t="n">
        <v>120</v>
      </c>
      <c r="E97" t="inlineStr">
        <is>
          <t>Orford</t>
        </is>
      </c>
      <c r="F97" t="n">
        <v>0.0313569133744528</v>
      </c>
      <c r="G97" t="n">
        <v>5</v>
      </c>
    </row>
    <row r="98">
      <c r="A98" t="inlineStr">
        <is>
          <t>Daniel-Johnson</t>
        </is>
      </c>
      <c r="B98" t="inlineStr">
        <is>
          <t>Banlieue de Montréal</t>
        </is>
      </c>
      <c r="C98" t="inlineStr">
        <is>
          <t>2017</t>
        </is>
      </c>
      <c r="D98" t="n">
        <v>210</v>
      </c>
      <c r="E98" t="inlineStr">
        <is>
          <t>Iberville</t>
        </is>
      </c>
      <c r="F98" t="n">
        <v>0.000130820436592187</v>
      </c>
      <c r="G98" t="n">
        <v>6</v>
      </c>
    </row>
    <row r="99">
      <c r="A99" t="inlineStr">
        <is>
          <t>D'Arcy-McGee</t>
        </is>
      </c>
      <c r="B99" t="inlineStr">
        <is>
          <t>Île de Montréal</t>
        </is>
      </c>
      <c r="C99" t="inlineStr">
        <is>
          <t>2022</t>
        </is>
      </c>
      <c r="D99" t="n">
        <v>320</v>
      </c>
      <c r="E99" t="inlineStr">
        <is>
          <t>D'Arcy-McGee</t>
        </is>
      </c>
      <c r="F99" t="n">
        <v>0.999999977520809</v>
      </c>
      <c r="G99" t="n">
        <v>1</v>
      </c>
    </row>
    <row r="100">
      <c r="A100" t="inlineStr">
        <is>
          <t>D'Arcy-McGee</t>
        </is>
      </c>
      <c r="B100" t="inlineStr">
        <is>
          <t>Île de Montréal</t>
        </is>
      </c>
      <c r="C100" t="inlineStr">
        <is>
          <t>2017</t>
        </is>
      </c>
      <c r="D100" t="n">
        <v>320</v>
      </c>
      <c r="E100" t="inlineStr">
        <is>
          <t>D'Arcy-McGee</t>
        </is>
      </c>
      <c r="F100" t="n">
        <v>0.999999977520809</v>
      </c>
      <c r="G100" t="n">
        <v>1</v>
      </c>
    </row>
    <row r="101">
      <c r="A101" t="inlineStr">
        <is>
          <t>Deux-Montagnes</t>
        </is>
      </c>
      <c r="B101" t="inlineStr">
        <is>
          <t>Banlieue de Montréal</t>
        </is>
      </c>
      <c r="C101" t="inlineStr">
        <is>
          <t>2022</t>
        </is>
      </c>
      <c r="D101" t="n">
        <v>508</v>
      </c>
      <c r="E101" t="inlineStr">
        <is>
          <t>Deux-Montagnes</t>
        </is>
      </c>
      <c r="F101" t="n">
        <v>0.999957751094283</v>
      </c>
      <c r="G101" t="n">
        <v>1</v>
      </c>
    </row>
    <row r="102">
      <c r="A102" t="inlineStr">
        <is>
          <t>Deux-Montagnes</t>
        </is>
      </c>
      <c r="B102" t="inlineStr">
        <is>
          <t>Banlieue de Montréal</t>
        </is>
      </c>
      <c r="C102" t="inlineStr">
        <is>
          <t>2017</t>
        </is>
      </c>
      <c r="D102" t="n">
        <v>508</v>
      </c>
      <c r="E102" t="inlineStr">
        <is>
          <t>Deux-Montagnes</t>
        </is>
      </c>
      <c r="F102" t="n">
        <v>0.999823056973669</v>
      </c>
      <c r="G102" t="n">
        <v>1</v>
      </c>
    </row>
    <row r="103">
      <c r="A103" t="inlineStr">
        <is>
          <t>Deux-Montagnes</t>
        </is>
      </c>
      <c r="B103" t="inlineStr">
        <is>
          <t>Banlieue de Montréal</t>
        </is>
      </c>
      <c r="C103" t="inlineStr">
        <is>
          <t>2017</t>
        </is>
      </c>
      <c r="D103" t="n">
        <v>502</v>
      </c>
      <c r="E103" t="inlineStr">
        <is>
          <t>Groulx</t>
        </is>
      </c>
      <c r="F103" t="n">
        <v>0.000134694120639308</v>
      </c>
      <c r="G103" t="n">
        <v>2</v>
      </c>
    </row>
    <row r="104">
      <c r="A104" t="inlineStr">
        <is>
          <t>Drummond-Bois-Francs</t>
        </is>
      </c>
      <c r="B104" t="inlineStr">
        <is>
          <t>Reste du Québec</t>
        </is>
      </c>
      <c r="C104" t="inlineStr">
        <is>
          <t>2022</t>
        </is>
      </c>
      <c r="D104" t="n">
        <v>138</v>
      </c>
      <c r="E104" t="inlineStr">
        <is>
          <t>Drummond-Bois-Francs</t>
        </is>
      </c>
      <c r="F104" t="n">
        <v>0.988536689104912</v>
      </c>
      <c r="G104" t="n">
        <v>1</v>
      </c>
    </row>
    <row r="105">
      <c r="A105" t="inlineStr">
        <is>
          <t>Drummond-Bois-Francs</t>
        </is>
      </c>
      <c r="B105" t="inlineStr">
        <is>
          <t>Reste du Québec</t>
        </is>
      </c>
      <c r="C105" t="inlineStr">
        <is>
          <t>2022</t>
        </is>
      </c>
      <c r="D105" t="n">
        <v>150</v>
      </c>
      <c r="E105" t="inlineStr">
        <is>
          <t>Nicolet-Bécancour</t>
        </is>
      </c>
      <c r="F105" t="n">
        <v>0.011383643112217</v>
      </c>
      <c r="G105" t="n">
        <v>2</v>
      </c>
    </row>
    <row r="106">
      <c r="A106" t="inlineStr">
        <is>
          <t>Drummond-Bois-Francs</t>
        </is>
      </c>
      <c r="B106" t="inlineStr">
        <is>
          <t>Reste du Québec</t>
        </is>
      </c>
      <c r="C106" t="inlineStr">
        <is>
          <t>2017</t>
        </is>
      </c>
      <c r="D106" t="n">
        <v>138</v>
      </c>
      <c r="E106" t="inlineStr">
        <is>
          <t>Drummond-Bois-Francs</t>
        </is>
      </c>
      <c r="F106" t="n">
        <v>0.988500456790578</v>
      </c>
      <c r="G106" t="n">
        <v>1</v>
      </c>
    </row>
    <row r="107">
      <c r="A107" t="inlineStr">
        <is>
          <t>Drummond-Bois-Francs</t>
        </is>
      </c>
      <c r="B107" t="inlineStr">
        <is>
          <t>Reste du Québec</t>
        </is>
      </c>
      <c r="C107" t="inlineStr">
        <is>
          <t>2017</t>
        </is>
      </c>
      <c r="D107" t="n">
        <v>150</v>
      </c>
      <c r="E107" t="inlineStr">
        <is>
          <t>Nicolet-Bécancour</t>
        </is>
      </c>
      <c r="F107" t="n">
        <v>0.011383643112217</v>
      </c>
      <c r="G107" t="n">
        <v>2</v>
      </c>
    </row>
    <row r="108">
      <c r="A108" t="inlineStr">
        <is>
          <t>Dubuc</t>
        </is>
      </c>
      <c r="B108" t="inlineStr">
        <is>
          <t>Reste du Québec</t>
        </is>
      </c>
      <c r="C108" t="inlineStr">
        <is>
          <t>2022</t>
        </is>
      </c>
      <c r="D108" t="n">
        <v>914</v>
      </c>
      <c r="E108" t="inlineStr">
        <is>
          <t>Dubuc</t>
        </is>
      </c>
      <c r="F108" t="n">
        <v>0.9970025801832409</v>
      </c>
      <c r="G108" t="n">
        <v>1</v>
      </c>
    </row>
    <row r="109">
      <c r="A109" t="inlineStr">
        <is>
          <t>Dubuc</t>
        </is>
      </c>
      <c r="B109" t="inlineStr">
        <is>
          <t>Reste du Québec</t>
        </is>
      </c>
      <c r="C109" t="inlineStr">
        <is>
          <t>2022</t>
        </is>
      </c>
      <c r="D109" t="n">
        <v>918</v>
      </c>
      <c r="E109" t="inlineStr">
        <is>
          <t>Chicoutimi</t>
        </is>
      </c>
      <c r="F109" t="n">
        <v>0.00299741981673876</v>
      </c>
      <c r="G109" t="n">
        <v>2</v>
      </c>
    </row>
    <row r="110">
      <c r="A110" t="inlineStr">
        <is>
          <t>Dubuc</t>
        </is>
      </c>
      <c r="B110" t="inlineStr">
        <is>
          <t>Reste du Québec</t>
        </is>
      </c>
      <c r="C110" t="inlineStr">
        <is>
          <t>2017</t>
        </is>
      </c>
      <c r="D110" t="n">
        <v>914</v>
      </c>
      <c r="E110" t="inlineStr">
        <is>
          <t>Dubuc</t>
        </is>
      </c>
      <c r="F110" t="n">
        <v>0.996901295198959</v>
      </c>
      <c r="G110" t="n">
        <v>1</v>
      </c>
    </row>
    <row r="111">
      <c r="A111" t="inlineStr">
        <is>
          <t>Dubuc</t>
        </is>
      </c>
      <c r="B111" t="inlineStr">
        <is>
          <t>Reste du Québec</t>
        </is>
      </c>
      <c r="C111" t="inlineStr">
        <is>
          <t>2017</t>
        </is>
      </c>
      <c r="D111" t="n">
        <v>918</v>
      </c>
      <c r="E111" t="inlineStr">
        <is>
          <t>Chicoutimi</t>
        </is>
      </c>
      <c r="F111" t="n">
        <v>0.00299741981673876</v>
      </c>
      <c r="G111" t="n">
        <v>2</v>
      </c>
    </row>
    <row r="112">
      <c r="A112" t="inlineStr">
        <is>
          <t>Dubuc</t>
        </is>
      </c>
      <c r="B112" t="inlineStr">
        <is>
          <t>Reste du Québec</t>
        </is>
      </c>
      <c r="C112" t="inlineStr">
        <is>
          <t>2017</t>
        </is>
      </c>
      <c r="D112" t="n">
        <v>926</v>
      </c>
      <c r="E112" t="inlineStr">
        <is>
          <t>Lac-Saint-Jean</t>
        </is>
      </c>
      <c r="F112" t="n">
        <v>0.000101284984287866</v>
      </c>
      <c r="G112" t="n">
        <v>3</v>
      </c>
    </row>
    <row r="113">
      <c r="A113" t="inlineStr">
        <is>
          <t>Duplessis</t>
        </is>
      </c>
      <c r="B113" t="inlineStr">
        <is>
          <t>Reste du Québec</t>
        </is>
      </c>
      <c r="C113" t="inlineStr">
        <is>
          <t>2022</t>
        </is>
      </c>
      <c r="D113" t="n">
        <v>902</v>
      </c>
      <c r="E113" t="inlineStr">
        <is>
          <t>Duplessis</t>
        </is>
      </c>
      <c r="F113" t="n">
        <v>1</v>
      </c>
      <c r="G113" t="n">
        <v>1</v>
      </c>
    </row>
    <row r="114">
      <c r="A114" t="inlineStr">
        <is>
          <t>Duplessis</t>
        </is>
      </c>
      <c r="B114" t="inlineStr">
        <is>
          <t>Reste du Québec</t>
        </is>
      </c>
      <c r="C114" t="inlineStr">
        <is>
          <t>2017</t>
        </is>
      </c>
      <c r="D114" t="n">
        <v>902</v>
      </c>
      <c r="E114" t="inlineStr">
        <is>
          <t>Duplessis</t>
        </is>
      </c>
      <c r="F114" t="n">
        <v>1</v>
      </c>
      <c r="G114" t="n">
        <v>1</v>
      </c>
    </row>
    <row r="115">
      <c r="A115" t="inlineStr">
        <is>
          <t>Fabre</t>
        </is>
      </c>
      <c r="B115" t="inlineStr">
        <is>
          <t>Banlieue de Montréal</t>
        </is>
      </c>
      <c r="C115" t="inlineStr">
        <is>
          <t>2022</t>
        </is>
      </c>
      <c r="D115" t="n">
        <v>466</v>
      </c>
      <c r="E115" t="inlineStr">
        <is>
          <t>Fabre</t>
        </is>
      </c>
      <c r="F115" t="n">
        <v>0.999999999997578</v>
      </c>
      <c r="G115" t="n">
        <v>1</v>
      </c>
    </row>
    <row r="116">
      <c r="A116" t="inlineStr">
        <is>
          <t>Fabre</t>
        </is>
      </c>
      <c r="B116" t="inlineStr">
        <is>
          <t>Banlieue de Montréal</t>
        </is>
      </c>
      <c r="C116" t="inlineStr">
        <is>
          <t>2017</t>
        </is>
      </c>
      <c r="D116" t="n">
        <v>466</v>
      </c>
      <c r="E116" t="inlineStr">
        <is>
          <t>Fabre</t>
        </is>
      </c>
      <c r="F116" t="n">
        <v>0.999999999997578</v>
      </c>
      <c r="G116" t="n">
        <v>1</v>
      </c>
    </row>
    <row r="117">
      <c r="A117" t="inlineStr">
        <is>
          <t>Gaspé</t>
        </is>
      </c>
      <c r="B117" t="inlineStr">
        <is>
          <t>Reste du Québec</t>
        </is>
      </c>
      <c r="C117" t="inlineStr">
        <is>
          <t>2022</t>
        </is>
      </c>
      <c r="D117" t="n">
        <v>854</v>
      </c>
      <c r="E117" t="inlineStr">
        <is>
          <t>Gaspé</t>
        </is>
      </c>
      <c r="F117" t="n">
        <v>0.999999999999994</v>
      </c>
      <c r="G117" t="n">
        <v>1</v>
      </c>
    </row>
    <row r="118">
      <c r="A118" t="inlineStr">
        <is>
          <t>Gaspé</t>
        </is>
      </c>
      <c r="B118" t="inlineStr">
        <is>
          <t>Reste du Québec</t>
        </is>
      </c>
      <c r="C118" t="inlineStr">
        <is>
          <t>2017</t>
        </is>
      </c>
      <c r="D118" t="n">
        <v>854</v>
      </c>
      <c r="E118" t="inlineStr">
        <is>
          <t>Gaspé</t>
        </is>
      </c>
      <c r="F118" t="n">
        <v>0.9998749873902359</v>
      </c>
      <c r="G118" t="n">
        <v>1</v>
      </c>
    </row>
    <row r="119">
      <c r="A119" t="inlineStr">
        <is>
          <t>Gaspé</t>
        </is>
      </c>
      <c r="B119" t="inlineStr">
        <is>
          <t>Reste du Québec</t>
        </is>
      </c>
      <c r="C119" t="inlineStr">
        <is>
          <t>2017</t>
        </is>
      </c>
      <c r="D119" t="n">
        <v>850</v>
      </c>
      <c r="E119" t="inlineStr">
        <is>
          <t>Bonaventure</t>
        </is>
      </c>
      <c r="F119" t="n">
        <v>0.000125012609762456</v>
      </c>
      <c r="G119" t="n">
        <v>2</v>
      </c>
    </row>
    <row r="120">
      <c r="A120" t="inlineStr">
        <is>
          <t>Gatineau</t>
        </is>
      </c>
      <c r="B120" t="inlineStr">
        <is>
          <t>Reste du Québec</t>
        </is>
      </c>
      <c r="C120" t="inlineStr">
        <is>
          <t>2022</t>
        </is>
      </c>
      <c r="D120" t="n">
        <v>614</v>
      </c>
      <c r="E120" t="inlineStr">
        <is>
          <t>Gatineau</t>
        </is>
      </c>
      <c r="F120" t="n">
        <v>0.999855763810636</v>
      </c>
      <c r="G120" t="n">
        <v>1</v>
      </c>
    </row>
    <row r="121">
      <c r="A121" t="inlineStr">
        <is>
          <t>Gatineau</t>
        </is>
      </c>
      <c r="B121" t="inlineStr">
        <is>
          <t>Reste du Québec</t>
        </is>
      </c>
      <c r="C121" t="inlineStr">
        <is>
          <t>2022</t>
        </is>
      </c>
      <c r="D121" t="n">
        <v>608</v>
      </c>
      <c r="E121" t="inlineStr">
        <is>
          <t>Pontiac</t>
        </is>
      </c>
      <c r="F121" t="n">
        <v>0.000119786460864492</v>
      </c>
      <c r="G121" t="n">
        <v>2</v>
      </c>
    </row>
    <row r="122">
      <c r="A122" t="inlineStr">
        <is>
          <t>Gatineau</t>
        </is>
      </c>
      <c r="B122" t="inlineStr">
        <is>
          <t>Reste du Québec</t>
        </is>
      </c>
      <c r="C122" t="inlineStr">
        <is>
          <t>2017</t>
        </is>
      </c>
      <c r="D122" t="n">
        <v>614</v>
      </c>
      <c r="E122" t="inlineStr">
        <is>
          <t>Gatineau</t>
        </is>
      </c>
      <c r="F122" t="n">
        <v>0.999816819495325</v>
      </c>
      <c r="G122" t="n">
        <v>1</v>
      </c>
    </row>
    <row r="123">
      <c r="A123" t="inlineStr">
        <is>
          <t>Gatineau</t>
        </is>
      </c>
      <c r="B123" t="inlineStr">
        <is>
          <t>Reste du Québec</t>
        </is>
      </c>
      <c r="C123" t="inlineStr">
        <is>
          <t>2017</t>
        </is>
      </c>
      <c r="D123" t="n">
        <v>608</v>
      </c>
      <c r="E123" t="inlineStr">
        <is>
          <t>Pontiac</t>
        </is>
      </c>
      <c r="F123" t="n">
        <v>0.000158730527529664</v>
      </c>
      <c r="G123" t="n">
        <v>2</v>
      </c>
    </row>
    <row r="124">
      <c r="A124" t="inlineStr">
        <is>
          <t>Gouin</t>
        </is>
      </c>
      <c r="B124" t="inlineStr">
        <is>
          <t>Île de Montréal</t>
        </is>
      </c>
      <c r="C124" t="inlineStr">
        <is>
          <t>2022</t>
        </is>
      </c>
      <c r="D124" t="n">
        <v>346</v>
      </c>
      <c r="E124" t="inlineStr">
        <is>
          <t>Gouin</t>
        </is>
      </c>
      <c r="F124" t="n">
        <v>0.999999999832528</v>
      </c>
      <c r="G124" t="n">
        <v>1</v>
      </c>
    </row>
    <row r="125">
      <c r="A125" t="inlineStr">
        <is>
          <t>Gouin</t>
        </is>
      </c>
      <c r="B125" t="inlineStr">
        <is>
          <t>Île de Montréal</t>
        </is>
      </c>
      <c r="C125" t="inlineStr">
        <is>
          <t>2017</t>
        </is>
      </c>
      <c r="D125" t="n">
        <v>346</v>
      </c>
      <c r="E125" t="inlineStr">
        <is>
          <t>Gouin</t>
        </is>
      </c>
      <c r="F125" t="n">
        <v>0.999999999832528</v>
      </c>
      <c r="G125" t="n">
        <v>1</v>
      </c>
    </row>
    <row r="126">
      <c r="A126" t="inlineStr">
        <is>
          <t>Granby</t>
        </is>
      </c>
      <c r="B126" t="inlineStr">
        <is>
          <t>Reste du Québec</t>
        </is>
      </c>
      <c r="C126" t="inlineStr">
        <is>
          <t>2022</t>
        </is>
      </c>
      <c r="D126" t="n">
        <v>206</v>
      </c>
      <c r="E126" t="inlineStr">
        <is>
          <t>Granby</t>
        </is>
      </c>
      <c r="F126" t="n">
        <v>0.954565230811568</v>
      </c>
      <c r="G126" t="n">
        <v>1</v>
      </c>
    </row>
    <row r="127">
      <c r="A127" t="inlineStr">
        <is>
          <t>Granby</t>
        </is>
      </c>
      <c r="B127" t="inlineStr">
        <is>
          <t>Reste du Québec</t>
        </is>
      </c>
      <c r="C127" t="inlineStr">
        <is>
          <t>2022</t>
        </is>
      </c>
      <c r="D127" t="n">
        <v>204</v>
      </c>
      <c r="E127" t="inlineStr">
        <is>
          <t>Brome-Missisquoi</t>
        </is>
      </c>
      <c r="F127" t="n">
        <v>0.0454196529318109</v>
      </c>
      <c r="G127" t="n">
        <v>2</v>
      </c>
    </row>
    <row r="128">
      <c r="A128" t="inlineStr">
        <is>
          <t>Granby</t>
        </is>
      </c>
      <c r="B128" t="inlineStr">
        <is>
          <t>Reste du Québec</t>
        </is>
      </c>
      <c r="C128" t="inlineStr">
        <is>
          <t>2017</t>
        </is>
      </c>
      <c r="D128" t="n">
        <v>206</v>
      </c>
      <c r="E128" t="inlineStr">
        <is>
          <t>Granby</t>
        </is>
      </c>
      <c r="F128" t="n">
        <v>0.954565230811568</v>
      </c>
      <c r="G128" t="n">
        <v>1</v>
      </c>
    </row>
    <row r="129">
      <c r="A129" t="inlineStr">
        <is>
          <t>Granby</t>
        </is>
      </c>
      <c r="B129" t="inlineStr">
        <is>
          <t>Reste du Québec</t>
        </is>
      </c>
      <c r="C129" t="inlineStr">
        <is>
          <t>2017</t>
        </is>
      </c>
      <c r="D129" t="n">
        <v>204</v>
      </c>
      <c r="E129" t="inlineStr">
        <is>
          <t>Brome-Missisquoi</t>
        </is>
      </c>
      <c r="F129" t="n">
        <v>0.0454196529318109</v>
      </c>
      <c r="G129" t="n">
        <v>2</v>
      </c>
    </row>
    <row r="130">
      <c r="A130" t="inlineStr">
        <is>
          <t>Groulx</t>
        </is>
      </c>
      <c r="B130" t="inlineStr">
        <is>
          <t>Banlieue de Montréal</t>
        </is>
      </c>
      <c r="C130" t="inlineStr">
        <is>
          <t>2022</t>
        </is>
      </c>
      <c r="D130" t="n">
        <v>502</v>
      </c>
      <c r="E130" t="inlineStr">
        <is>
          <t>Groulx</t>
        </is>
      </c>
      <c r="F130" t="n">
        <v>0.999999999908292</v>
      </c>
      <c r="G130" t="n">
        <v>1</v>
      </c>
    </row>
    <row r="131">
      <c r="A131" t="inlineStr">
        <is>
          <t>Groulx</t>
        </is>
      </c>
      <c r="B131" t="inlineStr">
        <is>
          <t>Banlieue de Montréal</t>
        </is>
      </c>
      <c r="C131" t="inlineStr">
        <is>
          <t>2017</t>
        </is>
      </c>
      <c r="D131" t="n">
        <v>502</v>
      </c>
      <c r="E131" t="inlineStr">
        <is>
          <t>Groulx</t>
        </is>
      </c>
      <c r="F131" t="n">
        <v>0.9999618013837031</v>
      </c>
      <c r="G131" t="n">
        <v>1</v>
      </c>
    </row>
    <row r="132">
      <c r="A132" t="inlineStr">
        <is>
          <t>Hochelaga-Maisonneuve</t>
        </is>
      </c>
      <c r="B132" t="inlineStr">
        <is>
          <t>Île de Montréal</t>
        </is>
      </c>
      <c r="C132" t="inlineStr">
        <is>
          <t>2022</t>
        </is>
      </c>
      <c r="D132" t="n">
        <v>352</v>
      </c>
      <c r="E132" t="inlineStr">
        <is>
          <t>Hochelaga-Maisonneuve</t>
        </is>
      </c>
      <c r="F132" t="n">
        <v>0.999931697676512</v>
      </c>
      <c r="G132" t="n">
        <v>1</v>
      </c>
    </row>
    <row r="133">
      <c r="A133" t="inlineStr">
        <is>
          <t>Hochelaga-Maisonneuve</t>
        </is>
      </c>
      <c r="B133" t="inlineStr">
        <is>
          <t>Île de Montréal</t>
        </is>
      </c>
      <c r="C133" t="inlineStr">
        <is>
          <t>2017</t>
        </is>
      </c>
      <c r="D133" t="n">
        <v>352</v>
      </c>
      <c r="E133" t="inlineStr">
        <is>
          <t>Hochelaga-Maisonneuve</t>
        </is>
      </c>
      <c r="F133" t="n">
        <v>0.999931697676512</v>
      </c>
      <c r="G133" t="n">
        <v>1</v>
      </c>
    </row>
    <row r="134">
      <c r="A134" t="inlineStr">
        <is>
          <t>Hull</t>
        </is>
      </c>
      <c r="B134" t="inlineStr">
        <is>
          <t>Reste du Québec</t>
        </is>
      </c>
      <c r="C134" t="inlineStr">
        <is>
          <t>2022</t>
        </is>
      </c>
      <c r="D134" t="n">
        <v>602</v>
      </c>
      <c r="E134" t="inlineStr">
        <is>
          <t>Hull</t>
        </is>
      </c>
      <c r="F134" t="n">
        <v>0.929193466071507</v>
      </c>
      <c r="G134" t="n">
        <v>1</v>
      </c>
    </row>
    <row r="135">
      <c r="A135" t="inlineStr">
        <is>
          <t>Hull</t>
        </is>
      </c>
      <c r="B135" t="inlineStr">
        <is>
          <t>Reste du Québec</t>
        </is>
      </c>
      <c r="C135" t="inlineStr">
        <is>
          <t>2022</t>
        </is>
      </c>
      <c r="D135" t="n">
        <v>614</v>
      </c>
      <c r="E135" t="inlineStr">
        <is>
          <t>Gatineau</t>
        </is>
      </c>
      <c r="F135" t="n">
        <v>0.0708065140416678</v>
      </c>
      <c r="G135" t="n">
        <v>2</v>
      </c>
    </row>
    <row r="136">
      <c r="A136" t="inlineStr">
        <is>
          <t>Hull</t>
        </is>
      </c>
      <c r="B136" t="inlineStr">
        <is>
          <t>Reste du Québec</t>
        </is>
      </c>
      <c r="C136" t="inlineStr">
        <is>
          <t>2017</t>
        </is>
      </c>
      <c r="D136" t="n">
        <v>602</v>
      </c>
      <c r="E136" t="inlineStr">
        <is>
          <t>Hull</t>
        </is>
      </c>
      <c r="F136" t="n">
        <v>0.9291934631577971</v>
      </c>
      <c r="G136" t="n">
        <v>1</v>
      </c>
    </row>
    <row r="137">
      <c r="A137" t="inlineStr">
        <is>
          <t>Hull</t>
        </is>
      </c>
      <c r="B137" t="inlineStr">
        <is>
          <t>Reste du Québec</t>
        </is>
      </c>
      <c r="C137" t="inlineStr">
        <is>
          <t>2017</t>
        </is>
      </c>
      <c r="D137" t="n">
        <v>614</v>
      </c>
      <c r="E137" t="inlineStr">
        <is>
          <t>Gatineau</t>
        </is>
      </c>
      <c r="F137" t="n">
        <v>0.0708065140416678</v>
      </c>
      <c r="G137" t="n">
        <v>2</v>
      </c>
    </row>
    <row r="138">
      <c r="A138" t="inlineStr">
        <is>
          <t>Huntingdon</t>
        </is>
      </c>
      <c r="B138" t="inlineStr">
        <is>
          <t>Banlieue de Montréal</t>
        </is>
      </c>
      <c r="C138" t="inlineStr">
        <is>
          <t>2022</t>
        </is>
      </c>
      <c r="D138" t="n">
        <v>216</v>
      </c>
      <c r="E138" t="inlineStr">
        <is>
          <t>Huntingdon</t>
        </is>
      </c>
      <c r="F138" t="n">
        <v>0.966075635956972</v>
      </c>
      <c r="G138" t="n">
        <v>1</v>
      </c>
    </row>
    <row r="139">
      <c r="A139" t="inlineStr">
        <is>
          <t>Huntingdon</t>
        </is>
      </c>
      <c r="B139" t="inlineStr">
        <is>
          <t>Banlieue de Montréal</t>
        </is>
      </c>
      <c r="C139" t="inlineStr">
        <is>
          <t>2022</t>
        </is>
      </c>
      <c r="D139" t="n">
        <v>212</v>
      </c>
      <c r="E139" t="inlineStr">
        <is>
          <t>Saint-Jean</t>
        </is>
      </c>
      <c r="F139" t="n">
        <v>0.0339243640429639</v>
      </c>
      <c r="G139" t="n">
        <v>2</v>
      </c>
    </row>
    <row r="140">
      <c r="A140" t="inlineStr">
        <is>
          <t>Huntingdon</t>
        </is>
      </c>
      <c r="B140" t="inlineStr">
        <is>
          <t>Banlieue de Montréal</t>
        </is>
      </c>
      <c r="C140" t="inlineStr">
        <is>
          <t>2017</t>
        </is>
      </c>
      <c r="D140" t="n">
        <v>216</v>
      </c>
      <c r="E140" t="inlineStr">
        <is>
          <t>Huntingdon</t>
        </is>
      </c>
      <c r="F140" t="n">
        <v>0.966058620075254</v>
      </c>
      <c r="G140" t="n">
        <v>1</v>
      </c>
    </row>
    <row r="141">
      <c r="A141" t="inlineStr">
        <is>
          <t>Huntingdon</t>
        </is>
      </c>
      <c r="B141" t="inlineStr">
        <is>
          <t>Banlieue de Montréal</t>
        </is>
      </c>
      <c r="C141" t="inlineStr">
        <is>
          <t>2017</t>
        </is>
      </c>
      <c r="D141" t="n">
        <v>212</v>
      </c>
      <c r="E141" t="inlineStr">
        <is>
          <t>Saint-Jean</t>
        </is>
      </c>
      <c r="F141" t="n">
        <v>0.0339243640429639</v>
      </c>
      <c r="G141" t="n">
        <v>2</v>
      </c>
    </row>
    <row r="142">
      <c r="A142" t="inlineStr">
        <is>
          <t>Iberville</t>
        </is>
      </c>
      <c r="B142" t="inlineStr">
        <is>
          <t>Banlieue de Montréal</t>
        </is>
      </c>
      <c r="C142" t="inlineStr">
        <is>
          <t>2022</t>
        </is>
      </c>
      <c r="D142" t="n">
        <v>210</v>
      </c>
      <c r="E142" t="inlineStr">
        <is>
          <t>Iberville</t>
        </is>
      </c>
      <c r="F142" t="n">
        <v>0.999856011011803</v>
      </c>
      <c r="G142" t="n">
        <v>1</v>
      </c>
    </row>
    <row r="143">
      <c r="A143" t="inlineStr">
        <is>
          <t>Iberville</t>
        </is>
      </c>
      <c r="B143" t="inlineStr">
        <is>
          <t>Banlieue de Montréal</t>
        </is>
      </c>
      <c r="C143" t="inlineStr">
        <is>
          <t>2022</t>
        </is>
      </c>
      <c r="D143" t="n">
        <v>260</v>
      </c>
      <c r="E143" t="inlineStr">
        <is>
          <t>Saint-Hyacinthe</t>
        </is>
      </c>
      <c r="F143" t="n">
        <v>0.000104608714087826</v>
      </c>
      <c r="G143" t="n">
        <v>2</v>
      </c>
    </row>
    <row r="144">
      <c r="A144" t="inlineStr">
        <is>
          <t>Iberville</t>
        </is>
      </c>
      <c r="B144" t="inlineStr">
        <is>
          <t>Banlieue de Montréal</t>
        </is>
      </c>
      <c r="C144" t="inlineStr">
        <is>
          <t>2017</t>
        </is>
      </c>
      <c r="D144" t="n">
        <v>210</v>
      </c>
      <c r="E144" t="inlineStr">
        <is>
          <t>Iberville</t>
        </is>
      </c>
      <c r="F144" t="n">
        <v>0.998686952643055</v>
      </c>
      <c r="G144" t="n">
        <v>1</v>
      </c>
    </row>
    <row r="145">
      <c r="A145" t="inlineStr">
        <is>
          <t>Iberville</t>
        </is>
      </c>
      <c r="B145" t="inlineStr">
        <is>
          <t>Banlieue de Montréal</t>
        </is>
      </c>
      <c r="C145" t="inlineStr">
        <is>
          <t>2017</t>
        </is>
      </c>
      <c r="D145" t="n">
        <v>238</v>
      </c>
      <c r="E145" t="inlineStr">
        <is>
          <t>Chambly</t>
        </is>
      </c>
      <c r="F145" t="n">
        <v>0.00117044724603306</v>
      </c>
      <c r="G145" t="n">
        <v>2</v>
      </c>
    </row>
    <row r="146">
      <c r="A146" t="inlineStr">
        <is>
          <t>Iberville</t>
        </is>
      </c>
      <c r="B146" t="inlineStr">
        <is>
          <t>Banlieue de Montréal</t>
        </is>
      </c>
      <c r="C146" t="inlineStr">
        <is>
          <t>2017</t>
        </is>
      </c>
      <c r="D146" t="n">
        <v>260</v>
      </c>
      <c r="E146" t="inlineStr">
        <is>
          <t>Saint-Hyacinthe</t>
        </is>
      </c>
      <c r="F146" t="n">
        <v>0.000104608714087826</v>
      </c>
      <c r="G146" t="n">
        <v>3</v>
      </c>
    </row>
    <row r="147">
      <c r="A147" t="inlineStr">
        <is>
          <t>Îles-de-la-Madeleine</t>
        </is>
      </c>
      <c r="B147" t="inlineStr">
        <is>
          <t>Reste du Québec</t>
        </is>
      </c>
      <c r="C147" t="inlineStr">
        <is>
          <t>2022</t>
        </is>
      </c>
      <c r="D147" t="n">
        <v>858</v>
      </c>
      <c r="E147" t="inlineStr">
        <is>
          <t>Îles-de-la-Madeleine</t>
        </is>
      </c>
      <c r="F147" t="n">
        <v>1</v>
      </c>
      <c r="G147" t="n">
        <v>1</v>
      </c>
    </row>
    <row r="148">
      <c r="A148" t="inlineStr">
        <is>
          <t>Îles-de-la-Madeleine</t>
        </is>
      </c>
      <c r="B148" t="inlineStr">
        <is>
          <t>Reste du Québec</t>
        </is>
      </c>
      <c r="C148" t="inlineStr">
        <is>
          <t>2017</t>
        </is>
      </c>
      <c r="D148" t="n">
        <v>858</v>
      </c>
      <c r="E148" t="inlineStr">
        <is>
          <t>Îles-de-la-Madeleine</t>
        </is>
      </c>
      <c r="F148" t="n">
        <v>1</v>
      </c>
      <c r="G148" t="n">
        <v>1</v>
      </c>
    </row>
    <row r="149">
      <c r="A149" t="inlineStr">
        <is>
          <t>Jacques-Cartier</t>
        </is>
      </c>
      <c r="B149" t="inlineStr">
        <is>
          <t>Île de Montréal</t>
        </is>
      </c>
      <c r="C149" t="inlineStr">
        <is>
          <t>2022</t>
        </is>
      </c>
      <c r="D149" t="n">
        <v>310</v>
      </c>
      <c r="E149" t="inlineStr">
        <is>
          <t>Jacques-Cartier</t>
        </is>
      </c>
      <c r="F149" t="n">
        <v>0.999999999999464</v>
      </c>
      <c r="G149" t="n">
        <v>1</v>
      </c>
    </row>
    <row r="150">
      <c r="A150" t="inlineStr">
        <is>
          <t>Jacques-Cartier</t>
        </is>
      </c>
      <c r="B150" t="inlineStr">
        <is>
          <t>Île de Montréal</t>
        </is>
      </c>
      <c r="C150" t="inlineStr">
        <is>
          <t>2017</t>
        </is>
      </c>
      <c r="D150" t="n">
        <v>310</v>
      </c>
      <c r="E150" t="inlineStr">
        <is>
          <t>Jacques-Cartier</t>
        </is>
      </c>
      <c r="F150" t="n">
        <v>0.999999999999464</v>
      </c>
      <c r="G150" t="n">
        <v>1</v>
      </c>
    </row>
    <row r="151">
      <c r="A151" t="inlineStr">
        <is>
          <t>Jean-Lesage</t>
        </is>
      </c>
      <c r="B151" t="inlineStr">
        <is>
          <t>Québec RMR</t>
        </is>
      </c>
      <c r="C151" t="inlineStr">
        <is>
          <t>2022</t>
        </is>
      </c>
      <c r="D151" t="n">
        <v>736</v>
      </c>
      <c r="E151" t="inlineStr">
        <is>
          <t>Jean-Lesage</t>
        </is>
      </c>
      <c r="F151" t="n">
        <v>0.999998054805542</v>
      </c>
      <c r="G151" t="n">
        <v>1</v>
      </c>
    </row>
    <row r="152">
      <c r="A152" t="inlineStr">
        <is>
          <t>Jean-Lesage</t>
        </is>
      </c>
      <c r="B152" t="inlineStr">
        <is>
          <t>Québec RMR</t>
        </is>
      </c>
      <c r="C152" t="inlineStr">
        <is>
          <t>2017</t>
        </is>
      </c>
      <c r="D152" t="n">
        <v>736</v>
      </c>
      <c r="E152" t="inlineStr">
        <is>
          <t>Jean-Lesage</t>
        </is>
      </c>
      <c r="F152" t="n">
        <v>0.999998054454553</v>
      </c>
      <c r="G152" t="n">
        <v>1</v>
      </c>
    </row>
    <row r="153">
      <c r="A153" t="inlineStr">
        <is>
          <t>Jeanne-Mance-Viger</t>
        </is>
      </c>
      <c r="B153" t="inlineStr">
        <is>
          <t>Île de Montréal</t>
        </is>
      </c>
      <c r="C153" t="inlineStr">
        <is>
          <t>2022</t>
        </is>
      </c>
      <c r="D153" t="n">
        <v>364</v>
      </c>
      <c r="E153" t="inlineStr">
        <is>
          <t>Jeanne-Mance-Viger</t>
        </is>
      </c>
      <c r="F153" t="n">
        <v>0.999999999999271</v>
      </c>
      <c r="G153" t="n">
        <v>1</v>
      </c>
    </row>
    <row r="154">
      <c r="A154" t="inlineStr">
        <is>
          <t>Jeanne-Mance-Viger</t>
        </is>
      </c>
      <c r="B154" t="inlineStr">
        <is>
          <t>Île de Montréal</t>
        </is>
      </c>
      <c r="C154" t="inlineStr">
        <is>
          <t>2017</t>
        </is>
      </c>
      <c r="D154" t="n">
        <v>364</v>
      </c>
      <c r="E154" t="inlineStr">
        <is>
          <t>Jeanne-Mance-Viger</t>
        </is>
      </c>
      <c r="F154" t="n">
        <v>0.999999924765046</v>
      </c>
      <c r="G154" t="n">
        <v>1</v>
      </c>
    </row>
    <row r="155">
      <c r="A155" t="inlineStr">
        <is>
          <t>Jean-Talon</t>
        </is>
      </c>
      <c r="B155" t="inlineStr">
        <is>
          <t>Québec RMR</t>
        </is>
      </c>
      <c r="C155" t="inlineStr">
        <is>
          <t>2022</t>
        </is>
      </c>
      <c r="D155" t="n">
        <v>702</v>
      </c>
      <c r="E155" t="inlineStr">
        <is>
          <t>Jean-Talon</t>
        </is>
      </c>
      <c r="F155" t="n">
        <v>0.99999999872733</v>
      </c>
      <c r="G155" t="n">
        <v>1</v>
      </c>
    </row>
    <row r="156">
      <c r="A156" t="inlineStr">
        <is>
          <t>Jean-Talon</t>
        </is>
      </c>
      <c r="B156" t="inlineStr">
        <is>
          <t>Québec RMR</t>
        </is>
      </c>
      <c r="C156" t="inlineStr">
        <is>
          <t>2017</t>
        </is>
      </c>
      <c r="D156" t="n">
        <v>702</v>
      </c>
      <c r="E156" t="inlineStr">
        <is>
          <t>Jean-Talon</t>
        </is>
      </c>
      <c r="F156" t="n">
        <v>0.99999999872733</v>
      </c>
      <c r="G156" t="n">
        <v>1</v>
      </c>
    </row>
    <row r="157">
      <c r="A157" t="inlineStr">
        <is>
          <t>Joliette</t>
        </is>
      </c>
      <c r="B157" t="inlineStr">
        <is>
          <t>Reste du Québec</t>
        </is>
      </c>
      <c r="C157" t="inlineStr">
        <is>
          <t>2022</t>
        </is>
      </c>
      <c r="D157" t="n">
        <v>570</v>
      </c>
      <c r="E157" t="inlineStr">
        <is>
          <t>Joliette</t>
        </is>
      </c>
      <c r="F157" t="n">
        <v>0.999982041911049</v>
      </c>
      <c r="G157" t="n">
        <v>1</v>
      </c>
    </row>
    <row r="158">
      <c r="A158" t="inlineStr">
        <is>
          <t>Joliette</t>
        </is>
      </c>
      <c r="B158" t="inlineStr">
        <is>
          <t>Reste du Québec</t>
        </is>
      </c>
      <c r="C158" t="inlineStr">
        <is>
          <t>2017</t>
        </is>
      </c>
      <c r="D158" t="n">
        <v>570</v>
      </c>
      <c r="E158" t="inlineStr">
        <is>
          <t>Joliette</t>
        </is>
      </c>
      <c r="F158" t="n">
        <v>0.999944467236653</v>
      </c>
      <c r="G158" t="n">
        <v>1</v>
      </c>
    </row>
    <row r="159">
      <c r="A159" t="inlineStr">
        <is>
          <t>Jonquière</t>
        </is>
      </c>
      <c r="B159" t="inlineStr">
        <is>
          <t>Reste du Québec</t>
        </is>
      </c>
      <c r="C159" t="inlineStr">
        <is>
          <t>2022</t>
        </is>
      </c>
      <c r="D159" t="n">
        <v>922</v>
      </c>
      <c r="E159" t="inlineStr">
        <is>
          <t>Jonquière</t>
        </is>
      </c>
      <c r="F159" t="n">
        <v>0.99999999999994</v>
      </c>
      <c r="G159" t="n">
        <v>1</v>
      </c>
    </row>
    <row r="160">
      <c r="A160" t="inlineStr">
        <is>
          <t>Jonquière</t>
        </is>
      </c>
      <c r="B160" t="inlineStr">
        <is>
          <t>Reste du Québec</t>
        </is>
      </c>
      <c r="C160" t="inlineStr">
        <is>
          <t>2017</t>
        </is>
      </c>
      <c r="D160" t="n">
        <v>922</v>
      </c>
      <c r="E160" t="inlineStr">
        <is>
          <t>Jonquière</t>
        </is>
      </c>
      <c r="F160" t="n">
        <v>0.99999999999994</v>
      </c>
      <c r="G160" t="n">
        <v>1</v>
      </c>
    </row>
    <row r="161">
      <c r="A161" t="inlineStr">
        <is>
          <t>Labelle</t>
        </is>
      </c>
      <c r="B161" t="inlineStr">
        <is>
          <t>Reste du Québec</t>
        </is>
      </c>
      <c r="C161" t="inlineStr">
        <is>
          <t>2022</t>
        </is>
      </c>
      <c r="D161" t="n">
        <v>594</v>
      </c>
      <c r="E161" t="inlineStr">
        <is>
          <t>Labelle</t>
        </is>
      </c>
      <c r="F161" t="n">
        <v>0.999905978474339</v>
      </c>
      <c r="G161" t="n">
        <v>1</v>
      </c>
    </row>
    <row r="162">
      <c r="A162" t="inlineStr">
        <is>
          <t>Labelle</t>
        </is>
      </c>
      <c r="B162" t="inlineStr">
        <is>
          <t>Reste du Québec</t>
        </is>
      </c>
      <c r="C162" t="inlineStr">
        <is>
          <t>2017</t>
        </is>
      </c>
      <c r="D162" t="n">
        <v>594</v>
      </c>
      <c r="E162" t="inlineStr">
        <is>
          <t>Labelle</t>
        </is>
      </c>
      <c r="F162" t="n">
        <v>0.999905959530398</v>
      </c>
      <c r="G162" t="n">
        <v>1</v>
      </c>
    </row>
    <row r="163">
      <c r="A163" t="inlineStr">
        <is>
          <t>Lac-Saint-Jean</t>
        </is>
      </c>
      <c r="B163" t="inlineStr">
        <is>
          <t>Reste du Québec</t>
        </is>
      </c>
      <c r="C163" t="inlineStr">
        <is>
          <t>2022</t>
        </is>
      </c>
      <c r="D163" t="n">
        <v>926</v>
      </c>
      <c r="E163" t="inlineStr">
        <is>
          <t>Lac-Saint-Jean</t>
        </is>
      </c>
      <c r="F163" t="n">
        <v>0.999999999982443</v>
      </c>
      <c r="G163" t="n">
        <v>1</v>
      </c>
    </row>
    <row r="164">
      <c r="A164" t="inlineStr">
        <is>
          <t>Lac-Saint-Jean</t>
        </is>
      </c>
      <c r="B164" t="inlineStr">
        <is>
          <t>Reste du Québec</t>
        </is>
      </c>
      <c r="C164" t="inlineStr">
        <is>
          <t>2017</t>
        </is>
      </c>
      <c r="D164" t="n">
        <v>926</v>
      </c>
      <c r="E164" t="inlineStr">
        <is>
          <t>Lac-Saint-Jean</t>
        </is>
      </c>
      <c r="F164" t="n">
        <v>0.999999999980609</v>
      </c>
      <c r="G164" t="n">
        <v>1</v>
      </c>
    </row>
    <row r="165">
      <c r="A165" t="inlineStr">
        <is>
          <t>LaFontaine</t>
        </is>
      </c>
      <c r="B165" t="inlineStr">
        <is>
          <t>Île de Montréal</t>
        </is>
      </c>
      <c r="C165" t="inlineStr">
        <is>
          <t>2022</t>
        </is>
      </c>
      <c r="D165" t="n">
        <v>390</v>
      </c>
      <c r="E165" t="inlineStr">
        <is>
          <t>LaFontaine</t>
        </is>
      </c>
      <c r="F165" t="n">
        <v>0.999999999999728</v>
      </c>
      <c r="G165" t="n">
        <v>1</v>
      </c>
    </row>
    <row r="166">
      <c r="A166" t="inlineStr">
        <is>
          <t>LaFontaine</t>
        </is>
      </c>
      <c r="B166" t="inlineStr">
        <is>
          <t>Île de Montréal</t>
        </is>
      </c>
      <c r="C166" t="inlineStr">
        <is>
          <t>2017</t>
        </is>
      </c>
      <c r="D166" t="n">
        <v>390</v>
      </c>
      <c r="E166" t="inlineStr">
        <is>
          <t>LaFontaine</t>
        </is>
      </c>
      <c r="F166" t="n">
        <v>0.999999999999728</v>
      </c>
      <c r="G166" t="n">
        <v>1</v>
      </c>
    </row>
    <row r="167">
      <c r="A167" t="inlineStr">
        <is>
          <t>La Peltrie</t>
        </is>
      </c>
      <c r="B167" t="inlineStr">
        <is>
          <t>Québec RMR</t>
        </is>
      </c>
      <c r="C167" t="inlineStr">
        <is>
          <t>2022</t>
        </is>
      </c>
      <c r="D167" t="n">
        <v>720</v>
      </c>
      <c r="E167" t="inlineStr">
        <is>
          <t>La Peltrie</t>
        </is>
      </c>
      <c r="F167" t="n">
        <v>0.920508645829924</v>
      </c>
      <c r="G167" t="n">
        <v>1</v>
      </c>
    </row>
    <row r="168">
      <c r="A168" t="inlineStr">
        <is>
          <t>La Peltrie</t>
        </is>
      </c>
      <c r="B168" t="inlineStr">
        <is>
          <t>Québec RMR</t>
        </is>
      </c>
      <c r="C168" t="inlineStr">
        <is>
          <t>2022</t>
        </is>
      </c>
      <c r="D168" t="n">
        <v>726</v>
      </c>
      <c r="E168" t="inlineStr">
        <is>
          <t>Vanier-Les Rivières</t>
        </is>
      </c>
      <c r="F168" t="n">
        <v>0.0794913365083804</v>
      </c>
      <c r="G168" t="n">
        <v>2</v>
      </c>
    </row>
    <row r="169">
      <c r="A169" t="inlineStr">
        <is>
          <t>La Peltrie</t>
        </is>
      </c>
      <c r="B169" t="inlineStr">
        <is>
          <t>Québec RMR</t>
        </is>
      </c>
      <c r="C169" t="inlineStr">
        <is>
          <t>2017</t>
        </is>
      </c>
      <c r="D169" t="n">
        <v>720</v>
      </c>
      <c r="E169" t="inlineStr">
        <is>
          <t>La Peltrie</t>
        </is>
      </c>
      <c r="F169" t="n">
        <v>0.920508645829924</v>
      </c>
      <c r="G169" t="n">
        <v>1</v>
      </c>
    </row>
    <row r="170">
      <c r="A170" t="inlineStr">
        <is>
          <t>La Peltrie</t>
        </is>
      </c>
      <c r="B170" t="inlineStr">
        <is>
          <t>Québec RMR</t>
        </is>
      </c>
      <c r="C170" t="inlineStr">
        <is>
          <t>2017</t>
        </is>
      </c>
      <c r="D170" t="n">
        <v>726</v>
      </c>
      <c r="E170" t="inlineStr">
        <is>
          <t>Vanier-Les Rivières</t>
        </is>
      </c>
      <c r="F170" t="n">
        <v>0.0794913365083804</v>
      </c>
      <c r="G170" t="n">
        <v>2</v>
      </c>
    </row>
    <row r="171">
      <c r="A171" t="inlineStr">
        <is>
          <t>La Pinière</t>
        </is>
      </c>
      <c r="B171" t="inlineStr">
        <is>
          <t>Banlieue de Montréal</t>
        </is>
      </c>
      <c r="C171" t="inlineStr">
        <is>
          <t>2022</t>
        </is>
      </c>
      <c r="D171" t="n">
        <v>236</v>
      </c>
      <c r="E171" t="inlineStr">
        <is>
          <t>La Pinière</t>
        </is>
      </c>
      <c r="F171" t="n">
        <v>0.999999999999689</v>
      </c>
      <c r="G171" t="n">
        <v>1</v>
      </c>
    </row>
    <row r="172">
      <c r="A172" t="inlineStr">
        <is>
          <t>La Pinière</t>
        </is>
      </c>
      <c r="B172" t="inlineStr">
        <is>
          <t>Banlieue de Montréal</t>
        </is>
      </c>
      <c r="C172" t="inlineStr">
        <is>
          <t>2017</t>
        </is>
      </c>
      <c r="D172" t="n">
        <v>236</v>
      </c>
      <c r="E172" t="inlineStr">
        <is>
          <t>La Pinière</t>
        </is>
      </c>
      <c r="F172" t="n">
        <v>0.999999999999689</v>
      </c>
      <c r="G172" t="n">
        <v>1</v>
      </c>
    </row>
    <row r="173">
      <c r="A173" t="inlineStr">
        <is>
          <t>La Prairie</t>
        </is>
      </c>
      <c r="B173" t="inlineStr">
        <is>
          <t>Banlieue de Montréal</t>
        </is>
      </c>
      <c r="C173" t="inlineStr">
        <is>
          <t>2022</t>
        </is>
      </c>
      <c r="D173" t="n">
        <v>232</v>
      </c>
      <c r="E173" t="inlineStr">
        <is>
          <t>La Prairie</t>
        </is>
      </c>
      <c r="F173" t="n">
        <v>0.999285806966699</v>
      </c>
      <c r="G173" t="n">
        <v>1</v>
      </c>
    </row>
    <row r="174">
      <c r="A174" t="inlineStr">
        <is>
          <t>La Prairie</t>
        </is>
      </c>
      <c r="B174" t="inlineStr">
        <is>
          <t>Banlieue de Montréal</t>
        </is>
      </c>
      <c r="C174" t="inlineStr">
        <is>
          <t>2022</t>
        </is>
      </c>
      <c r="D174" t="n">
        <v>230</v>
      </c>
      <c r="E174" t="inlineStr">
        <is>
          <t>Sanguinet</t>
        </is>
      </c>
      <c r="F174" t="n">
        <v>0.000714193033227505</v>
      </c>
      <c r="G174" t="n">
        <v>2</v>
      </c>
    </row>
    <row r="175">
      <c r="A175" t="inlineStr">
        <is>
          <t>La Prairie</t>
        </is>
      </c>
      <c r="B175" t="inlineStr">
        <is>
          <t>Banlieue de Montréal</t>
        </is>
      </c>
      <c r="C175" t="inlineStr">
        <is>
          <t>2017</t>
        </is>
      </c>
      <c r="D175" t="n">
        <v>232</v>
      </c>
      <c r="E175" t="inlineStr">
        <is>
          <t>La Prairie</t>
        </is>
      </c>
      <c r="F175" t="n">
        <v>0.99926137435565</v>
      </c>
      <c r="G175" t="n">
        <v>1</v>
      </c>
    </row>
    <row r="176">
      <c r="A176" t="inlineStr">
        <is>
          <t>La Prairie</t>
        </is>
      </c>
      <c r="B176" t="inlineStr">
        <is>
          <t>Banlieue de Montréal</t>
        </is>
      </c>
      <c r="C176" t="inlineStr">
        <is>
          <t>2017</t>
        </is>
      </c>
      <c r="D176" t="n">
        <v>230</v>
      </c>
      <c r="E176" t="inlineStr">
        <is>
          <t>Sanguinet</t>
        </is>
      </c>
      <c r="F176" t="n">
        <v>0.000730601439780086</v>
      </c>
      <c r="G176" t="n">
        <v>2</v>
      </c>
    </row>
    <row r="177">
      <c r="A177" t="inlineStr">
        <is>
          <t>L'Assomption</t>
        </is>
      </c>
      <c r="B177" t="inlineStr">
        <is>
          <t>Banlieue de Montréal</t>
        </is>
      </c>
      <c r="C177" t="inlineStr">
        <is>
          <t>2022</t>
        </is>
      </c>
      <c r="D177" t="n">
        <v>554</v>
      </c>
      <c r="E177" t="inlineStr">
        <is>
          <t>L'Assomption</t>
        </is>
      </c>
      <c r="F177" t="n">
        <v>0.732455612829582</v>
      </c>
      <c r="G177" t="n">
        <v>1</v>
      </c>
    </row>
    <row r="178">
      <c r="A178" t="inlineStr">
        <is>
          <t>L'Assomption</t>
        </is>
      </c>
      <c r="B178" t="inlineStr">
        <is>
          <t>Banlieue de Montréal</t>
        </is>
      </c>
      <c r="C178" t="inlineStr">
        <is>
          <t>2022</t>
        </is>
      </c>
      <c r="D178" t="n">
        <v>566</v>
      </c>
      <c r="E178" t="inlineStr">
        <is>
          <t>Berthier</t>
        </is>
      </c>
      <c r="F178" t="n">
        <v>0.215401667881674</v>
      </c>
      <c r="G178" t="n">
        <v>2</v>
      </c>
    </row>
    <row r="179">
      <c r="A179" t="inlineStr">
        <is>
          <t>L'Assomption</t>
        </is>
      </c>
      <c r="B179" t="inlineStr">
        <is>
          <t>Banlieue de Montréal</t>
        </is>
      </c>
      <c r="C179" t="inlineStr">
        <is>
          <t>2022</t>
        </is>
      </c>
      <c r="D179" t="n">
        <v>560</v>
      </c>
      <c r="E179" t="inlineStr">
        <is>
          <t>Repentigny</t>
        </is>
      </c>
      <c r="F179" t="n">
        <v>0.0520778354393763</v>
      </c>
      <c r="G179" t="n">
        <v>3</v>
      </c>
    </row>
    <row r="180">
      <c r="A180" t="inlineStr">
        <is>
          <t>L'Assomption</t>
        </is>
      </c>
      <c r="B180" t="inlineStr">
        <is>
          <t>Banlieue de Montréal</t>
        </is>
      </c>
      <c r="C180" t="inlineStr">
        <is>
          <t>2017</t>
        </is>
      </c>
      <c r="D180" t="n">
        <v>554</v>
      </c>
      <c r="E180" t="inlineStr">
        <is>
          <t>L'Assomption</t>
        </is>
      </c>
      <c r="F180" t="n">
        <v>0.731895785585519</v>
      </c>
      <c r="G180" t="n">
        <v>1</v>
      </c>
    </row>
    <row r="181">
      <c r="A181" t="inlineStr">
        <is>
          <t>L'Assomption</t>
        </is>
      </c>
      <c r="B181" t="inlineStr">
        <is>
          <t>Banlieue de Montréal</t>
        </is>
      </c>
      <c r="C181" t="inlineStr">
        <is>
          <t>2017</t>
        </is>
      </c>
      <c r="D181" t="n">
        <v>566</v>
      </c>
      <c r="E181" t="inlineStr">
        <is>
          <t>Berthier</t>
        </is>
      </c>
      <c r="F181" t="n">
        <v>0.215401667881674</v>
      </c>
      <c r="G181" t="n">
        <v>2</v>
      </c>
    </row>
    <row r="182">
      <c r="A182" t="inlineStr">
        <is>
          <t>L'Assomption</t>
        </is>
      </c>
      <c r="B182" t="inlineStr">
        <is>
          <t>Banlieue de Montréal</t>
        </is>
      </c>
      <c r="C182" t="inlineStr">
        <is>
          <t>2017</t>
        </is>
      </c>
      <c r="D182" t="n">
        <v>560</v>
      </c>
      <c r="E182" t="inlineStr">
        <is>
          <t>Repentigny</t>
        </is>
      </c>
      <c r="F182" t="n">
        <v>0.0526376626834396</v>
      </c>
      <c r="G182" t="n">
        <v>3</v>
      </c>
    </row>
    <row r="183">
      <c r="A183" t="inlineStr">
        <is>
          <t>Laurier-Dorion</t>
        </is>
      </c>
      <c r="B183" t="inlineStr">
        <is>
          <t>Île de Montréal</t>
        </is>
      </c>
      <c r="C183" t="inlineStr">
        <is>
          <t>2022</t>
        </is>
      </c>
      <c r="D183" t="n">
        <v>344</v>
      </c>
      <c r="E183" t="inlineStr">
        <is>
          <t>Laurier-Dorion</t>
        </is>
      </c>
      <c r="F183" t="n">
        <v>0.9999820942205671</v>
      </c>
      <c r="G183" t="n">
        <v>1</v>
      </c>
    </row>
    <row r="184">
      <c r="A184" t="inlineStr">
        <is>
          <t>Laurier-Dorion</t>
        </is>
      </c>
      <c r="B184" t="inlineStr">
        <is>
          <t>Île de Montréal</t>
        </is>
      </c>
      <c r="C184" t="inlineStr">
        <is>
          <t>2017</t>
        </is>
      </c>
      <c r="D184" t="n">
        <v>344</v>
      </c>
      <c r="E184" t="inlineStr">
        <is>
          <t>Laurier-Dorion</t>
        </is>
      </c>
      <c r="F184" t="n">
        <v>0.9999820942205671</v>
      </c>
      <c r="G184" t="n">
        <v>1</v>
      </c>
    </row>
    <row r="185">
      <c r="A185" t="inlineStr">
        <is>
          <t>Laval-des-Rapides</t>
        </is>
      </c>
      <c r="B185" t="inlineStr">
        <is>
          <t>Banlieue de Montréal</t>
        </is>
      </c>
      <c r="C185" t="inlineStr">
        <is>
          <t>2022</t>
        </is>
      </c>
      <c r="D185" t="n">
        <v>454</v>
      </c>
      <c r="E185" t="inlineStr">
        <is>
          <t>Laval-des-Rapides</t>
        </is>
      </c>
      <c r="F185" t="n">
        <v>0.883832015693542</v>
      </c>
      <c r="G185" t="n">
        <v>1</v>
      </c>
    </row>
    <row r="186">
      <c r="A186" t="inlineStr">
        <is>
          <t>Laval-des-Rapides</t>
        </is>
      </c>
      <c r="B186" t="inlineStr">
        <is>
          <t>Banlieue de Montréal</t>
        </is>
      </c>
      <c r="C186" t="inlineStr">
        <is>
          <t>2022</t>
        </is>
      </c>
      <c r="D186" t="n">
        <v>460</v>
      </c>
      <c r="E186" t="inlineStr">
        <is>
          <t>Chomedey</t>
        </is>
      </c>
      <c r="F186" t="n">
        <v>0.116167984306358</v>
      </c>
      <c r="G186" t="n">
        <v>2</v>
      </c>
    </row>
    <row r="187">
      <c r="A187" t="inlineStr">
        <is>
          <t>Laval-des-Rapides</t>
        </is>
      </c>
      <c r="B187" t="inlineStr">
        <is>
          <t>Banlieue de Montréal</t>
        </is>
      </c>
      <c r="C187" t="inlineStr">
        <is>
          <t>2017</t>
        </is>
      </c>
      <c r="D187" t="n">
        <v>454</v>
      </c>
      <c r="E187" t="inlineStr">
        <is>
          <t>Laval-des-Rapides</t>
        </is>
      </c>
      <c r="F187" t="n">
        <v>0.88383201770318</v>
      </c>
      <c r="G187" t="n">
        <v>1</v>
      </c>
    </row>
    <row r="188">
      <c r="A188" t="inlineStr">
        <is>
          <t>Laval-des-Rapides</t>
        </is>
      </c>
      <c r="B188" t="inlineStr">
        <is>
          <t>Banlieue de Montréal</t>
        </is>
      </c>
      <c r="C188" t="inlineStr">
        <is>
          <t>2017</t>
        </is>
      </c>
      <c r="D188" t="n">
        <v>460</v>
      </c>
      <c r="E188" t="inlineStr">
        <is>
          <t>Chomedey</t>
        </is>
      </c>
      <c r="F188" t="n">
        <v>0.11616798229672</v>
      </c>
      <c r="G188" t="n">
        <v>2</v>
      </c>
    </row>
    <row r="189">
      <c r="A189" t="inlineStr">
        <is>
          <t>Laviolette-Saint-Maurice</t>
        </is>
      </c>
      <c r="B189" t="inlineStr">
        <is>
          <t>Reste du Québec</t>
        </is>
      </c>
      <c r="C189" t="inlineStr">
        <is>
          <t>2022</t>
        </is>
      </c>
      <c r="D189" t="n">
        <v>670</v>
      </c>
      <c r="E189" t="inlineStr">
        <is>
          <t>Laviolette-Saint-Maurice</t>
        </is>
      </c>
      <c r="F189" t="n">
        <v>0.999998660974919</v>
      </c>
      <c r="G189" t="n">
        <v>1</v>
      </c>
    </row>
    <row r="190">
      <c r="A190" t="inlineStr">
        <is>
          <t>Laviolette-Saint-Maurice</t>
        </is>
      </c>
      <c r="B190" t="inlineStr">
        <is>
          <t>Reste du Québec</t>
        </is>
      </c>
      <c r="C190" t="inlineStr">
        <is>
          <t>2017</t>
        </is>
      </c>
      <c r="D190" t="n">
        <v>670</v>
      </c>
      <c r="E190" t="inlineStr">
        <is>
          <t>Laviolette-Saint-Maurice</t>
        </is>
      </c>
      <c r="F190" t="n">
        <v>0.999998102258127</v>
      </c>
      <c r="G190" t="n">
        <v>1</v>
      </c>
    </row>
    <row r="191">
      <c r="A191" t="inlineStr">
        <is>
          <t>Les Plaines</t>
        </is>
      </c>
      <c r="B191" t="inlineStr">
        <is>
          <t>Banlieue de Montréal</t>
        </is>
      </c>
      <c r="C191" t="inlineStr">
        <is>
          <t>2022</t>
        </is>
      </c>
      <c r="D191" t="n">
        <v>530</v>
      </c>
      <c r="E191" t="inlineStr">
        <is>
          <t>Les Plaines</t>
        </is>
      </c>
      <c r="F191" t="n">
        <v>0.858128962681635</v>
      </c>
      <c r="G191" t="n">
        <v>1</v>
      </c>
    </row>
    <row r="192">
      <c r="A192" t="inlineStr">
        <is>
          <t>Les Plaines</t>
        </is>
      </c>
      <c r="B192" t="inlineStr">
        <is>
          <t>Banlieue de Montréal</t>
        </is>
      </c>
      <c r="C192" t="inlineStr">
        <is>
          <t>2022</t>
        </is>
      </c>
      <c r="D192" t="n">
        <v>542</v>
      </c>
      <c r="E192" t="inlineStr">
        <is>
          <t>Terrebonne</t>
        </is>
      </c>
      <c r="F192" t="n">
        <v>0.141844973758588</v>
      </c>
      <c r="G192" t="n">
        <v>2</v>
      </c>
    </row>
    <row r="193">
      <c r="A193" t="inlineStr">
        <is>
          <t>Les Plaines</t>
        </is>
      </c>
      <c r="B193" t="inlineStr">
        <is>
          <t>Banlieue de Montréal</t>
        </is>
      </c>
      <c r="C193" t="inlineStr">
        <is>
          <t>2017</t>
        </is>
      </c>
      <c r="D193" t="n">
        <v>530</v>
      </c>
      <c r="E193" t="inlineStr">
        <is>
          <t>Les Plaines</t>
        </is>
      </c>
      <c r="F193" t="n">
        <v>0.858128962681635</v>
      </c>
      <c r="G193" t="n">
        <v>1</v>
      </c>
    </row>
    <row r="194">
      <c r="A194" t="inlineStr">
        <is>
          <t>Les Plaines</t>
        </is>
      </c>
      <c r="B194" t="inlineStr">
        <is>
          <t>Banlieue de Montréal</t>
        </is>
      </c>
      <c r="C194" t="inlineStr">
        <is>
          <t>2017</t>
        </is>
      </c>
      <c r="D194" t="n">
        <v>542</v>
      </c>
      <c r="E194" t="inlineStr">
        <is>
          <t>Terrebonne</t>
        </is>
      </c>
      <c r="F194" t="n">
        <v>0.141844973758588</v>
      </c>
      <c r="G194" t="n">
        <v>2</v>
      </c>
    </row>
    <row r="195">
      <c r="A195" t="inlineStr">
        <is>
          <t>Lévis</t>
        </is>
      </c>
      <c r="B195" t="inlineStr">
        <is>
          <t>Québec RMR</t>
        </is>
      </c>
      <c r="C195" t="inlineStr">
        <is>
          <t>2022</t>
        </is>
      </c>
      <c r="D195" t="n">
        <v>818</v>
      </c>
      <c r="E195" t="inlineStr">
        <is>
          <t>Lévis</t>
        </is>
      </c>
      <c r="F195" t="n">
        <v>0.999999999999838</v>
      </c>
      <c r="G195" t="n">
        <v>1</v>
      </c>
    </row>
    <row r="196">
      <c r="A196" t="inlineStr">
        <is>
          <t>Lévis</t>
        </is>
      </c>
      <c r="B196" t="inlineStr">
        <is>
          <t>Québec RMR</t>
        </is>
      </c>
      <c r="C196" t="inlineStr">
        <is>
          <t>2017</t>
        </is>
      </c>
      <c r="D196" t="n">
        <v>818</v>
      </c>
      <c r="E196" t="inlineStr">
        <is>
          <t>Lévis</t>
        </is>
      </c>
      <c r="F196" t="n">
        <v>0.999999999999838</v>
      </c>
      <c r="G196" t="n">
        <v>1</v>
      </c>
    </row>
    <row r="197">
      <c r="A197" t="inlineStr">
        <is>
          <t>Lotbinière-Frontenac</t>
        </is>
      </c>
      <c r="B197" t="inlineStr">
        <is>
          <t>Reste du Québec</t>
        </is>
      </c>
      <c r="C197" t="inlineStr">
        <is>
          <t>2022</t>
        </is>
      </c>
      <c r="D197" t="n">
        <v>810</v>
      </c>
      <c r="E197" t="inlineStr">
        <is>
          <t>Lotbinière-Frontenac</t>
        </is>
      </c>
      <c r="F197" t="n">
        <v>0.999954651435667</v>
      </c>
      <c r="G197" t="n">
        <v>1</v>
      </c>
    </row>
    <row r="198">
      <c r="A198" t="inlineStr">
        <is>
          <t>Lotbinière-Frontenac</t>
        </is>
      </c>
      <c r="B198" t="inlineStr">
        <is>
          <t>Reste du Québec</t>
        </is>
      </c>
      <c r="C198" t="inlineStr">
        <is>
          <t>2017</t>
        </is>
      </c>
      <c r="D198" t="n">
        <v>810</v>
      </c>
      <c r="E198" t="inlineStr">
        <is>
          <t>Lotbinière-Frontenac</t>
        </is>
      </c>
      <c r="F198" t="n">
        <v>0.999951937455302</v>
      </c>
      <c r="G198" t="n">
        <v>1</v>
      </c>
    </row>
    <row r="199">
      <c r="A199" t="inlineStr">
        <is>
          <t>Louis-Hébert</t>
        </is>
      </c>
      <c r="B199" t="inlineStr">
        <is>
          <t>Québec RMR</t>
        </is>
      </c>
      <c r="C199" t="inlineStr">
        <is>
          <t>2022</t>
        </is>
      </c>
      <c r="D199" t="n">
        <v>708</v>
      </c>
      <c r="E199" t="inlineStr">
        <is>
          <t>Louis-Hébert</t>
        </is>
      </c>
      <c r="F199" t="n">
        <v>0.999999999999853</v>
      </c>
      <c r="G199" t="n">
        <v>1</v>
      </c>
    </row>
    <row r="200">
      <c r="A200" t="inlineStr">
        <is>
          <t>Louis-Hébert</t>
        </is>
      </c>
      <c r="B200" t="inlineStr">
        <is>
          <t>Québec RMR</t>
        </is>
      </c>
      <c r="C200" t="inlineStr">
        <is>
          <t>2017</t>
        </is>
      </c>
      <c r="D200" t="n">
        <v>708</v>
      </c>
      <c r="E200" t="inlineStr">
        <is>
          <t>Louis-Hébert</t>
        </is>
      </c>
      <c r="F200" t="n">
        <v>0.999999999999856</v>
      </c>
      <c r="G200" t="n">
        <v>1</v>
      </c>
    </row>
    <row r="201">
      <c r="A201" t="inlineStr">
        <is>
          <t>Marguerite-Bourgeoys</t>
        </is>
      </c>
      <c r="B201" t="inlineStr">
        <is>
          <t>Île de Montréal</t>
        </is>
      </c>
      <c r="C201" t="inlineStr">
        <is>
          <t>2022</t>
        </is>
      </c>
      <c r="D201" t="n">
        <v>304</v>
      </c>
      <c r="E201" t="inlineStr">
        <is>
          <t>Marguerite-Bourgeoys</t>
        </is>
      </c>
      <c r="F201" t="n">
        <v>0.9999999999993729</v>
      </c>
      <c r="G201" t="n">
        <v>1</v>
      </c>
    </row>
    <row r="202">
      <c r="A202" t="inlineStr">
        <is>
          <t>Marguerite-Bourgeoys</t>
        </is>
      </c>
      <c r="B202" t="inlineStr">
        <is>
          <t>Île de Montréal</t>
        </is>
      </c>
      <c r="C202" t="inlineStr">
        <is>
          <t>2017</t>
        </is>
      </c>
      <c r="D202" t="n">
        <v>304</v>
      </c>
      <c r="E202" t="inlineStr">
        <is>
          <t>Marguerite-Bourgeoys</t>
        </is>
      </c>
      <c r="F202" t="n">
        <v>0.9999999999993729</v>
      </c>
      <c r="G202" t="n">
        <v>1</v>
      </c>
    </row>
    <row r="203">
      <c r="A203" t="inlineStr">
        <is>
          <t>Marie-Lacoste-Gérin-Lajoie</t>
        </is>
      </c>
      <c r="B203" t="inlineStr">
        <is>
          <t>Reste du Québec</t>
        </is>
      </c>
      <c r="C203" t="inlineStr">
        <is>
          <t>2022</t>
        </is>
      </c>
      <c r="D203" t="n">
        <v>126</v>
      </c>
      <c r="E203" t="inlineStr">
        <is>
          <t>Johnson</t>
        </is>
      </c>
      <c r="F203" t="n">
        <v>0.913605408398421</v>
      </c>
      <c r="G203" t="n">
        <v>1</v>
      </c>
    </row>
    <row r="204">
      <c r="A204" t="inlineStr">
        <is>
          <t>Marie-Lacoste-Gérin-Lajoie</t>
        </is>
      </c>
      <c r="B204" t="inlineStr">
        <is>
          <t>Reste du Québec</t>
        </is>
      </c>
      <c r="C204" t="inlineStr">
        <is>
          <t>2022</t>
        </is>
      </c>
      <c r="D204" t="n">
        <v>150</v>
      </c>
      <c r="E204" t="inlineStr">
        <is>
          <t>Nicolet-Bécancour</t>
        </is>
      </c>
      <c r="F204" t="n">
        <v>0.0505373353258006</v>
      </c>
      <c r="G204" t="n">
        <v>2</v>
      </c>
    </row>
    <row r="205">
      <c r="A205" t="inlineStr">
        <is>
          <t>Marie-Lacoste-Gérin-Lajoie</t>
        </is>
      </c>
      <c r="B205" t="inlineStr">
        <is>
          <t>Reste du Québec</t>
        </is>
      </c>
      <c r="C205" t="inlineStr">
        <is>
          <t>2022</t>
        </is>
      </c>
      <c r="D205" t="n">
        <v>138</v>
      </c>
      <c r="E205" t="inlineStr">
        <is>
          <t>Drummond-Bois-Francs</t>
        </is>
      </c>
      <c r="F205" t="n">
        <v>0.03580911843939</v>
      </c>
      <c r="G205" t="n">
        <v>3</v>
      </c>
    </row>
    <row r="206">
      <c r="A206" t="inlineStr">
        <is>
          <t>Marie-Lacoste-Gérin-Lajoie</t>
        </is>
      </c>
      <c r="B206" t="inlineStr">
        <is>
          <t>Reste du Québec</t>
        </is>
      </c>
      <c r="C206" t="inlineStr">
        <is>
          <t>2017</t>
        </is>
      </c>
      <c r="D206" t="n">
        <v>126</v>
      </c>
      <c r="E206" t="inlineStr">
        <is>
          <t>Johnson</t>
        </is>
      </c>
      <c r="F206" t="n">
        <v>0.913577835026719</v>
      </c>
      <c r="G206" t="n">
        <v>1</v>
      </c>
    </row>
    <row r="207">
      <c r="A207" t="inlineStr">
        <is>
          <t>Marie-Lacoste-Gérin-Lajoie</t>
        </is>
      </c>
      <c r="B207" t="inlineStr">
        <is>
          <t>Reste du Québec</t>
        </is>
      </c>
      <c r="C207" t="inlineStr">
        <is>
          <t>2017</t>
        </is>
      </c>
      <c r="D207" t="n">
        <v>150</v>
      </c>
      <c r="E207" t="inlineStr">
        <is>
          <t>Nicolet-Bécancour</t>
        </is>
      </c>
      <c r="F207" t="n">
        <v>0.0505373353258006</v>
      </c>
      <c r="G207" t="n">
        <v>2</v>
      </c>
    </row>
    <row r="208">
      <c r="A208" t="inlineStr">
        <is>
          <t>Marie-Lacoste-Gérin-Lajoie</t>
        </is>
      </c>
      <c r="B208" t="inlineStr">
        <is>
          <t>Reste du Québec</t>
        </is>
      </c>
      <c r="C208" t="inlineStr">
        <is>
          <t>2017</t>
        </is>
      </c>
      <c r="D208" t="n">
        <v>138</v>
      </c>
      <c r="E208" t="inlineStr">
        <is>
          <t>Drummond-Bois-Francs</t>
        </is>
      </c>
      <c r="F208" t="n">
        <v>0.0358366918110915</v>
      </c>
      <c r="G208" t="n">
        <v>3</v>
      </c>
    </row>
    <row r="209">
      <c r="A209" t="inlineStr">
        <is>
          <t>Marie-Victorin</t>
        </is>
      </c>
      <c r="B209" t="inlineStr">
        <is>
          <t>Banlieue de Montréal</t>
        </is>
      </c>
      <c r="C209" t="inlineStr">
        <is>
          <t>2022</t>
        </is>
      </c>
      <c r="D209" t="n">
        <v>246</v>
      </c>
      <c r="E209" t="inlineStr">
        <is>
          <t>Marie-Victorin</t>
        </is>
      </c>
      <c r="F209" t="n">
        <v>0.999999999999449</v>
      </c>
      <c r="G209" t="n">
        <v>1</v>
      </c>
    </row>
    <row r="210">
      <c r="A210" t="inlineStr">
        <is>
          <t>Marie-Victorin</t>
        </is>
      </c>
      <c r="B210" t="inlineStr">
        <is>
          <t>Banlieue de Montréal</t>
        </is>
      </c>
      <c r="C210" t="inlineStr">
        <is>
          <t>2017</t>
        </is>
      </c>
      <c r="D210" t="n">
        <v>246</v>
      </c>
      <c r="E210" t="inlineStr">
        <is>
          <t>Marie-Victorin</t>
        </is>
      </c>
      <c r="F210" t="n">
        <v>0.999999998382464</v>
      </c>
      <c r="G210" t="n">
        <v>1</v>
      </c>
    </row>
    <row r="211">
      <c r="A211" t="inlineStr">
        <is>
          <t>Marquette</t>
        </is>
      </c>
      <c r="B211" t="inlineStr">
        <is>
          <t>Île de Montréal</t>
        </is>
      </c>
      <c r="C211" t="inlineStr">
        <is>
          <t>2022</t>
        </is>
      </c>
      <c r="D211" t="n">
        <v>306</v>
      </c>
      <c r="E211" t="inlineStr">
        <is>
          <t>Marquette</t>
        </is>
      </c>
      <c r="F211" t="n">
        <v>0.999999999462636</v>
      </c>
      <c r="G211" t="n">
        <v>1</v>
      </c>
    </row>
    <row r="212">
      <c r="A212" t="inlineStr">
        <is>
          <t>Marquette</t>
        </is>
      </c>
      <c r="B212" t="inlineStr">
        <is>
          <t>Île de Montréal</t>
        </is>
      </c>
      <c r="C212" t="inlineStr">
        <is>
          <t>2017</t>
        </is>
      </c>
      <c r="D212" t="n">
        <v>306</v>
      </c>
      <c r="E212" t="inlineStr">
        <is>
          <t>Marquette</t>
        </is>
      </c>
      <c r="F212" t="n">
        <v>0.999999999462636</v>
      </c>
      <c r="G212" t="n">
        <v>1</v>
      </c>
    </row>
    <row r="213">
      <c r="A213" t="inlineStr">
        <is>
          <t>Maskinongé</t>
        </is>
      </c>
      <c r="B213" t="inlineStr">
        <is>
          <t>Reste du Québec</t>
        </is>
      </c>
      <c r="C213" t="inlineStr">
        <is>
          <t>2022</t>
        </is>
      </c>
      <c r="D213" t="n">
        <v>666</v>
      </c>
      <c r="E213" t="inlineStr">
        <is>
          <t>Maskinongé</t>
        </is>
      </c>
      <c r="F213" t="n">
        <v>0.999997460583916</v>
      </c>
      <c r="G213" t="n">
        <v>1</v>
      </c>
    </row>
    <row r="214">
      <c r="A214" t="inlineStr">
        <is>
          <t>Maskinongé</t>
        </is>
      </c>
      <c r="B214" t="inlineStr">
        <is>
          <t>Reste du Québec</t>
        </is>
      </c>
      <c r="C214" t="inlineStr">
        <is>
          <t>2017</t>
        </is>
      </c>
      <c r="D214" t="n">
        <v>666</v>
      </c>
      <c r="E214" t="inlineStr">
        <is>
          <t>Maskinongé</t>
        </is>
      </c>
      <c r="F214" t="n">
        <v>0.999997460583916</v>
      </c>
      <c r="G214" t="n">
        <v>1</v>
      </c>
    </row>
    <row r="215">
      <c r="A215" t="inlineStr">
        <is>
          <t>Masson</t>
        </is>
      </c>
      <c r="B215" t="inlineStr">
        <is>
          <t>Banlieue de Montréal</t>
        </is>
      </c>
      <c r="C215" t="inlineStr">
        <is>
          <t>2022</t>
        </is>
      </c>
      <c r="D215" t="n">
        <v>548</v>
      </c>
      <c r="E215" t="inlineStr">
        <is>
          <t>Masson</t>
        </is>
      </c>
      <c r="F215" t="n">
        <v>0.999991761539911</v>
      </c>
      <c r="G215" t="n">
        <v>1</v>
      </c>
    </row>
    <row r="216">
      <c r="A216" t="inlineStr">
        <is>
          <t>Masson</t>
        </is>
      </c>
      <c r="B216" t="inlineStr">
        <is>
          <t>Banlieue de Montréal</t>
        </is>
      </c>
      <c r="C216" t="inlineStr">
        <is>
          <t>2017</t>
        </is>
      </c>
      <c r="D216" t="n">
        <v>548</v>
      </c>
      <c r="E216" t="inlineStr">
        <is>
          <t>Masson</t>
        </is>
      </c>
      <c r="F216" t="n">
        <v>0.999991761539911</v>
      </c>
      <c r="G216" t="n">
        <v>1</v>
      </c>
    </row>
    <row r="217">
      <c r="A217" t="inlineStr">
        <is>
          <t>Matane-Matapédia-Mitis</t>
        </is>
      </c>
      <c r="B217" t="inlineStr">
        <is>
          <t>Reste du Québec</t>
        </is>
      </c>
      <c r="C217" t="inlineStr">
        <is>
          <t>2022</t>
        </is>
      </c>
      <c r="D217" t="n">
        <v>842</v>
      </c>
      <c r="E217" t="inlineStr">
        <is>
          <t>Matane-Matapédia</t>
        </is>
      </c>
      <c r="F217" t="n">
        <v>0.999996669774384</v>
      </c>
      <c r="G217" t="n">
        <v>1</v>
      </c>
    </row>
    <row r="218">
      <c r="A218" t="inlineStr">
        <is>
          <t>Matane-Matapédia-Mitis</t>
        </is>
      </c>
      <c r="B218" t="inlineStr">
        <is>
          <t>Reste du Québec</t>
        </is>
      </c>
      <c r="C218" t="inlineStr">
        <is>
          <t>2017</t>
        </is>
      </c>
      <c r="D218" t="n">
        <v>842</v>
      </c>
      <c r="E218" t="inlineStr">
        <is>
          <t>Matane-Matapédia</t>
        </is>
      </c>
      <c r="F218" t="n">
        <v>0.999996626458946</v>
      </c>
      <c r="G218" t="n">
        <v>1</v>
      </c>
    </row>
    <row r="219">
      <c r="A219" t="inlineStr">
        <is>
          <t>Maurice-Richard</t>
        </is>
      </c>
      <c r="B219" t="inlineStr">
        <is>
          <t>Île de Montréal</t>
        </is>
      </c>
      <c r="C219" t="inlineStr">
        <is>
          <t>2022</t>
        </is>
      </c>
      <c r="D219" t="n">
        <v>340</v>
      </c>
      <c r="E219" t="inlineStr">
        <is>
          <t>Maurice-Richard</t>
        </is>
      </c>
      <c r="F219" t="n">
        <v>0.999999999999302</v>
      </c>
      <c r="G219" t="n">
        <v>1</v>
      </c>
    </row>
    <row r="220">
      <c r="A220" t="inlineStr">
        <is>
          <t>Maurice-Richard</t>
        </is>
      </c>
      <c r="B220" t="inlineStr">
        <is>
          <t>Île de Montréal</t>
        </is>
      </c>
      <c r="C220" t="inlineStr">
        <is>
          <t>2017</t>
        </is>
      </c>
      <c r="D220" t="n">
        <v>340</v>
      </c>
      <c r="E220" t="inlineStr">
        <is>
          <t>Maurice-Richard</t>
        </is>
      </c>
      <c r="F220" t="n">
        <v>0.999999999999302</v>
      </c>
      <c r="G220" t="n">
        <v>1</v>
      </c>
    </row>
    <row r="221">
      <c r="A221" t="inlineStr">
        <is>
          <t>Mégantic</t>
        </is>
      </c>
      <c r="B221" t="inlineStr">
        <is>
          <t>Reste du Québec</t>
        </is>
      </c>
      <c r="C221" t="inlineStr">
        <is>
          <t>2022</t>
        </is>
      </c>
      <c r="D221" t="n">
        <v>104</v>
      </c>
      <c r="E221" t="inlineStr">
        <is>
          <t>Mégantic</t>
        </is>
      </c>
      <c r="F221" t="n">
        <v>0.768339842994688</v>
      </c>
      <c r="G221" t="n">
        <v>1</v>
      </c>
    </row>
    <row r="222">
      <c r="A222" t="inlineStr">
        <is>
          <t>Mégantic</t>
        </is>
      </c>
      <c r="B222" t="inlineStr">
        <is>
          <t>Reste du Québec</t>
        </is>
      </c>
      <c r="C222" t="inlineStr">
        <is>
          <t>2022</t>
        </is>
      </c>
      <c r="D222" t="n">
        <v>132</v>
      </c>
      <c r="E222" t="inlineStr">
        <is>
          <t>Richmond</t>
        </is>
      </c>
      <c r="F222" t="n">
        <v>0.231660157005279</v>
      </c>
      <c r="G222" t="n">
        <v>2</v>
      </c>
    </row>
    <row r="223">
      <c r="A223" t="inlineStr">
        <is>
          <t>Mégantic</t>
        </is>
      </c>
      <c r="B223" t="inlineStr">
        <is>
          <t>Reste du Québec</t>
        </is>
      </c>
      <c r="C223" t="inlineStr">
        <is>
          <t>2017</t>
        </is>
      </c>
      <c r="D223" t="n">
        <v>104</v>
      </c>
      <c r="E223" t="inlineStr">
        <is>
          <t>Mégantic</t>
        </is>
      </c>
      <c r="F223" t="n">
        <v>0.768317541744617</v>
      </c>
      <c r="G223" t="n">
        <v>1</v>
      </c>
    </row>
    <row r="224">
      <c r="A224" t="inlineStr">
        <is>
          <t>Mégantic</t>
        </is>
      </c>
      <c r="B224" t="inlineStr">
        <is>
          <t>Reste du Québec</t>
        </is>
      </c>
      <c r="C224" t="inlineStr">
        <is>
          <t>2017</t>
        </is>
      </c>
      <c r="D224" t="n">
        <v>132</v>
      </c>
      <c r="E224" t="inlineStr">
        <is>
          <t>Richmond</t>
        </is>
      </c>
      <c r="F224" t="n">
        <v>0.231651048057181</v>
      </c>
      <c r="G224" t="n">
        <v>2</v>
      </c>
    </row>
    <row r="225">
      <c r="A225" t="inlineStr">
        <is>
          <t>Mercier</t>
        </is>
      </c>
      <c r="B225" t="inlineStr">
        <is>
          <t>Île de Montréal</t>
        </is>
      </c>
      <c r="C225" t="inlineStr">
        <is>
          <t>2022</t>
        </is>
      </c>
      <c r="D225" t="n">
        <v>350</v>
      </c>
      <c r="E225" t="inlineStr">
        <is>
          <t>Mercier</t>
        </is>
      </c>
      <c r="F225" t="n">
        <v>0.999967165047234</v>
      </c>
      <c r="G225" t="n">
        <v>1</v>
      </c>
    </row>
    <row r="226">
      <c r="A226" t="inlineStr">
        <is>
          <t>Mercier</t>
        </is>
      </c>
      <c r="B226" t="inlineStr">
        <is>
          <t>Île de Montréal</t>
        </is>
      </c>
      <c r="C226" t="inlineStr">
        <is>
          <t>2017</t>
        </is>
      </c>
      <c r="D226" t="n">
        <v>350</v>
      </c>
      <c r="E226" t="inlineStr">
        <is>
          <t>Mercier</t>
        </is>
      </c>
      <c r="F226" t="n">
        <v>0.999967165047234</v>
      </c>
      <c r="G226" t="n">
        <v>1</v>
      </c>
    </row>
    <row r="227">
      <c r="A227" t="inlineStr">
        <is>
          <t>Mille-Îles</t>
        </is>
      </c>
      <c r="B227" t="inlineStr">
        <is>
          <t>Banlieue de Montréal</t>
        </is>
      </c>
      <c r="C227" t="inlineStr">
        <is>
          <t>2022</t>
        </is>
      </c>
      <c r="D227" t="n">
        <v>482</v>
      </c>
      <c r="E227" t="inlineStr">
        <is>
          <t>Mille-Îles</t>
        </is>
      </c>
      <c r="F227" t="n">
        <v>0.9105333011579489</v>
      </c>
      <c r="G227" t="n">
        <v>1</v>
      </c>
    </row>
    <row r="228">
      <c r="A228" t="inlineStr">
        <is>
          <t>Mille-Îles</t>
        </is>
      </c>
      <c r="B228" t="inlineStr">
        <is>
          <t>Banlieue de Montréal</t>
        </is>
      </c>
      <c r="C228" t="inlineStr">
        <is>
          <t>2022</t>
        </is>
      </c>
      <c r="D228" t="n">
        <v>454</v>
      </c>
      <c r="E228" t="inlineStr">
        <is>
          <t>Laval-des-Rapides</t>
        </is>
      </c>
      <c r="F228" t="n">
        <v>0.0894666988417756</v>
      </c>
      <c r="G228" t="n">
        <v>2</v>
      </c>
    </row>
    <row r="229">
      <c r="A229" t="inlineStr">
        <is>
          <t>Mille-Îles</t>
        </is>
      </c>
      <c r="B229" t="inlineStr">
        <is>
          <t>Banlieue de Montréal</t>
        </is>
      </c>
      <c r="C229" t="inlineStr">
        <is>
          <t>2017</t>
        </is>
      </c>
      <c r="D229" t="n">
        <v>482</v>
      </c>
      <c r="E229" t="inlineStr">
        <is>
          <t>Mille-Îles</t>
        </is>
      </c>
      <c r="F229" t="n">
        <v>0.9105333011579489</v>
      </c>
      <c r="G229" t="n">
        <v>1</v>
      </c>
    </row>
    <row r="230">
      <c r="A230" t="inlineStr">
        <is>
          <t>Mille-Îles</t>
        </is>
      </c>
      <c r="B230" t="inlineStr">
        <is>
          <t>Banlieue de Montréal</t>
        </is>
      </c>
      <c r="C230" t="inlineStr">
        <is>
          <t>2017</t>
        </is>
      </c>
      <c r="D230" t="n">
        <v>454</v>
      </c>
      <c r="E230" t="inlineStr">
        <is>
          <t>Laval-des-Rapides</t>
        </is>
      </c>
      <c r="F230" t="n">
        <v>0.0894666988417756</v>
      </c>
      <c r="G230" t="n">
        <v>2</v>
      </c>
    </row>
    <row r="231">
      <c r="A231" t="inlineStr">
        <is>
          <t>Mirabel</t>
        </is>
      </c>
      <c r="B231" t="inlineStr">
        <is>
          <t>Banlieue de Montréal</t>
        </is>
      </c>
      <c r="C231" t="inlineStr">
        <is>
          <t>2022</t>
        </is>
      </c>
      <c r="D231" t="n">
        <v>514</v>
      </c>
      <c r="E231" t="inlineStr">
        <is>
          <t>Mirabel</t>
        </is>
      </c>
      <c r="F231" t="n">
        <v>0.999947463559961</v>
      </c>
      <c r="G231" t="n">
        <v>1</v>
      </c>
    </row>
    <row r="232">
      <c r="A232" t="inlineStr">
        <is>
          <t>Mirabel</t>
        </is>
      </c>
      <c r="B232" t="inlineStr">
        <is>
          <t>Banlieue de Montréal</t>
        </is>
      </c>
      <c r="C232" t="inlineStr">
        <is>
          <t>2017</t>
        </is>
      </c>
      <c r="D232" t="n">
        <v>514</v>
      </c>
      <c r="E232" t="inlineStr">
        <is>
          <t>Mirabel</t>
        </is>
      </c>
      <c r="F232" t="n">
        <v>0.999947463559961</v>
      </c>
      <c r="G232" t="n">
        <v>1</v>
      </c>
    </row>
    <row r="233">
      <c r="A233" t="inlineStr">
        <is>
          <t>Montarville</t>
        </is>
      </c>
      <c r="B233" t="inlineStr">
        <is>
          <t>Banlieue de Montréal</t>
        </is>
      </c>
      <c r="C233" t="inlineStr">
        <is>
          <t>2022</t>
        </is>
      </c>
      <c r="D233" t="n">
        <v>252</v>
      </c>
      <c r="E233" t="inlineStr">
        <is>
          <t>Montarville</t>
        </is>
      </c>
      <c r="F233" t="n">
        <v>0.999999999999866</v>
      </c>
      <c r="G233" t="n">
        <v>1</v>
      </c>
    </row>
    <row r="234">
      <c r="A234" t="inlineStr">
        <is>
          <t>Montarville</t>
        </is>
      </c>
      <c r="B234" t="inlineStr">
        <is>
          <t>Banlieue de Montréal</t>
        </is>
      </c>
      <c r="C234" t="inlineStr">
        <is>
          <t>2017</t>
        </is>
      </c>
      <c r="D234" t="n">
        <v>252</v>
      </c>
      <c r="E234" t="inlineStr">
        <is>
          <t>Montarville</t>
        </is>
      </c>
      <c r="F234" t="n">
        <v>0.999527911536662</v>
      </c>
      <c r="G234" t="n">
        <v>1</v>
      </c>
    </row>
    <row r="235">
      <c r="A235" t="inlineStr">
        <is>
          <t>Montarville</t>
        </is>
      </c>
      <c r="B235" t="inlineStr">
        <is>
          <t>Banlieue de Montréal</t>
        </is>
      </c>
      <c r="C235" t="inlineStr">
        <is>
          <t>2017</t>
        </is>
      </c>
      <c r="D235" t="n">
        <v>238</v>
      </c>
      <c r="E235" t="inlineStr">
        <is>
          <t>Chambly</t>
        </is>
      </c>
      <c r="F235" t="n">
        <v>0.00038635716955949</v>
      </c>
      <c r="G235" t="n">
        <v>2</v>
      </c>
    </row>
    <row r="236">
      <c r="A236" t="inlineStr">
        <is>
          <t>Montmorency</t>
        </is>
      </c>
      <c r="B236" t="inlineStr">
        <is>
          <t>Québec RMR</t>
        </is>
      </c>
      <c r="C236" t="inlineStr">
        <is>
          <t>2022</t>
        </is>
      </c>
      <c r="D236" t="n">
        <v>742</v>
      </c>
      <c r="E236" t="inlineStr">
        <is>
          <t>Montmorency</t>
        </is>
      </c>
      <c r="F236" t="n">
        <v>0.999983411536557</v>
      </c>
      <c r="G236" t="n">
        <v>1</v>
      </c>
    </row>
    <row r="237">
      <c r="A237" t="inlineStr">
        <is>
          <t>Montmorency</t>
        </is>
      </c>
      <c r="B237" t="inlineStr">
        <is>
          <t>Québec RMR</t>
        </is>
      </c>
      <c r="C237" t="inlineStr">
        <is>
          <t>2017</t>
        </is>
      </c>
      <c r="D237" t="n">
        <v>742</v>
      </c>
      <c r="E237" t="inlineStr">
        <is>
          <t>Montmorency</t>
        </is>
      </c>
      <c r="F237" t="n">
        <v>0.999969570053829</v>
      </c>
      <c r="G237" t="n">
        <v>1</v>
      </c>
    </row>
    <row r="238">
      <c r="A238" t="inlineStr">
        <is>
          <t>Mont-Royal-Outremont</t>
        </is>
      </c>
      <c r="B238" t="inlineStr">
        <is>
          <t>Île de Montréal</t>
        </is>
      </c>
      <c r="C238" t="inlineStr">
        <is>
          <t>2022</t>
        </is>
      </c>
      <c r="D238" t="n">
        <v>336</v>
      </c>
      <c r="E238" t="inlineStr">
        <is>
          <t>Mont-Royal-Outremont</t>
        </is>
      </c>
      <c r="F238" t="n">
        <v>0.999999994080044</v>
      </c>
      <c r="G238" t="n">
        <v>1</v>
      </c>
    </row>
    <row r="239">
      <c r="A239" t="inlineStr">
        <is>
          <t>Mont-Royal-Outremont</t>
        </is>
      </c>
      <c r="B239" t="inlineStr">
        <is>
          <t>Île de Montréal</t>
        </is>
      </c>
      <c r="C239" t="inlineStr">
        <is>
          <t>2017</t>
        </is>
      </c>
      <c r="D239" t="n">
        <v>336</v>
      </c>
      <c r="E239" t="inlineStr">
        <is>
          <t>Mont-Royal-Outremont</t>
        </is>
      </c>
      <c r="F239" t="n">
        <v>0.999999984259995</v>
      </c>
      <c r="G239" t="n">
        <v>1</v>
      </c>
    </row>
    <row r="240">
      <c r="A240" t="inlineStr">
        <is>
          <t>Nelligan</t>
        </is>
      </c>
      <c r="B240" t="inlineStr">
        <is>
          <t>Île de Montréal</t>
        </is>
      </c>
      <c r="C240" t="inlineStr">
        <is>
          <t>2022</t>
        </is>
      </c>
      <c r="D240" t="n">
        <v>312</v>
      </c>
      <c r="E240" t="inlineStr">
        <is>
          <t>Nelligan</t>
        </is>
      </c>
      <c r="F240" t="n">
        <v>0.999932607119389</v>
      </c>
      <c r="G240" t="n">
        <v>1</v>
      </c>
    </row>
    <row r="241">
      <c r="A241" t="inlineStr">
        <is>
          <t>Nelligan</t>
        </is>
      </c>
      <c r="B241" t="inlineStr">
        <is>
          <t>Île de Montréal</t>
        </is>
      </c>
      <c r="C241" t="inlineStr">
        <is>
          <t>2017</t>
        </is>
      </c>
      <c r="D241" t="n">
        <v>312</v>
      </c>
      <c r="E241" t="inlineStr">
        <is>
          <t>Nelligan</t>
        </is>
      </c>
      <c r="F241" t="n">
        <v>0.999932607119389</v>
      </c>
      <c r="G241" t="n">
        <v>1</v>
      </c>
    </row>
    <row r="242">
      <c r="A242" t="inlineStr">
        <is>
          <t>Nicolet-Bécancour</t>
        </is>
      </c>
      <c r="B242" t="inlineStr">
        <is>
          <t>Reste du Québec</t>
        </is>
      </c>
      <c r="C242" t="inlineStr">
        <is>
          <t>2022</t>
        </is>
      </c>
      <c r="D242" t="n">
        <v>150</v>
      </c>
      <c r="E242" t="inlineStr">
        <is>
          <t>Nicolet-Bécancour</t>
        </is>
      </c>
      <c r="F242" t="n">
        <v>0.962089354929697</v>
      </c>
      <c r="G242" t="n">
        <v>1</v>
      </c>
    </row>
    <row r="243">
      <c r="A243" t="inlineStr">
        <is>
          <t>Nicolet-Bécancour</t>
        </is>
      </c>
      <c r="B243" t="inlineStr">
        <is>
          <t>Reste du Québec</t>
        </is>
      </c>
      <c r="C243" t="inlineStr">
        <is>
          <t>2022</t>
        </is>
      </c>
      <c r="D243" t="n">
        <v>144</v>
      </c>
      <c r="E243" t="inlineStr">
        <is>
          <t>Arthabaska</t>
        </is>
      </c>
      <c r="F243" t="n">
        <v>0.0376096015708125</v>
      </c>
      <c r="G243" t="n">
        <v>2</v>
      </c>
    </row>
    <row r="244">
      <c r="A244" t="inlineStr">
        <is>
          <t>Nicolet-Bécancour</t>
        </is>
      </c>
      <c r="B244" t="inlineStr">
        <is>
          <t>Reste du Québec</t>
        </is>
      </c>
      <c r="C244" t="inlineStr">
        <is>
          <t>2022</t>
        </is>
      </c>
      <c r="D244" t="n">
        <v>264</v>
      </c>
      <c r="E244" t="inlineStr">
        <is>
          <t>Richelieu</t>
        </is>
      </c>
      <c r="F244" t="n">
        <v>0.000181076667909753</v>
      </c>
      <c r="G244" t="n">
        <v>3</v>
      </c>
    </row>
    <row r="245">
      <c r="A245" t="inlineStr">
        <is>
          <t>Nicolet-Bécancour</t>
        </is>
      </c>
      <c r="B245" t="inlineStr">
        <is>
          <t>Reste du Québec</t>
        </is>
      </c>
      <c r="C245" t="inlineStr">
        <is>
          <t>2022</t>
        </is>
      </c>
      <c r="D245" t="n">
        <v>138</v>
      </c>
      <c r="E245" t="inlineStr">
        <is>
          <t>Drummond-Bois-Francs</t>
        </is>
      </c>
      <c r="F245" t="n">
        <v>0.000119814364914191</v>
      </c>
      <c r="G245" t="n">
        <v>4</v>
      </c>
    </row>
    <row r="246">
      <c r="A246" t="inlineStr">
        <is>
          <t>Nicolet-Bécancour</t>
        </is>
      </c>
      <c r="B246" t="inlineStr">
        <is>
          <t>Reste du Québec</t>
        </is>
      </c>
      <c r="C246" t="inlineStr">
        <is>
          <t>2017</t>
        </is>
      </c>
      <c r="D246" t="n">
        <v>150</v>
      </c>
      <c r="E246" t="inlineStr">
        <is>
          <t>Nicolet-Bécancour</t>
        </is>
      </c>
      <c r="F246" t="n">
        <v>0.962089354929697</v>
      </c>
      <c r="G246" t="n">
        <v>1</v>
      </c>
    </row>
    <row r="247">
      <c r="A247" t="inlineStr">
        <is>
          <t>Nicolet-Bécancour</t>
        </is>
      </c>
      <c r="B247" t="inlineStr">
        <is>
          <t>Reste du Québec</t>
        </is>
      </c>
      <c r="C247" t="inlineStr">
        <is>
          <t>2017</t>
        </is>
      </c>
      <c r="D247" t="n">
        <v>144</v>
      </c>
      <c r="E247" t="inlineStr">
        <is>
          <t>Arthabaska</t>
        </is>
      </c>
      <c r="F247" t="n">
        <v>0.0376096015708125</v>
      </c>
      <c r="G247" t="n">
        <v>2</v>
      </c>
    </row>
    <row r="248">
      <c r="A248" t="inlineStr">
        <is>
          <t>Nicolet-Bécancour</t>
        </is>
      </c>
      <c r="B248" t="inlineStr">
        <is>
          <t>Reste du Québec</t>
        </is>
      </c>
      <c r="C248" t="inlineStr">
        <is>
          <t>2017</t>
        </is>
      </c>
      <c r="D248" t="n">
        <v>264</v>
      </c>
      <c r="E248" t="inlineStr">
        <is>
          <t>Richelieu</t>
        </is>
      </c>
      <c r="F248" t="n">
        <v>0.000181076667909753</v>
      </c>
      <c r="G248" t="n">
        <v>3</v>
      </c>
    </row>
    <row r="249">
      <c r="A249" t="inlineStr">
        <is>
          <t>Nicolet-Bécancour</t>
        </is>
      </c>
      <c r="B249" t="inlineStr">
        <is>
          <t>Reste du Québec</t>
        </is>
      </c>
      <c r="C249" t="inlineStr">
        <is>
          <t>2017</t>
        </is>
      </c>
      <c r="D249" t="n">
        <v>138</v>
      </c>
      <c r="E249" t="inlineStr">
        <is>
          <t>Drummond-Bois-Francs</t>
        </is>
      </c>
      <c r="F249" t="n">
        <v>0.000119814364914191</v>
      </c>
      <c r="G249" t="n">
        <v>4</v>
      </c>
    </row>
    <row r="250">
      <c r="A250" t="inlineStr">
        <is>
          <t>Notre-Dame-de-Grâce</t>
        </is>
      </c>
      <c r="B250" t="inlineStr">
        <is>
          <t>Île de Montréal</t>
        </is>
      </c>
      <c r="C250" t="inlineStr">
        <is>
          <t>2022</t>
        </is>
      </c>
      <c r="D250" t="n">
        <v>324</v>
      </c>
      <c r="E250" t="inlineStr">
        <is>
          <t>Notre-Dame-de-Grâce</t>
        </is>
      </c>
      <c r="F250" t="n">
        <v>0.999999999344767</v>
      </c>
      <c r="G250" t="n">
        <v>1</v>
      </c>
    </row>
    <row r="251">
      <c r="A251" t="inlineStr">
        <is>
          <t>Notre-Dame-de-Grâce</t>
        </is>
      </c>
      <c r="B251" t="inlineStr">
        <is>
          <t>Île de Montréal</t>
        </is>
      </c>
      <c r="C251" t="inlineStr">
        <is>
          <t>2017</t>
        </is>
      </c>
      <c r="D251" t="n">
        <v>324</v>
      </c>
      <c r="E251" t="inlineStr">
        <is>
          <t>Notre-Dame-de-Grâce</t>
        </is>
      </c>
      <c r="F251" t="n">
        <v>0.999999999344767</v>
      </c>
      <c r="G251" t="n">
        <v>1</v>
      </c>
    </row>
    <row r="252">
      <c r="A252" t="inlineStr">
        <is>
          <t>Orford</t>
        </is>
      </c>
      <c r="B252" t="inlineStr">
        <is>
          <t>Reste du Québec</t>
        </is>
      </c>
      <c r="C252" t="inlineStr">
        <is>
          <t>2022</t>
        </is>
      </c>
      <c r="D252" t="n">
        <v>120</v>
      </c>
      <c r="E252" t="inlineStr">
        <is>
          <t>Orford</t>
        </is>
      </c>
      <c r="F252" t="n">
        <v>0.999989016102887</v>
      </c>
      <c r="G252" t="n">
        <v>1</v>
      </c>
    </row>
    <row r="253">
      <c r="A253" t="inlineStr">
        <is>
          <t>Orford</t>
        </is>
      </c>
      <c r="B253" t="inlineStr">
        <is>
          <t>Reste du Québec</t>
        </is>
      </c>
      <c r="C253" t="inlineStr">
        <is>
          <t>2017</t>
        </is>
      </c>
      <c r="D253" t="n">
        <v>120</v>
      </c>
      <c r="E253" t="inlineStr">
        <is>
          <t>Orford</t>
        </is>
      </c>
      <c r="F253" t="n">
        <v>0.99991366101246</v>
      </c>
      <c r="G253" t="n">
        <v>1</v>
      </c>
    </row>
    <row r="254">
      <c r="A254" t="inlineStr">
        <is>
          <t>Papineau</t>
        </is>
      </c>
      <c r="B254" t="inlineStr">
        <is>
          <t>Banlieue de Montréal</t>
        </is>
      </c>
      <c r="C254" t="inlineStr">
        <is>
          <t>2022</t>
        </is>
      </c>
      <c r="D254" t="n">
        <v>626</v>
      </c>
      <c r="E254" t="inlineStr">
        <is>
          <t>Papineau</t>
        </is>
      </c>
      <c r="F254" t="n">
        <v>0.999935775645034</v>
      </c>
      <c r="G254" t="n">
        <v>1</v>
      </c>
    </row>
    <row r="255">
      <c r="A255" t="inlineStr">
        <is>
          <t>Papineau</t>
        </is>
      </c>
      <c r="B255" t="inlineStr">
        <is>
          <t>Banlieue de Montréal</t>
        </is>
      </c>
      <c r="C255" t="inlineStr">
        <is>
          <t>2017</t>
        </is>
      </c>
      <c r="D255" t="n">
        <v>626</v>
      </c>
      <c r="E255" t="inlineStr">
        <is>
          <t>Papineau</t>
        </is>
      </c>
      <c r="F255" t="n">
        <v>0.999930959024131</v>
      </c>
      <c r="G255" t="n">
        <v>1</v>
      </c>
    </row>
    <row r="256">
      <c r="A256" t="inlineStr">
        <is>
          <t>Pierre-Laporte</t>
        </is>
      </c>
      <c r="B256" t="inlineStr">
        <is>
          <t>Banlieue de Montréal</t>
        </is>
      </c>
      <c r="C256" t="inlineStr">
        <is>
          <t>2022</t>
        </is>
      </c>
      <c r="D256" t="n">
        <v>244</v>
      </c>
      <c r="E256" t="inlineStr">
        <is>
          <t>Laporte</t>
        </is>
      </c>
      <c r="F256" t="n">
        <v>0.99999999999888</v>
      </c>
      <c r="G256" t="n">
        <v>1</v>
      </c>
    </row>
    <row r="257">
      <c r="A257" t="inlineStr">
        <is>
          <t>Pierre-Laporte</t>
        </is>
      </c>
      <c r="B257" t="inlineStr">
        <is>
          <t>Banlieue de Montréal</t>
        </is>
      </c>
      <c r="C257" t="inlineStr">
        <is>
          <t>2017</t>
        </is>
      </c>
      <c r="D257" t="n">
        <v>244</v>
      </c>
      <c r="E257" t="inlineStr">
        <is>
          <t>Laporte</t>
        </is>
      </c>
      <c r="F257" t="n">
        <v>0.99975689890748</v>
      </c>
      <c r="G257" t="n">
        <v>1</v>
      </c>
    </row>
    <row r="258">
      <c r="A258" t="inlineStr">
        <is>
          <t>Pierre-Laporte</t>
        </is>
      </c>
      <c r="B258" t="inlineStr">
        <is>
          <t>Banlieue de Montréal</t>
        </is>
      </c>
      <c r="C258" t="inlineStr">
        <is>
          <t>2017</t>
        </is>
      </c>
      <c r="D258" t="n">
        <v>246</v>
      </c>
      <c r="E258" t="inlineStr">
        <is>
          <t>Marie-Victorin</t>
        </is>
      </c>
      <c r="F258" t="n">
        <v>0.00024310109160617</v>
      </c>
      <c r="G258" t="n">
        <v>2</v>
      </c>
    </row>
    <row r="259">
      <c r="A259" t="inlineStr">
        <is>
          <t>Pointe-aux-Trembles</t>
        </is>
      </c>
      <c r="B259" t="inlineStr">
        <is>
          <t>Île de Montréal</t>
        </is>
      </c>
      <c r="C259" t="inlineStr">
        <is>
          <t>2022</t>
        </is>
      </c>
      <c r="D259" t="n">
        <v>380</v>
      </c>
      <c r="E259" t="inlineStr">
        <is>
          <t>Pointe-aux-Trembles</t>
        </is>
      </c>
      <c r="F259" t="n">
        <v>0.9999999999582621</v>
      </c>
      <c r="G259" t="n">
        <v>1</v>
      </c>
    </row>
    <row r="260">
      <c r="A260" t="inlineStr">
        <is>
          <t>Pointe-aux-Trembles</t>
        </is>
      </c>
      <c r="B260" t="inlineStr">
        <is>
          <t>Île de Montréal</t>
        </is>
      </c>
      <c r="C260" t="inlineStr">
        <is>
          <t>2017</t>
        </is>
      </c>
      <c r="D260" t="n">
        <v>380</v>
      </c>
      <c r="E260" t="inlineStr">
        <is>
          <t>Pointe-aux-Trembles</t>
        </is>
      </c>
      <c r="F260" t="n">
        <v>0.99999999880216</v>
      </c>
      <c r="G260" t="n">
        <v>1</v>
      </c>
    </row>
    <row r="261">
      <c r="A261" t="inlineStr">
        <is>
          <t>Pontiac</t>
        </is>
      </c>
      <c r="B261" t="inlineStr">
        <is>
          <t>Reste du Québec</t>
        </is>
      </c>
      <c r="C261" t="inlineStr">
        <is>
          <t>2022</t>
        </is>
      </c>
      <c r="D261" t="n">
        <v>608</v>
      </c>
      <c r="E261" t="inlineStr">
        <is>
          <t>Pontiac</t>
        </is>
      </c>
      <c r="F261" t="n">
        <v>0.999931342651428</v>
      </c>
      <c r="G261" t="n">
        <v>1</v>
      </c>
    </row>
    <row r="262">
      <c r="A262" t="inlineStr">
        <is>
          <t>Pontiac</t>
        </is>
      </c>
      <c r="B262" t="inlineStr">
        <is>
          <t>Reste du Québec</t>
        </is>
      </c>
      <c r="C262" t="inlineStr">
        <is>
          <t>2017</t>
        </is>
      </c>
      <c r="D262" t="n">
        <v>608</v>
      </c>
      <c r="E262" t="inlineStr">
        <is>
          <t>Pontiac</t>
        </is>
      </c>
      <c r="F262" t="n">
        <v>0.999901092520275</v>
      </c>
      <c r="G262" t="n">
        <v>1</v>
      </c>
    </row>
    <row r="263">
      <c r="A263" t="inlineStr">
        <is>
          <t>Portneuf</t>
        </is>
      </c>
      <c r="B263" t="inlineStr">
        <is>
          <t>Québec RMR</t>
        </is>
      </c>
      <c r="C263" t="inlineStr">
        <is>
          <t>2022</t>
        </is>
      </c>
      <c r="D263" t="n">
        <v>714</v>
      </c>
      <c r="E263" t="inlineStr">
        <is>
          <t>Portneuf</t>
        </is>
      </c>
      <c r="F263" t="n">
        <v>0.835665962701763</v>
      </c>
      <c r="G263" t="n">
        <v>1</v>
      </c>
    </row>
    <row r="264">
      <c r="A264" t="inlineStr">
        <is>
          <t>Portneuf</t>
        </is>
      </c>
      <c r="B264" t="inlineStr">
        <is>
          <t>Québec RMR</t>
        </is>
      </c>
      <c r="C264" t="inlineStr">
        <is>
          <t>2022</t>
        </is>
      </c>
      <c r="D264" t="n">
        <v>720</v>
      </c>
      <c r="E264" t="inlineStr">
        <is>
          <t>La Peltrie</t>
        </is>
      </c>
      <c r="F264" t="n">
        <v>0.164334037298202</v>
      </c>
      <c r="G264" t="n">
        <v>2</v>
      </c>
    </row>
    <row r="265">
      <c r="A265" t="inlineStr">
        <is>
          <t>Portneuf</t>
        </is>
      </c>
      <c r="B265" t="inlineStr">
        <is>
          <t>Québec RMR</t>
        </is>
      </c>
      <c r="C265" t="inlineStr">
        <is>
          <t>2017</t>
        </is>
      </c>
      <c r="D265" t="n">
        <v>714</v>
      </c>
      <c r="E265" t="inlineStr">
        <is>
          <t>Portneuf</t>
        </is>
      </c>
      <c r="F265" t="n">
        <v>0.835580978552001</v>
      </c>
      <c r="G265" t="n">
        <v>1</v>
      </c>
    </row>
    <row r="266">
      <c r="A266" t="inlineStr">
        <is>
          <t>Portneuf</t>
        </is>
      </c>
      <c r="B266" t="inlineStr">
        <is>
          <t>Québec RMR</t>
        </is>
      </c>
      <c r="C266" t="inlineStr">
        <is>
          <t>2017</t>
        </is>
      </c>
      <c r="D266" t="n">
        <v>720</v>
      </c>
      <c r="E266" t="inlineStr">
        <is>
          <t>La Peltrie</t>
        </is>
      </c>
      <c r="F266" t="n">
        <v>0.164334037298202</v>
      </c>
      <c r="G266" t="n">
        <v>2</v>
      </c>
    </row>
    <row r="267">
      <c r="A267" t="inlineStr">
        <is>
          <t>Prévost</t>
        </is>
      </c>
      <c r="B267" t="inlineStr">
        <is>
          <t>Banlieue de Montréal</t>
        </is>
      </c>
      <c r="C267" t="inlineStr">
        <is>
          <t>2022</t>
        </is>
      </c>
      <c r="D267" t="n">
        <v>582</v>
      </c>
      <c r="E267" t="inlineStr">
        <is>
          <t>Prévost</t>
        </is>
      </c>
      <c r="F267" t="n">
        <v>0.99911868723603</v>
      </c>
      <c r="G267" t="n">
        <v>1</v>
      </c>
    </row>
    <row r="268">
      <c r="A268" t="inlineStr">
        <is>
          <t>Prévost</t>
        </is>
      </c>
      <c r="B268" t="inlineStr">
        <is>
          <t>Banlieue de Montréal</t>
        </is>
      </c>
      <c r="C268" t="inlineStr">
        <is>
          <t>2022</t>
        </is>
      </c>
      <c r="D268" t="n">
        <v>526</v>
      </c>
      <c r="E268" t="inlineStr">
        <is>
          <t>Saint-Jérôme</t>
        </is>
      </c>
      <c r="F268" t="n">
        <v>0.000577393593135549</v>
      </c>
      <c r="G268" t="n">
        <v>2</v>
      </c>
    </row>
    <row r="269">
      <c r="A269" t="inlineStr">
        <is>
          <t>Prévost</t>
        </is>
      </c>
      <c r="B269" t="inlineStr">
        <is>
          <t>Banlieue de Montréal</t>
        </is>
      </c>
      <c r="C269" t="inlineStr">
        <is>
          <t>2022</t>
        </is>
      </c>
      <c r="D269" t="n">
        <v>576</v>
      </c>
      <c r="E269" t="inlineStr">
        <is>
          <t>Rousseau</t>
        </is>
      </c>
      <c r="F269" t="n">
        <v>0.000283592511008996</v>
      </c>
      <c r="G269" t="n">
        <v>3</v>
      </c>
    </row>
    <row r="270">
      <c r="A270" t="inlineStr">
        <is>
          <t>Prévost</t>
        </is>
      </c>
      <c r="B270" t="inlineStr">
        <is>
          <t>Banlieue de Montréal</t>
        </is>
      </c>
      <c r="C270" t="inlineStr">
        <is>
          <t>2017</t>
        </is>
      </c>
      <c r="D270" t="n">
        <v>582</v>
      </c>
      <c r="E270" t="inlineStr">
        <is>
          <t>Prévost</t>
        </is>
      </c>
      <c r="F270" t="n">
        <v>0.99911868723603</v>
      </c>
      <c r="G270" t="n">
        <v>1</v>
      </c>
    </row>
    <row r="271">
      <c r="A271" t="inlineStr">
        <is>
          <t>Prévost</t>
        </is>
      </c>
      <c r="B271" t="inlineStr">
        <is>
          <t>Banlieue de Montréal</t>
        </is>
      </c>
      <c r="C271" t="inlineStr">
        <is>
          <t>2017</t>
        </is>
      </c>
      <c r="D271" t="n">
        <v>526</v>
      </c>
      <c r="E271" t="inlineStr">
        <is>
          <t>Saint-Jérôme</t>
        </is>
      </c>
      <c r="F271" t="n">
        <v>0.000577393593135549</v>
      </c>
      <c r="G271" t="n">
        <v>2</v>
      </c>
    </row>
    <row r="272">
      <c r="A272" t="inlineStr">
        <is>
          <t>Prévost</t>
        </is>
      </c>
      <c r="B272" t="inlineStr">
        <is>
          <t>Banlieue de Montréal</t>
        </is>
      </c>
      <c r="C272" t="inlineStr">
        <is>
          <t>2017</t>
        </is>
      </c>
      <c r="D272" t="n">
        <v>576</v>
      </c>
      <c r="E272" t="inlineStr">
        <is>
          <t>Rousseau</t>
        </is>
      </c>
      <c r="F272" t="n">
        <v>0.000283592511008996</v>
      </c>
      <c r="G272" t="n">
        <v>3</v>
      </c>
    </row>
    <row r="273">
      <c r="A273" t="inlineStr">
        <is>
          <t>René-Lévesque</t>
        </is>
      </c>
      <c r="B273" t="inlineStr">
        <is>
          <t>Reste du Québec</t>
        </is>
      </c>
      <c r="C273" t="inlineStr">
        <is>
          <t>2022</t>
        </is>
      </c>
      <c r="D273" t="n">
        <v>906</v>
      </c>
      <c r="E273" t="inlineStr">
        <is>
          <t>René-Lévesque</t>
        </is>
      </c>
      <c r="F273" t="n">
        <v>0.999999999999997</v>
      </c>
      <c r="G273" t="n">
        <v>1</v>
      </c>
    </row>
    <row r="274">
      <c r="A274" t="inlineStr">
        <is>
          <t>René-Lévesque</t>
        </is>
      </c>
      <c r="B274" t="inlineStr">
        <is>
          <t>Reste du Québec</t>
        </is>
      </c>
      <c r="C274" t="inlineStr">
        <is>
          <t>2017</t>
        </is>
      </c>
      <c r="D274" t="n">
        <v>906</v>
      </c>
      <c r="E274" t="inlineStr">
        <is>
          <t>René-Lévesque</t>
        </is>
      </c>
      <c r="F274" t="n">
        <v>0.999999999999997</v>
      </c>
      <c r="G274" t="n">
        <v>1</v>
      </c>
    </row>
    <row r="275">
      <c r="A275" t="inlineStr">
        <is>
          <t>Repentigny</t>
        </is>
      </c>
      <c r="B275" t="inlineStr">
        <is>
          <t>Banlieue de Montréal</t>
        </is>
      </c>
      <c r="C275" t="inlineStr">
        <is>
          <t>2022</t>
        </is>
      </c>
      <c r="D275" t="n">
        <v>560</v>
      </c>
      <c r="E275" t="inlineStr">
        <is>
          <t>Repentigny</t>
        </is>
      </c>
      <c r="F275" t="n">
        <v>0.908068606551377</v>
      </c>
      <c r="G275" t="n">
        <v>1</v>
      </c>
    </row>
    <row r="276">
      <c r="A276" t="inlineStr">
        <is>
          <t>Repentigny</t>
        </is>
      </c>
      <c r="B276" t="inlineStr">
        <is>
          <t>Banlieue de Montréal</t>
        </is>
      </c>
      <c r="C276" t="inlineStr">
        <is>
          <t>2022</t>
        </is>
      </c>
      <c r="D276" t="n">
        <v>554</v>
      </c>
      <c r="E276" t="inlineStr">
        <is>
          <t>L'Assomption</t>
        </is>
      </c>
      <c r="F276" t="n">
        <v>0.09193139344844981</v>
      </c>
      <c r="G276" t="n">
        <v>2</v>
      </c>
    </row>
    <row r="277">
      <c r="A277" t="inlineStr">
        <is>
          <t>Repentigny</t>
        </is>
      </c>
      <c r="B277" t="inlineStr">
        <is>
          <t>Banlieue de Montréal</t>
        </is>
      </c>
      <c r="C277" t="inlineStr">
        <is>
          <t>2017</t>
        </is>
      </c>
      <c r="D277" t="n">
        <v>560</v>
      </c>
      <c r="E277" t="inlineStr">
        <is>
          <t>Repentigny</t>
        </is>
      </c>
      <c r="F277" t="n">
        <v>0.907431991282316</v>
      </c>
      <c r="G277" t="n">
        <v>1</v>
      </c>
    </row>
    <row r="278">
      <c r="A278" t="inlineStr">
        <is>
          <t>Repentigny</t>
        </is>
      </c>
      <c r="B278" t="inlineStr">
        <is>
          <t>Banlieue de Montréal</t>
        </is>
      </c>
      <c r="C278" t="inlineStr">
        <is>
          <t>2017</t>
        </is>
      </c>
      <c r="D278" t="n">
        <v>554</v>
      </c>
      <c r="E278" t="inlineStr">
        <is>
          <t>L'Assomption</t>
        </is>
      </c>
      <c r="F278" t="n">
        <v>0.0925680087175286</v>
      </c>
      <c r="G278" t="n">
        <v>2</v>
      </c>
    </row>
    <row r="279">
      <c r="A279" t="inlineStr">
        <is>
          <t>Richelieu</t>
        </is>
      </c>
      <c r="B279" t="inlineStr">
        <is>
          <t>Banlieue de Montréal</t>
        </is>
      </c>
      <c r="C279" t="inlineStr">
        <is>
          <t>2022</t>
        </is>
      </c>
      <c r="D279" t="n">
        <v>264</v>
      </c>
      <c r="E279" t="inlineStr">
        <is>
          <t>Richelieu</t>
        </is>
      </c>
      <c r="F279" t="n">
        <v>0.85748073520049</v>
      </c>
      <c r="G279" t="n">
        <v>1</v>
      </c>
    </row>
    <row r="280">
      <c r="A280" t="inlineStr">
        <is>
          <t>Richelieu</t>
        </is>
      </c>
      <c r="B280" t="inlineStr">
        <is>
          <t>Banlieue de Montréal</t>
        </is>
      </c>
      <c r="C280" t="inlineStr">
        <is>
          <t>2022</t>
        </is>
      </c>
      <c r="D280" t="n">
        <v>256</v>
      </c>
      <c r="E280" t="inlineStr">
        <is>
          <t>Verchères</t>
        </is>
      </c>
      <c r="F280" t="n">
        <v>0.14248156180143</v>
      </c>
      <c r="G280" t="n">
        <v>2</v>
      </c>
    </row>
    <row r="281">
      <c r="A281" t="inlineStr">
        <is>
          <t>Richelieu</t>
        </is>
      </c>
      <c r="B281" t="inlineStr">
        <is>
          <t>Banlieue de Montréal</t>
        </is>
      </c>
      <c r="C281" t="inlineStr">
        <is>
          <t>2017</t>
        </is>
      </c>
      <c r="D281" t="n">
        <v>264</v>
      </c>
      <c r="E281" t="inlineStr">
        <is>
          <t>Richelieu</t>
        </is>
      </c>
      <c r="F281" t="n">
        <v>0.85748073520049</v>
      </c>
      <c r="G281" t="n">
        <v>1</v>
      </c>
    </row>
    <row r="282">
      <c r="A282" t="inlineStr">
        <is>
          <t>Richelieu</t>
        </is>
      </c>
      <c r="B282" t="inlineStr">
        <is>
          <t>Banlieue de Montréal</t>
        </is>
      </c>
      <c r="C282" t="inlineStr">
        <is>
          <t>2017</t>
        </is>
      </c>
      <c r="D282" t="n">
        <v>256</v>
      </c>
      <c r="E282" t="inlineStr">
        <is>
          <t>Verchères</t>
        </is>
      </c>
      <c r="F282" t="n">
        <v>0.14248156180143</v>
      </c>
      <c r="G282" t="n">
        <v>2</v>
      </c>
    </row>
    <row r="283">
      <c r="A283" t="inlineStr">
        <is>
          <t>Richmond</t>
        </is>
      </c>
      <c r="B283" t="inlineStr">
        <is>
          <t>Reste du Québec</t>
        </is>
      </c>
      <c r="C283" t="inlineStr">
        <is>
          <t>2022</t>
        </is>
      </c>
      <c r="D283" t="n">
        <v>132</v>
      </c>
      <c r="E283" t="inlineStr">
        <is>
          <t>Richmond</t>
        </is>
      </c>
      <c r="F283" t="n">
        <v>0.861988264423435</v>
      </c>
      <c r="G283" t="n">
        <v>1</v>
      </c>
    </row>
    <row r="284">
      <c r="A284" t="inlineStr">
        <is>
          <t>Richmond</t>
        </is>
      </c>
      <c r="B284" t="inlineStr">
        <is>
          <t>Reste du Québec</t>
        </is>
      </c>
      <c r="C284" t="inlineStr">
        <is>
          <t>2022</t>
        </is>
      </c>
      <c r="D284" t="n">
        <v>110</v>
      </c>
      <c r="E284" t="inlineStr">
        <is>
          <t>Saint-François</t>
        </is>
      </c>
      <c r="F284" t="n">
        <v>0.0964284502933869</v>
      </c>
      <c r="G284" t="n">
        <v>2</v>
      </c>
    </row>
    <row r="285">
      <c r="A285" t="inlineStr">
        <is>
          <t>Richmond</t>
        </is>
      </c>
      <c r="B285" t="inlineStr">
        <is>
          <t>Reste du Québec</t>
        </is>
      </c>
      <c r="C285" t="inlineStr">
        <is>
          <t>2022</t>
        </is>
      </c>
      <c r="D285" t="n">
        <v>104</v>
      </c>
      <c r="E285" t="inlineStr">
        <is>
          <t>Mégantic</t>
        </is>
      </c>
      <c r="F285" t="n">
        <v>0.041583285283043</v>
      </c>
      <c r="G285" t="n">
        <v>3</v>
      </c>
    </row>
    <row r="286">
      <c r="A286" t="inlineStr">
        <is>
          <t>Richmond</t>
        </is>
      </c>
      <c r="B286" t="inlineStr">
        <is>
          <t>Reste du Québec</t>
        </is>
      </c>
      <c r="C286" t="inlineStr">
        <is>
          <t>2017</t>
        </is>
      </c>
      <c r="D286" t="n">
        <v>132</v>
      </c>
      <c r="E286" t="inlineStr">
        <is>
          <t>Richmond</t>
        </is>
      </c>
      <c r="F286" t="n">
        <v>0.8619882647255011</v>
      </c>
      <c r="G286" t="n">
        <v>1</v>
      </c>
    </row>
    <row r="287">
      <c r="A287" t="inlineStr">
        <is>
          <t>Richmond</t>
        </is>
      </c>
      <c r="B287" t="inlineStr">
        <is>
          <t>Reste du Québec</t>
        </is>
      </c>
      <c r="C287" t="inlineStr">
        <is>
          <t>2017</t>
        </is>
      </c>
      <c r="D287" t="n">
        <v>110</v>
      </c>
      <c r="E287" t="inlineStr">
        <is>
          <t>Saint-François</t>
        </is>
      </c>
      <c r="F287" t="n">
        <v>0.096428449991321</v>
      </c>
      <c r="G287" t="n">
        <v>2</v>
      </c>
    </row>
    <row r="288">
      <c r="A288" t="inlineStr">
        <is>
          <t>Richmond</t>
        </is>
      </c>
      <c r="B288" t="inlineStr">
        <is>
          <t>Reste du Québec</t>
        </is>
      </c>
      <c r="C288" t="inlineStr">
        <is>
          <t>2017</t>
        </is>
      </c>
      <c r="D288" t="n">
        <v>104</v>
      </c>
      <c r="E288" t="inlineStr">
        <is>
          <t>Mégantic</t>
        </is>
      </c>
      <c r="F288" t="n">
        <v>0.041583285283043</v>
      </c>
      <c r="G288" t="n">
        <v>3</v>
      </c>
    </row>
    <row r="289">
      <c r="A289" t="inlineStr">
        <is>
          <t>Rimouski</t>
        </is>
      </c>
      <c r="B289" t="inlineStr">
        <is>
          <t>Reste du Québec</t>
        </is>
      </c>
      <c r="C289" t="inlineStr">
        <is>
          <t>2022</t>
        </is>
      </c>
      <c r="D289" t="n">
        <v>838</v>
      </c>
      <c r="E289" t="inlineStr">
        <is>
          <t>Rimouski</t>
        </is>
      </c>
      <c r="F289" t="n">
        <v>0.9999999999871449</v>
      </c>
      <c r="G289" t="n">
        <v>1</v>
      </c>
    </row>
    <row r="290">
      <c r="A290" t="inlineStr">
        <is>
          <t>Rimouski</t>
        </is>
      </c>
      <c r="B290" t="inlineStr">
        <is>
          <t>Reste du Québec</t>
        </is>
      </c>
      <c r="C290" t="inlineStr">
        <is>
          <t>2017</t>
        </is>
      </c>
      <c r="D290" t="n">
        <v>838</v>
      </c>
      <c r="E290" t="inlineStr">
        <is>
          <t>Rimouski</t>
        </is>
      </c>
      <c r="F290" t="n">
        <v>0.9999999999871449</v>
      </c>
      <c r="G290" t="n">
        <v>1</v>
      </c>
    </row>
    <row r="291">
      <c r="A291" t="inlineStr">
        <is>
          <t>Rivière-du-Loup–Témiscouata–Les Basques</t>
        </is>
      </c>
      <c r="B291" t="inlineStr">
        <is>
          <t>Reste du Québec</t>
        </is>
      </c>
      <c r="C291" t="inlineStr">
        <is>
          <t>2022</t>
        </is>
      </c>
      <c r="D291" t="n">
        <v>834</v>
      </c>
      <c r="E291" t="inlineStr">
        <is>
          <t>Rivière-du-Loup-Témiscouata</t>
        </is>
      </c>
      <c r="F291" t="n">
        <v>0.999999999999989</v>
      </c>
      <c r="G291" t="n">
        <v>1</v>
      </c>
    </row>
    <row r="292">
      <c r="A292" t="inlineStr">
        <is>
          <t>Rivière-du-Loup–Témiscouata–Les Basques</t>
        </is>
      </c>
      <c r="B292" t="inlineStr">
        <is>
          <t>Reste du Québec</t>
        </is>
      </c>
      <c r="C292" t="inlineStr">
        <is>
          <t>2017</t>
        </is>
      </c>
      <c r="D292" t="n">
        <v>834</v>
      </c>
      <c r="E292" t="inlineStr">
        <is>
          <t>Rivière-du-Loup-Témiscouata</t>
        </is>
      </c>
      <c r="F292" t="n">
        <v>0.999999999863817</v>
      </c>
      <c r="G292" t="n">
        <v>1</v>
      </c>
    </row>
    <row r="293">
      <c r="A293" t="inlineStr">
        <is>
          <t>Robert-Baldwin</t>
        </is>
      </c>
      <c r="B293" t="inlineStr">
        <is>
          <t>Île de Montréal</t>
        </is>
      </c>
      <c r="C293" t="inlineStr">
        <is>
          <t>2022</t>
        </is>
      </c>
      <c r="D293" t="n">
        <v>316</v>
      </c>
      <c r="E293" t="inlineStr">
        <is>
          <t>Robert-Baldwin</t>
        </is>
      </c>
      <c r="F293" t="n">
        <v>0.999892491097397</v>
      </c>
      <c r="G293" t="n">
        <v>1</v>
      </c>
    </row>
    <row r="294">
      <c r="A294" t="inlineStr">
        <is>
          <t>Robert-Baldwin</t>
        </is>
      </c>
      <c r="B294" t="inlineStr">
        <is>
          <t>Île de Montréal</t>
        </is>
      </c>
      <c r="C294" t="inlineStr">
        <is>
          <t>2022</t>
        </is>
      </c>
      <c r="D294" t="n">
        <v>312</v>
      </c>
      <c r="E294" t="inlineStr">
        <is>
          <t>Nelligan</t>
        </is>
      </c>
      <c r="F294" t="n">
        <v>0.000107508902233003</v>
      </c>
      <c r="G294" t="n">
        <v>2</v>
      </c>
    </row>
    <row r="295">
      <c r="A295" t="inlineStr">
        <is>
          <t>Robert-Baldwin</t>
        </is>
      </c>
      <c r="B295" t="inlineStr">
        <is>
          <t>Île de Montréal</t>
        </is>
      </c>
      <c r="C295" t="inlineStr">
        <is>
          <t>2017</t>
        </is>
      </c>
      <c r="D295" t="n">
        <v>316</v>
      </c>
      <c r="E295" t="inlineStr">
        <is>
          <t>Robert-Baldwin</t>
        </is>
      </c>
      <c r="F295" t="n">
        <v>0.999892464049302</v>
      </c>
      <c r="G295" t="n">
        <v>1</v>
      </c>
    </row>
    <row r="296">
      <c r="A296" t="inlineStr">
        <is>
          <t>Robert-Baldwin</t>
        </is>
      </c>
      <c r="B296" t="inlineStr">
        <is>
          <t>Île de Montréal</t>
        </is>
      </c>
      <c r="C296" t="inlineStr">
        <is>
          <t>2017</t>
        </is>
      </c>
      <c r="D296" t="n">
        <v>312</v>
      </c>
      <c r="E296" t="inlineStr">
        <is>
          <t>Nelligan</t>
        </is>
      </c>
      <c r="F296" t="n">
        <v>0.000107508902233003</v>
      </c>
      <c r="G296" t="n">
        <v>2</v>
      </c>
    </row>
    <row r="297">
      <c r="A297" t="inlineStr">
        <is>
          <t>Roberval</t>
        </is>
      </c>
      <c r="B297" t="inlineStr">
        <is>
          <t>Reste du Québec</t>
        </is>
      </c>
      <c r="C297" t="inlineStr">
        <is>
          <t>2022</t>
        </is>
      </c>
      <c r="D297" t="n">
        <v>930</v>
      </c>
      <c r="E297" t="inlineStr">
        <is>
          <t>Roberval</t>
        </is>
      </c>
      <c r="F297" t="n">
        <v>0.99999999999911</v>
      </c>
      <c r="G297" t="n">
        <v>1</v>
      </c>
    </row>
    <row r="298">
      <c r="A298" t="inlineStr">
        <is>
          <t>Roberval</t>
        </is>
      </c>
      <c r="B298" t="inlineStr">
        <is>
          <t>Reste du Québec</t>
        </is>
      </c>
      <c r="C298" t="inlineStr">
        <is>
          <t>2017</t>
        </is>
      </c>
      <c r="D298" t="n">
        <v>930</v>
      </c>
      <c r="E298" t="inlineStr">
        <is>
          <t>Roberval</t>
        </is>
      </c>
      <c r="F298" t="n">
        <v>0.99999999999911</v>
      </c>
      <c r="G298" t="n">
        <v>1</v>
      </c>
    </row>
    <row r="299">
      <c r="A299" t="inlineStr">
        <is>
          <t>Rosemont</t>
        </is>
      </c>
      <c r="B299" t="inlineStr">
        <is>
          <t>Île de Montréal</t>
        </is>
      </c>
      <c r="C299" t="inlineStr">
        <is>
          <t>2022</t>
        </is>
      </c>
      <c r="D299" t="n">
        <v>356</v>
      </c>
      <c r="E299" t="inlineStr">
        <is>
          <t>Rosemont</t>
        </is>
      </c>
      <c r="F299" t="n">
        <v>0.999999999748123</v>
      </c>
      <c r="G299" t="n">
        <v>1</v>
      </c>
    </row>
    <row r="300">
      <c r="A300" t="inlineStr">
        <is>
          <t>Rosemont</t>
        </is>
      </c>
      <c r="B300" t="inlineStr">
        <is>
          <t>Île de Montréal</t>
        </is>
      </c>
      <c r="C300" t="inlineStr">
        <is>
          <t>2017</t>
        </is>
      </c>
      <c r="D300" t="n">
        <v>356</v>
      </c>
      <c r="E300" t="inlineStr">
        <is>
          <t>Rosemont</t>
        </is>
      </c>
      <c r="F300" t="n">
        <v>0.999999999748123</v>
      </c>
      <c r="G300" t="n">
        <v>1</v>
      </c>
    </row>
    <row r="301">
      <c r="A301" t="inlineStr">
        <is>
          <t>Rousseau</t>
        </is>
      </c>
      <c r="B301" t="inlineStr">
        <is>
          <t>Banlieue de Montréal</t>
        </is>
      </c>
      <c r="C301" t="inlineStr">
        <is>
          <t>2022</t>
        </is>
      </c>
      <c r="D301" t="n">
        <v>576</v>
      </c>
      <c r="E301" t="inlineStr">
        <is>
          <t>Rousseau</t>
        </is>
      </c>
      <c r="F301" t="n">
        <v>0.99906992798232</v>
      </c>
      <c r="G301" t="n">
        <v>1</v>
      </c>
    </row>
    <row r="302">
      <c r="A302" t="inlineStr">
        <is>
          <t>Rousseau</t>
        </is>
      </c>
      <c r="B302" t="inlineStr">
        <is>
          <t>Banlieue de Montréal</t>
        </is>
      </c>
      <c r="C302" t="inlineStr">
        <is>
          <t>2022</t>
        </is>
      </c>
      <c r="D302" t="n">
        <v>588</v>
      </c>
      <c r="E302" t="inlineStr">
        <is>
          <t>Bertrand</t>
        </is>
      </c>
      <c r="F302" t="n">
        <v>0.00040234933807661</v>
      </c>
      <c r="G302" t="n">
        <v>2</v>
      </c>
    </row>
    <row r="303">
      <c r="A303" t="inlineStr">
        <is>
          <t>Rousseau</t>
        </is>
      </c>
      <c r="B303" t="inlineStr">
        <is>
          <t>Banlieue de Montréal</t>
        </is>
      </c>
      <c r="C303" t="inlineStr">
        <is>
          <t>2022</t>
        </is>
      </c>
      <c r="D303" t="n">
        <v>582</v>
      </c>
      <c r="E303" t="inlineStr">
        <is>
          <t>Prévost</t>
        </is>
      </c>
      <c r="F303" t="n">
        <v>0.000372730632284369</v>
      </c>
      <c r="G303" t="n">
        <v>3</v>
      </c>
    </row>
    <row r="304">
      <c r="A304" t="inlineStr">
        <is>
          <t>Rousseau</t>
        </is>
      </c>
      <c r="B304" t="inlineStr">
        <is>
          <t>Banlieue de Montréal</t>
        </is>
      </c>
      <c r="C304" t="inlineStr">
        <is>
          <t>2022</t>
        </is>
      </c>
      <c r="D304" t="n">
        <v>554</v>
      </c>
      <c r="E304" t="inlineStr">
        <is>
          <t>L'Assomption</t>
        </is>
      </c>
      <c r="F304" t="n">
        <v>0.000126877093687085</v>
      </c>
      <c r="G304" t="n">
        <v>4</v>
      </c>
    </row>
    <row r="305">
      <c r="A305" t="inlineStr">
        <is>
          <t>Rousseau</t>
        </is>
      </c>
      <c r="B305" t="inlineStr">
        <is>
          <t>Banlieue de Montréal</t>
        </is>
      </c>
      <c r="C305" t="inlineStr">
        <is>
          <t>2017</t>
        </is>
      </c>
      <c r="D305" t="n">
        <v>576</v>
      </c>
      <c r="E305" t="inlineStr">
        <is>
          <t>Rousseau</t>
        </is>
      </c>
      <c r="F305" t="n">
        <v>0.999040852517216</v>
      </c>
      <c r="G305" t="n">
        <v>1</v>
      </c>
    </row>
    <row r="306">
      <c r="A306" t="inlineStr">
        <is>
          <t>Rousseau</t>
        </is>
      </c>
      <c r="B306" t="inlineStr">
        <is>
          <t>Banlieue de Montréal</t>
        </is>
      </c>
      <c r="C306" t="inlineStr">
        <is>
          <t>2017</t>
        </is>
      </c>
      <c r="D306" t="n">
        <v>588</v>
      </c>
      <c r="E306" t="inlineStr">
        <is>
          <t>Bertrand</t>
        </is>
      </c>
      <c r="F306" t="n">
        <v>0.00040234933807661</v>
      </c>
      <c r="G306" t="n">
        <v>2</v>
      </c>
    </row>
    <row r="307">
      <c r="A307" t="inlineStr">
        <is>
          <t>Rousseau</t>
        </is>
      </c>
      <c r="B307" t="inlineStr">
        <is>
          <t>Banlieue de Montréal</t>
        </is>
      </c>
      <c r="C307" t="inlineStr">
        <is>
          <t>2017</t>
        </is>
      </c>
      <c r="D307" t="n">
        <v>582</v>
      </c>
      <c r="E307" t="inlineStr">
        <is>
          <t>Prévost</t>
        </is>
      </c>
      <c r="F307" t="n">
        <v>0.000372730632284369</v>
      </c>
      <c r="G307" t="n">
        <v>3</v>
      </c>
    </row>
    <row r="308">
      <c r="A308" t="inlineStr">
        <is>
          <t>Rousseau</t>
        </is>
      </c>
      <c r="B308" t="inlineStr">
        <is>
          <t>Banlieue de Montréal</t>
        </is>
      </c>
      <c r="C308" t="inlineStr">
        <is>
          <t>2017</t>
        </is>
      </c>
      <c r="D308" t="n">
        <v>554</v>
      </c>
      <c r="E308" t="inlineStr">
        <is>
          <t>L'Assomption</t>
        </is>
      </c>
      <c r="F308" t="n">
        <v>0.000126877093687085</v>
      </c>
      <c r="G308" t="n">
        <v>4</v>
      </c>
    </row>
    <row r="309">
      <c r="A309" t="inlineStr">
        <is>
          <t>Rouyn-Noranda-Témiscamingue</t>
        </is>
      </c>
      <c r="B309" t="inlineStr">
        <is>
          <t>Reste du Québec</t>
        </is>
      </c>
      <c r="C309" t="inlineStr">
        <is>
          <t>2022</t>
        </is>
      </c>
      <c r="D309" t="n">
        <v>636</v>
      </c>
      <c r="E309" t="inlineStr">
        <is>
          <t>Rouyn-Noranda-Témiscamingue</t>
        </is>
      </c>
      <c r="F309" t="n">
        <v>0.999999999999997</v>
      </c>
      <c r="G309" t="n">
        <v>1</v>
      </c>
    </row>
    <row r="310">
      <c r="A310" t="inlineStr">
        <is>
          <t>Rouyn-Noranda-Témiscamingue</t>
        </is>
      </c>
      <c r="B310" t="inlineStr">
        <is>
          <t>Reste du Québec</t>
        </is>
      </c>
      <c r="C310" t="inlineStr">
        <is>
          <t>2017</t>
        </is>
      </c>
      <c r="D310" t="n">
        <v>636</v>
      </c>
      <c r="E310" t="inlineStr">
        <is>
          <t>Rouyn-Noranda-Témiscamingue</t>
        </is>
      </c>
      <c r="F310" t="n">
        <v>0.999999999996</v>
      </c>
      <c r="G310" t="n">
        <v>1</v>
      </c>
    </row>
    <row r="311">
      <c r="A311" t="inlineStr">
        <is>
          <t>Saint-François</t>
        </is>
      </c>
      <c r="B311" t="inlineStr">
        <is>
          <t>Reste du Québec</t>
        </is>
      </c>
      <c r="C311" t="inlineStr">
        <is>
          <t>2022</t>
        </is>
      </c>
      <c r="D311" t="n">
        <v>110</v>
      </c>
      <c r="E311" t="inlineStr">
        <is>
          <t>Saint-François</t>
        </is>
      </c>
      <c r="F311" t="n">
        <v>0.999999999999801</v>
      </c>
      <c r="G311" t="n">
        <v>1</v>
      </c>
    </row>
    <row r="312">
      <c r="A312" t="inlineStr">
        <is>
          <t>Saint-François</t>
        </is>
      </c>
      <c r="B312" t="inlineStr">
        <is>
          <t>Reste du Québec</t>
        </is>
      </c>
      <c r="C312" t="inlineStr">
        <is>
          <t>2017</t>
        </is>
      </c>
      <c r="D312" t="n">
        <v>110</v>
      </c>
      <c r="E312" t="inlineStr">
        <is>
          <t>Saint-François</t>
        </is>
      </c>
      <c r="F312" t="n">
        <v>0.999992450310755</v>
      </c>
      <c r="G312" t="n">
        <v>1</v>
      </c>
    </row>
    <row r="313">
      <c r="A313" t="inlineStr">
        <is>
          <t>Saint-Henri-Sainte-Anne</t>
        </is>
      </c>
      <c r="B313" t="inlineStr">
        <is>
          <t>Île de Montréal</t>
        </is>
      </c>
      <c r="C313" t="inlineStr">
        <is>
          <t>2022</t>
        </is>
      </c>
      <c r="D313" t="n">
        <v>326</v>
      </c>
      <c r="E313" t="inlineStr">
        <is>
          <t>Saint-Henri-Sainte-Anne</t>
        </is>
      </c>
      <c r="F313" t="n">
        <v>0.999999999965573</v>
      </c>
      <c r="G313" t="n">
        <v>1</v>
      </c>
    </row>
    <row r="314">
      <c r="A314" t="inlineStr">
        <is>
          <t>Saint-Henri-Sainte-Anne</t>
        </is>
      </c>
      <c r="B314" t="inlineStr">
        <is>
          <t>Île de Montréal</t>
        </is>
      </c>
      <c r="C314" t="inlineStr">
        <is>
          <t>2017</t>
        </is>
      </c>
      <c r="D314" t="n">
        <v>326</v>
      </c>
      <c r="E314" t="inlineStr">
        <is>
          <t>Saint-Henri-Sainte-Anne</t>
        </is>
      </c>
      <c r="F314" t="n">
        <v>0.999999999732869</v>
      </c>
      <c r="G314" t="n">
        <v>1</v>
      </c>
    </row>
    <row r="315">
      <c r="A315" t="inlineStr">
        <is>
          <t>Saint-Hyacinthe</t>
        </is>
      </c>
      <c r="B315" t="inlineStr">
        <is>
          <t>Reste du Québec</t>
        </is>
      </c>
      <c r="C315" t="inlineStr">
        <is>
          <t>2022</t>
        </is>
      </c>
      <c r="D315" t="n">
        <v>260</v>
      </c>
      <c r="E315" t="inlineStr">
        <is>
          <t>Saint-Hyacinthe</t>
        </is>
      </c>
      <c r="F315" t="n">
        <v>0.926035982751923</v>
      </c>
      <c r="G315" t="n">
        <v>1</v>
      </c>
    </row>
    <row r="316">
      <c r="A316" t="inlineStr">
        <is>
          <t>Saint-Hyacinthe</t>
        </is>
      </c>
      <c r="B316" t="inlineStr">
        <is>
          <t>Reste du Québec</t>
        </is>
      </c>
      <c r="C316" t="inlineStr">
        <is>
          <t>2022</t>
        </is>
      </c>
      <c r="D316" t="n">
        <v>258</v>
      </c>
      <c r="E316" t="inlineStr">
        <is>
          <t>Borduas</t>
        </is>
      </c>
      <c r="F316" t="n">
        <v>0.0739505794567696</v>
      </c>
      <c r="G316" t="n">
        <v>2</v>
      </c>
    </row>
    <row r="317">
      <c r="A317" t="inlineStr">
        <is>
          <t>Saint-Hyacinthe</t>
        </is>
      </c>
      <c r="B317" t="inlineStr">
        <is>
          <t>Reste du Québec</t>
        </is>
      </c>
      <c r="C317" t="inlineStr">
        <is>
          <t>2017</t>
        </is>
      </c>
      <c r="D317" t="n">
        <v>260</v>
      </c>
      <c r="E317" t="inlineStr">
        <is>
          <t>Saint-Hyacinthe</t>
        </is>
      </c>
      <c r="F317" t="n">
        <v>0.926035888886475</v>
      </c>
      <c r="G317" t="n">
        <v>1</v>
      </c>
    </row>
    <row r="318">
      <c r="A318" t="inlineStr">
        <is>
          <t>Saint-Hyacinthe</t>
        </is>
      </c>
      <c r="B318" t="inlineStr">
        <is>
          <t>Reste du Québec</t>
        </is>
      </c>
      <c r="C318" t="inlineStr">
        <is>
          <t>2017</t>
        </is>
      </c>
      <c r="D318" t="n">
        <v>258</v>
      </c>
      <c r="E318" t="inlineStr">
        <is>
          <t>Borduas</t>
        </is>
      </c>
      <c r="F318" t="n">
        <v>0.0739506733222185</v>
      </c>
      <c r="G318" t="n">
        <v>2</v>
      </c>
    </row>
    <row r="319">
      <c r="A319" t="inlineStr">
        <is>
          <t>Saint-Jean</t>
        </is>
      </c>
      <c r="B319" t="inlineStr">
        <is>
          <t>Banlieue de Montréal</t>
        </is>
      </c>
      <c r="C319" t="inlineStr">
        <is>
          <t>2022</t>
        </is>
      </c>
      <c r="D319" t="n">
        <v>212</v>
      </c>
      <c r="E319" t="inlineStr">
        <is>
          <t>Saint-Jean</t>
        </is>
      </c>
      <c r="F319" t="n">
        <v>0.999984714785723</v>
      </c>
      <c r="G319" t="n">
        <v>1</v>
      </c>
    </row>
    <row r="320">
      <c r="A320" t="inlineStr">
        <is>
          <t>Saint-Jean</t>
        </is>
      </c>
      <c r="B320" t="inlineStr">
        <is>
          <t>Banlieue de Montréal</t>
        </is>
      </c>
      <c r="C320" t="inlineStr">
        <is>
          <t>2017</t>
        </is>
      </c>
      <c r="D320" t="n">
        <v>212</v>
      </c>
      <c r="E320" t="inlineStr">
        <is>
          <t>Saint-Jean</t>
        </is>
      </c>
      <c r="F320" t="n">
        <v>0.999984714727471</v>
      </c>
      <c r="G320" t="n">
        <v>1</v>
      </c>
    </row>
    <row r="321">
      <c r="A321" t="inlineStr">
        <is>
          <t>Saint-Jérôme</t>
        </is>
      </c>
      <c r="B321" t="inlineStr">
        <is>
          <t>Reste du Québec</t>
        </is>
      </c>
      <c r="C321" t="inlineStr">
        <is>
          <t>2022</t>
        </is>
      </c>
      <c r="D321" t="n">
        <v>526</v>
      </c>
      <c r="E321" t="inlineStr">
        <is>
          <t>Saint-Jérôme</t>
        </is>
      </c>
      <c r="F321" t="n">
        <v>0.9998912552214499</v>
      </c>
      <c r="G321" t="n">
        <v>1</v>
      </c>
    </row>
    <row r="322">
      <c r="A322" t="inlineStr">
        <is>
          <t>Saint-Jérôme</t>
        </is>
      </c>
      <c r="B322" t="inlineStr">
        <is>
          <t>Reste du Québec</t>
        </is>
      </c>
      <c r="C322" t="inlineStr">
        <is>
          <t>2022</t>
        </is>
      </c>
      <c r="D322" t="n">
        <v>582</v>
      </c>
      <c r="E322" t="inlineStr">
        <is>
          <t>Prévost</t>
        </is>
      </c>
      <c r="F322" t="n">
        <v>0.00010874477835187</v>
      </c>
      <c r="G322" t="n">
        <v>2</v>
      </c>
    </row>
    <row r="323">
      <c r="A323" t="inlineStr">
        <is>
          <t>Saint-Jérôme</t>
        </is>
      </c>
      <c r="B323" t="inlineStr">
        <is>
          <t>Reste du Québec</t>
        </is>
      </c>
      <c r="C323" t="inlineStr">
        <is>
          <t>2017</t>
        </is>
      </c>
      <c r="D323" t="n">
        <v>526</v>
      </c>
      <c r="E323" t="inlineStr">
        <is>
          <t>Saint-Jérôme</t>
        </is>
      </c>
      <c r="F323" t="n">
        <v>0.9998912552214499</v>
      </c>
      <c r="G323" t="n">
        <v>1</v>
      </c>
    </row>
    <row r="324">
      <c r="A324" t="inlineStr">
        <is>
          <t>Saint-Jérôme</t>
        </is>
      </c>
      <c r="B324" t="inlineStr">
        <is>
          <t>Reste du Québec</t>
        </is>
      </c>
      <c r="C324" t="inlineStr">
        <is>
          <t>2017</t>
        </is>
      </c>
      <c r="D324" t="n">
        <v>582</v>
      </c>
      <c r="E324" t="inlineStr">
        <is>
          <t>Prévost</t>
        </is>
      </c>
      <c r="F324" t="n">
        <v>0.00010874477835187</v>
      </c>
      <c r="G324" t="n">
        <v>2</v>
      </c>
    </row>
    <row r="325">
      <c r="A325" t="inlineStr">
        <is>
          <t>Saint-Laurent</t>
        </is>
      </c>
      <c r="B325" t="inlineStr">
        <is>
          <t>Île de Montréal</t>
        </is>
      </c>
      <c r="C325" t="inlineStr">
        <is>
          <t>2022</t>
        </is>
      </c>
      <c r="D325" t="n">
        <v>318</v>
      </c>
      <c r="E325" t="inlineStr">
        <is>
          <t>Saint-Laurent</t>
        </is>
      </c>
      <c r="F325" t="n">
        <v>0.999999999980389</v>
      </c>
      <c r="G325" t="n">
        <v>1</v>
      </c>
    </row>
    <row r="326">
      <c r="A326" t="inlineStr">
        <is>
          <t>Saint-Laurent</t>
        </is>
      </c>
      <c r="B326" t="inlineStr">
        <is>
          <t>Île de Montréal</t>
        </is>
      </c>
      <c r="C326" t="inlineStr">
        <is>
          <t>2017</t>
        </is>
      </c>
      <c r="D326" t="n">
        <v>318</v>
      </c>
      <c r="E326" t="inlineStr">
        <is>
          <t>Saint-Laurent</t>
        </is>
      </c>
      <c r="F326" t="n">
        <v>0.999999999999546</v>
      </c>
      <c r="G326" t="n">
        <v>1</v>
      </c>
    </row>
    <row r="327">
      <c r="A327" t="inlineStr">
        <is>
          <t>Sainte-Marie-Saint-Jacques</t>
        </is>
      </c>
      <c r="B327" t="inlineStr">
        <is>
          <t>Île de Montréal</t>
        </is>
      </c>
      <c r="C327" t="inlineStr">
        <is>
          <t>2022</t>
        </is>
      </c>
      <c r="D327" t="n">
        <v>330</v>
      </c>
      <c r="E327" t="inlineStr">
        <is>
          <t>Sainte-Marie-Saint-Jacques</t>
        </is>
      </c>
      <c r="F327" t="n">
        <v>0.999815637974557</v>
      </c>
      <c r="G327" t="n">
        <v>1</v>
      </c>
    </row>
    <row r="328">
      <c r="A328" t="inlineStr">
        <is>
          <t>Sainte-Marie-Saint-Jacques</t>
        </is>
      </c>
      <c r="B328" t="inlineStr">
        <is>
          <t>Île de Montréal</t>
        </is>
      </c>
      <c r="C328" t="inlineStr">
        <is>
          <t>2022</t>
        </is>
      </c>
      <c r="D328" t="n">
        <v>352</v>
      </c>
      <c r="E328" t="inlineStr">
        <is>
          <t>Hochelaga-Maisonneuve</t>
        </is>
      </c>
      <c r="F328" t="n">
        <v>0.000184360661169163</v>
      </c>
      <c r="G328" t="n">
        <v>2</v>
      </c>
    </row>
    <row r="329">
      <c r="A329" t="inlineStr">
        <is>
          <t>Sainte-Marie-Saint-Jacques</t>
        </is>
      </c>
      <c r="B329" t="inlineStr">
        <is>
          <t>Île de Montréal</t>
        </is>
      </c>
      <c r="C329" t="inlineStr">
        <is>
          <t>2017</t>
        </is>
      </c>
      <c r="D329" t="n">
        <v>330</v>
      </c>
      <c r="E329" t="inlineStr">
        <is>
          <t>Sainte-Marie-Saint-Jacques</t>
        </is>
      </c>
      <c r="F329" t="n">
        <v>0.99981563792948</v>
      </c>
      <c r="G329" t="n">
        <v>1</v>
      </c>
    </row>
    <row r="330">
      <c r="A330" t="inlineStr">
        <is>
          <t>Sainte-Marie-Saint-Jacques</t>
        </is>
      </c>
      <c r="B330" t="inlineStr">
        <is>
          <t>Île de Montréal</t>
        </is>
      </c>
      <c r="C330" t="inlineStr">
        <is>
          <t>2017</t>
        </is>
      </c>
      <c r="D330" t="n">
        <v>352</v>
      </c>
      <c r="E330" t="inlineStr">
        <is>
          <t>Hochelaga-Maisonneuve</t>
        </is>
      </c>
      <c r="F330" t="n">
        <v>0.000184360661169163</v>
      </c>
      <c r="G330" t="n">
        <v>2</v>
      </c>
    </row>
    <row r="331">
      <c r="A331" t="inlineStr">
        <is>
          <t>Sainte-Rose</t>
        </is>
      </c>
      <c r="B331" t="inlineStr">
        <is>
          <t>Banlieue de Montréal</t>
        </is>
      </c>
      <c r="C331" t="inlineStr">
        <is>
          <t>2022</t>
        </is>
      </c>
      <c r="D331" t="n">
        <v>470</v>
      </c>
      <c r="E331" t="inlineStr">
        <is>
          <t>Sainte-Rose</t>
        </is>
      </c>
      <c r="F331" t="n">
        <v>0.999999680311758</v>
      </c>
      <c r="G331" t="n">
        <v>1</v>
      </c>
    </row>
    <row r="332">
      <c r="A332" t="inlineStr">
        <is>
          <t>Sainte-Rose</t>
        </is>
      </c>
      <c r="B332" t="inlineStr">
        <is>
          <t>Banlieue de Montréal</t>
        </is>
      </c>
      <c r="C332" t="inlineStr">
        <is>
          <t>2017</t>
        </is>
      </c>
      <c r="D332" t="n">
        <v>470</v>
      </c>
      <c r="E332" t="inlineStr">
        <is>
          <t>Sainte-Rose</t>
        </is>
      </c>
      <c r="F332" t="n">
        <v>0.999999680311758</v>
      </c>
      <c r="G332" t="n">
        <v>1</v>
      </c>
    </row>
    <row r="333">
      <c r="A333" t="inlineStr">
        <is>
          <t>Sanguinet</t>
        </is>
      </c>
      <c r="B333" t="inlineStr">
        <is>
          <t>Banlieue de Montréal</t>
        </is>
      </c>
      <c r="C333" t="inlineStr">
        <is>
          <t>2022</t>
        </is>
      </c>
      <c r="D333" t="n">
        <v>230</v>
      </c>
      <c r="E333" t="inlineStr">
        <is>
          <t>Sanguinet</t>
        </is>
      </c>
      <c r="F333" t="n">
        <v>0.9986958655192421</v>
      </c>
      <c r="G333" t="n">
        <v>1</v>
      </c>
    </row>
    <row r="334">
      <c r="A334" t="inlineStr">
        <is>
          <t>Sanguinet</t>
        </is>
      </c>
      <c r="B334" t="inlineStr">
        <is>
          <t>Banlieue de Montréal</t>
        </is>
      </c>
      <c r="C334" t="inlineStr">
        <is>
          <t>2022</t>
        </is>
      </c>
      <c r="D334" t="n">
        <v>232</v>
      </c>
      <c r="E334" t="inlineStr">
        <is>
          <t>La Prairie</t>
        </is>
      </c>
      <c r="F334" t="n">
        <v>0.00130397233177075</v>
      </c>
      <c r="G334" t="n">
        <v>2</v>
      </c>
    </row>
    <row r="335">
      <c r="A335" t="inlineStr">
        <is>
          <t>Sanguinet</t>
        </is>
      </c>
      <c r="B335" t="inlineStr">
        <is>
          <t>Banlieue de Montréal</t>
        </is>
      </c>
      <c r="C335" t="inlineStr">
        <is>
          <t>2017</t>
        </is>
      </c>
      <c r="D335" t="n">
        <v>230</v>
      </c>
      <c r="E335" t="inlineStr">
        <is>
          <t>Sanguinet</t>
        </is>
      </c>
      <c r="F335" t="n">
        <v>0.998583995811962</v>
      </c>
      <c r="G335" t="n">
        <v>1</v>
      </c>
    </row>
    <row r="336">
      <c r="A336" t="inlineStr">
        <is>
          <t>Sanguinet</t>
        </is>
      </c>
      <c r="B336" t="inlineStr">
        <is>
          <t>Banlieue de Montréal</t>
        </is>
      </c>
      <c r="C336" t="inlineStr">
        <is>
          <t>2017</t>
        </is>
      </c>
      <c r="D336" t="n">
        <v>232</v>
      </c>
      <c r="E336" t="inlineStr">
        <is>
          <t>La Prairie</t>
        </is>
      </c>
      <c r="F336" t="n">
        <v>0.00132720105187317</v>
      </c>
      <c r="G336" t="n">
        <v>2</v>
      </c>
    </row>
    <row r="337">
      <c r="A337" t="inlineStr">
        <is>
          <t>Sherbrooke</t>
        </is>
      </c>
      <c r="B337" t="inlineStr">
        <is>
          <t>Reste du Québec</t>
        </is>
      </c>
      <c r="C337" t="inlineStr">
        <is>
          <t>2022</t>
        </is>
      </c>
      <c r="D337" t="n">
        <v>116</v>
      </c>
      <c r="E337" t="inlineStr">
        <is>
          <t>Sherbrooke</t>
        </is>
      </c>
      <c r="F337" t="n">
        <v>0.999999999999728</v>
      </c>
      <c r="G337" t="n">
        <v>1</v>
      </c>
    </row>
    <row r="338">
      <c r="A338" t="inlineStr">
        <is>
          <t>Sherbrooke</t>
        </is>
      </c>
      <c r="B338" t="inlineStr">
        <is>
          <t>Reste du Québec</t>
        </is>
      </c>
      <c r="C338" t="inlineStr">
        <is>
          <t>2017</t>
        </is>
      </c>
      <c r="D338" t="n">
        <v>116</v>
      </c>
      <c r="E338" t="inlineStr">
        <is>
          <t>Sherbrooke</t>
        </is>
      </c>
      <c r="F338" t="n">
        <v>0.999999999999728</v>
      </c>
      <c r="G338" t="n">
        <v>1</v>
      </c>
    </row>
    <row r="339">
      <c r="A339" t="inlineStr">
        <is>
          <t>Soulanges</t>
        </is>
      </c>
      <c r="B339" t="inlineStr">
        <is>
          <t>Banlieue de Montréal</t>
        </is>
      </c>
      <c r="C339" t="inlineStr">
        <is>
          <t>2022</t>
        </is>
      </c>
      <c r="D339" t="n">
        <v>220</v>
      </c>
      <c r="E339" t="inlineStr">
        <is>
          <t>Soulanges</t>
        </is>
      </c>
      <c r="F339" t="n">
        <v>0.9636425589912589</v>
      </c>
      <c r="G339" t="n">
        <v>1</v>
      </c>
    </row>
    <row r="340">
      <c r="A340" t="inlineStr">
        <is>
          <t>Soulanges</t>
        </is>
      </c>
      <c r="B340" t="inlineStr">
        <is>
          <t>Banlieue de Montréal</t>
        </is>
      </c>
      <c r="C340" t="inlineStr">
        <is>
          <t>2022</t>
        </is>
      </c>
      <c r="D340" t="n">
        <v>224</v>
      </c>
      <c r="E340" t="inlineStr">
        <is>
          <t>Vaudreuil</t>
        </is>
      </c>
      <c r="F340" t="n">
        <v>0.0363574410086929</v>
      </c>
      <c r="G340" t="n">
        <v>2</v>
      </c>
    </row>
    <row r="341">
      <c r="A341" t="inlineStr">
        <is>
          <t>Soulanges</t>
        </is>
      </c>
      <c r="B341" t="inlineStr">
        <is>
          <t>Banlieue de Montréal</t>
        </is>
      </c>
      <c r="C341" t="inlineStr">
        <is>
          <t>2017</t>
        </is>
      </c>
      <c r="D341" t="n">
        <v>220</v>
      </c>
      <c r="E341" t="inlineStr">
        <is>
          <t>Soulanges</t>
        </is>
      </c>
      <c r="F341" t="n">
        <v>0.963639512822182</v>
      </c>
      <c r="G341" t="n">
        <v>1</v>
      </c>
    </row>
    <row r="342">
      <c r="A342" t="inlineStr">
        <is>
          <t>Soulanges</t>
        </is>
      </c>
      <c r="B342" t="inlineStr">
        <is>
          <t>Banlieue de Montréal</t>
        </is>
      </c>
      <c r="C342" t="inlineStr">
        <is>
          <t>2017</t>
        </is>
      </c>
      <c r="D342" t="n">
        <v>224</v>
      </c>
      <c r="E342" t="inlineStr">
        <is>
          <t>Vaudreuil</t>
        </is>
      </c>
      <c r="F342" t="n">
        <v>0.0363574410086929</v>
      </c>
      <c r="G342" t="n">
        <v>2</v>
      </c>
    </row>
    <row r="343">
      <c r="A343" t="inlineStr">
        <is>
          <t>Taillon</t>
        </is>
      </c>
      <c r="B343" t="inlineStr">
        <is>
          <t>Banlieue de Montréal</t>
        </is>
      </c>
      <c r="C343" t="inlineStr">
        <is>
          <t>2022</t>
        </is>
      </c>
      <c r="D343" t="n">
        <v>250</v>
      </c>
      <c r="E343" t="inlineStr">
        <is>
          <t>Taillon</t>
        </is>
      </c>
      <c r="F343" t="n">
        <v>0.99999999999962</v>
      </c>
      <c r="G343" t="n">
        <v>1</v>
      </c>
    </row>
    <row r="344">
      <c r="A344" t="inlineStr">
        <is>
          <t>Taillon</t>
        </is>
      </c>
      <c r="B344" t="inlineStr">
        <is>
          <t>Banlieue de Montréal</t>
        </is>
      </c>
      <c r="C344" t="inlineStr">
        <is>
          <t>2017</t>
        </is>
      </c>
      <c r="D344" t="n">
        <v>250</v>
      </c>
      <c r="E344" t="inlineStr">
        <is>
          <t>Taillon</t>
        </is>
      </c>
      <c r="F344" t="n">
        <v>0.999999999162117</v>
      </c>
      <c r="G344" t="n">
        <v>1</v>
      </c>
    </row>
    <row r="345">
      <c r="A345" t="inlineStr">
        <is>
          <t>Taschereau</t>
        </is>
      </c>
      <c r="B345" t="inlineStr">
        <is>
          <t>Québec RMR</t>
        </is>
      </c>
      <c r="C345" t="inlineStr">
        <is>
          <t>2022</t>
        </is>
      </c>
      <c r="D345" t="n">
        <v>730</v>
      </c>
      <c r="E345" t="inlineStr">
        <is>
          <t>Taschereau</t>
        </is>
      </c>
      <c r="F345" t="n">
        <v>0.999999999999459</v>
      </c>
      <c r="G345" t="n">
        <v>1</v>
      </c>
    </row>
    <row r="346">
      <c r="A346" t="inlineStr">
        <is>
          <t>Taschereau</t>
        </is>
      </c>
      <c r="B346" t="inlineStr">
        <is>
          <t>Québec RMR</t>
        </is>
      </c>
      <c r="C346" t="inlineStr">
        <is>
          <t>2017</t>
        </is>
      </c>
      <c r="D346" t="n">
        <v>730</v>
      </c>
      <c r="E346" t="inlineStr">
        <is>
          <t>Taschereau</t>
        </is>
      </c>
      <c r="F346" t="n">
        <v>0.999999999999459</v>
      </c>
      <c r="G346" t="n">
        <v>1</v>
      </c>
    </row>
    <row r="347">
      <c r="A347" t="inlineStr">
        <is>
          <t>Terrebonne</t>
        </is>
      </c>
      <c r="B347" t="inlineStr">
        <is>
          <t>Banlieue de Montréal</t>
        </is>
      </c>
      <c r="C347" t="inlineStr">
        <is>
          <t>2022</t>
        </is>
      </c>
      <c r="D347" t="n">
        <v>542</v>
      </c>
      <c r="E347" t="inlineStr">
        <is>
          <t>Terrebonne</t>
        </is>
      </c>
      <c r="F347" t="n">
        <v>0.999936183610652</v>
      </c>
      <c r="G347" t="n">
        <v>1</v>
      </c>
    </row>
    <row r="348">
      <c r="A348" t="inlineStr">
        <is>
          <t>Terrebonne</t>
        </is>
      </c>
      <c r="B348" t="inlineStr">
        <is>
          <t>Banlieue de Montréal</t>
        </is>
      </c>
      <c r="C348" t="inlineStr">
        <is>
          <t>2017</t>
        </is>
      </c>
      <c r="D348" t="n">
        <v>542</v>
      </c>
      <c r="E348" t="inlineStr">
        <is>
          <t>Terrebonne</t>
        </is>
      </c>
      <c r="F348" t="n">
        <v>0.999936183610652</v>
      </c>
      <c r="G348" t="n">
        <v>1</v>
      </c>
    </row>
    <row r="349">
      <c r="A349" t="inlineStr">
        <is>
          <t>Trois-Rivières</t>
        </is>
      </c>
      <c r="B349" t="inlineStr">
        <is>
          <t>Reste du Québec</t>
        </is>
      </c>
      <c r="C349" t="inlineStr">
        <is>
          <t>2022</t>
        </is>
      </c>
      <c r="D349" t="n">
        <v>660</v>
      </c>
      <c r="E349" t="inlineStr">
        <is>
          <t>Trois-Rivières</t>
        </is>
      </c>
      <c r="F349" t="n">
        <v>0.999999999999832</v>
      </c>
      <c r="G349" t="n">
        <v>1</v>
      </c>
    </row>
    <row r="350">
      <c r="A350" t="inlineStr">
        <is>
          <t>Trois-Rivières</t>
        </is>
      </c>
      <c r="B350" t="inlineStr">
        <is>
          <t>Reste du Québec</t>
        </is>
      </c>
      <c r="C350" t="inlineStr">
        <is>
          <t>2017</t>
        </is>
      </c>
      <c r="D350" t="n">
        <v>660</v>
      </c>
      <c r="E350" t="inlineStr">
        <is>
          <t>Trois-Rivières</t>
        </is>
      </c>
      <c r="F350" t="n">
        <v>0.999999999999832</v>
      </c>
      <c r="G350" t="n">
        <v>1</v>
      </c>
    </row>
    <row r="351">
      <c r="A351" t="inlineStr">
        <is>
          <t>Ungava</t>
        </is>
      </c>
      <c r="B351" t="inlineStr">
        <is>
          <t>Reste du Québec</t>
        </is>
      </c>
      <c r="C351" t="inlineStr">
        <is>
          <t>2022</t>
        </is>
      </c>
      <c r="D351" t="n">
        <v>938</v>
      </c>
      <c r="E351" t="inlineStr">
        <is>
          <t>Ungava</t>
        </is>
      </c>
      <c r="F351" t="n">
        <v>0.999999104960353</v>
      </c>
      <c r="G351" t="n">
        <v>1</v>
      </c>
    </row>
    <row r="352">
      <c r="A352" t="inlineStr">
        <is>
          <t>Ungava</t>
        </is>
      </c>
      <c r="B352" t="inlineStr">
        <is>
          <t>Reste du Québec</t>
        </is>
      </c>
      <c r="C352" t="inlineStr">
        <is>
          <t>2017</t>
        </is>
      </c>
      <c r="D352" t="n">
        <v>938</v>
      </c>
      <c r="E352" t="inlineStr">
        <is>
          <t>Ungava</t>
        </is>
      </c>
      <c r="F352" t="n">
        <v>0.999999100594723</v>
      </c>
      <c r="G352" t="n">
        <v>1</v>
      </c>
    </row>
    <row r="353">
      <c r="A353" t="inlineStr">
        <is>
          <t>Vachon</t>
        </is>
      </c>
      <c r="B353" t="inlineStr">
        <is>
          <t>Reste du Québec</t>
        </is>
      </c>
      <c r="C353" t="inlineStr">
        <is>
          <t>2022</t>
        </is>
      </c>
      <c r="D353" t="n">
        <v>240</v>
      </c>
      <c r="E353" t="inlineStr">
        <is>
          <t>Vachon</t>
        </is>
      </c>
      <c r="F353" t="n">
        <v>0.999999999999622</v>
      </c>
      <c r="G353" t="n">
        <v>1</v>
      </c>
    </row>
    <row r="354">
      <c r="A354" t="inlineStr">
        <is>
          <t>Vachon</t>
        </is>
      </c>
      <c r="B354" t="inlineStr">
        <is>
          <t>Reste du Québec</t>
        </is>
      </c>
      <c r="C354" t="inlineStr">
        <is>
          <t>2017</t>
        </is>
      </c>
      <c r="D354" t="n">
        <v>240</v>
      </c>
      <c r="E354" t="inlineStr">
        <is>
          <t>Vachon</t>
        </is>
      </c>
      <c r="F354" t="n">
        <v>0.999999999999622</v>
      </c>
      <c r="G354" t="n">
        <v>1</v>
      </c>
    </row>
    <row r="355">
      <c r="A355" t="inlineStr">
        <is>
          <t>Vanier-Les Rivières</t>
        </is>
      </c>
      <c r="B355" t="inlineStr">
        <is>
          <t>Québec RMR</t>
        </is>
      </c>
      <c r="C355" t="inlineStr">
        <is>
          <t>2022</t>
        </is>
      </c>
      <c r="D355" t="n">
        <v>726</v>
      </c>
      <c r="E355" t="inlineStr">
        <is>
          <t>Vanier-Les Rivières</t>
        </is>
      </c>
      <c r="F355" t="n">
        <v>0.999999999999677</v>
      </c>
      <c r="G355" t="n">
        <v>1</v>
      </c>
    </row>
    <row r="356">
      <c r="A356" t="inlineStr">
        <is>
          <t>Vanier-Les Rivières</t>
        </is>
      </c>
      <c r="B356" t="inlineStr">
        <is>
          <t>Québec RMR</t>
        </is>
      </c>
      <c r="C356" t="inlineStr">
        <is>
          <t>2017</t>
        </is>
      </c>
      <c r="D356" t="n">
        <v>726</v>
      </c>
      <c r="E356" t="inlineStr">
        <is>
          <t>Vanier-Les Rivières</t>
        </is>
      </c>
      <c r="F356" t="n">
        <v>0.999999999999677</v>
      </c>
      <c r="G356" t="n">
        <v>1</v>
      </c>
    </row>
    <row r="357">
      <c r="A357" t="inlineStr">
        <is>
          <t>Vaudreuil</t>
        </is>
      </c>
      <c r="B357" t="inlineStr">
        <is>
          <t>Banlieue de Montréal</t>
        </is>
      </c>
      <c r="C357" t="inlineStr">
        <is>
          <t>2022</t>
        </is>
      </c>
      <c r="D357" t="n">
        <v>224</v>
      </c>
      <c r="E357" t="inlineStr">
        <is>
          <t>Vaudreuil</t>
        </is>
      </c>
      <c r="F357" t="n">
        <v>0.999999999999976</v>
      </c>
      <c r="G357" t="n">
        <v>1</v>
      </c>
    </row>
    <row r="358">
      <c r="A358" t="inlineStr">
        <is>
          <t>Vaudreuil</t>
        </is>
      </c>
      <c r="B358" t="inlineStr">
        <is>
          <t>Banlieue de Montréal</t>
        </is>
      </c>
      <c r="C358" t="inlineStr">
        <is>
          <t>2017</t>
        </is>
      </c>
      <c r="D358" t="n">
        <v>224</v>
      </c>
      <c r="E358" t="inlineStr">
        <is>
          <t>Vaudreuil</t>
        </is>
      </c>
      <c r="F358" t="n">
        <v>0.999999999999976</v>
      </c>
      <c r="G358" t="n">
        <v>1</v>
      </c>
    </row>
    <row r="359">
      <c r="A359" t="inlineStr">
        <is>
          <t>Verchères</t>
        </is>
      </c>
      <c r="B359" t="inlineStr">
        <is>
          <t>Banlieue de Montréal</t>
        </is>
      </c>
      <c r="C359" t="inlineStr">
        <is>
          <t>2022</t>
        </is>
      </c>
      <c r="D359" t="n">
        <v>256</v>
      </c>
      <c r="E359" t="inlineStr">
        <is>
          <t>Verchères</t>
        </is>
      </c>
      <c r="F359" t="n">
        <v>0.999999999999823</v>
      </c>
      <c r="G359" t="n">
        <v>1</v>
      </c>
    </row>
    <row r="360">
      <c r="A360" t="inlineStr">
        <is>
          <t>Verchères</t>
        </is>
      </c>
      <c r="B360" t="inlineStr">
        <is>
          <t>Banlieue de Montréal</t>
        </is>
      </c>
      <c r="C360" t="inlineStr">
        <is>
          <t>2017</t>
        </is>
      </c>
      <c r="D360" t="n">
        <v>256</v>
      </c>
      <c r="E360" t="inlineStr">
        <is>
          <t>Verchères</t>
        </is>
      </c>
      <c r="F360" t="n">
        <v>0.999584878414142</v>
      </c>
      <c r="G360" t="n">
        <v>1</v>
      </c>
    </row>
    <row r="361">
      <c r="A361" t="inlineStr">
        <is>
          <t>Verchères</t>
        </is>
      </c>
      <c r="B361" t="inlineStr">
        <is>
          <t>Banlieue de Montréal</t>
        </is>
      </c>
      <c r="C361" t="inlineStr">
        <is>
          <t>2017</t>
        </is>
      </c>
      <c r="D361" t="n">
        <v>252</v>
      </c>
      <c r="E361" t="inlineStr">
        <is>
          <t>Montarville</t>
        </is>
      </c>
      <c r="F361" t="n">
        <v>0.000414391810562372</v>
      </c>
      <c r="G361" t="n">
        <v>2</v>
      </c>
    </row>
    <row r="362">
      <c r="A362" t="inlineStr">
        <is>
          <t>Verdun</t>
        </is>
      </c>
      <c r="B362" t="inlineStr">
        <is>
          <t>Île de Montréal</t>
        </is>
      </c>
      <c r="C362" t="inlineStr">
        <is>
          <t>2022</t>
        </is>
      </c>
      <c r="D362" t="n">
        <v>300</v>
      </c>
      <c r="E362" t="inlineStr">
        <is>
          <t>Verdun</t>
        </is>
      </c>
      <c r="F362" t="n">
        <v>0.999999999997913</v>
      </c>
      <c r="G362" t="n">
        <v>1</v>
      </c>
    </row>
    <row r="363">
      <c r="A363" t="inlineStr">
        <is>
          <t>Verdun</t>
        </is>
      </c>
      <c r="B363" t="inlineStr">
        <is>
          <t>Île de Montréal</t>
        </is>
      </c>
      <c r="C363" t="inlineStr">
        <is>
          <t>2017</t>
        </is>
      </c>
      <c r="D363" t="n">
        <v>300</v>
      </c>
      <c r="E363" t="inlineStr">
        <is>
          <t>Verdun</t>
        </is>
      </c>
      <c r="F363" t="n">
        <v>0.999999999997916</v>
      </c>
      <c r="G363" t="n">
        <v>1</v>
      </c>
    </row>
    <row r="364">
      <c r="A364" t="inlineStr">
        <is>
          <t>Viau</t>
        </is>
      </c>
      <c r="B364" t="inlineStr">
        <is>
          <t>Île de Montréal</t>
        </is>
      </c>
      <c r="C364" t="inlineStr">
        <is>
          <t>2022</t>
        </is>
      </c>
      <c r="D364" t="n">
        <v>358</v>
      </c>
      <c r="E364" t="inlineStr">
        <is>
          <t>Viau</t>
        </is>
      </c>
      <c r="F364" t="n">
        <v>0.999697320830587</v>
      </c>
      <c r="G364" t="n">
        <v>1</v>
      </c>
    </row>
    <row r="365">
      <c r="A365" t="inlineStr">
        <is>
          <t>Viau</t>
        </is>
      </c>
      <c r="B365" t="inlineStr">
        <is>
          <t>Île de Montréal</t>
        </is>
      </c>
      <c r="C365" t="inlineStr">
        <is>
          <t>2022</t>
        </is>
      </c>
      <c r="D365" t="n">
        <v>344</v>
      </c>
      <c r="E365" t="inlineStr">
        <is>
          <t>Laurier-Dorion</t>
        </is>
      </c>
      <c r="F365" t="n">
        <v>0.000302679168313591</v>
      </c>
      <c r="G365" t="n">
        <v>2</v>
      </c>
    </row>
    <row r="366">
      <c r="A366" t="inlineStr">
        <is>
          <t>Viau</t>
        </is>
      </c>
      <c r="B366" t="inlineStr">
        <is>
          <t>Île de Montréal</t>
        </is>
      </c>
      <c r="C366" t="inlineStr">
        <is>
          <t>2017</t>
        </is>
      </c>
      <c r="D366" t="n">
        <v>358</v>
      </c>
      <c r="E366" t="inlineStr">
        <is>
          <t>Viau</t>
        </is>
      </c>
      <c r="F366" t="n">
        <v>0.99969731333337</v>
      </c>
      <c r="G366" t="n">
        <v>1</v>
      </c>
    </row>
    <row r="367">
      <c r="A367" t="inlineStr">
        <is>
          <t>Viau</t>
        </is>
      </c>
      <c r="B367" t="inlineStr">
        <is>
          <t>Île de Montréal</t>
        </is>
      </c>
      <c r="C367" t="inlineStr">
        <is>
          <t>2017</t>
        </is>
      </c>
      <c r="D367" t="n">
        <v>344</v>
      </c>
      <c r="E367" t="inlineStr">
        <is>
          <t>Laurier-Dorion</t>
        </is>
      </c>
      <c r="F367" t="n">
        <v>0.000302679168313591</v>
      </c>
      <c r="G367" t="n">
        <v>2</v>
      </c>
    </row>
    <row r="368">
      <c r="A368" t="inlineStr">
        <is>
          <t>Vimont-Auteuil</t>
        </is>
      </c>
      <c r="B368" t="inlineStr">
        <is>
          <t>Banlieue de Montréal</t>
        </is>
      </c>
      <c r="C368" t="inlineStr">
        <is>
          <t>2022</t>
        </is>
      </c>
      <c r="D368" t="n">
        <v>476</v>
      </c>
      <c r="E368" t="inlineStr">
        <is>
          <t>Vimont</t>
        </is>
      </c>
      <c r="F368" t="n">
        <v>0.999999576385743</v>
      </c>
      <c r="G368" t="n">
        <v>1</v>
      </c>
    </row>
    <row r="369">
      <c r="A369" t="inlineStr">
        <is>
          <t>Vimont-Auteuil</t>
        </is>
      </c>
      <c r="B369" t="inlineStr">
        <is>
          <t>Banlieue de Montréal</t>
        </is>
      </c>
      <c r="C369" t="inlineStr">
        <is>
          <t>2017</t>
        </is>
      </c>
      <c r="D369" t="n">
        <v>476</v>
      </c>
      <c r="E369" t="inlineStr">
        <is>
          <t>Vimont</t>
        </is>
      </c>
      <c r="F369" t="n">
        <v>0.999999576385743</v>
      </c>
      <c r="G369" t="n">
        <v>1</v>
      </c>
    </row>
    <row r="370">
      <c r="A370" t="inlineStr">
        <is>
          <t>Westmount-Saint-Louis</t>
        </is>
      </c>
      <c r="B370" t="inlineStr">
        <is>
          <t>Île de Montréal</t>
        </is>
      </c>
      <c r="C370" t="inlineStr">
        <is>
          <t>2022</t>
        </is>
      </c>
      <c r="D370" t="n">
        <v>332</v>
      </c>
      <c r="E370" t="inlineStr">
        <is>
          <t>Westmount-Saint-Louis</t>
        </is>
      </c>
      <c r="F370" t="n">
        <v>0.999999999998841</v>
      </c>
      <c r="G370" t="n">
        <v>1</v>
      </c>
    </row>
    <row r="371">
      <c r="A371" t="inlineStr">
        <is>
          <t>Westmount-Saint-Louis</t>
        </is>
      </c>
      <c r="B371" t="inlineStr">
        <is>
          <t>Île de Montréal</t>
        </is>
      </c>
      <c r="C371" t="inlineStr">
        <is>
          <t>2017</t>
        </is>
      </c>
      <c r="D371" t="n">
        <v>332</v>
      </c>
      <c r="E371" t="inlineStr">
        <is>
          <t>Westmount-Saint-Louis</t>
        </is>
      </c>
      <c r="F371" t="n">
        <v>0.999999999998841</v>
      </c>
      <c r="G371"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6" customWidth="1" min="1" max="1"/>
    <col width="115" customWidth="1" min="2" max="2"/>
  </cols>
  <sheetData>
    <row r="1">
      <c r="A1" s="2" t="inlineStr">
        <is>
          <t>Paramètre</t>
        </is>
      </c>
      <c r="B1" s="2" t="inlineStr">
        <is>
          <t>Description</t>
        </is>
      </c>
    </row>
    <row r="2">
      <c r="A2" s="5" t="inlineStr">
        <is>
          <t>Modèle QC127 v7.0</t>
        </is>
      </c>
      <c r="B2" s="12" t="inlineStr">
        <is>
          <t>127 circonscriptions (Loi 2026 c. 15, sanctionnée le 12 juin 2026). Seuil de majorité : 64 sièges.</t>
        </is>
      </c>
    </row>
    <row r="3">
      <c r="A3" s="5" t="inlineStr">
        <is>
          <t>Référence 2022</t>
        </is>
      </c>
      <c r="B3" s="12" t="inlineStr">
        <is>
          <t>Votes réels du DGEQ de 2022 (4 112 821 au total) transposés sur la carte de 2026. Chaque circonscription 2022 verse ses votes aux circonscriptions 2026 au prorata des électeurs transférés, calculés par intersection des sections de vote 2026 avec les circonscriptions 2022. Le total des votes est conservé exactement.</t>
        </is>
      </c>
    </row>
    <row r="4">
      <c r="A4" s="5" t="inlineStr">
        <is>
          <t>Différence avec v4.1</t>
        </is>
      </c>
      <c r="B4" s="12" t="inlineStr">
        <is>
          <t>v4.1 transposait des ÉLECTEURS INSCRITS (8 422 574), ce qui suppose une participation uniforme entre circonscriptions, et sa référence reversait environ 1,1 point de « Autre » au PQ. v7 applique le même crosswalk aux votes réels : la référence provinciale redevient CAQ 41,0 · PLQ 14,4 · QS 15,4 · PQ 14,6.</t>
        </is>
      </c>
    </row>
    <row r="5">
      <c r="A5" s="5" t="inlineStr">
        <is>
          <t>Sondages</t>
        </is>
      </c>
      <c r="B5" s="12" t="inlineStr">
        <is>
          <t>Onglet Sondages : une ligne par sondage × région, 11 rapports depuis mai 2026. Le rapport Léger cumulatif du 25 août (12 juin – 24 août, n=11 305) sert UNIQUEMENT aux décalages régionaux — il est exclu du niveau national (colonne « Nat. » = 0) pour éviter de compter deux fois les 11 sondages qu'il agrège.</t>
        </is>
      </c>
    </row>
    <row r="6">
      <c r="A6" s="5" t="inlineStr">
        <is>
          <t>Niveau national</t>
        </is>
      </c>
      <c r="B6" s="12" t="inlineStr">
        <is>
          <t>Régression linéaire pondérée sur la série nationale, poids = exp(-½(t/fenêtre)²)·√n, évaluée à la date d'estimation. Le niveau ET la pente sont estimés : une simple moyenne pondérée retarde sur une série en tendance.</t>
        </is>
      </c>
    </row>
    <row r="7">
      <c r="A7" s="5" t="inlineStr">
        <is>
          <t>Décalages régionaux</t>
        </is>
      </c>
      <c r="B7" s="12" t="inlineStr">
        <is>
          <t>Moyenne pondérée des écarts (région − province) mesurés à l'intérieur de chaque sondage. Pondération : récence (demi-vie réglable) × √n. Mesurer l'écart à l'intérieur d'un même sondage annule l'effet de maison de la firme.</t>
        </is>
      </c>
    </row>
    <row r="8">
      <c r="A8" s="5" t="inlineStr">
        <is>
          <t>Ventilation Île / Banlieue</t>
        </is>
      </c>
      <c r="B8" s="12" t="inlineStr">
        <is>
          <t>Écart Île − Banlieue, moyenne des sondages qui le ventilent : CAQ −12,8 · PLQ +13,9 · QS +8,8 · PQ −11,1. Confirmé indépendamment par le Léger cumulatif (n=1 885 / n=1 828) : CAQ −14 · PLQ +17 · QS +6 · PQ −12. Un sondage Léger ordinaire ne ventile que trois régions : ne jamais appliquer l'agrégat MTL RMR aux deux.</t>
        </is>
      </c>
    </row>
    <row r="9">
      <c r="A9" s="5" t="inlineStr">
        <is>
          <t>Scénario A</t>
        </is>
      </c>
      <c r="B9" s="12" t="inlineStr">
        <is>
          <t>Swing proportionnel régional : votes projetés = votes de référence × (sondage régional / référence régionale).</t>
        </is>
      </c>
    </row>
    <row r="10">
      <c r="A10" s="5" t="inlineStr">
        <is>
          <t>Scénario B</t>
        </is>
      </c>
      <c r="B10" s="12" t="inlineStr">
        <is>
          <t>A + inertie locale : résidu 2018→2022 de la circonscription par rapport à sa région, × facteur Régions!O2. Base 2018 reprise du modèle v6 et non retransposée — limite connue.</t>
        </is>
      </c>
    </row>
    <row r="11">
      <c r="A11" s="5" t="inlineStr">
        <is>
          <t>Scénarios C/D</t>
        </is>
      </c>
      <c r="B11" s="12" t="inlineStr">
        <is>
          <t>Fourchette déterministe : sondage régional ± Régions!N2. Valeur par défaut portée à 6,0 pp, et non à la marge publiée : les panels web publient un intervalle de crédibilité couvrant la seule composante d'échantillonnage, alors que l'erreur totale documentée est d'environ le double.</t>
        </is>
      </c>
    </row>
    <row r="12">
      <c r="A12" s="5" t="inlineStr">
        <is>
          <t>Scénario E</t>
        </is>
      </c>
      <c r="B12" s="12" t="inlineStr">
        <is>
          <t>Amortissement : Régions!Q2 × swing proportionnel + (1−Q2) × swing uniforme. Défaut 0,8, inspiré de Route 127, non validé hors échantillon.</t>
        </is>
      </c>
    </row>
    <row r="13">
      <c r="A13" s="5" t="inlineStr">
        <is>
          <t>Limite — homogénéité</t>
        </is>
      </c>
      <c r="B13" s="12" t="inlineStr">
        <is>
          <t>La transposition suppose que le profil partisan d'une circonscription 2022 est homogène à l'intérieur de ses limites. Les résultats par bureau de vote existent, mais pas les polygones des bureaux historiques.</t>
        </is>
      </c>
    </row>
    <row r="14">
      <c r="A14" s="5" t="inlineStr">
        <is>
          <t>Limite — 62 circonscriptions</t>
        </is>
      </c>
      <c r="B14" s="12" t="inlineStr">
        <is>
          <t>Dans v6, 62 des 119 circonscriptions de même nom gardaient des chiffres identiques à la carte de 125. v7 recalcule tout par le crosswalk. Il reste à confronter la liste des frontières réellement modifiées au décret de délimitation définitive.</t>
        </is>
      </c>
    </row>
    <row r="15">
      <c r="A15" s="5" t="inlineStr">
        <is>
          <t>Limite — PCQ / Autre</t>
        </is>
      </c>
      <c r="B15" s="12" t="inlineStr">
        <is>
          <t>La table de votes 2022 source donne PCQ 13,22 % et Autre 1,39 %, contre 12,90 % et 1,70 % au DGEQ. Écart hérité de la source, non introduit par la transposition. À corriger en amont.</t>
        </is>
      </c>
    </row>
    <row r="16">
      <c r="A16" s="5" t="inlineStr">
        <is>
          <t>Limite — déterministe</t>
        </is>
      </c>
      <c r="B16" s="12" t="inlineStr">
        <is>
          <t>Aucune simulation probabiliste. Pas de choc commun d'élection, pas de corrélation entre partis ni entre régions, pas d'effets de candidature.</t>
        </is>
      </c>
    </row>
    <row r="17">
      <c r="A17" s="5" t="inlineStr">
        <is>
          <t>Sources</t>
        </is>
      </c>
      <c r="B17" s="12" t="inlineStr">
        <is>
          <t>Élections Québec (résultats et cartes 2017/2022/2026); rapports PDF Léger, Synopsis Recherche, Pallas Data; série des sondages qc125.com (Philippe J. Fournier).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2026-09-01T03:39:53Z</dcterms:created>
  <dcterms:modified xmlns:dcterms="http://purl.org/dc/terms/" xmlns:xsi="http://www.w3.org/2001/XMLSchema-instance" xsi:type="dcterms:W3CDTF">2026-09-01T03:39:53Z</dcterms:modified>
</cp:coreProperties>
</file>