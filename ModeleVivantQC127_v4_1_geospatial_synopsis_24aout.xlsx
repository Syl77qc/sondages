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20a99321f45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èges" sheetId="1" r:id="R9626ab65148c419e"/>
    <x:sheet xmlns:r="http://schemas.openxmlformats.org/officeDocument/2006/relationships" name="Modèle" sheetId="2" r:id="R381f1bdd2bc5402c"/>
    <x:sheet xmlns:r="http://schemas.openxmlformats.org/officeDocument/2006/relationships" name="Régions" sheetId="3" r:id="Rab3462f59f5e4b84"/>
    <x:sheet xmlns:r="http://schemas.openxmlformats.org/officeDocument/2006/relationships" name="Carte 2026" sheetId="4" r:id="R650b773110c34280"/>
    <x:sheet xmlns:r="http://schemas.openxmlformats.org/officeDocument/2006/relationships" name="Correspondance" sheetId="5" r:id="R6666ebd8742143d2"/>
    <x:sheet xmlns:r="http://schemas.openxmlformats.org/officeDocument/2006/relationships" name="Méthodologie" sheetId="6" r:id="R25fb4c36725e47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0.0"/>
    <x:numFmt numFmtId="202" formatCode="#,##0"/>
    <x:numFmt numFmtId="203" formatCode="0.000"/>
    <x:numFmt numFmtId="204" formatCode="0.00"/>
    <x:numFmt numFmtId="205" formatCode="0.00%"/>
  </x:numFmts>
  <x:fonts count="17">
    <x:font>
      <x:sz val="11"/>
      <x:name val="Carlito"/>
    </x:font>
    <x:font>
      <x:b/>
      <x:sz val="15"/>
      <x:color rgb="FFFFFFF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  <x:font>
      <x:b/>
      <x:sz val="15"/>
      <x:color rgb="FFFFFFFF"/>
      <x:name val="Arial"/>
    </x:font>
    <x:font>
      <x:i/>
      <x:sz val="11"/>
      <x:color rgb="FF666666"/>
      <x:name val="Arial"/>
    </x:font>
    <x:font>
      <x:sz val="11"/>
      <x:name val="Arial"/>
    </x:font>
    <x:font>
      <x:b/>
      <x:sz val="11"/>
      <x:color rgb="FFFFFFFF"/>
      <x:name val="Arial"/>
    </x:font>
    <x:font>
      <x:i/>
      <x:sz val="9"/>
      <x:color rgb="FF666666"/>
      <x:name val="Arial"/>
    </x:font>
    <x:font>
      <x:sz val="11"/>
      <x:color rgb="FF0000FF"/>
      <x:name val="Carlito"/>
    </x:font>
    <x:font>
      <x:sz val="11"/>
      <x:color rgb="FF0000FF"/>
      <x:name val="Arial"/>
    </x:font>
    <x:font>
      <x:b/>
      <x:sz val="9"/>
      <x:color rgb="FFFFFFFF"/>
      <x:name val="Arial"/>
    </x:font>
    <x:font>
      <x:sz val="9"/>
      <x:name val="Arial"/>
    </x:font>
    <x:font>
      <x:sz val="9"/>
      <x:color rgb="FF0000FF"/>
      <x:name val="Arial"/>
    </x:font>
    <x:font>
      <x:b/>
      <x:sz val="11"/>
      <x:name val="Carlito"/>
    </x:font>
    <x:font>
      <x:b/>
      <x:sz val="11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C6EFCE"/>
      </x:patternFill>
    </x:fill>
    <x:fill>
      <x:patternFill patternType="solid">
        <x:fgColor rgb="FFFFD966"/>
      </x:patternFill>
    </x:fill>
    <x:fill>
      <x:patternFill patternType="solid">
        <x:fgColor rgb="FFBDD7EE"/>
      </x:patternFill>
    </x:fill>
    <x:fill>
      <x:patternFill patternType="solid">
        <x:fgColor rgb="FFF4CCCC"/>
      </x:patternFill>
    </x:fill>
    <x:fill>
      <x:patternFill patternType="solid">
        <x:fgColor rgb="FF9DC3E6"/>
      </x:patternFill>
    </x:fill>
    <x:fill>
      <x:patternFill patternType="solid">
        <x:fgColor rgb="FFD9EAF7"/>
      </x:patternFill>
    </x:fill>
  </x:fills>
  <x:borders count="19">
    <x:border/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1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/>
    <x:xf numFmtId="0" fontId="7" fillId="4" borderId="0" xfId="0" applyNumberFormat="1" applyFont="1" applyFill="1" applyBorder="1"/>
    <x:xf numFmtId="0" fontId="7" fillId="5" borderId="0" xfId="0" applyNumberFormat="1" applyFont="1" applyFill="1" applyBorder="1"/>
    <x:xf numFmtId="0" fontId="7" fillId="6" borderId="0" xfId="0" applyNumberFormat="1" applyFont="1" applyFill="1" applyBorder="1"/>
    <x:xf numFmtId="0" fontId="7" fillId="7" borderId="0" xfId="0" applyNumberFormat="1" applyFont="1" applyFill="1" applyBorder="1"/>
    <x:xf numFmtId="0" fontId="7" fillId="8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6" fillId="0" borderId="4" xfId="0" applyNumberFormat="1" applyFont="1" applyFill="1" applyBorder="1" applyAlignment="1">
      <x:alignment horizontal="center"/>
    </x:xf>
    <x:xf numFmtId="0" fontId="6" fillId="0" borderId="5" xfId="0" applyNumberFormat="1" applyFont="1" applyFill="1" applyBorder="1" applyAlignment="1">
      <x:alignment horizontal="center"/>
    </x:xf>
    <x:xf numFmtId="0" fontId="6" fillId="0" borderId="6" xfId="0" applyNumberFormat="1" applyFont="1" applyFill="1" applyBorder="1" applyAlignment="1">
      <x:alignment horizontal="center"/>
    </x:xf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8" fillId="2" borderId="4" xfId="0" applyNumberFormat="1" applyFont="1" applyFill="1" applyBorder="1" applyAlignment="1">
      <x:alignment horizontal="center" vertical="center" wrapText="1"/>
    </x:xf>
    <x:xf numFmtId="0" fontId="8" fillId="2" borderId="5" xfId="0" applyNumberFormat="1" applyFont="1" applyFill="1" applyBorder="1" applyAlignment="1">
      <x:alignment horizontal="center" vertical="center" wrapText="1"/>
    </x:xf>
    <x:xf numFmtId="0" fontId="8" fillId="2" borderId="6" xfId="0" applyNumberFormat="1" applyFont="1" applyFill="1" applyBorder="1" applyAlignment="1">
      <x:alignment horizontal="center" vertical="center" wrapText="1"/>
    </x:xf>
    <x:xf numFmtId="0" fontId="7" fillId="3" borderId="4" xfId="0" applyNumberFormat="1" applyFont="1" applyFill="1" applyBorder="1"/>
    <x:xf numFmtId="0" fontId="7" fillId="3" borderId="5" xfId="0" applyNumberFormat="1" applyFont="1" applyFill="1" applyBorder="1"/>
    <x:xf numFmtId="0" fontId="7" fillId="3" borderId="6" xfId="0" applyNumberFormat="1" applyFont="1" applyFill="1" applyBorder="1"/>
    <x:xf numFmtId="0" fontId="7" fillId="4" borderId="4" xfId="0" applyNumberFormat="1" applyFont="1" applyFill="1" applyBorder="1"/>
    <x:xf numFmtId="0" fontId="7" fillId="4" borderId="5" xfId="0" applyNumberFormat="1" applyFont="1" applyFill="1" applyBorder="1"/>
    <x:xf numFmtId="0" fontId="7" fillId="4" borderId="6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8" borderId="4" xfId="0" applyNumberFormat="1" applyFont="1" applyFill="1" applyBorder="1"/>
    <x:xf numFmtId="0" fontId="7" fillId="8" borderId="5" xfId="0" applyNumberFormat="1" applyFont="1" applyFill="1" applyBorder="1"/>
    <x:xf numFmtId="0" fontId="9" fillId="0" borderId="7" xfId="0" applyNumberFormat="1" applyFont="1" applyFill="1" applyBorder="1" applyAlignment="1">
      <x:alignment wrapText="1"/>
    </x:xf>
    <x:xf numFmtId="0" fontId="9" fillId="0" borderId="8" xfId="0" applyNumberFormat="1" applyFont="1" applyFill="1" applyBorder="1" applyAlignment="1">
      <x:alignment wrapText="1"/>
    </x:xf>
    <x:xf numFmtId="0" fontId="9" fillId="0" borderId="9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10" fillId="0" borderId="0" xfId="0" applyNumberFormat="1" applyFont="1" applyFill="1" applyBorder="1"/>
    <x:xf numFmtId="202" fontId="0" fillId="0" borderId="0" xfId="0" applyNumberFormat="1" applyFont="1" applyFill="1" applyBorder="1"/>
    <x:xf numFmtId="203" fontId="10" fillId="0" borderId="0" xfId="0" applyNumberFormat="1" applyFont="1" applyFill="1" applyBorder="1"/>
    <x:xf numFmtId="202" fontId="11" fillId="0" borderId="0" xfId="0" applyNumberFormat="1" applyFont="1" applyFill="1" applyBorder="1"/>
    <x:xf numFmtId="202" fontId="7" fillId="0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3" fontId="11" fillId="0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202" fontId="14" fillId="0" borderId="0" xfId="0" applyNumberFormat="1" applyFont="1" applyFill="1" applyBorder="1"/>
    <x:xf numFmtId="202" fontId="13" fillId="0" borderId="0" xfId="0" applyNumberFormat="1" applyFont="1" applyFill="1" applyBorder="1"/>
    <x:xf numFmtId="200" fontId="13" fillId="0" borderId="0" xfId="0" applyNumberFormat="1" applyFont="1" applyFill="1" applyBorder="1"/>
    <x:xf numFmtId="201" fontId="13" fillId="0" borderId="0" xfId="0" applyNumberFormat="1" applyFont="1" applyFill="1" applyBorder="1"/>
    <x:xf numFmtId="203" fontId="14" fillId="0" borderId="0" xfId="0" applyNumberFormat="1" applyFont="1" applyFill="1" applyBorder="1"/>
    <x:xf numFmtId="0" fontId="12" fillId="2" borderId="10" xfId="0" applyNumberFormat="1" applyFont="1" applyFill="1" applyBorder="1" applyAlignment="1">
      <x:alignment horizontal="center" vertical="center" wrapText="1"/>
    </x:xf>
    <x:xf numFmtId="0" fontId="12" fillId="2" borderId="11" xfId="0" applyNumberFormat="1" applyFont="1" applyFill="1" applyBorder="1" applyAlignment="1">
      <x:alignment horizontal="center" vertical="center" wrapText="1"/>
    </x:xf>
    <x:xf numFmtId="0" fontId="12" fillId="2" borderId="12" xfId="0" applyNumberFormat="1" applyFont="1" applyFill="1" applyBorder="1" applyAlignment="1">
      <x:alignment horizontal="center" vertical="center" wrapText="1"/>
    </x:xf>
    <x:xf numFmtId="0" fontId="13" fillId="0" borderId="13" xfId="0" applyNumberFormat="1" applyFont="1" applyFill="1" applyBorder="1"/>
    <x:xf numFmtId="0" fontId="13" fillId="0" borderId="14" xfId="0" applyNumberFormat="1" applyFont="1" applyFill="1" applyBorder="1"/>
    <x:xf numFmtId="202" fontId="14" fillId="0" borderId="14" xfId="0" applyNumberFormat="1" applyFont="1" applyFill="1" applyBorder="1"/>
    <x:xf numFmtId="202" fontId="13" fillId="0" borderId="14" xfId="0" applyNumberFormat="1" applyFont="1" applyFill="1" applyBorder="1"/>
    <x:xf numFmtId="200" fontId="13" fillId="0" borderId="14" xfId="0" applyNumberFormat="1" applyFont="1" applyFill="1" applyBorder="1"/>
    <x:xf numFmtId="201" fontId="13" fillId="0" borderId="14" xfId="0" applyNumberFormat="1" applyFont="1" applyFill="1" applyBorder="1"/>
    <x:xf numFmtId="203" fontId="14" fillId="0" borderId="14" xfId="0" applyNumberFormat="1" applyFont="1" applyFill="1" applyBorder="1"/>
    <x:xf numFmtId="203" fontId="14" fillId="0" borderId="15" xfId="0" applyNumberFormat="1" applyFont="1" applyFill="1" applyBorder="1"/>
    <x:xf numFmtId="0" fontId="13" fillId="0" borderId="16" xfId="0" applyNumberFormat="1" applyFont="1" applyFill="1" applyBorder="1"/>
    <x:xf numFmtId="0" fontId="13" fillId="0" borderId="17" xfId="0" applyNumberFormat="1" applyFont="1" applyFill="1" applyBorder="1"/>
    <x:xf numFmtId="202" fontId="14" fillId="0" borderId="17" xfId="0" applyNumberFormat="1" applyFont="1" applyFill="1" applyBorder="1"/>
    <x:xf numFmtId="202" fontId="13" fillId="0" borderId="17" xfId="0" applyNumberFormat="1" applyFont="1" applyFill="1" applyBorder="1"/>
    <x:xf numFmtId="200" fontId="13" fillId="0" borderId="17" xfId="0" applyNumberFormat="1" applyFont="1" applyFill="1" applyBorder="1"/>
    <x:xf numFmtId="201" fontId="13" fillId="0" borderId="17" xfId="0" applyNumberFormat="1" applyFont="1" applyFill="1" applyBorder="1"/>
    <x:xf numFmtId="203" fontId="14" fillId="0" borderId="17" xfId="0" applyNumberFormat="1" applyFont="1" applyFill="1" applyBorder="1"/>
    <x:xf numFmtId="203" fontId="14" fillId="0" borderId="18" xfId="0" applyNumberFormat="1" applyFont="1" applyFill="1" applyBorder="1"/>
    <x:xf numFmtId="0" fontId="10" fillId="9" borderId="0" xfId="0" applyNumberFormat="1" applyFont="1" applyFill="1" applyBorder="1"/>
    <x:xf numFmtId="0" fontId="0" fillId="9" borderId="0" xfId="0" applyNumberFormat="1" applyFont="1" applyFill="1" applyBorder="1"/>
    <x:xf numFmtId="204" fontId="0" fillId="0" borderId="0" xfId="0" applyNumberFormat="1" applyFont="1" applyFill="1" applyBorder="1"/>
    <x:xf numFmtId="201" fontId="10" fillId="9" borderId="0" xfId="0" applyNumberFormat="1" applyFont="1" applyFill="1" applyBorder="1"/>
    <x:xf numFmtId="201" fontId="0" fillId="9" borderId="0" xfId="0" applyNumberFormat="1" applyFont="1" applyFill="1" applyBorder="1"/>
    <x:xf numFmtId="203" fontId="10" fillId="9" borderId="0" xfId="0" applyNumberFormat="1" applyFont="1" applyFill="1" applyBorder="1"/>
    <x:xf numFmtId="203" fontId="0" fillId="0" borderId="0" xfId="0" applyNumberFormat="1" applyFont="1" applyFill="1" applyBorder="1"/>
    <x:xf numFmtId="203" fontId="0" fillId="9" borderId="0" xfId="0" applyNumberFormat="1" applyFont="1" applyFill="1" applyBorder="1"/>
    <x:xf numFmtId="204" fontId="7" fillId="0" borderId="0" xfId="0" applyNumberFormat="1" applyFont="1" applyFill="1" applyBorder="1"/>
    <x:xf numFmtId="201" fontId="11" fillId="9" borderId="0" xfId="0" applyNumberFormat="1" applyFont="1" applyFill="1" applyBorder="1"/>
    <x:xf numFmtId="203" fontId="11" fillId="9" borderId="0" xfId="0" applyNumberFormat="1" applyFont="1" applyFill="1" applyBorder="1"/>
    <x:xf numFmtId="203" fontId="7" fillId="0" borderId="0" xfId="0" applyNumberFormat="1" applyFont="1" applyFill="1" applyBorder="1"/>
    <x:xf numFmtId="201" fontId="7" fillId="9" borderId="0" xfId="0" applyNumberFormat="1" applyFont="1" applyFill="1" applyBorder="1"/>
    <x:xf numFmtId="203" fontId="7" fillId="9" borderId="0" xfId="0" applyNumberFormat="1" applyFont="1" applyFill="1" applyBorder="1"/>
    <x:xf numFmtId="204" fontId="13" fillId="0" borderId="0" xfId="0" applyNumberFormat="1" applyFont="1" applyFill="1" applyBorder="1"/>
    <x:xf numFmtId="201" fontId="14" fillId="9" borderId="0" xfId="0" applyNumberFormat="1" applyFont="1" applyFill="1" applyBorder="1"/>
    <x:xf numFmtId="203" fontId="14" fillId="9" borderId="0" xfId="0" applyNumberFormat="1" applyFont="1" applyFill="1" applyBorder="1"/>
    <x:xf numFmtId="203" fontId="13" fillId="0" borderId="0" xfId="0" applyNumberFormat="1" applyFont="1" applyFill="1" applyBorder="1"/>
    <x:xf numFmtId="201" fontId="13" fillId="9" borderId="0" xfId="0" applyNumberFormat="1" applyFont="1" applyFill="1" applyBorder="1"/>
    <x:xf numFmtId="203" fontId="13" fillId="9" borderId="0" xfId="0" applyNumberFormat="1" applyFont="1" applyFill="1" applyBorder="1"/>
    <x:xf numFmtId="0" fontId="12" fillId="2" borderId="1" xfId="0" applyNumberFormat="1" applyFont="1" applyFill="1" applyBorder="1" applyAlignment="1">
      <x:alignment horizontal="center" vertical="center" wrapText="1"/>
    </x:xf>
    <x:xf numFmtId="0" fontId="12" fillId="2" borderId="2" xfId="0" applyNumberFormat="1" applyFont="1" applyFill="1" applyBorder="1" applyAlignment="1">
      <x:alignment horizontal="center" vertical="center" wrapText="1"/>
    </x:xf>
    <x:xf numFmtId="0" fontId="12" fillId="2" borderId="3" xfId="0" applyNumberFormat="1" applyFont="1" applyFill="1" applyBorder="1" applyAlignment="1">
      <x:alignment horizontal="center" vertical="center" wrapText="1"/>
    </x:xf>
    <x:xf numFmtId="0" fontId="13" fillId="0" borderId="4" xfId="0" applyNumberFormat="1" applyFont="1" applyFill="1" applyBorder="1"/>
    <x:xf numFmtId="204" fontId="13" fillId="0" borderId="5" xfId="0" applyNumberFormat="1" applyFont="1" applyFill="1" applyBorder="1"/>
    <x:xf numFmtId="201" fontId="14" fillId="9" borderId="5" xfId="0" applyNumberFormat="1" applyFont="1" applyFill="1" applyBorder="1"/>
    <x:xf numFmtId="203" fontId="14" fillId="9" borderId="5" xfId="0" applyNumberFormat="1" applyFont="1" applyFill="1" applyBorder="1"/>
    <x:xf numFmtId="203" fontId="13" fillId="0" borderId="5" xfId="0" applyNumberFormat="1" applyFont="1" applyFill="1" applyBorder="1"/>
    <x:xf numFmtId="203" fontId="13" fillId="0" borderId="6" xfId="0" applyNumberFormat="1" applyFont="1" applyFill="1" applyBorder="1"/>
    <x:xf numFmtId="201" fontId="13" fillId="9" borderId="5" xfId="0" applyNumberFormat="1" applyFont="1" applyFill="1" applyBorder="1"/>
    <x:xf numFmtId="203" fontId="13" fillId="9" borderId="5" xfId="0" applyNumberFormat="1" applyFont="1" applyFill="1" applyBorder="1"/>
    <x:xf numFmtId="0" fontId="13" fillId="0" borderId="7" xfId="0" applyNumberFormat="1" applyFont="1" applyFill="1" applyBorder="1"/>
    <x:xf numFmtId="204" fontId="13" fillId="0" borderId="8" xfId="0" applyNumberFormat="1" applyFont="1" applyFill="1" applyBorder="1"/>
    <x:xf numFmtId="201" fontId="14" fillId="9" borderId="8" xfId="0" applyNumberFormat="1" applyFont="1" applyFill="1" applyBorder="1"/>
    <x:xf numFmtId="201" fontId="13" fillId="9" borderId="8" xfId="0" applyNumberFormat="1" applyFont="1" applyFill="1" applyBorder="1"/>
    <x:xf numFmtId="203" fontId="13" fillId="9" borderId="8" xfId="0" applyNumberFormat="1" applyFont="1" applyFill="1" applyBorder="1"/>
    <x:xf numFmtId="203" fontId="13" fillId="0" borderId="8" xfId="0" applyNumberFormat="1" applyFont="1" applyFill="1" applyBorder="1"/>
    <x:xf numFmtId="203" fontId="13" fillId="0" borderId="9" xfId="0" applyNumberFormat="1" applyFont="1" applyFill="1" applyBorder="1"/>
    <x:xf numFmtId="205" fontId="0" fillId="0" borderId="0" xfId="0" applyNumberFormat="1" applyFont="1" applyFill="1" applyBorder="1"/>
    <x:xf numFmtId="205" fontId="7" fillId="0" borderId="0" xfId="0" applyNumberFormat="1" applyFont="1" applyFill="1" applyBorder="1"/>
    <x:xf numFmtId="0" fontId="5" fillId="2" borderId="10" xfId="0" applyNumberFormat="1" applyFont="1" applyFill="1" applyBorder="1" applyAlignment="1">
      <x:alignment horizontal="center" vertical="center"/>
    </x:xf>
    <x:xf numFmtId="0" fontId="5" fillId="2" borderId="11" xfId="0" applyNumberFormat="1" applyFont="1" applyFill="1" applyBorder="1" applyAlignment="1">
      <x:alignment horizontal="center" vertical="center"/>
    </x:xf>
    <x:xf numFmtId="0" fontId="5" fillId="2" borderId="12" xfId="0" applyNumberFormat="1" applyFont="1" applyFill="1" applyBorder="1" applyAlignment="1">
      <x:alignment horizontal="center" vertical="center"/>
    </x:xf>
    <x:xf numFmtId="0" fontId="7" fillId="0" borderId="13" xfId="0" applyNumberFormat="1" applyFont="1" applyFill="1" applyBorder="1"/>
    <x:xf numFmtId="0" fontId="7" fillId="0" borderId="14" xfId="0" applyNumberFormat="1" applyFont="1" applyFill="1" applyBorder="1"/>
    <x:xf numFmtId="0" fontId="7" fillId="0" borderId="15" xfId="0" applyNumberFormat="1" applyFont="1" applyFill="1" applyBorder="1"/>
    <x:xf numFmtId="0" fontId="8" fillId="2" borderId="13" xfId="0" applyNumberFormat="1" applyFont="1" applyFill="1" applyBorder="1" applyAlignment="1">
      <x:alignment horizontal="center" vertical="center" wrapText="1"/>
    </x:xf>
    <x:xf numFmtId="0" fontId="8" fillId="2" borderId="14" xfId="0" applyNumberFormat="1" applyFont="1" applyFill="1" applyBorder="1" applyAlignment="1">
      <x:alignment horizontal="center" vertical="center" wrapText="1"/>
    </x:xf>
    <x:xf numFmtId="0" fontId="8" fillId="2" borderId="15" xfId="0" applyNumberFormat="1" applyFont="1" applyFill="1" applyBorder="1" applyAlignment="1">
      <x:alignment horizontal="center" vertical="center" wrapText="1"/>
    </x:xf>
    <x:xf numFmtId="202" fontId="7" fillId="0" borderId="14" xfId="0" applyNumberFormat="1" applyFont="1" applyFill="1" applyBorder="1"/>
    <x:xf numFmtId="205" fontId="7" fillId="0" borderId="14" xfId="0" applyNumberFormat="1" applyFont="1" applyFill="1" applyBorder="1"/>
    <x:xf numFmtId="205" fontId="7" fillId="0" borderId="15" xfId="0" applyNumberFormat="1" applyFont="1" applyFill="1" applyBorder="1"/>
    <x:xf numFmtId="0" fontId="7" fillId="0" borderId="16" xfId="0" applyNumberFormat="1" applyFont="1" applyFill="1" applyBorder="1"/>
    <x:xf numFmtId="0" fontId="7" fillId="0" borderId="17" xfId="0" applyNumberFormat="1" applyFont="1" applyFill="1" applyBorder="1"/>
    <x:xf numFmtId="202" fontId="7" fillId="0" borderId="17" xfId="0" applyNumberFormat="1" applyFont="1" applyFill="1" applyBorder="1"/>
    <x:xf numFmtId="205" fontId="7" fillId="0" borderId="17" xfId="0" applyNumberFormat="1" applyFont="1" applyFill="1" applyBorder="1"/>
    <x:xf numFmtId="205" fontId="7" fillId="0" borderId="18" xfId="0" applyNumberFormat="1" applyFont="1" applyFill="1" applyBorder="1"/>
    <x:xf numFmtId="0" fontId="7" fillId="0" borderId="18" xfId="0" applyNumberFormat="1" applyFont="1" applyFill="1" applyBorder="1"/>
    <x:xf numFmtId="0" fontId="15" fillId="3" borderId="0" xfId="0" applyNumberFormat="1" applyFont="1" applyFill="1" applyBorder="1"/>
    <x:xf numFmtId="0" fontId="15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16" fillId="3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8" fillId="2" borderId="3" xfId="0" applyNumberFormat="1" applyFont="1" applyFill="1" applyBorder="1" applyAlignment="1">
      <x:alignment horizontal="center" vertical="center" wrapText="1"/>
    </x:xf>
    <x:xf numFmtId="0" fontId="16" fillId="3" borderId="4" xfId="0" applyNumberFormat="1" applyFont="1" applyFill="1" applyBorder="1" applyAlignment="1">
      <x:alignment vertical="top"/>
    </x:xf>
    <x:xf numFmtId="0" fontId="7" fillId="0" borderId="6" xfId="0" applyNumberFormat="1" applyFont="1" applyFill="1" applyBorder="1" applyAlignment="1">
      <x:alignment wrapText="1"/>
    </x:xf>
    <x:xf numFmtId="0" fontId="16" fillId="3" borderId="7" xfId="0" applyNumberFormat="1" applyFont="1" applyFill="1" applyBorder="1" applyAlignment="1">
      <x:alignment vertical="top"/>
    </x:xf>
    <x:xf numFmtId="0" fontId="7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a3446d8df74329" /><Relationship Type="http://schemas.openxmlformats.org/officeDocument/2006/relationships/theme" Target="/xl/theme/theme1.xml" Id="Re3391a8fc37748fe" /><Relationship Type="http://schemas.openxmlformats.org/officeDocument/2006/relationships/sharedStrings" Target="/xl/sharedStrings.xml" Id="R6889231cc4d64cd9" /><Relationship Type="http://schemas.openxmlformats.org/officeDocument/2006/relationships/worksheet" Target="/xl/worksheets/sheet1.xml" Id="R9626ab65148c419e" /><Relationship Type="http://schemas.openxmlformats.org/officeDocument/2006/relationships/worksheet" Target="/xl/worksheets/sheet2.xml" Id="R381f1bdd2bc5402c" /><Relationship Type="http://schemas.openxmlformats.org/officeDocument/2006/relationships/worksheet" Target="/xl/worksheets/sheet3.xml" Id="Rab3462f59f5e4b84" /><Relationship Type="http://schemas.openxmlformats.org/officeDocument/2006/relationships/worksheet" Target="/xl/worksheets/sheet4.xml" Id="R650b773110c34280" /><Relationship Type="http://schemas.openxmlformats.org/officeDocument/2006/relationships/worksheet" Target="/xl/worksheets/sheet5.xml" Id="R6666ebd8742143d2" /><Relationship Type="http://schemas.openxmlformats.org/officeDocument/2006/relationships/worksheet" Target="/xl/worksheets/sheet6.xml" Id="R25fb4c36725e47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30" t="str">
        <x:v>MODÈLE VIVANT QC127 – PROJECTIONS ÉLECTORALES v4.1 GÉOSPATIAL</x:v>
      </x:c>
      <x:c r="B1" s="31" t="str">
        <x:v>MODÈLE VIVANT QC127 – PROJECTIONS ÉLECTORALES v4.1 GÉOSPATIAL</x:v>
      </x:c>
      <x:c r="C1" s="31" t="str">
        <x:v>MODÈLE VIVANT QC127 – PROJECTIONS ÉLECTORALES v4.1 GÉOSPATIAL</x:v>
      </x:c>
      <x:c r="D1" s="31" t="str">
        <x:v>MODÈLE VIVANT QC127 – PROJECTIONS ÉLECTORALES v4.1 GÉOSPATIAL</x:v>
      </x:c>
      <x:c r="E1" s="31" t="str">
        <x:v>MODÈLE VIVANT QC127 – PROJECTIONS ÉLECTORALES v4.1 GÉOSPATIAL</x:v>
      </x:c>
      <x:c r="F1" s="31" t="str">
        <x:v>MODÈLE VIVANT QC127 – PROJECTIONS ÉLECTORALES v4.1 GÉOSPATIAL</x:v>
      </x:c>
      <x:c r="G1" s="31" t="str">
        <x:v>MODÈLE VIVANT QC127 – PROJECTIONS ÉLECTORALES v4.1 GÉOSPATIAL</x:v>
      </x:c>
      <x:c r="H1" s="32" t="str">
        <x:v>MODÈLE VIVANT QC127 – PROJECTIONS ÉLECTORALES v4.1 GÉOSPATIAL</x:v>
      </x:c>
    </x:row>
    <x:row r="2">
      <x:c r="A2" s="33" t="str">
        <x:v>Synopsis Recherche / La Presse, 24–26 août 2026 | Référence 2022 transposée par chevauchement géographique pondéré | Seuil majorité : 64 sièges</x:v>
      </x:c>
      <x:c r="B2" s="34"/>
      <x:c r="C2" s="34"/>
      <x:c r="D2" s="34"/>
      <x:c r="E2" s="34"/>
      <x:c r="F2" s="34"/>
      <x:c r="G2" s="34"/>
      <x:c r="H2" s="35"/>
    </x:row>
    <x:row r="3">
      <x:c r="A3" s="36"/>
      <x:c r="B3" s="37"/>
      <x:c r="C3" s="37"/>
      <x:c r="D3" s="37"/>
      <x:c r="E3" s="37"/>
      <x:c r="F3" s="37"/>
      <x:c r="G3" s="37"/>
      <x:c r="H3" s="38"/>
    </x:row>
    <x:row r="4">
      <x:c r="A4" s="39" t="str">
        <x:v>Scénario</x:v>
      </x:c>
      <x:c r="B4" s="40" t="str">
        <x:v>CAQ</x:v>
      </x:c>
      <x:c r="C4" s="40" t="str">
        <x:v>PLQ</x:v>
      </x:c>
      <x:c r="D4" s="40" t="str">
        <x:v>QS</x:v>
      </x:c>
      <x:c r="E4" s="40" t="str">
        <x:v>PQ</x:v>
      </x:c>
      <x:c r="F4" s="40" t="str">
        <x:v>PCQ</x:v>
      </x:c>
      <x:c r="G4" s="40" t="str">
        <x:v>Autre</x:v>
      </x:c>
      <x:c r="H4" s="41" t="str">
        <x:v>Majorité?</x:v>
      </x:c>
    </x:row>
    <x:row r="5">
      <x:c r="A5" s="42" t="str">
        <x:v>Référence 2022 transposée</x:v>
      </x:c>
      <x:c r="B5" s="43" t="n">
        <x:f>COUNTIF('Modèle'!$C$2:$C$128,"CAQ")</x:f>
        <x:v>92</x:v>
      </x:c>
      <x:c r="C5" s="43" t="n">
        <x:f>COUNTIF('Modèle'!$C$2:$C$128,"PLQ")</x:f>
        <x:v>21</x:v>
      </x:c>
      <x:c r="D5" s="43" t="n">
        <x:f>COUNTIF('Modèle'!$C$2:$C$128,"QS")</x:f>
        <x:v>11</x:v>
      </x:c>
      <x:c r="E5" s="43" t="n">
        <x:f>COUNTIF('Modèle'!$C$2:$C$128,"PQ")</x:f>
        <x:v>3</x:v>
      </x:c>
      <x:c r="F5" s="43" t="n">
        <x:f>COUNTIF('Modèle'!$C$2:$C$128,"PCQ")</x:f>
        <x:v>0</x:v>
      </x:c>
      <x:c r="G5" s="43" t="n">
        <x:f>COUNTIF('Modèle'!$C$2:$C$128,"Autre")</x:f>
        <x:v>0</x:v>
      </x:c>
      <x:c r="H5" s="44" t="str">
        <x:f>IF(MAX(B5:G5)&gt;=64,"OUI ✓","non")</x:f>
        <x:v>OUI ✓</x:v>
      </x:c>
    </x:row>
    <x:row r="6">
      <x:c r="A6" s="45" t="str">
        <x:v>Scén. A – Swing proportionnel</x:v>
      </x:c>
      <x:c r="B6" s="46" t="n">
        <x:f>COUNTIF('Modèle'!$AO$2:$AO$128,"CAQ")</x:f>
        <x:v>49</x:v>
      </x:c>
      <x:c r="C6" s="46" t="n">
        <x:f>COUNTIF('Modèle'!$AO$2:$AO$128,"PLQ")</x:f>
        <x:v>35</x:v>
      </x:c>
      <x:c r="D6" s="46" t="n">
        <x:f>COUNTIF('Modèle'!$AO$2:$AO$128,"QS")</x:f>
        <x:v>6</x:v>
      </x:c>
      <x:c r="E6" s="46" t="n">
        <x:f>COUNTIF('Modèle'!$AO$2:$AO$128,"PQ")</x:f>
        <x:v>33</x:v>
      </x:c>
      <x:c r="F6" s="46" t="n">
        <x:f>COUNTIF('Modèle'!$AO$2:$AO$128,"PCQ")</x:f>
        <x:v>4</x:v>
      </x:c>
      <x:c r="G6" s="46" t="n">
        <x:f>COUNTIF('Modèle'!$AO$2:$AO$128,"Autre")</x:f>
        <x:v>0</x:v>
      </x:c>
      <x:c r="H6" s="47" t="str">
        <x:f>IF(MAX(B6:G6)&gt;=64,"OUI ✓","non")</x:f>
        <x:v>non</x:v>
      </x:c>
    </x:row>
    <x:row r="7">
      <x:c r="A7" s="48" t="str">
        <x:v>Scén. B – A + inertie locale</x:v>
      </x:c>
      <x:c r="B7" s="49" t="n">
        <x:f>COUNTIF('Modèle'!$AP$2:$AP$128,"CAQ")</x:f>
        <x:v>48</x:v>
      </x:c>
      <x:c r="C7" s="49" t="n">
        <x:f>COUNTIF('Modèle'!$AP$2:$AP$128,"PLQ")</x:f>
        <x:v>35</x:v>
      </x:c>
      <x:c r="D7" s="49" t="n">
        <x:f>COUNTIF('Modèle'!$AP$2:$AP$128,"QS")</x:f>
        <x:v>7</x:v>
      </x:c>
      <x:c r="E7" s="49" t="n">
        <x:f>COUNTIF('Modèle'!$AP$2:$AP$128,"PQ")</x:f>
        <x:v>31</x:v>
      </x:c>
      <x:c r="F7" s="49" t="n">
        <x:f>COUNTIF('Modèle'!$AP$2:$AP$128,"PCQ")</x:f>
        <x:v>6</x:v>
      </x:c>
      <x:c r="G7" s="49" t="n">
        <x:f>COUNTIF('Modèle'!$AP$2:$AP$128,"Autre")</x:f>
        <x:v>0</x:v>
      </x:c>
      <x:c r="H7" s="50" t="str">
        <x:f>IF(MAX(B7:G7)&gt;=64,"OUI ✓","non")</x:f>
        <x:v>non</x:v>
      </x:c>
    </x:row>
    <x:row r="8">
      <x:c r="A8" s="51" t="str">
        <x:v>Scén. C – Fourchette haute (+3,3 pp)</x:v>
      </x:c>
      <x:c r="B8" s="52" t="n">
        <x:f>COUNTIF('Modèle'!$AQ$2:$AQ$128,"CAQ")</x:f>
        <x:v>47</x:v>
      </x:c>
      <x:c r="C8" s="52" t="n">
        <x:f>COUNTIF('Modèle'!$AQ$2:$AQ$128,"PLQ")</x:f>
        <x:v>36</x:v>
      </x:c>
      <x:c r="D8" s="52" t="n">
        <x:f>COUNTIF('Modèle'!$AQ$2:$AQ$128,"QS")</x:f>
        <x:v>6</x:v>
      </x:c>
      <x:c r="E8" s="52" t="n">
        <x:f>COUNTIF('Modèle'!$AQ$2:$AQ$128,"PQ")</x:f>
        <x:v>33</x:v>
      </x:c>
      <x:c r="F8" s="52" t="n">
        <x:f>COUNTIF('Modèle'!$AQ$2:$AQ$128,"PCQ")</x:f>
        <x:v>5</x:v>
      </x:c>
      <x:c r="G8" s="52" t="n">
        <x:f>COUNTIF('Modèle'!$AQ$2:$AQ$128,"Autre")</x:f>
        <x:v>0</x:v>
      </x:c>
      <x:c r="H8" s="53" t="str">
        <x:f>IF(MAX(B8:G8)&gt;=64,"OUI ✓","non")</x:f>
        <x:v>non</x:v>
      </x:c>
    </x:row>
    <x:row r="9">
      <x:c r="A9" s="54" t="str">
        <x:v>Scén. D – Fourchette basse (–3,3 pp)</x:v>
      </x:c>
      <x:c r="B9" s="55" t="n">
        <x:f>COUNTIF('Modèle'!$AR$2:$AR$128,"CAQ")</x:f>
        <x:v>52</x:v>
      </x:c>
      <x:c r="C9" s="55" t="n">
        <x:f>COUNTIF('Modèle'!$AR$2:$AR$128,"PLQ")</x:f>
        <x:v>35</x:v>
      </x:c>
      <x:c r="D9" s="55" t="n">
        <x:f>COUNTIF('Modèle'!$AR$2:$AR$128,"QS")</x:f>
        <x:v>5</x:v>
      </x:c>
      <x:c r="E9" s="55" t="n">
        <x:f>COUNTIF('Modèle'!$AR$2:$AR$128,"PQ")</x:f>
        <x:v>31</x:v>
      </x:c>
      <x:c r="F9" s="55" t="n">
        <x:f>COUNTIF('Modèle'!$AR$2:$AR$128,"PCQ")</x:f>
        <x:v>4</x:v>
      </x:c>
      <x:c r="G9" s="55" t="n">
        <x:f>COUNTIF('Modèle'!$AR$2:$AR$128,"Autre")</x:f>
        <x:v>0</x:v>
      </x:c>
      <x:c r="H9" s="56" t="str">
        <x:f>IF(MAX(B9:G9)&gt;=64,"OUI ✓","non")</x:f>
        <x:v>non</x:v>
      </x:c>
    </x:row>
    <x:row r="10">
      <x:c r="A10" s="36"/>
      <x:c r="B10" s="37"/>
      <x:c r="C10" s="37"/>
      <x:c r="D10" s="37"/>
      <x:c r="E10" s="37"/>
      <x:c r="F10" s="37"/>
      <x:c r="G10" s="37"/>
      <x:c r="H10" s="38"/>
    </x:row>
    <x:row r="11">
      <x:c r="A11" s="57" t="str">
        <x:v>Fourchette min (C vs D)</x:v>
      </x:c>
      <x:c r="B11" s="58" t="n">
        <x:f>MIN(B8,B9)</x:f>
        <x:v>47</x:v>
      </x:c>
      <x:c r="C11" s="58" t="n">
        <x:f>MIN(C8,C9)</x:f>
        <x:v>35</x:v>
      </x:c>
      <x:c r="D11" s="58" t="n">
        <x:f>MIN(D8,D9)</x:f>
        <x:v>5</x:v>
      </x:c>
      <x:c r="E11" s="58" t="n">
        <x:f>MIN(E8,E9)</x:f>
        <x:v>31</x:v>
      </x:c>
      <x:c r="F11" s="58" t="n">
        <x:f>MIN(F8,F9)</x:f>
        <x:v>4</x:v>
      </x:c>
      <x:c r="G11" s="58" t="n">
        <x:f>MIN(G8,G9)</x:f>
        <x:v>0</x:v>
      </x:c>
      <x:c r="H11" s="38"/>
    </x:row>
    <x:row r="12">
      <x:c r="A12" s="57" t="str">
        <x:v>Fourchette max (C vs D)</x:v>
      </x:c>
      <x:c r="B12" s="58" t="n">
        <x:f>MAX(B8,B9)</x:f>
        <x:v>52</x:v>
      </x:c>
      <x:c r="C12" s="58" t="n">
        <x:f>MAX(C8,C9)</x:f>
        <x:v>36</x:v>
      </x:c>
      <x:c r="D12" s="58" t="n">
        <x:f>MAX(D8,D9)</x:f>
        <x:v>6</x:v>
      </x:c>
      <x:c r="E12" s="58" t="n">
        <x:f>MAX(E8,E9)</x:f>
        <x:v>33</x:v>
      </x:c>
      <x:c r="F12" s="58" t="n">
        <x:f>MAX(F8,F9)</x:f>
        <x:v>5</x:v>
      </x:c>
      <x:c r="G12" s="58" t="n">
        <x:f>MAX(G8,G9)</x:f>
        <x:v>0</x:v>
      </x:c>
      <x:c r="H12" s="38"/>
    </x:row>
    <x:row r="13">
      <x:c r="A13" s="36"/>
      <x:c r="B13" s="37"/>
      <x:c r="C13" s="37"/>
      <x:c r="D13" s="37"/>
      <x:c r="E13" s="37"/>
      <x:c r="F13" s="37"/>
      <x:c r="G13" s="37"/>
      <x:c r="H13" s="38"/>
    </x:row>
    <x:row r="14">
      <x:c r="A14" s="36" t="str">
        <x:v>Bascules potentielles (&lt; 5 pp) :</x:v>
      </x:c>
      <x:c r="B14" s="37" t="n">
        <x:f>COUNTIF('Modèle'!$AT$2:$AT$128,"Oui")</x:f>
        <x:v>10</x:v>
      </x:c>
      <x:c r="C14" s="37"/>
      <x:c r="D14" s="37"/>
      <x:c r="E14" s="37"/>
      <x:c r="F14" s="37"/>
      <x:c r="G14" s="37"/>
      <x:c r="H14" s="38"/>
    </x:row>
    <x:row r="15">
      <x:c r="A15" s="36"/>
      <x:c r="B15" s="37"/>
      <x:c r="C15" s="37"/>
      <x:c r="D15" s="37"/>
      <x:c r="E15" s="37"/>
      <x:c r="F15" s="37"/>
      <x:c r="G15" s="37"/>
      <x:c r="H15" s="38"/>
    </x:row>
    <x:row r="16" ht="34" customHeight="1">
      <x:c r="A16" s="59" t="str">
        <x:v>LÉGENDE | A : swing régional proportionnel | B : A + inertie locale recalculée sur la carte 2026 | C/D : sondage ± marge | Cellules bleues : intrants modifiables | Références transposées au moyen des sections de vote 2026 pondérées par leurs électeurs.</x:v>
      </x:c>
      <x:c r="B16" s="60"/>
      <x:c r="C16" s="60"/>
      <x:c r="D16" s="60"/>
      <x:c r="E16" s="60"/>
      <x:c r="F16" s="60"/>
      <x:c r="G16" s="60"/>
      <x:c r="H16" s="61"/>
    </x:row>
  </x:sheetData>
  <x:mergeCells>
    <x:mergeCell ref="A1:H1"/>
    <x:mergeCell ref="A2:H2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</x:cols>
  <x:sheetData>
    <x:row r="1">
      <x:c r="A1" s="80" t="str">
        <x:v>Circonscription</x:v>
      </x:c>
      <x:c r="B1" s="81" t="str">
        <x:v>Région</x:v>
      </x:c>
      <x:c r="C1" s="81" t="str">
        <x:v>Vainqueur réf.</x:v>
      </x:c>
      <x:c r="D1" s="81" t="str">
        <x:v>CAQ 2022</x:v>
      </x:c>
      <x:c r="E1" s="81" t="str">
        <x:v>PLQ 2022</x:v>
      </x:c>
      <x:c r="F1" s="81" t="str">
        <x:v>QS 2022</x:v>
      </x:c>
      <x:c r="G1" s="81" t="str">
        <x:v>PQ 2022</x:v>
      </x:c>
      <x:c r="H1" s="81" t="str">
        <x:v>PCQ 2022</x:v>
      </x:c>
      <x:c r="I1" s="81" t="str">
        <x:v>Autre 2022</x:v>
      </x:c>
      <x:c r="J1" s="81" t="str">
        <x:v>Total</x:v>
      </x:c>
      <x:c r="K1" s="81" t="str">
        <x:v>% CAQ</x:v>
      </x:c>
      <x:c r="L1" s="81" t="str">
        <x:v>% PLQ</x:v>
      </x:c>
      <x:c r="M1" s="81" t="str">
        <x:v>% QS</x:v>
      </x:c>
      <x:c r="N1" s="81" t="str">
        <x:v>% PQ</x:v>
      </x:c>
      <x:c r="O1" s="81" t="str">
        <x:v>% PCQ</x:v>
      </x:c>
      <x:c r="P1" s="81" t="str">
        <x:v>% Autre</x:v>
      </x:c>
      <x:c r="Q1" s="81" t="str">
        <x:v>A-CAQ</x:v>
      </x:c>
      <x:c r="R1" s="81" t="str">
        <x:v>A-PLQ</x:v>
      </x:c>
      <x:c r="S1" s="81" t="str">
        <x:v>A-QS</x:v>
      </x:c>
      <x:c r="T1" s="81" t="str">
        <x:v>A-PQ</x:v>
      </x:c>
      <x:c r="U1" s="81" t="str">
        <x:v>A-PCQ</x:v>
      </x:c>
      <x:c r="V1" s="81" t="str">
        <x:v>A-Autre</x:v>
      </x:c>
      <x:c r="W1" s="81" t="str">
        <x:v>B-CAQ</x:v>
      </x:c>
      <x:c r="X1" s="81" t="str">
        <x:v>B-PLQ</x:v>
      </x:c>
      <x:c r="Y1" s="81" t="str">
        <x:v>B-QS</x:v>
      </x:c>
      <x:c r="Z1" s="81" t="str">
        <x:v>B-PQ</x:v>
      </x:c>
      <x:c r="AA1" s="81" t="str">
        <x:v>B-PCQ</x:v>
      </x:c>
      <x:c r="AB1" s="81" t="str">
        <x:v>B-Autre</x:v>
      </x:c>
      <x:c r="AC1" s="81" t="str">
        <x:v>C-CAQ</x:v>
      </x:c>
      <x:c r="AD1" s="81" t="str">
        <x:v>C-PLQ</x:v>
      </x:c>
      <x:c r="AE1" s="81" t="str">
        <x:v>C-QS</x:v>
      </x:c>
      <x:c r="AF1" s="81" t="str">
        <x:v>C-PQ</x:v>
      </x:c>
      <x:c r="AG1" s="81" t="str">
        <x:v>C-PCQ</x:v>
      </x:c>
      <x:c r="AH1" s="81" t="str">
        <x:v>C-Autre</x:v>
      </x:c>
      <x:c r="AI1" s="81" t="str">
        <x:v>D-CAQ</x:v>
      </x:c>
      <x:c r="AJ1" s="81" t="str">
        <x:v>D-PLQ</x:v>
      </x:c>
      <x:c r="AK1" s="81" t="str">
        <x:v>D-QS</x:v>
      </x:c>
      <x:c r="AL1" s="81" t="str">
        <x:v>D-PQ</x:v>
      </x:c>
      <x:c r="AM1" s="81" t="str">
        <x:v>D-PCQ</x:v>
      </x:c>
      <x:c r="AN1" s="81" t="str">
        <x:v>D-Autre</x:v>
      </x:c>
      <x:c r="AO1" s="81" t="str">
        <x:v>Vainq. A</x:v>
      </x:c>
      <x:c r="AP1" s="81" t="str">
        <x:v>Vainq. B</x:v>
      </x:c>
      <x:c r="AQ1" s="81" t="str">
        <x:v>Vainq. C</x:v>
      </x:c>
      <x:c r="AR1" s="81" t="str">
        <x:v>Vainq. D</x:v>
      </x:c>
      <x:c r="AS1" s="81" t="str">
        <x:v>Marge réf.</x:v>
      </x:c>
      <x:c r="AT1" s="81" t="str">
        <x:v>Bascule</x:v>
      </x:c>
      <x:c r="AU1" s="81" t="str">
        <x:v>Résidu CAQ</x:v>
      </x:c>
      <x:c r="AV1" s="81" t="str">
        <x:v>Résidu PLQ</x:v>
      </x:c>
      <x:c r="AW1" s="81" t="str">
        <x:v>Résidu QS</x:v>
      </x:c>
      <x:c r="AX1" s="82" t="str">
        <x:v>Résidu PQ</x:v>
      </x:c>
    </x:row>
    <x:row r="2">
      <x:c r="A2" s="83" t="str">
        <x:v>Abitibi-Est</x:v>
      </x:c>
      <x:c r="B2" s="84" t="str">
        <x:v>Reste du Québec</x:v>
      </x:c>
      <x:c r="C2" s="84" t="str">
        <x:f>IF(MAX(D2:I2)=D2,"CAQ",IF(MAX(D2:I2)=E2,"PLQ",IF(MAX(D2:I2)=F2,"QS",IF(MAX(D2:I2)=G2,"PQ",IF(MAX(D2:I2)=H2,"PCQ","Autre")))))</x:f>
        <x:v>CAQ</x:v>
      </x:c>
      <x:c r="D2" s="85" t="n">
        <x:v>19320</x:v>
      </x:c>
      <x:c r="E2" s="85" t="n">
        <x:v>6024</x:v>
      </x:c>
      <x:c r="F2" s="85" t="n">
        <x:v>5617</x:v>
      </x:c>
      <x:c r="G2" s="85" t="n">
        <x:v>5076</x:v>
      </x:c>
      <x:c r="H2" s="85" t="n">
        <x:v>4920</x:v>
      </x:c>
      <x:c r="I2" s="85" t="n">
        <x:v>1</x:v>
      </x:c>
      <x:c r="J2" s="86" t="n">
        <x:f>SUM(D2:I2)</x:f>
        <x:v>40958</x:v>
      </x:c>
      <x:c r="K2" s="87" t="n">
        <x:f>IFERROR(D2/J2,0)</x:f>
        <x:v>0.4717027198593681</x:v>
      </x:c>
      <x:c r="L2" s="87" t="n">
        <x:f>IFERROR(E2/J2,0)</x:f>
        <x:v>0.14707749401826262</x:v>
      </x:c>
      <x:c r="M2" s="87" t="n">
        <x:f>IFERROR(F2/J2,0)</x:f>
        <x:v>0.13714048537526247</x:v>
      </x:c>
      <x:c r="N2" s="87" t="n">
        <x:f>IFERROR(G2/J2,0)</x:f>
        <x:v>0.12393183260901411</x:v>
      </x:c>
      <x:c r="O2" s="87" t="n">
        <x:f>IFERROR(H2/J2,0)</x:f>
        <x:v>0.12012305288344158</x:v>
      </x:c>
      <x:c r="P2" s="87" t="n">
        <x:f>IFERROR(I2/J2,0)</x:f>
        <x:v>0.00002441525465110601</x:v>
      </x:c>
      <x:c r="Q2" s="86" t="n">
        <x:f>D2*INDEX('Régions'!$T$2:$Y$6,MATCH($B2,'Régions'!$A$2:$A$6,0),1)</x:f>
        <x:v>11404.380797423592</x:v>
      </x:c>
      <x:c r="R2" s="86" t="n">
        <x:f>E2*INDEX('Régions'!$T$2:$Y$6,MATCH($B2,'Régions'!$A$2:$A$6,0),2)</x:f>
        <x:v>13784.432135878935</x:v>
      </x:c>
      <x:c r="S2" s="86" t="n">
        <x:f>F2*INDEX('Régions'!$T$2:$Y$6,MATCH($B2,'Régions'!$A$2:$A$6,0),3)</x:f>
        <x:v>3373.056734914849</x:v>
      </x:c>
      <x:c r="T2" s="86" t="n">
        <x:f>G2*INDEX('Régions'!$T$2:$Y$6,MATCH($B2,'Régions'!$A$2:$A$6,0),4)</x:f>
        <x:v>8793.110866378223</x:v>
      </x:c>
      <x:c r="U2" s="86" t="n">
        <x:f>H2*INDEX('Régions'!$T$2:$Y$6,MATCH($B2,'Régions'!$A$2:$A$6,0),5)</x:f>
        <x:v>5546.513974542051</x:v>
      </x:c>
      <x:c r="V2" s="86" t="n">
        <x:f>I2*INDEX('Régions'!$T$2:$Y$6,MATCH($B2,'Régions'!$A$2:$A$6,0),6)</x:f>
        <x:v>2.3215603571998087</x:v>
      </x:c>
      <x:c r="W2" s="86" t="n">
        <x:f>MAX(0,Q2+(AU2/100)*J2*'Régions'!$O$2)</x:f>
        <x:v>11093.800422667664</x:v>
      </x:c>
      <x:c r="X2" s="86" t="n">
        <x:f>MAX(0,R2+(AV2/100)*J2*'Régions'!$O$2)</x:f>
        <x:v>15569.253766102891</x:v>
      </x:c>
      <x:c r="Y2" s="86" t="n">
        <x:f>MAX(0,S2+(AW2/100)*J2*'Régions'!$O$2)</x:f>
        <x:v>3203.208344836649</x:v>
      </x:c>
      <x:c r="Z2" s="86" t="n">
        <x:f>MAX(0,T2+(AX2/100)*J2*'Régions'!$O$2)</x:f>
        <x:v>7770.142146248208</x:v>
      </x:c>
      <x:c r="AA2" s="86" t="n">
        <x:f>U2</x:f>
        <x:v>5546.513974542051</x:v>
      </x:c>
      <x:c r="AB2" s="86" t="n">
        <x:f>V2</x:f>
        <x:v>2.3215603571998087</x:v>
      </x:c>
      <x:c r="AC2" s="86" t="n">
        <x:f>D2*INDEX('Régions'!$Z$2:$AE$6,MATCH($B2,'Régions'!$A$2:$A$6,0),1)</x:f>
        <x:v>12748.468534262804</x:v>
      </x:c>
      <x:c r="AD2" s="86" t="n">
        <x:f>E2*INDEX('Régions'!$Z$2:$AE$6,MATCH($B2,'Régions'!$A$2:$A$6,0),2)</x:f>
        <x:v>16627.471263903964</x:v>
      </x:c>
      <x:c r="AE2" s="86" t="n">
        <x:f>F2*INDEX('Régions'!$Z$2:$AE$6,MATCH($B2,'Régions'!$A$2:$A$6,0),3)</x:f>
        <x:v>4764.442638067224</x:v>
      </x:c>
      <x:c r="AF2" s="86" t="n">
        <x:f>G2*INDEX('Régions'!$Z$2:$AE$6,MATCH($B2,'Régions'!$A$2:$A$6,0),4)</x:f>
        <x:v>9793.706240828158</x:v>
      </x:c>
      <x:c r="AG2" s="86" t="n">
        <x:f>H2*INDEX('Régions'!$Z$2:$AE$6,MATCH($B2,'Régions'!$A$2:$A$6,0),5)</x:f>
        <x:v>6623.190216659037</x:v>
      </x:c>
      <x:c r="AH2" s="86" t="n">
        <x:f>I2*INDEX('Régions'!$Z$2:$AE$6,MATCH($B2,'Régions'!$A$2:$A$6,0),6)</x:f>
        <x:v>9.982709535959177</x:v>
      </x:c>
      <x:c r="AI2" s="86" t="n">
        <x:f>D2*INDEX('Régions'!$AF$2:$AK$6,MATCH($B2,'Régions'!$A$2:$A$6,0),1)</x:f>
        <x:v>10060.293060584383</x:v>
      </x:c>
      <x:c r="AJ2" s="86" t="n">
        <x:f>E2*INDEX('Régions'!$AF$2:$AK$6,MATCH($B2,'Régions'!$A$2:$A$6,0),2)</x:f>
        <x:v>10941.393007853903</x:v>
      </x:c>
      <x:c r="AK2" s="86" t="n">
        <x:f>F2*INDEX('Régions'!$AF$2:$AK$6,MATCH($B2,'Régions'!$A$2:$A$6,0),3)</x:f>
        <x:v>1981.6708317624737</x:v>
      </x:c>
      <x:c r="AL2" s="86" t="n">
        <x:f>G2*INDEX('Régions'!$AF$2:$AK$6,MATCH($B2,'Régions'!$A$2:$A$6,0),4)</x:f>
        <x:v>7792.515491928288</x:v>
      </x:c>
      <x:c r="AM2" s="86" t="n">
        <x:f>H2*INDEX('Régions'!$AF$2:$AK$6,MATCH($B2,'Régions'!$A$2:$A$6,0),5)</x:f>
        <x:v>4469.837732425064</x:v>
      </x:c>
      <x:c r="AN2" s="86" t="n">
        <x:f>I2*INDEX('Régions'!$AF$2:$AK$6,MATCH($B2,'Régions'!$A$2:$A$6,0),6)</x:f>
        <x:v>0</x:v>
      </x:c>
      <x:c r="AO2" s="84" t="str">
        <x:f>IF(MAX(Q2:V2)=Q2,"CAQ",IF(MAX(Q2:V2)=R2,"PLQ",IF(MAX(Q2:V2)=S2,"QS",IF(MAX(Q2:V2)=T2,"PQ",IF(MAX(Q2:V2)=U2,"PCQ","Autre")))))</x:f>
        <x:v>PLQ</x:v>
      </x:c>
      <x:c r="AP2" s="84" t="str">
        <x:f>IF(MAX(W2:AB2)=W2,"CAQ",IF(MAX(W2:AB2)=X2,"PLQ",IF(MAX(W2:AB2)=Y2,"QS",IF(MAX(W2:AB2)=Z2,"PQ",IF(MAX(W2:AB2)=AA2,"PCQ","Autre")))))</x:f>
        <x:v>PLQ</x:v>
      </x:c>
      <x:c r="AQ2" s="84" t="str">
        <x:f>IF(MAX(AC2:AH2)=AC2,"CAQ",IF(MAX(AC2:AH2)=AD2,"PLQ",IF(MAX(AC2:AH2)=AE2,"QS",IF(MAX(AC2:AH2)=AF2,"PQ",IF(MAX(AC2:AH2)=AG2,"PCQ","Autre")))))</x:f>
        <x:v>PLQ</x:v>
      </x:c>
      <x:c r="AR2" s="84" t="str">
        <x:f>IF(MAX(AI2:AN2)=AI2,"CAQ",IF(MAX(AI2:AN2)=AJ2,"PLQ",IF(MAX(AI2:AN2)=AK2,"QS",IF(MAX(AI2:AN2)=AL2,"PQ",IF(MAX(AI2:AN2)=AM2,"PCQ","Autre")))))</x:f>
        <x:v>PLQ</x:v>
      </x:c>
      <x:c r="AS2" s="88" t="n">
        <x:f>(MAX(K2:P2)-LARGE(K2:P2,2))*100</x:f>
        <x:v>32.46252258411055</x:v>
      </x:c>
      <x:c r="AT2" s="84" t="str">
        <x:f>IF(AS2&lt;5,"Oui","Non")</x:f>
        <x:v>Non</x:v>
      </x:c>
      <x:c r="AU2" s="89" t="n">
        <x:v>-1.5165797878603837</x:v>
      </x:c>
      <x:c r="AV2" s="89" t="n">
        <x:v>8.715374921744015</x:v>
      </x:c>
      <x:c r="AW2" s="89" t="n">
        <x:v>-0.8293783391679299</x:v>
      </x:c>
      <x:c r="AX2" s="90" t="n">
        <x:v>-4.995208360418066</x:v>
      </x:c>
    </x:row>
    <x:row r="3">
      <x:c r="A3" s="83" t="str">
        <x:v>Abitibi-Ouest</x:v>
      </x:c>
      <x:c r="B3" s="84" t="str">
        <x:v>Reste du Québec</x:v>
      </x:c>
      <x:c r="C3" s="84" t="str">
        <x:f>IF(MAX(D3:I3)=D3,"CAQ",IF(MAX(D3:I3)=E3,"PLQ",IF(MAX(D3:I3)=F3,"QS",IF(MAX(D3:I3)=G3,"PQ",IF(MAX(D3:I3)=H3,"PCQ","Autre")))))</x:f>
        <x:v>CAQ</x:v>
      </x:c>
      <x:c r="D3" s="85" t="n">
        <x:v>20743</x:v>
      </x:c>
      <x:c r="E3" s="85" t="n">
        <x:v>2300</x:v>
      </x:c>
      <x:c r="F3" s="85" t="n">
        <x:v>7227</x:v>
      </x:c>
      <x:c r="G3" s="85" t="n">
        <x:v>9214</x:v>
      </x:c>
      <x:c r="H3" s="85" t="n">
        <x:v>4574</x:v>
      </x:c>
      <x:c r="I3" s="85" t="n">
        <x:v>317</x:v>
      </x:c>
      <x:c r="J3" s="86" t="n">
        <x:f>SUM(D3:I3)</x:f>
        <x:v>44375</x:v>
      </x:c>
      <x:c r="K3" s="87" t="n">
        <x:f>IFERROR(D3/J3,0)</x:f>
        <x:v>0.46744788732394366</x:v>
      </x:c>
      <x:c r="L3" s="87" t="n">
        <x:f>IFERROR(E3/J3,0)</x:f>
        <x:v>0.051830985915492955</x:v>
      </x:c>
      <x:c r="M3" s="87" t="n">
        <x:f>IFERROR(F3/J3,0)</x:f>
        <x:v>0.1628619718309859</x:v>
      </x:c>
      <x:c r="N3" s="87" t="n">
        <x:f>IFERROR(G3/J3,0)</x:f>
        <x:v>0.20763943661971832</x:v>
      </x:c>
      <x:c r="O3" s="87" t="n">
        <x:f>IFERROR(H3/J3,0)</x:f>
        <x:v>0.10307605633802817</x:v>
      </x:c>
      <x:c r="P3" s="87" t="n">
        <x:f>IFERROR(I3/J3,0)</x:f>
        <x:v>0.007143661971830986</x:v>
      </x:c>
      <x:c r="Q3" s="86" t="n">
        <x:f>D3*INDEX('Régions'!$T$2:$Y$6,MATCH($B3,'Régions'!$A$2:$A$6,0),1)</x:f>
        <x:v>12244.361846840455</x:v>
      </x:c>
      <x:c r="R3" s="86" t="n">
        <x:f>E3*INDEX('Régions'!$T$2:$Y$6,MATCH($B3,'Régions'!$A$2:$A$6,0),2)</x:f>
        <x:v>5262.980397164932</x:v>
      </x:c>
      <x:c r="S3" s="86" t="n">
        <x:f>F3*INDEX('Régions'!$T$2:$Y$6,MATCH($B3,'Régions'!$A$2:$A$6,0),3)</x:f>
        <x:v>4339.8755604823955</x:v>
      </x:c>
      <x:c r="T3" s="86" t="n">
        <x:f>G3*INDEX('Régions'!$T$2:$Y$6,MATCH($B3,'Régions'!$A$2:$A$6,0),4)</x:f>
        <x:v>15961.332451301998</x:v>
      </x:c>
      <x:c r="U3" s="86" t="n">
        <x:f>H3*INDEX('Régions'!$T$2:$Y$6,MATCH($B3,'Régions'!$A$2:$A$6,0),5)</x:f>
        <x:v>5156.454251942142</x:v>
      </x:c>
      <x:c r="V3" s="86" t="n">
        <x:f>I3*INDEX('Régions'!$T$2:$Y$6,MATCH($B3,'Régions'!$A$2:$A$6,0),6)</x:f>
        <x:v>735.9346332323394</x:v>
      </x:c>
      <x:c r="W3" s="86" t="n">
        <x:f>MAX(0,Q3+(AU3/100)*J3*'Régions'!$O$2)</x:f>
        <x:v>13721.30024905357</x:v>
      </x:c>
      <x:c r="X3" s="86" t="n">
        <x:f>MAX(0,R3+(AV3/100)*J3*'Régions'!$O$2)</x:f>
        <x:v>6734.116158712449</x:v>
      </x:c>
      <x:c r="Y3" s="86" t="n">
        <x:f>MAX(0,S3+(AW3/100)*J3*'Régions'!$O$2)</x:f>
        <x:v>4519.261529693153</x:v>
      </x:c>
      <x:c r="Z3" s="86" t="n">
        <x:f>MAX(0,T3+(AX3/100)*J3*'Régions'!$O$2)</x:f>
        <x:v>13773.051715975667</x:v>
      </x:c>
      <x:c r="AA3" s="86" t="n">
        <x:f>U3</x:f>
        <x:v>5156.454251942142</x:v>
      </x:c>
      <x:c r="AB3" s="86" t="n">
        <x:f>V3</x:f>
        <x:v>735.9346332323394</x:v>
      </x:c>
      <x:c r="AC3" s="86" t="n">
        <x:f>D3*INDEX('Régions'!$Z$2:$AE$6,MATCH($B3,'Régions'!$A$2:$A$6,0),1)</x:f>
        <x:v>13687.44735021808</x:v>
      </x:c>
      <x:c r="AD3" s="86" t="n">
        <x:f>E3*INDEX('Régions'!$Z$2:$AE$6,MATCH($B3,'Régions'!$A$2:$A$6,0),2)</x:f>
        <x:v>6348.470104080199</x:v>
      </x:c>
      <x:c r="AE3" s="86" t="n">
        <x:f>F3*INDEX('Régions'!$Z$2:$AE$6,MATCH($B3,'Régions'!$A$2:$A$6,0),3)</x:f>
        <x:v>6130.074229181383</x:v>
      </x:c>
      <x:c r="AF3" s="86" t="n">
        <x:f>G3*INDEX('Régions'!$Z$2:$AE$6,MATCH($B3,'Régions'!$A$2:$A$6,0),4)</x:f>
        <x:v>17777.62200610533</x:v>
      </x:c>
      <x:c r="AG3" s="86" t="n">
        <x:f>H3*INDEX('Régions'!$Z$2:$AE$6,MATCH($B3,'Régions'!$A$2:$A$6,0),5)</x:f>
        <x:v>6157.4130184956175</x:v>
      </x:c>
      <x:c r="AH3" s="86" t="n">
        <x:f>I3*INDEX('Régions'!$Z$2:$AE$6,MATCH($B3,'Régions'!$A$2:$A$6,0),6)</x:f>
        <x:v>3164.5189228990594</x:v>
      </x:c>
      <x:c r="AI3" s="86" t="n">
        <x:f>D3*INDEX('Régions'!$AF$2:$AK$6,MATCH($B3,'Régions'!$A$2:$A$6,0),1)</x:f>
        <x:v>10801.27634346283</x:v>
      </x:c>
      <x:c r="AJ3" s="86" t="n">
        <x:f>E3*INDEX('Régions'!$AF$2:$AK$6,MATCH($B3,'Régions'!$A$2:$A$6,0),2)</x:f>
        <x:v>4177.490690249665</x:v>
      </x:c>
      <x:c r="AK3" s="86" t="n">
        <x:f>F3*INDEX('Régions'!$AF$2:$AK$6,MATCH($B3,'Régions'!$A$2:$A$6,0),3)</x:f>
        <x:v>2549.676891783407</x:v>
      </x:c>
      <x:c r="AL3" s="86" t="n">
        <x:f>G3*INDEX('Régions'!$AF$2:$AK$6,MATCH($B3,'Régions'!$A$2:$A$6,0),4)</x:f>
        <x:v>14145.04289649867</x:v>
      </x:c>
      <x:c r="AM3" s="86" t="n">
        <x:f>H3*INDEX('Régions'!$AF$2:$AK$6,MATCH($B3,'Régions'!$A$2:$A$6,0),5)</x:f>
        <x:v>4155.4954853886675</x:v>
      </x:c>
      <x:c r="AN3" s="86" t="n">
        <x:f>I3*INDEX('Régions'!$AF$2:$AK$6,MATCH($B3,'Régions'!$A$2:$A$6,0),6)</x:f>
        <x:v>0</x:v>
      </x:c>
      <x:c r="AO3" s="84" t="str">
        <x:f>IF(MAX(Q3:V3)=Q3,"CAQ",IF(MAX(Q3:V3)=R3,"PLQ",IF(MAX(Q3:V3)=S3,"QS",IF(MAX(Q3:V3)=T3,"PQ",IF(MAX(Q3:V3)=U3,"PCQ","Autre")))))</x:f>
        <x:v>PQ</x:v>
      </x:c>
      <x:c r="AP3" s="84" t="str">
        <x:f>IF(MAX(W3:AB3)=W3,"CAQ",IF(MAX(W3:AB3)=X3,"PLQ",IF(MAX(W3:AB3)=Y3,"QS",IF(MAX(W3:AB3)=Z3,"PQ",IF(MAX(W3:AB3)=AA3,"PCQ","Autre")))))</x:f>
        <x:v>PQ</x:v>
      </x:c>
      <x:c r="AQ3" s="84" t="str">
        <x:f>IF(MAX(AC3:AH3)=AC3,"CAQ",IF(MAX(AC3:AH3)=AD3,"PLQ",IF(MAX(AC3:AH3)=AE3,"QS",IF(MAX(AC3:AH3)=AF3,"PQ",IF(MAX(AC3:AH3)=AG3,"PCQ","Autre")))))</x:f>
        <x:v>PQ</x:v>
      </x:c>
      <x:c r="AR3" s="84" t="str">
        <x:f>IF(MAX(AI3:AN3)=AI3,"CAQ",IF(MAX(AI3:AN3)=AJ3,"PLQ",IF(MAX(AI3:AN3)=AK3,"QS",IF(MAX(AI3:AN3)=AL3,"PQ",IF(MAX(AI3:AN3)=AM3,"PCQ","Autre")))))</x:f>
        <x:v>PQ</x:v>
      </x:c>
      <x:c r="AS3" s="88" t="n">
        <x:f>(MAX(K3:P3)-LARGE(K3:P3,2))*100</x:f>
        <x:v>25.980845070422532</x:v>
      </x:c>
      <x:c r="AT3" s="84" t="str">
        <x:f>IF(AS3&lt;5,"Oui","Non")</x:f>
        <x:v>Non</x:v>
      </x:c>
      <x:c r="AU3" s="89" t="n">
        <x:v>6.656623784622484</x:v>
      </x:c>
      <x:c r="AV3" s="89" t="n">
        <x:v>6.630471037960642</x:v>
      </x:c>
      <x:c r="AW3" s="89" t="n">
        <x:v>0.8085001429217226</x:v>
      </x:c>
      <x:c r="AX3" s="90" t="n">
        <x:v>-9.862673736682057</x:v>
      </x:c>
    </x:row>
    <x:row r="4">
      <x:c r="A4" s="83" t="str">
        <x:v>Acadie</x:v>
      </x:c>
      <x:c r="B4" s="84" t="str">
        <x:v>Île de Montréal</x:v>
      </x:c>
      <x:c r="C4" s="84" t="str">
        <x:f>IF(MAX(D4:I4)=D4,"CAQ",IF(MAX(D4:I4)=E4,"PLQ",IF(MAX(D4:I4)=F4,"QS",IF(MAX(D4:I4)=G4,"PQ",IF(MAX(D4:I4)=H4,"PCQ","Autre")))))</x:f>
        <x:v>PLQ</x:v>
      </x:c>
      <x:c r="D4" s="85" t="n">
        <x:v>8958</x:v>
      </x:c>
      <x:c r="E4" s="85" t="n">
        <x:v>22125</x:v>
      </x:c>
      <x:c r="F4" s="85" t="n">
        <x:v>9002</x:v>
      </x:c>
      <x:c r="G4" s="85" t="n">
        <x:v>6314</x:v>
      </x:c>
      <x:c r="H4" s="85" t="n">
        <x:v>5954</x:v>
      </x:c>
      <x:c r="I4" s="85" t="n">
        <x:v>0</x:v>
      </x:c>
      <x:c r="J4" s="86" t="n">
        <x:f>SUM(D4:I4)</x:f>
        <x:v>52353</x:v>
      </x:c>
      <x:c r="K4" s="87" t="n">
        <x:f>IFERROR(D4/J4,0)</x:f>
        <x:v>0.17110767291272708</x:v>
      </x:c>
      <x:c r="L4" s="87" t="n">
        <x:f>IFERROR(E4/J4,0)</x:f>
        <x:v>0.4226118847057475</x:v>
      </x:c>
      <x:c r="M4" s="87" t="n">
        <x:f>IFERROR(F4/J4,0)</x:f>
        <x:v>0.17194812140660515</x:v>
      </x:c>
      <x:c r="N4" s="87" t="n">
        <x:f>IFERROR(G4/J4,0)</x:f>
        <x:v>0.12060435887150689</x:v>
      </x:c>
      <x:c r="O4" s="87" t="n">
        <x:f>IFERROR(H4/J4,0)</x:f>
        <x:v>0.11372796210341336</x:v>
      </x:c>
      <x:c r="P4" s="87" t="n">
        <x:f>IFERROR(I4/J4,0)</x:f>
        <x:v>0</x:v>
      </x:c>
      <x:c r="Q4" s="86" t="n">
        <x:f>D4*INDEX('Régions'!$T$2:$Y$6,MATCH($B4,'Régions'!$A$2:$A$6,0),1)</x:f>
        <x:v>6709.430588377026</x:v>
      </x:c>
      <x:c r="R4" s="86" t="n">
        <x:f>E4*INDEX('Régions'!$T$2:$Y$6,MATCH($B4,'Régions'!$A$2:$A$6,0),2)</x:f>
        <x:v>22045.506388703336</x:v>
      </x:c>
      <x:c r="S4" s="86" t="n">
        <x:f>F4*INDEX('Régions'!$T$2:$Y$6,MATCH($B4,'Régions'!$A$2:$A$6,0),3)</x:f>
        <x:v>6938.615676590648</x:v>
      </x:c>
      <x:c r="T4" s="86" t="n">
        <x:f>G4*INDEX('Régions'!$T$2:$Y$6,MATCH($B4,'Régions'!$A$2:$A$6,0),4)</x:f>
        <x:v>12215.187688906177</x:v>
      </x:c>
      <x:c r="U4" s="86" t="n">
        <x:f>H4*INDEX('Régions'!$T$2:$Y$6,MATCH($B4,'Régions'!$A$2:$A$6,0),5)</x:f>
        <x:v>4745.711742208108</x:v>
      </x:c>
      <x:c r="V4" s="86" t="n">
        <x:f>I4*INDEX('Régions'!$T$2:$Y$6,MATCH($B4,'Régions'!$A$2:$A$6,0),6)</x:f>
        <x:v>0</x:v>
      </x:c>
      <x:c r="W4" s="86" t="n">
        <x:f>MAX(0,Q4+(AU4/100)*J4*'Régions'!$O$2)</x:f>
        <x:v>6383.978986359013</x:v>
      </x:c>
      <x:c r="X4" s="86" t="n">
        <x:f>MAX(0,R4+(AV4/100)*J4*'Régions'!$O$2)</x:f>
        <x:v>21150.133356604285</x:v>
      </x:c>
      <x:c r="Y4" s="86" t="n">
        <x:f>MAX(0,S4+(AW4/100)*J4*'Régions'!$O$2)</x:f>
        <x:v>7712.744095125819</x:v>
      </x:c>
      <x:c r="Z4" s="86" t="n">
        <x:f>MAX(0,T4+(AX4/100)*J4*'Régions'!$O$2)</x:f>
        <x:v>12932.131570291565</x:v>
      </x:c>
      <x:c r="AA4" s="86" t="n">
        <x:f>U4</x:f>
        <x:v>4745.711742208108</x:v>
      </x:c>
      <x:c r="AB4" s="86" t="n">
        <x:f>V4</x:f>
        <x:v>0</x:v>
      </x:c>
      <x:c r="AC4" s="86" t="n">
        <x:f>D4*INDEX('Régions'!$Z$2:$AE$6,MATCH($B4,'Régions'!$A$2:$A$6,0),1)</x:f>
        <x:v>8185.505317819971</x:v>
      </x:c>
      <x:c r="AD4" s="86" t="n">
        <x:f>E4*INDEX('Régions'!$Z$2:$AE$6,MATCH($B4,'Régions'!$A$2:$A$6,0),2)</x:f>
        <x:v>24185.217302901012</x:v>
      </x:c>
      <x:c r="AE4" s="86" t="n">
        <x:f>F4*INDEX('Régions'!$Z$2:$AE$6,MATCH($B4,'Régions'!$A$2:$A$6,0),3)</x:f>
        <x:v>8285.523425575891</x:v>
      </x:c>
      <x:c r="AF4" s="86" t="n">
        <x:f>G4*INDEX('Régions'!$Z$2:$AE$6,MATCH($B4,'Régions'!$A$2:$A$6,0),4)</x:f>
        <x:v>13894.775996130777</x:v>
      </x:c>
      <x:c r="AG4" s="86" t="n">
        <x:f>H4*INDEX('Régions'!$Z$2:$AE$6,MATCH($B4,'Régions'!$A$2:$A$6,0),5)</x:f>
        <x:v>6703.317835868954</x:v>
      </x:c>
      <x:c r="AH4" s="86" t="n">
        <x:f>I4*INDEX('Régions'!$Z$2:$AE$6,MATCH($B4,'Régions'!$A$2:$A$6,0),6)</x:f>
        <x:v>0</x:v>
      </x:c>
      <x:c r="AI4" s="86" t="n">
        <x:f>D4*INDEX('Régions'!$AF$2:$AK$6,MATCH($B4,'Régions'!$A$2:$A$6,0),1)</x:f>
        <x:v>5233.35585893408</x:v>
      </x:c>
      <x:c r="AJ4" s="86" t="n">
        <x:f>E4*INDEX('Régions'!$AF$2:$AK$6,MATCH($B4,'Régions'!$A$2:$A$6,0),2)</x:f>
        <x:v>19905.79547450566</x:v>
      </x:c>
      <x:c r="AK4" s="86" t="n">
        <x:f>F4*INDEX('Régions'!$AF$2:$AK$6,MATCH($B4,'Régions'!$A$2:$A$6,0),3)</x:f>
        <x:v>5591.707927605405</x:v>
      </x:c>
      <x:c r="AL4" s="86" t="n">
        <x:f>G4*INDEX('Régions'!$AF$2:$AK$6,MATCH($B4,'Régions'!$A$2:$A$6,0),4)</x:f>
        <x:v>10535.599381681575</x:v>
      </x:c>
      <x:c r="AM4" s="86" t="n">
        <x:f>H4*INDEX('Régions'!$AF$2:$AK$6,MATCH($B4,'Régions'!$A$2:$A$6,0),5)</x:f>
        <x:v>2788.105648547264</x:v>
      </x:c>
      <x:c r="AN4" s="86" t="n">
        <x:f>I4*INDEX('Régions'!$AF$2:$AK$6,MATCH($B4,'Régions'!$A$2:$A$6,0),6)</x:f>
        <x:v>0</x:v>
      </x:c>
      <x:c r="AO4" s="84" t="str">
        <x:f>IF(MAX(Q4:V4)=Q4,"CAQ",IF(MAX(Q4:V4)=R4,"PLQ",IF(MAX(Q4:V4)=S4,"QS",IF(MAX(Q4:V4)=T4,"PQ",IF(MAX(Q4:V4)=U4,"PCQ","Autre")))))</x:f>
        <x:v>PLQ</x:v>
      </x:c>
      <x:c r="AP4" s="84" t="str">
        <x:f>IF(MAX(W4:AB4)=W4,"CAQ",IF(MAX(W4:AB4)=X4,"PLQ",IF(MAX(W4:AB4)=Y4,"QS",IF(MAX(W4:AB4)=Z4,"PQ",IF(MAX(W4:AB4)=AA4,"PCQ","Autre")))))</x:f>
        <x:v>PLQ</x:v>
      </x:c>
      <x:c r="AQ4" s="84" t="str">
        <x:f>IF(MAX(AC4:AH4)=AC4,"CAQ",IF(MAX(AC4:AH4)=AD4,"PLQ",IF(MAX(AC4:AH4)=AE4,"QS",IF(MAX(AC4:AH4)=AF4,"PQ",IF(MAX(AC4:AH4)=AG4,"PCQ","Autre")))))</x:f>
        <x:v>PLQ</x:v>
      </x:c>
      <x:c r="AR4" s="84" t="str">
        <x:f>IF(MAX(AI4:AN4)=AI4,"CAQ",IF(MAX(AI4:AN4)=AJ4,"PLQ",IF(MAX(AI4:AN4)=AK4,"QS",IF(MAX(AI4:AN4)=AL4,"PQ",IF(MAX(AI4:AN4)=AM4,"PCQ","Autre")))))</x:f>
        <x:v>PLQ</x:v>
      </x:c>
      <x:c r="AS4" s="88" t="n">
        <x:f>(MAX(K4:P4)-LARGE(K4:P4,2))*100</x:f>
        <x:v>25.066376329914235</x:v>
      </x:c>
      <x:c r="AT4" s="84" t="str">
        <x:f>IF(AS4&lt;5,"Oui","Non")</x:f>
        <x:v>Non</x:v>
      </x:c>
      <x:c r="AU4" s="89" t="n">
        <x:v>-1.243296857937512</x:v>
      </x:c>
      <x:c r="AV4" s="89" t="n">
        <x:v>-3.420522346757787</x:v>
      </x:c>
      <x:c r="AW4" s="89" t="n">
        <x:v>2.9573411973914414</x:v>
      </x:c>
      <x:c r="AX4" s="90" t="n">
        <x:v>2.7388836604793925</x:v>
      </x:c>
    </x:row>
    <x:row r="5">
      <x:c r="A5" s="83" t="str">
        <x:v>Anjou-Louis-Riel</x:v>
      </x:c>
      <x:c r="B5" s="84" t="str">
        <x:v>Île de Montréal</x:v>
      </x:c>
      <x:c r="C5" s="84" t="str">
        <x:f>IF(MAX(D5:I5)=D5,"CAQ",IF(MAX(D5:I5)=E5,"PLQ",IF(MAX(D5:I5)=F5,"QS",IF(MAX(D5:I5)=G5,"PQ",IF(MAX(D5:I5)=H5,"PCQ","Autre")))))</x:f>
        <x:v>CAQ</x:v>
      </x:c>
      <x:c r="D5" s="85" t="n">
        <x:v>18477</x:v>
      </x:c>
      <x:c r="E5" s="85" t="n">
        <x:v>15854</x:v>
      </x:c>
      <x:c r="F5" s="85" t="n">
        <x:v>7672</x:v>
      </x:c>
      <x:c r="G5" s="85" t="n">
        <x:v>5735</x:v>
      </x:c>
      <x:c r="H5" s="85" t="n">
        <x:v>3719</x:v>
      </x:c>
      <x:c r="I5" s="85" t="n">
        <x:v>495</x:v>
      </x:c>
      <x:c r="J5" s="86" t="n">
        <x:f>SUM(D5:I5)</x:f>
        <x:v>51952</x:v>
      </x:c>
      <x:c r="K5" s="87" t="n">
        <x:f>IFERROR(D5/J5,0)</x:f>
        <x:v>0.35565522020326457</x:v>
      </x:c>
      <x:c r="L5" s="87" t="n">
        <x:f>IFERROR(E5/J5,0)</x:f>
        <x:v>0.3051663073606406</x:v>
      </x:c>
      <x:c r="M5" s="87" t="n">
        <x:f>IFERROR(F5/J5,0)</x:f>
        <x:v>0.14767477671696952</x:v>
      </x:c>
      <x:c r="N5" s="87" t="n">
        <x:f>IFERROR(G5/J5,0)</x:f>
        <x:v>0.11039036033261472</x:v>
      </x:c>
      <x:c r="O5" s="87" t="n">
        <x:f>IFERROR(H5/J5,0)</x:f>
        <x:v>0.07158530951647675</x:v>
      </x:c>
      <x:c r="P5" s="87" t="n">
        <x:f>IFERROR(I5/J5,0)</x:f>
        <x:v>0.009528025870033877</x:v>
      </x:c>
      <x:c r="Q5" s="86" t="n">
        <x:f>D5*INDEX('Régions'!$T$2:$Y$6,MATCH($B5,'Régions'!$A$2:$A$6,0),1)</x:f>
        <x:v>13839.043199535869</x:v>
      </x:c>
      <x:c r="R5" s="86" t="n">
        <x:f>E5*INDEX('Régions'!$T$2:$Y$6,MATCH($B5,'Régions'!$A$2:$A$6,0),2)</x:f>
        <x:v>15797.037662666788</x:v>
      </x:c>
      <x:c r="S5" s="86" t="n">
        <x:f>F5*INDEX('Régions'!$T$2:$Y$6,MATCH($B5,'Régions'!$A$2:$A$6,0),3)</x:f>
        <x:v>5913.470281137908</x:v>
      </x:c>
      <x:c r="T5" s="86" t="n">
        <x:f>G5*INDEX('Régions'!$T$2:$Y$6,MATCH($B5,'Régions'!$A$2:$A$6,0),4)</x:f>
        <x:v>11095.042983192418</x:v>
      </x:c>
      <x:c r="U5" s="86" t="n">
        <x:f>H5*INDEX('Régions'!$T$2:$Y$6,MATCH($B5,'Régions'!$A$2:$A$6,0),5)</x:f>
        <x:v>2964.2764476439293</x:v>
      </x:c>
      <x:c r="V5" s="86" t="n">
        <x:f>I5*INDEX('Régions'!$T$2:$Y$6,MATCH($B5,'Régions'!$A$2:$A$6,0),6)</x:f>
        <x:v>731.9419518377694</x:v>
      </x:c>
      <x:c r="W5" s="86" t="n">
        <x:f>MAX(0,Q5+(AU5/100)*J5*'Régions'!$O$2)</x:f>
        <x:v>15089.459565698002</x:v>
      </x:c>
      <x:c r="X5" s="86" t="n">
        <x:f>MAX(0,R5+(AV5/100)*J5*'Régions'!$O$2)</x:f>
        <x:v>15685.356509307252</x:v>
      </x:c>
      <x:c r="Y5" s="86" t="n">
        <x:f>MAX(0,S5+(AW5/100)*J5*'Régions'!$O$2)</x:f>
        <x:v>5848.3941424351915</x:v>
      </x:c>
      <x:c r="Z5" s="86" t="n">
        <x:f>MAX(0,T5+(AX5/100)*J5*'Régions'!$O$2)</x:f>
        <x:v>10294.851442816002</x:v>
      </x:c>
      <x:c r="AA5" s="86" t="n">
        <x:f>U5</x:f>
        <x:v>2964.2764476439293</x:v>
      </x:c>
      <x:c r="AB5" s="86" t="n">
        <x:f>V5</x:f>
        <x:v>731.9419518377694</x:v>
      </x:c>
      <x:c r="AC5" s="86" t="n">
        <x:f>D5*INDEX('Régions'!$Z$2:$AE$6,MATCH($B5,'Régions'!$A$2:$A$6,0),1)</x:f>
        <x:v>16883.63270343376</x:v>
      </x:c>
      <x:c r="AD5" s="86" t="n">
        <x:f>E5*INDEX('Régions'!$Z$2:$AE$6,MATCH($B5,'Régions'!$A$2:$A$6,0),2)</x:f>
        <x:v>17330.279553455035</x:v>
      </x:c>
      <x:c r="AE5" s="86" t="n">
        <x:f>F5*INDEX('Régions'!$Z$2:$AE$6,MATCH($B5,'Régions'!$A$2:$A$6,0),3)</x:f>
        <x:v>7061.37921806468</x:v>
      </x:c>
      <x:c r="AF5" s="86" t="n">
        <x:f>G5*INDEX('Régions'!$Z$2:$AE$6,MATCH($B5,'Régions'!$A$2:$A$6,0),4)</x:f>
        <x:v>12620.611393381374</x:v>
      </x:c>
      <x:c r="AG5" s="86" t="n">
        <x:f>H5*INDEX('Régions'!$Z$2:$AE$6,MATCH($B5,'Régions'!$A$2:$A$6,0),5)</x:f>
        <x:v>4187.04048229705</x:v>
      </x:c>
      <x:c r="AH5" s="86" t="n">
        <x:f>I5*INDEX('Régions'!$Z$2:$AE$6,MATCH($B5,'Régions'!$A$2:$A$6,0),6)</x:f>
        <x:v>1939.6461723700888</x:v>
      </x:c>
      <x:c r="AI5" s="86" t="n">
        <x:f>D5*INDEX('Régions'!$AF$2:$AK$6,MATCH($B5,'Régions'!$A$2:$A$6,0),1)</x:f>
        <x:v>10794.453695637978</x:v>
      </x:c>
      <x:c r="AJ5" s="86" t="n">
        <x:f>E5*INDEX('Régions'!$AF$2:$AK$6,MATCH($B5,'Régions'!$A$2:$A$6,0),2)</x:f>
        <x:v>14263.79577187854</x:v>
      </x:c>
      <x:c r="AK5" s="86" t="n">
        <x:f>F5*INDEX('Régions'!$AF$2:$AK$6,MATCH($B5,'Régions'!$A$2:$A$6,0),3)</x:f>
        <x:v>4765.561344211138</x:v>
      </x:c>
      <x:c r="AL5" s="86" t="n">
        <x:f>G5*INDEX('Régions'!$AF$2:$AK$6,MATCH($B5,'Régions'!$A$2:$A$6,0),4)</x:f>
        <x:v>9569.47457300346</x:v>
      </x:c>
      <x:c r="AM5" s="86" t="n">
        <x:f>H5*INDEX('Régions'!$AF$2:$AK$6,MATCH($B5,'Régions'!$A$2:$A$6,0),5)</x:f>
        <x:v>1741.5124129908086</x:v>
      </x:c>
      <x:c r="AN5" s="86" t="n">
        <x:f>I5*INDEX('Régions'!$AF$2:$AK$6,MATCH($B5,'Régions'!$A$2:$A$6,0),6)</x:f>
        <x:v>0</x:v>
      </x:c>
      <x:c r="AO5" s="84" t="str">
        <x:f>IF(MAX(Q5:V5)=Q5,"CAQ",IF(MAX(Q5:V5)=R5,"PLQ",IF(MAX(Q5:V5)=S5,"QS",IF(MAX(Q5:V5)=T5,"PQ",IF(MAX(Q5:V5)=U5,"PCQ","Autre")))))</x:f>
        <x:v>PLQ</x:v>
      </x:c>
      <x:c r="AP5" s="84" t="str">
        <x:f>IF(MAX(W5:AB5)=W5,"CAQ",IF(MAX(W5:AB5)=X5,"PLQ",IF(MAX(W5:AB5)=Y5,"QS",IF(MAX(W5:AB5)=Z5,"PQ",IF(MAX(W5:AB5)=AA5,"PCQ","Autre")))))</x:f>
        <x:v>PLQ</x:v>
      </x:c>
      <x:c r="AQ5" s="84" t="str">
        <x:f>IF(MAX(AC5:AH5)=AC5,"CAQ",IF(MAX(AC5:AH5)=AD5,"PLQ",IF(MAX(AC5:AH5)=AE5,"QS",IF(MAX(AC5:AH5)=AF5,"PQ",IF(MAX(AC5:AH5)=AG5,"PCQ","Autre")))))</x:f>
        <x:v>PLQ</x:v>
      </x:c>
      <x:c r="AR5" s="84" t="str">
        <x:f>IF(MAX(AI5:AN5)=AI5,"CAQ",IF(MAX(AI5:AN5)=AJ5,"PLQ",IF(MAX(AI5:AN5)=AK5,"QS",IF(MAX(AI5:AN5)=AL5,"PQ",IF(MAX(AI5:AN5)=AM5,"PCQ","Autre")))))</x:f>
        <x:v>PLQ</x:v>
      </x:c>
      <x:c r="AS5" s="88" t="n">
        <x:f>(MAX(K5:P5)-LARGE(K5:P5,2))*100</x:f>
        <x:v>5.048891284262397</x:v>
      </x:c>
      <x:c r="AT5" s="84" t="str">
        <x:f>IF(AS5&lt;5,"Oui","Non")</x:f>
        <x:v>Non</x:v>
      </x:c>
      <x:c r="AU5" s="89" t="n">
        <x:v>4.813737165699619</x:v>
      </x:c>
      <x:c r="AV5" s="89" t="n">
        <x:v>-0.42993976501207176</x:v>
      </x:c>
      <x:c r="AW5" s="89" t="n">
        <x:v>-0.25052409417430366</x:v>
      </x:c>
      <x:c r="AX5" s="90" t="n">
        <x:v>-3.0805033121974774</x:v>
      </x:c>
    </x:row>
    <x:row r="6">
      <x:c r="A6" s="83" t="str">
        <x:v>Argenteuil</x:v>
      </x:c>
      <x:c r="B6" s="84" t="str">
        <x:v>Reste du Québec</x:v>
      </x:c>
      <x:c r="C6" s="84" t="str">
        <x:f>IF(MAX(D6:I6)=D6,"CAQ",IF(MAX(D6:I6)=E6,"PLQ",IF(MAX(D6:I6)=F6,"QS",IF(MAX(D6:I6)=G6,"PQ",IF(MAX(D6:I6)=H6,"PCQ","Autre")))))</x:f>
        <x:v>CAQ</x:v>
      </x:c>
      <x:c r="D6" s="85" t="n">
        <x:v>24534</x:v>
      </x:c>
      <x:c r="E6" s="85" t="n">
        <x:v>5455</x:v>
      </x:c>
      <x:c r="F6" s="85" t="n">
        <x:v>5915</x:v>
      </x:c>
      <x:c r="G6" s="85" t="n">
        <x:v>9480</x:v>
      </x:c>
      <x:c r="H6" s="85" t="n">
        <x:v>8616</x:v>
      </x:c>
      <x:c r="I6" s="85" t="n">
        <x:v>191</x:v>
      </x:c>
      <x:c r="J6" s="86" t="n">
        <x:f>SUM(D6:I6)</x:f>
        <x:v>54191</x:v>
      </x:c>
      <x:c r="K6" s="87" t="n">
        <x:f>IFERROR(D6/J6,0)</x:f>
        <x:v>0.4527320034692108</x:v>
      </x:c>
      <x:c r="L6" s="87" t="n">
        <x:f>IFERROR(E6/J6,0)</x:f>
        <x:v>0.10066247162813013</x:v>
      </x:c>
      <x:c r="M6" s="87" t="n">
        <x:f>IFERROR(F6/J6,0)</x:f>
        <x:v>0.10915096602756916</x:v>
      </x:c>
      <x:c r="N6" s="87" t="n">
        <x:f>IFERROR(G6/J6,0)</x:f>
        <x:v>0.17493679762322156</x:v>
      </x:c>
      <x:c r="O6" s="87" t="n">
        <x:f>IFERROR(H6/J6,0)</x:f>
        <x:v>0.15899319075123175</x:v>
      </x:c>
      <x:c r="P6" s="87" t="n">
        <x:f>IFERROR(I6/J6,0)</x:f>
        <x:v>0.003524570500636637</x:v>
      </x:c>
      <x:c r="Q6" s="86" t="n">
        <x:f>D6*INDEX('Régions'!$T$2:$Y$6,MATCH($B6,'Régions'!$A$2:$A$6,0),1)</x:f>
        <x:v>14482.146919461202</x:v>
      </x:c>
      <x:c r="R6" s="86" t="n">
        <x:f>E6*INDEX('Régions'!$T$2:$Y$6,MATCH($B6,'Régions'!$A$2:$A$6,0),2)</x:f>
        <x:v>12482.416550667262</x:v>
      </x:c>
      <x:c r="S6" s="86" t="n">
        <x:f>F6*INDEX('Régions'!$T$2:$Y$6,MATCH($B6,'Régions'!$A$2:$A$6,0),3)</x:f>
        <x:v>3552.0082939329413</x:v>
      </x:c>
      <x:c r="T6" s="86" t="n">
        <x:f>G6*INDEX('Régions'!$T$2:$Y$6,MATCH($B6,'Régions'!$A$2:$A$6,0),4)</x:f>
        <x:v>16422.121949027885</x:v>
      </x:c>
      <x:c r="U6" s="86" t="n">
        <x:f>H6*INDEX('Régions'!$T$2:$Y$6,MATCH($B6,'Régions'!$A$2:$A$6,0),5)</x:f>
        <x:v>9713.163496880958</x:v>
      </x:c>
      <x:c r="V6" s="86" t="n">
        <x:f>I6*INDEX('Régions'!$T$2:$Y$6,MATCH($B6,'Régions'!$A$2:$A$6,0),6)</x:f>
        <x:v>443.4180282251635</x:v>
      </x:c>
      <x:c r="W6" s="86" t="n">
        <x:f>MAX(0,Q6+(AU6/100)*J6*'Régions'!$O$2)</x:f>
        <x:v>14452.317099497122</x:v>
      </x:c>
      <x:c r="X6" s="86" t="n">
        <x:f>MAX(0,R6+(AV6/100)*J6*'Régions'!$O$2)</x:f>
        <x:v>14027.922630642</x:v>
      </x:c>
      <x:c r="Y6" s="86" t="n">
        <x:f>MAX(0,S6+(AW6/100)*J6*'Régions'!$O$2)</x:f>
        <x:v>3487.587677026736</x:v>
      </x:c>
      <x:c r="Z6" s="86" t="n">
        <x:f>MAX(0,T6+(AX6/100)*J6*'Régions'!$O$2)</x:f>
        <x:v>16342.140135423486</x:v>
      </x:c>
      <x:c r="AA6" s="86" t="n">
        <x:f>U6</x:f>
        <x:v>9713.163496880958</x:v>
      </x:c>
      <x:c r="AB6" s="86" t="n">
        <x:f>V6</x:f>
        <x:v>443.4180282251635</x:v>
      </x:c>
      <x:c r="AC6" s="86" t="n">
        <x:f>D6*INDEX('Régions'!$Z$2:$AE$6,MATCH($B6,'Régions'!$A$2:$A$6,0),1)</x:f>
        <x:v>16188.971377826274</x:v>
      </x:c>
      <x:c r="AD6" s="86" t="n">
        <x:f>E6*INDEX('Régions'!$Z$2:$AE$6,MATCH($B6,'Régions'!$A$2:$A$6,0),2)</x:f>
        <x:v>15056.914964242385</x:v>
      </x:c>
      <x:c r="AE6" s="86" t="n">
        <x:f>F6*INDEX('Régions'!$Z$2:$AE$6,MATCH($B6,'Régions'!$A$2:$A$6,0),3)</x:f>
        <x:v>5017.2117151802795</x:v>
      </x:c>
      <x:c r="AF6" s="86" t="n">
        <x:f>G6*INDEX('Régions'!$Z$2:$AE$6,MATCH($B6,'Régions'!$A$2:$A$6,0),4)</x:f>
        <x:v>18290.846170813817</x:v>
      </x:c>
      <x:c r="AG6" s="86" t="n">
        <x:f>H6*INDEX('Régions'!$Z$2:$AE$6,MATCH($B6,'Régions'!$A$2:$A$6,0),5)</x:f>
        <x:v>11598.659940393143</x:v>
      </x:c>
      <x:c r="AH6" s="86" t="n">
        <x:f>I6*INDEX('Régions'!$Z$2:$AE$6,MATCH($B6,'Régions'!$A$2:$A$6,0),6)</x:f>
        <x:v>1906.6975213682028</x:v>
      </x:c>
      <x:c r="AI6" s="86" t="n">
        <x:f>D6*INDEX('Régions'!$AF$2:$AK$6,MATCH($B6,'Régions'!$A$2:$A$6,0),1)</x:f>
        <x:v>12775.322461096132</x:v>
      </x:c>
      <x:c r="AJ6" s="86" t="n">
        <x:f>E6*INDEX('Régions'!$AF$2:$AK$6,MATCH($B6,'Régions'!$A$2:$A$6,0),2)</x:f>
        <x:v>9907.91813709214</x:v>
      </x:c>
      <x:c r="AK6" s="86" t="n">
        <x:f>F6*INDEX('Régions'!$AF$2:$AK$6,MATCH($B6,'Régions'!$A$2:$A$6,0),3)</x:f>
        <x:v>2086.8048726856027</x:v>
      </x:c>
      <x:c r="AL6" s="86" t="n">
        <x:f>G6*INDEX('Régions'!$AF$2:$AK$6,MATCH($B6,'Régions'!$A$2:$A$6,0),4)</x:f>
        <x:v>14553.397727241956</x:v>
      </x:c>
      <x:c r="AM6" s="86" t="n">
        <x:f>H6*INDEX('Régions'!$AF$2:$AK$6,MATCH($B6,'Régions'!$A$2:$A$6,0),5)</x:f>
        <x:v>7827.667053368771</x:v>
      </x:c>
      <x:c r="AN6" s="86" t="n">
        <x:f>I6*INDEX('Régions'!$AF$2:$AK$6,MATCH($B6,'Régions'!$A$2:$A$6,0),6)</x:f>
        <x:v>0</x:v>
      </x:c>
      <x:c r="AO6" s="84" t="str">
        <x:f>IF(MAX(Q6:V6)=Q6,"CAQ",IF(MAX(Q6:V6)=R6,"PLQ",IF(MAX(Q6:V6)=S6,"QS",IF(MAX(Q6:V6)=T6,"PQ",IF(MAX(Q6:V6)=U6,"PCQ","Autre")))))</x:f>
        <x:v>PQ</x:v>
      </x:c>
      <x:c r="AP6" s="84" t="str">
        <x:f>IF(MAX(W6:AB6)=W6,"CAQ",IF(MAX(W6:AB6)=X6,"PLQ",IF(MAX(W6:AB6)=Y6,"QS",IF(MAX(W6:AB6)=Z6,"PQ",IF(MAX(W6:AB6)=AA6,"PCQ","Autre")))))</x:f>
        <x:v>PQ</x:v>
      </x:c>
      <x:c r="AQ6" s="84" t="str">
        <x:f>IF(MAX(AC6:AH6)=AC6,"CAQ",IF(MAX(AC6:AH6)=AD6,"PLQ",IF(MAX(AC6:AH6)=AE6,"QS",IF(MAX(AC6:AH6)=AF6,"PQ",IF(MAX(AC6:AH6)=AG6,"PCQ","Autre")))))</x:f>
        <x:v>PQ</x:v>
      </x:c>
      <x:c r="AR6" s="84" t="str">
        <x:f>IF(MAX(AI6:AN6)=AI6,"CAQ",IF(MAX(AI6:AN6)=AJ6,"PLQ",IF(MAX(AI6:AN6)=AK6,"QS",IF(MAX(AI6:AN6)=AL6,"PQ",IF(MAX(AI6:AN6)=AM6,"PCQ","Autre")))))</x:f>
        <x:v>PQ</x:v>
      </x:c>
      <x:c r="AS6" s="88" t="n">
        <x:f>(MAX(K6:P6)-LARGE(K6:P6,2))*100</x:f>
        <x:v>27.77952058459892</x:v>
      </x:c>
      <x:c r="AT6" s="84" t="str">
        <x:f>IF(AS6&lt;5,"Oui","Non")</x:f>
        <x:v>Non</x:v>
      </x:c>
      <x:c r="AU6" s="89" t="n">
        <x:v>-0.11009141726146532</x:v>
      </x:c>
      <x:c r="AV6" s="89" t="n">
        <x:v>5.703921610506316</x:v>
      </x:c>
      <x:c r="AW6" s="89" t="n">
        <x:v>-0.23775393296379677</x:v>
      </x:c>
      <x:c r="AX6" s="90" t="n">
        <x:v>-0.2951848594947487</x:v>
      </x:c>
    </x:row>
    <x:row r="7">
      <x:c r="A7" s="83" t="str">
        <x:v>Arthabaska-L'Érable</x:v>
      </x:c>
      <x:c r="B7" s="84" t="str">
        <x:v>Reste du Québec</x:v>
      </x:c>
      <x:c r="C7" s="84" t="str">
        <x:f>IF(MAX(D7:I7)=D7,"CAQ",IF(MAX(D7:I7)=E7,"PLQ",IF(MAX(D7:I7)=F7,"QS",IF(MAX(D7:I7)=G7,"PQ",IF(MAX(D7:I7)=H7,"PCQ","Autre")))))</x:f>
        <x:v>CAQ</x:v>
      </x:c>
      <x:c r="D7" s="85" t="n">
        <x:v>46614</x:v>
      </x:c>
      <x:c r="E7" s="85" t="n">
        <x:v>3385</x:v>
      </x:c>
      <x:c r="F7" s="85" t="n">
        <x:v>8315</x:v>
      </x:c>
      <x:c r="G7" s="85" t="n">
        <x:v>9051</x:v>
      </x:c>
      <x:c r="H7" s="85" t="n">
        <x:v>22206</x:v>
      </x:c>
      <x:c r="I7" s="85" t="n">
        <x:v>508</x:v>
      </x:c>
      <x:c r="J7" s="86" t="n">
        <x:f>SUM(D7:I7)</x:f>
        <x:v>90079</x:v>
      </x:c>
      <x:c r="K7" s="87" t="n">
        <x:f>IFERROR(D7/J7,0)</x:f>
        <x:v>0.5174791016774165</x:v>
      </x:c>
      <x:c r="L7" s="87" t="n">
        <x:f>IFERROR(E7/J7,0)</x:f>
        <x:v>0.03757812586729426</x:v>
      </x:c>
      <x:c r="M7" s="87" t="n">
        <x:f>IFERROR(F7/J7,0)</x:f>
        <x:v>0.09230786309794736</x:v>
      </x:c>
      <x:c r="N7" s="87" t="n">
        <x:f>IFERROR(G7/J7,0)</x:f>
        <x:v>0.10047846889952153</x:v>
      </x:c>
      <x:c r="O7" s="87" t="n">
        <x:f>IFERROR(H7/J7,0)</x:f>
        <x:v>0.24651694623608167</x:v>
      </x:c>
      <x:c r="P7" s="87" t="n">
        <x:f>IFERROR(I7/J7,0)</x:f>
        <x:v>0.005639494221738696</x:v>
      </x:c>
      <x:c r="Q7" s="86" t="n">
        <x:f>D7*INDEX('Régions'!$T$2:$Y$6,MATCH($B7,'Régions'!$A$2:$A$6,0),1)</x:f>
        <x:v>27515.72497365959</x:v>
      </x:c>
      <x:c r="R7" s="86" t="n">
        <x:f>E7*INDEX('Régions'!$T$2:$Y$6,MATCH($B7,'Régions'!$A$2:$A$6,0),2)</x:f>
        <x:v>7745.734193218824</x:v>
      </x:c>
      <x:c r="S7" s="86" t="n">
        <x:f>F7*INDEX('Régions'!$T$2:$Y$6,MATCH($B7,'Régions'!$A$2:$A$6,0),3)</x:f>
        <x:v>4993.228903474625</x:v>
      </x:c>
      <x:c r="T7" s="86" t="n">
        <x:f>G7*INDEX('Régions'!$T$2:$Y$6,MATCH($B7,'Régions'!$A$2:$A$6,0),4)</x:f>
        <x:v>15678.96896209403</x:v>
      </x:c>
      <x:c r="U7" s="86" t="n">
        <x:f>H7*INDEX('Régions'!$T$2:$Y$6,MATCH($B7,'Régions'!$A$2:$A$6,0),5)</x:f>
        <x:v>25033.71734119528</x:v>
      </x:c>
      <x:c r="V7" s="86" t="n">
        <x:f>I7*INDEX('Régions'!$T$2:$Y$6,MATCH($B7,'Régions'!$A$2:$A$6,0),6)</x:f>
        <x:v>1179.3526614575028</x:v>
      </x:c>
      <x:c r="W7" s="86" t="n">
        <x:f>MAX(0,Q7+(AU7/100)*J7*'Régions'!$O$2)</x:f>
        <x:v>20297.692623640396</x:v>
      </x:c>
      <x:c r="X7" s="86" t="n">
        <x:f>MAX(0,R7+(AV7/100)*J7*'Régions'!$O$2)</x:f>
        <x:v>10067.746946782012</x:v>
      </x:c>
      <x:c r="Y7" s="86" t="n">
        <x:f>MAX(0,S7+(AW7/100)*J7*'Régions'!$O$2)</x:f>
        <x:v>3982.7710244283157</x:v>
      </x:c>
      <x:c r="Z7" s="86" t="n">
        <x:f>MAX(0,T7+(AX7/100)*J7*'Régions'!$O$2)</x:f>
        <x:v>17312.154620314046</x:v>
      </x:c>
      <x:c r="AA7" s="86" t="n">
        <x:f>U7</x:f>
        <x:v>25033.71734119528</x:v>
      </x:c>
      <x:c r="AB7" s="86" t="n">
        <x:f>V7</x:f>
        <x:v>1179.3526614575028</x:v>
      </x:c>
      <x:c r="AC7" s="86" t="n">
        <x:f>D7*INDEX('Régions'!$Z$2:$AE$6,MATCH($B7,'Régions'!$A$2:$A$6,0),1)</x:f>
        <x:v>30758.649702698047</x:v>
      </x:c>
      <x:c r="AD7" s="86" t="n">
        <x:f>E7*INDEX('Régions'!$Z$2:$AE$6,MATCH($B7,'Régions'!$A$2:$A$6,0),2)</x:f>
        <x:v>9343.291870570207</x:v>
      </x:c>
      <x:c r="AE7" s="86" t="n">
        <x:f>F7*INDEX('Régions'!$Z$2:$AE$6,MATCH($B7,'Régions'!$A$2:$A$6,0),3)</x:f>
        <x:v>7052.935826157908</x:v>
      </x:c>
      <x:c r="AF7" s="86" t="n">
        <x:f>G7*INDEX('Régions'!$Z$2:$AE$6,MATCH($B7,'Régions'!$A$2:$A$6,0),4)</x:f>
        <x:v>17463.127499159902</x:v>
      </x:c>
      <x:c r="AG7" s="86" t="n">
        <x:f>H7*INDEX('Régions'!$Z$2:$AE$6,MATCH($B7,'Régions'!$A$2:$A$6,0),5)</x:f>
        <x:v>29893.203648603776</x:v>
      </x:c>
      <x:c r="AH7" s="86" t="n">
        <x:f>I7*INDEX('Régions'!$Z$2:$AE$6,MATCH($B7,'Régions'!$A$2:$A$6,0),6)</x:f>
        <x:v>5071.216444267262</x:v>
      </x:c>
      <x:c r="AI7" s="86" t="n">
        <x:f>D7*INDEX('Régions'!$AF$2:$AK$6,MATCH($B7,'Régions'!$A$2:$A$6,0),1)</x:f>
        <x:v>24272.800244621143</x:v>
      </x:c>
      <x:c r="AJ7" s="86" t="n">
        <x:f>E7*INDEX('Régions'!$AF$2:$AK$6,MATCH($B7,'Régions'!$A$2:$A$6,0),2)</x:f>
        <x:v>6148.176515867441</x:v>
      </x:c>
      <x:c r="AK7" s="86" t="n">
        <x:f>F7*INDEX('Régions'!$AF$2:$AK$6,MATCH($B7,'Régions'!$A$2:$A$6,0),3)</x:f>
        <x:v>2933.5219807913422</x:v>
      </x:c>
      <x:c r="AL7" s="86" t="n">
        <x:f>G7*INDEX('Régions'!$AF$2:$AK$6,MATCH($B7,'Régions'!$A$2:$A$6,0),4)</x:f>
        <x:v>13894.810425028158</x:v>
      </x:c>
      <x:c r="AM7" s="86" t="n">
        <x:f>H7*INDEX('Régions'!$AF$2:$AK$6,MATCH($B7,'Régions'!$A$2:$A$6,0),5)</x:f>
        <x:v>20174.231033786786</x:v>
      </x:c>
      <x:c r="AN7" s="86" t="n">
        <x:f>I7*INDEX('Régions'!$AF$2:$AK$6,MATCH($B7,'Régions'!$A$2:$A$6,0),6)</x:f>
        <x:v>0</x:v>
      </x:c>
      <x:c r="AO7" s="84" t="str">
        <x:f>IF(MAX(Q7:V7)=Q7,"CAQ",IF(MAX(Q7:V7)=R7,"PLQ",IF(MAX(Q7:V7)=S7,"QS",IF(MAX(Q7:V7)=T7,"PQ",IF(MAX(Q7:V7)=U7,"PCQ","Autre")))))</x:f>
        <x:v>CAQ</x:v>
      </x:c>
      <x:c r="AP7" s="84" t="str">
        <x:f>IF(MAX(W7:AB7)=W7,"CAQ",IF(MAX(W7:AB7)=X7,"PLQ",IF(MAX(W7:AB7)=Y7,"QS",IF(MAX(W7:AB7)=Z7,"PQ",IF(MAX(W7:AB7)=AA7,"PCQ","Autre")))))</x:f>
        <x:v>PCQ</x:v>
      </x:c>
      <x:c r="AQ7" s="84" t="str">
        <x:f>IF(MAX(AC7:AH7)=AC7,"CAQ",IF(MAX(AC7:AH7)=AD7,"PLQ",IF(MAX(AC7:AH7)=AE7,"QS",IF(MAX(AC7:AH7)=AF7,"PQ",IF(MAX(AC7:AH7)=AG7,"PCQ","Autre")))))</x:f>
        <x:v>CAQ</x:v>
      </x:c>
      <x:c r="AR7" s="84" t="str">
        <x:f>IF(MAX(AI7:AN7)=AI7,"CAQ",IF(MAX(AI7:AN7)=AJ7,"PLQ",IF(MAX(AI7:AN7)=AK7,"QS",IF(MAX(AI7:AN7)=AL7,"PQ",IF(MAX(AI7:AN7)=AM7,"PCQ","Autre")))))</x:f>
        <x:v>CAQ</x:v>
      </x:c>
      <x:c r="AS7" s="88" t="n">
        <x:f>(MAX(K7:P7)-LARGE(K7:P7,2))*100</x:f>
        <x:v>27.096215544133486</x:v>
      </x:c>
      <x:c r="AT7" s="84" t="str">
        <x:f>IF(AS7&lt;5,"Oui","Non")</x:f>
        <x:v>Non</x:v>
      </x:c>
      <x:c r="AU7" s="89" t="n">
        <x:v>-16.026004618211115</x:v>
      </x:c>
      <x:c r="AV7" s="89" t="n">
        <x:v>5.155502955324076</x:v>
      </x:c>
      <x:c r="AW7" s="89" t="n">
        <x:v>-2.243492665429922</x:v>
      </x:c>
      <x:c r="AX7" s="90" t="n">
        <x:v>3.626118536440269</x:v>
      </x:c>
    </x:row>
    <x:row r="8">
      <x:c r="A8" s="83" t="str">
        <x:v>Beauce-Nord</x:v>
      </x:c>
      <x:c r="B8" s="84" t="str">
        <x:v>Reste du Québec</x:v>
      </x:c>
      <x:c r="C8" s="84" t="str">
        <x:f>IF(MAX(D8:I8)=D8,"CAQ",IF(MAX(D8:I8)=E8,"PLQ",IF(MAX(D8:I8)=F8,"QS",IF(MAX(D8:I8)=G8,"PQ",IF(MAX(D8:I8)=H8,"PCQ","Autre")))))</x:f>
        <x:v>CAQ</x:v>
      </x:c>
      <x:c r="D8" s="85" t="n">
        <x:v>30687</x:v>
      </x:c>
      <x:c r="E8" s="85" t="n">
        <x:v>2000</x:v>
      </x:c>
      <x:c r="F8" s="85" t="n">
        <x:v>3201</x:v>
      </x:c>
      <x:c r="G8" s="85" t="n">
        <x:v>4194</x:v>
      </x:c>
      <x:c r="H8" s="85" t="n">
        <x:v>30262</x:v>
      </x:c>
      <x:c r="I8" s="85" t="n">
        <x:v>307</x:v>
      </x:c>
      <x:c r="J8" s="86" t="n">
        <x:f>SUM(D8:I8)</x:f>
        <x:v>70651</x:v>
      </x:c>
      <x:c r="K8" s="87" t="n">
        <x:f>IFERROR(D8/J8,0)</x:f>
        <x:v>0.4343462937538039</x:v>
      </x:c>
      <x:c r="L8" s="87" t="n">
        <x:f>IFERROR(E8/J8,0)</x:f>
        <x:v>0.028308162658702635</x:v>
      </x:c>
      <x:c r="M8" s="87" t="n">
        <x:f>IFERROR(F8/J8,0)</x:f>
        <x:v>0.04530721433525357</x:v>
      </x:c>
      <x:c r="N8" s="87" t="n">
        <x:f>IFERROR(G8/J8,0)</x:f>
        <x:v>0.05936221709529943</x:v>
      </x:c>
      <x:c r="O8" s="87" t="n">
        <x:f>IFERROR(H8/J8,0)</x:f>
        <x:v>0.4283308091888296</x:v>
      </x:c>
      <x:c r="P8" s="87" t="n">
        <x:f>IFERROR(I8/J8,0)</x:f>
        <x:v>0.004345302968110855</x:v>
      </x:c>
      <x:c r="Q8" s="86" t="n">
        <x:f>D8*INDEX('Régions'!$T$2:$Y$6,MATCH($B8,'Régions'!$A$2:$A$6,0),1)</x:f>
        <x:v>18114.194282118933</x:v>
      </x:c>
      <x:c r="R8" s="86" t="n">
        <x:f>E8*INDEX('Régions'!$T$2:$Y$6,MATCH($B8,'Régions'!$A$2:$A$6,0),2)</x:f>
        <x:v>4576.504693186897</x:v>
      </x:c>
      <x:c r="S8" s="86" t="n">
        <x:f>F8*INDEX('Régions'!$T$2:$Y$6,MATCH($B8,'Régions'!$A$2:$A$6,0),3)</x:f>
        <x:v>1922.2279879762207</x:v>
      </x:c>
      <x:c r="T8" s="86" t="n">
        <x:f>G8*INDEX('Régions'!$T$2:$Y$6,MATCH($B8,'Régions'!$A$2:$A$6,0),4)</x:f>
        <x:v>7265.229900234489</x:v>
      </x:c>
      <x:c r="U8" s="86" t="n">
        <x:f>H8*INDEX('Régions'!$T$2:$Y$6,MATCH($B8,'Régions'!$A$2:$A$6,0),5)</x:f>
        <x:v>34115.57030438852</x:v>
      </x:c>
      <x:c r="V8" s="86" t="n">
        <x:f>I8*INDEX('Régions'!$T$2:$Y$6,MATCH($B8,'Régions'!$A$2:$A$6,0),6)</x:f>
        <x:v>712.7190296603412</x:v>
      </x:c>
      <x:c r="W8" s="86" t="n">
        <x:f>MAX(0,Q8+(AU8/100)*J8*'Régions'!$O$2)</x:f>
        <x:v>7903.857979245175</x:v>
      </x:c>
      <x:c r="X8" s="86" t="n">
        <x:f>MAX(0,R8+(AV8/100)*J8*'Régions'!$O$2)</x:f>
        <x:v>4550.62547872497</x:v>
      </x:c>
      <x:c r="Y8" s="86" t="n">
        <x:f>MAX(0,S8+(AW8/100)*J8*'Régions'!$O$2)</x:f>
        <x:v>1423.5961869852827</x:v>
      </x:c>
      <x:c r="Z8" s="86" t="n">
        <x:f>MAX(0,T8+(AX8/100)*J8*'Régions'!$O$2)</x:f>
        <x:v>9099.657921711027</x:v>
      </x:c>
      <x:c r="AA8" s="86" t="n">
        <x:f>U8</x:f>
        <x:v>34115.57030438852</x:v>
      </x:c>
      <x:c r="AB8" s="86" t="n">
        <x:f>V8</x:f>
        <x:v>712.7190296603412</x:v>
      </x:c>
      <x:c r="AC8" s="86" t="n">
        <x:f>D8*INDEX('Régions'!$Z$2:$AE$6,MATCH($B8,'Régions'!$A$2:$A$6,0),1)</x:f>
        <x:v>20249.081465368665</x:v>
      </x:c>
      <x:c r="AD8" s="86" t="n">
        <x:f>E8*INDEX('Régions'!$Z$2:$AE$6,MATCH($B8,'Régions'!$A$2:$A$6,0),2)</x:f>
        <x:v>5520.408786156695</x:v>
      </x:c>
      <x:c r="AE8" s="86" t="n">
        <x:f>F8*INDEX('Régions'!$Z$2:$AE$6,MATCH($B8,'Régions'!$A$2:$A$6,0),3)</x:f>
        <x:v>2715.1470330164116</x:v>
      </x:c>
      <x:c r="AF8" s="86" t="n">
        <x:f>G8*INDEX('Régions'!$Z$2:$AE$6,MATCH($B8,'Régions'!$A$2:$A$6,0),4)</x:f>
        <x:v>8091.962957847379</x:v>
      </x:c>
      <x:c r="AG8" s="86" t="n">
        <x:f>H8*INDEX('Régions'!$Z$2:$AE$6,MATCH($B8,'Régions'!$A$2:$A$6,0),5)</x:f>
        <x:v>40738.0045399463</x:v>
      </x:c>
      <x:c r="AH8" s="86" t="n">
        <x:f>I8*INDEX('Régions'!$Z$2:$AE$6,MATCH($B8,'Régions'!$A$2:$A$6,0),6)</x:f>
        <x:v>3064.6918275394673</x:v>
      </x:c>
      <x:c r="AI8" s="86" t="n">
        <x:f>D8*INDEX('Régions'!$AF$2:$AK$6,MATCH($B8,'Régions'!$A$2:$A$6,0),1)</x:f>
        <x:v>15979.307098869202</x:v>
      </x:c>
      <x:c r="AJ8" s="86" t="n">
        <x:f>E8*INDEX('Régions'!$AF$2:$AK$6,MATCH($B8,'Régions'!$A$2:$A$6,0),2)</x:f>
        <x:v>3632.6006002171</x:v>
      </x:c>
      <x:c r="AK8" s="86" t="n">
        <x:f>F8*INDEX('Régions'!$AF$2:$AK$6,MATCH($B8,'Régions'!$A$2:$A$6,0),3)</x:f>
        <x:v>1129.3089429360296</x:v>
      </x:c>
      <x:c r="AL8" s="86" t="n">
        <x:f>G8*INDEX('Régions'!$AF$2:$AK$6,MATCH($B8,'Régions'!$A$2:$A$6,0),4)</x:f>
        <x:v>6438.496842621599</x:v>
      </x:c>
      <x:c r="AM8" s="86" t="n">
        <x:f>H8*INDEX('Régions'!$AF$2:$AK$6,MATCH($B8,'Régions'!$A$2:$A$6,0),5)</x:f>
        <x:v>27493.13606883075</x:v>
      </x:c>
      <x:c r="AN8" s="86" t="n">
        <x:f>I8*INDEX('Régions'!$AF$2:$AK$6,MATCH($B8,'Régions'!$A$2:$A$6,0),6)</x:f>
        <x:v>0</x:v>
      </x:c>
      <x:c r="AO8" s="84" t="str">
        <x:f>IF(MAX(Q8:V8)=Q8,"CAQ",IF(MAX(Q8:V8)=R8,"PLQ",IF(MAX(Q8:V8)=S8,"QS",IF(MAX(Q8:V8)=T8,"PQ",IF(MAX(Q8:V8)=U8,"PCQ","Autre")))))</x:f>
        <x:v>PCQ</x:v>
      </x:c>
      <x:c r="AP8" s="84" t="str">
        <x:f>IF(MAX(W8:AB8)=W8,"CAQ",IF(MAX(W8:AB8)=X8,"PLQ",IF(MAX(W8:AB8)=Y8,"QS",IF(MAX(W8:AB8)=Z8,"PQ",IF(MAX(W8:AB8)=AA8,"PCQ","Autre")))))</x:f>
        <x:v>PCQ</x:v>
      </x:c>
      <x:c r="AQ8" s="84" t="str">
        <x:f>IF(MAX(AC8:AH8)=AC8,"CAQ",IF(MAX(AC8:AH8)=AD8,"PLQ",IF(MAX(AC8:AH8)=AE8,"QS",IF(MAX(AC8:AH8)=AF8,"PQ",IF(MAX(AC8:AH8)=AG8,"PCQ","Autre")))))</x:f>
        <x:v>PCQ</x:v>
      </x:c>
      <x:c r="AR8" s="84" t="str">
        <x:f>IF(MAX(AI8:AN8)=AI8,"CAQ",IF(MAX(AI8:AN8)=AJ8,"PLQ",IF(MAX(AI8:AN8)=AK8,"QS",IF(MAX(AI8:AN8)=AL8,"PQ",IF(MAX(AI8:AN8)=AM8,"PCQ","Autre")))))</x:f>
        <x:v>PCQ</x:v>
      </x:c>
      <x:c r="AS8" s="88" t="n">
        <x:f>(MAX(K8:P8)-LARGE(K8:P8,2))*100</x:f>
        <x:v>0.6015484564974305</x:v>
      </x:c>
      <x:c r="AT8" s="84" t="str">
        <x:f>IF(AS8&lt;5,"Oui","Non")</x:f>
        <x:v>Oui</x:v>
      </x:c>
      <x:c r="AU8" s="89" t="n">
        <x:v>-28.903586086180688</x:v>
      </x:c>
      <x:c r="AV8" s="89" t="n">
        <x:v>-0.07325930124676971</x:v>
      </x:c>
      <x:c r="AW8" s="89" t="n">
        <x:v>-1.4115350129253315</x:v>
      </x:c>
      <x:c r="AX8" s="90" t="n">
        <x:v>5.192928681763986</x:v>
      </x:c>
    </x:row>
    <x:row r="9">
      <x:c r="A9" s="83" t="str">
        <x:v>Beauce-Sud</x:v>
      </x:c>
      <x:c r="B9" s="84" t="str">
        <x:v>Reste du Québec</x:v>
      </x:c>
      <x:c r="C9" s="84" t="str">
        <x:f>IF(MAX(D9:I9)=D9,"CAQ",IF(MAX(D9:I9)=E9,"PLQ",IF(MAX(D9:I9)=F9,"QS",IF(MAX(D9:I9)=G9,"PQ",IF(MAX(D9:I9)=H9,"PCQ","Autre")))))</x:f>
        <x:v>CAQ</x:v>
      </x:c>
      <x:c r="D9" s="85" t="n">
        <x:v>33815</x:v>
      </x:c>
      <x:c r="E9" s="85" t="n">
        <x:v>2151</x:v>
      </x:c>
      <x:c r="F9" s="85" t="n">
        <x:v>3303</x:v>
      </x:c>
      <x:c r="G9" s="85" t="n">
        <x:v>3063</x:v>
      </x:c>
      <x:c r="H9" s="85" t="n">
        <x:v>32943</x:v>
      </x:c>
      <x:c r="I9" s="85" t="n">
        <x:v>623</x:v>
      </x:c>
      <x:c r="J9" s="86" t="n">
        <x:f>SUM(D9:I9)</x:f>
        <x:v>75898</x:v>
      </x:c>
      <x:c r="K9" s="87" t="n">
        <x:f>IFERROR(D9/J9,0)</x:f>
        <x:v>0.4455321615852855</x:v>
      </x:c>
      <x:c r="L9" s="87" t="n">
        <x:f>IFERROR(E9/J9,0)</x:f>
        <x:v>0.028340667738280322</x:v>
      </x:c>
      <x:c r="M9" s="87" t="n">
        <x:f>IFERROR(F9/J9,0)</x:f>
        <x:v>0.04351893330522543</x:v>
      </x:c>
      <x:c r="N9" s="87" t="n">
        <x:f>IFERROR(G9/J9,0)</x:f>
        <x:v>0.040356794645445206</x:v>
      </x:c>
      <x:c r="O9" s="87" t="n">
        <x:f>IFERROR(H9/J9,0)</x:f>
        <x:v>0.434043057788084</x:v>
      </x:c>
      <x:c r="P9" s="87" t="n">
        <x:f>IFERROR(I9/J9,0)</x:f>
        <x:v>0.008208384937679516</x:v>
      </x:c>
      <x:c r="Q9" s="86" t="n">
        <x:f>D9*INDEX('Régions'!$T$2:$Y$6,MATCH($B9,'Régions'!$A$2:$A$6,0),1)</x:f>
        <x:v>19960.617839797036</x:v>
      </x:c>
      <x:c r="R9" s="86" t="n">
        <x:f>E9*INDEX('Régions'!$T$2:$Y$6,MATCH($B9,'Régions'!$A$2:$A$6,0),2)</x:f>
        <x:v>4922.030797522508</x:v>
      </x:c>
      <x:c r="S9" s="86" t="n">
        <x:f>F9*INDEX('Régions'!$T$2:$Y$6,MATCH($B9,'Régions'!$A$2:$A$6,0),3)</x:f>
        <x:v>1983.4798638817422</x:v>
      </x:c>
      <x:c r="T9" s="86" t="n">
        <x:f>G9*INDEX('Régions'!$T$2:$Y$6,MATCH($B9,'Régions'!$A$2:$A$6,0),4)</x:f>
        <x:v>5306.008389227048</x:v>
      </x:c>
      <x:c r="U9" s="86" t="n">
        <x:f>H9*INDEX('Régions'!$T$2:$Y$6,MATCH($B9,'Régions'!$A$2:$A$6,0),5)</x:f>
        <x:v>37137.96948441845</x:v>
      </x:c>
      <x:c r="V9" s="86" t="n">
        <x:f>I9*INDEX('Régions'!$T$2:$Y$6,MATCH($B9,'Régions'!$A$2:$A$6,0),6)</x:f>
        <x:v>1446.3321025354808</x:v>
      </x:c>
      <x:c r="W9" s="86" t="n">
        <x:f>MAX(0,Q9+(AU9/100)*J9*'Régions'!$O$2)</x:f>
        <x:v>10817.112040904452</x:v>
      </x:c>
      <x:c r="X9" s="86" t="n">
        <x:f>MAX(0,R9+(AV9/100)*J9*'Régions'!$O$2)</x:f>
        <x:v>2934.173868138254</x:v>
      </x:c>
      <x:c r="Y9" s="86" t="n">
        <x:f>MAX(0,S9+(AW9/100)*J9*'Régions'!$O$2)</x:f>
        <x:v>1861.0135518354798</x:v>
      </x:c>
      <x:c r="Z9" s="86" t="n">
        <x:f>MAX(0,T9+(AX9/100)*J9*'Régions'!$O$2)</x:f>
        <x:v>6596.070715717896</x:v>
      </x:c>
      <x:c r="AA9" s="86" t="n">
        <x:f>U9</x:f>
        <x:v>37137.96948441845</x:v>
      </x:c>
      <x:c r="AB9" s="86" t="n">
        <x:f>V9</x:f>
        <x:v>1446.3321025354808</x:v>
      </x:c>
      <x:c r="AC9" s="86" t="n">
        <x:f>D9*INDEX('Régions'!$Z$2:$AE$6,MATCH($B9,'Régions'!$A$2:$A$6,0),1)</x:f>
        <x:v>22313.119228058833</x:v>
      </x:c>
      <x:c r="AD9" s="86" t="n">
        <x:f>E9*INDEX('Régions'!$Z$2:$AE$6,MATCH($B9,'Régions'!$A$2:$A$6,0),2)</x:f>
        <x:v>5937.199649511525</x:v>
      </x:c>
      <x:c r="AE9" s="86" t="n">
        <x:f>F9*INDEX('Régions'!$Z$2:$AE$6,MATCH($B9,'Régions'!$A$2:$A$6,0),3)</x:f>
        <x:v>2801.665307732961</x:v>
      </x:c>
      <x:c r="AF9" s="86" t="n">
        <x:f>G9*INDEX('Régions'!$Z$2:$AE$6,MATCH($B9,'Régions'!$A$2:$A$6,0),4)</x:f>
        <x:v>5909.795550759781</x:v>
      </x:c>
      <x:c r="AG9" s="86" t="n">
        <x:f>H9*INDEX('Régions'!$Z$2:$AE$6,MATCH($B9,'Régions'!$A$2:$A$6,0),5)</x:f>
        <x:v>44347.10473727615</x:v>
      </x:c>
      <x:c r="AH9" s="86" t="n">
        <x:f>I9*INDEX('Régions'!$Z$2:$AE$6,MATCH($B9,'Régions'!$A$2:$A$6,0),6)</x:f>
        <x:v>6219.228040902567</x:v>
      </x:c>
      <x:c r="AI9" s="86" t="n">
        <x:f>D9*INDEX('Régions'!$AF$2:$AK$6,MATCH($B9,'Régions'!$A$2:$A$6,0),1)</x:f>
        <x:v>17608.116451535247</x:v>
      </x:c>
      <x:c r="AJ9" s="86" t="n">
        <x:f>E9*INDEX('Régions'!$AF$2:$AK$6,MATCH($B9,'Régions'!$A$2:$A$6,0),2)</x:f>
        <x:v>3906.8619455334906</x:v>
      </x:c>
      <x:c r="AK9" s="86" t="n">
        <x:f>F9*INDEX('Régions'!$AF$2:$AK$6,MATCH($B9,'Régions'!$A$2:$A$6,0),3)</x:f>
        <x:v>1165.2944200305235</x:v>
      </x:c>
      <x:c r="AL9" s="86" t="n">
        <x:f>G9*INDEX('Régions'!$AF$2:$AK$6,MATCH($B9,'Régions'!$A$2:$A$6,0),4)</x:f>
        <x:v>4702.2212276943155</x:v>
      </x:c>
      <x:c r="AM9" s="86" t="n">
        <x:f>H9*INDEX('Régions'!$AF$2:$AK$6,MATCH($B9,'Régions'!$A$2:$A$6,0),5)</x:f>
        <x:v>29928.83423156075</x:v>
      </x:c>
      <x:c r="AN9" s="86" t="n">
        <x:f>I9*INDEX('Régions'!$AF$2:$AK$6,MATCH($B9,'Régions'!$A$2:$A$6,0),6)</x:f>
        <x:v>0</x:v>
      </x:c>
      <x:c r="AO9" s="84" t="str">
        <x:f>IF(MAX(Q9:V9)=Q9,"CAQ",IF(MAX(Q9:V9)=R9,"PLQ",IF(MAX(Q9:V9)=S9,"QS",IF(MAX(Q9:V9)=T9,"PQ",IF(MAX(Q9:V9)=U9,"PCQ","Autre")))))</x:f>
        <x:v>PCQ</x:v>
      </x:c>
      <x:c r="AP9" s="84" t="str">
        <x:f>IF(MAX(W9:AB9)=W9,"CAQ",IF(MAX(W9:AB9)=X9,"PLQ",IF(MAX(W9:AB9)=Y9,"QS",IF(MAX(W9:AB9)=Z9,"PQ",IF(MAX(W9:AB9)=AA9,"PCQ","Autre")))))</x:f>
        <x:v>PCQ</x:v>
      </x:c>
      <x:c r="AQ9" s="84" t="str">
        <x:f>IF(MAX(AC9:AH9)=AC9,"CAQ",IF(MAX(AC9:AH9)=AD9,"PLQ",IF(MAX(AC9:AH9)=AE9,"QS",IF(MAX(AC9:AH9)=AF9,"PQ",IF(MAX(AC9:AH9)=AG9,"PCQ","Autre")))))</x:f>
        <x:v>PCQ</x:v>
      </x:c>
      <x:c r="AR9" s="84" t="str">
        <x:f>IF(MAX(AI9:AN9)=AI9,"CAQ",IF(MAX(AI9:AN9)=AJ9,"PLQ",IF(MAX(AI9:AN9)=AK9,"QS",IF(MAX(AI9:AN9)=AL9,"PQ",IF(MAX(AI9:AN9)=AM9,"PCQ","Autre")))))</x:f>
        <x:v>PCQ</x:v>
      </x:c>
      <x:c r="AS9" s="88" t="n">
        <x:f>(MAX(K9:P9)-LARGE(K9:P9,2))*100</x:f>
        <x:v>1.1489103797201528</x:v>
      </x:c>
      <x:c r="AT9" s="84" t="str">
        <x:f>IF(AS9&lt;5,"Oui","Non")</x:f>
        <x:v>Oui</x:v>
      </x:c>
      <x:c r="AU9" s="89" t="n">
        <x:v>-24.094194310502477</x:v>
      </x:c>
      <x:c r="AV9" s="89" t="n">
        <x:v>-5.238232705431642</x:v>
      </x:c>
      <x:c r="AW9" s="89" t="n">
        <x:v>-0.3227128832018297</x:v>
      </x:c>
      <x:c r="AX9" s="90" t="n">
        <x:v>3.399463296768949</x:v>
      </x:c>
    </x:row>
    <x:row r="10">
      <x:c r="A10" s="83" t="str">
        <x:v>Beauharnois</x:v>
      </x:c>
      <x:c r="B10" s="84" t="str">
        <x:v>Banlieue de Montréal</x:v>
      </x:c>
      <x:c r="C10" s="84" t="str">
        <x:f>IF(MAX(D10:I10)=D10,"CAQ",IF(MAX(D10:I10)=E10,"PLQ",IF(MAX(D10:I10)=F10,"QS",IF(MAX(D10:I10)=G10,"PQ",IF(MAX(D10:I10)=H10,"PCQ","Autre")))))</x:f>
        <x:v>CAQ</x:v>
      </x:c>
      <x:c r="D10" s="85" t="n">
        <x:v>40956</x:v>
      </x:c>
      <x:c r="E10" s="85" t="n">
        <x:v>5821</x:v>
      </x:c>
      <x:c r="F10" s="85" t="n">
        <x:v>9894</x:v>
      </x:c>
      <x:c r="G10" s="85" t="n">
        <x:v>13332</x:v>
      </x:c>
      <x:c r="H10" s="85" t="n">
        <x:v>7532</x:v>
      </x:c>
      <x:c r="I10" s="85" t="n">
        <x:v>285</x:v>
      </x:c>
      <x:c r="J10" s="86" t="n">
        <x:f>SUM(D10:I10)</x:f>
        <x:v>77820</x:v>
      </x:c>
      <x:c r="K10" s="87" t="n">
        <x:f>IFERROR(D10/J10,0)</x:f>
        <x:v>0.5262914417887432</x:v>
      </x:c>
      <x:c r="L10" s="87" t="n">
        <x:f>IFERROR(E10/J10,0)</x:f>
        <x:v>0.07480082241069134</x:v>
      </x:c>
      <x:c r="M10" s="87" t="n">
        <x:f>IFERROR(F10/J10,0)</x:f>
        <x:v>0.1271395528141866</x:v>
      </x:c>
      <x:c r="N10" s="87" t="n">
        <x:f>IFERROR(G10/J10,0)</x:f>
        <x:v>0.1713184271395528</x:v>
      </x:c>
      <x:c r="O10" s="87" t="n">
        <x:f>IFERROR(H10/J10,0)</x:f>
        <x:v>0.09678745823695709</x:v>
      </x:c>
      <x:c r="P10" s="87" t="n">
        <x:f>IFERROR(I10/J10,0)</x:f>
        <x:v>0.0036622976098689285</x:v>
      </x:c>
      <x:c r="Q10" s="86" t="n">
        <x:f>D10*INDEX('Régions'!$T$2:$Y$6,MATCH($B10,'Régions'!$A$2:$A$6,0),1)</x:f>
        <x:v>28955.453236982063</x:v>
      </x:c>
      <x:c r="R10" s="86" t="n">
        <x:f>E10*INDEX('Régions'!$T$2:$Y$6,MATCH($B10,'Régions'!$A$2:$A$6,0),2)</x:f>
        <x:v>7446.570071619403</x:v>
      </x:c>
      <x:c r="S10" s="86" t="n">
        <x:f>F10*INDEX('Régions'!$T$2:$Y$6,MATCH($B10,'Régions'!$A$2:$A$6,0),3)</x:f>
        <x:v>4997.496234123035</x:v>
      </x:c>
      <x:c r="T10" s="86" t="n">
        <x:f>G10*INDEX('Régions'!$T$2:$Y$6,MATCH($B10,'Régions'!$A$2:$A$6,0),4)</x:f>
        <x:v>24858.85129801231</x:v>
      </x:c>
      <x:c r="U10" s="86" t="n">
        <x:f>H10*INDEX('Régions'!$T$2:$Y$6,MATCH($B10,'Régions'!$A$2:$A$6,0),5)</x:f>
        <x:v>8814.966306187524</x:v>
      </x:c>
      <x:c r="V10" s="86" t="n">
        <x:f>I10*INDEX('Régions'!$T$2:$Y$6,MATCH($B10,'Régions'!$A$2:$A$6,0),6)</x:f>
        <x:v>611.907767493521</x:v>
      </x:c>
      <x:c r="W10" s="86" t="n">
        <x:f>MAX(0,Q10+(AU10/100)*J10*'Régions'!$O$2)</x:f>
        <x:v>30396.358223384657</x:v>
      </x:c>
      <x:c r="X10" s="86" t="n">
        <x:f>MAX(0,R10+(AV10/100)*J10*'Régions'!$O$2)</x:f>
        <x:v>7076.1926768418325</x:v>
      </x:c>
      <x:c r="Y10" s="86" t="n">
        <x:f>MAX(0,S10+(AW10/100)*J10*'Régions'!$O$2)</x:f>
        <x:v>4502.8563818053835</x:v>
      </x:c>
      <x:c r="Z10" s="86" t="n">
        <x:f>MAX(0,T10+(AX10/100)*J10*'Régions'!$O$2)</x:f>
        <x:v>24709.542438238877</x:v>
      </x:c>
      <x:c r="AA10" s="86" t="n">
        <x:f>U10</x:f>
        <x:v>8814.966306187524</x:v>
      </x:c>
      <x:c r="AB10" s="86" t="n">
        <x:f>V10</x:f>
        <x:v>611.907767493521</x:v>
      </x:c>
      <x:c r="AC10" s="86" t="n">
        <x:f>D10*INDEX('Régions'!$Z$2:$AE$6,MATCH($B10,'Régions'!$A$2:$A$6,0),1)</x:f>
        <x:v>31941.484352045838</x:v>
      </x:c>
      <x:c r="AD10" s="86" t="n">
        <x:f>E10*INDEX('Régions'!$Z$2:$AE$6,MATCH($B10,'Régions'!$A$2:$A$6,0),2)</x:f>
        <x:v>8811.774584749626</x:v>
      </x:c>
      <x:c r="AE10" s="86" t="n">
        <x:f>F10*INDEX('Régions'!$Z$2:$AE$6,MATCH($B10,'Régions'!$A$2:$A$6,0),3)</x:f>
        <x:v>7353.458744495323</x:v>
      </x:c>
      <x:c r="AF10" s="86" t="n">
        <x:f>G10*INDEX('Régions'!$Z$2:$AE$6,MATCH($B10,'Régions'!$A$2:$A$6,0),4)</x:f>
        <x:v>27593.324940793656</x:v>
      </x:c>
      <x:c r="AG10" s="86" t="n">
        <x:f>H10*INDEX('Régions'!$Z$2:$AE$6,MATCH($B10,'Régions'!$A$2:$A$6,0),5)</x:f>
        <x:v>11239.082040389092</x:v>
      </x:c>
      <x:c r="AH10" s="86" t="n">
        <x:f>I10*INDEX('Régions'!$Z$2:$AE$6,MATCH($B10,'Régions'!$A$2:$A$6,0),6)</x:f>
        <x:v>2631.20340022214</x:v>
      </x:c>
      <x:c r="AI10" s="86" t="n">
        <x:f>D10*INDEX('Régions'!$AF$2:$AK$6,MATCH($B10,'Régions'!$A$2:$A$6,0),1)</x:f>
        <x:v>25969.422121918287</x:v>
      </x:c>
      <x:c r="AJ10" s="86" t="n">
        <x:f>E10*INDEX('Régions'!$AF$2:$AK$6,MATCH($B10,'Régions'!$A$2:$A$6,0),2)</x:f>
        <x:v>6081.365558489179</x:v>
      </x:c>
      <x:c r="AK10" s="86" t="n">
        <x:f>F10*INDEX('Régions'!$AF$2:$AK$6,MATCH($B10,'Régions'!$A$2:$A$6,0),3)</x:f>
        <x:v>2641.5337237507474</x:v>
      </x:c>
      <x:c r="AL10" s="86" t="n">
        <x:f>G10*INDEX('Régions'!$AF$2:$AK$6,MATCH($B10,'Régions'!$A$2:$A$6,0),4)</x:f>
        <x:v>22124.377655230954</x:v>
      </x:c>
      <x:c r="AM10" s="86" t="n">
        <x:f>H10*INDEX('Régions'!$AF$2:$AK$6,MATCH($B10,'Régions'!$A$2:$A$6,0),5)</x:f>
        <x:v>6390.850571985953</x:v>
      </x:c>
      <x:c r="AN10" s="86" t="n">
        <x:f>I10*INDEX('Régions'!$AF$2:$AK$6,MATCH($B10,'Régions'!$A$2:$A$6,0),6)</x:f>
        <x:v>0</x:v>
      </x:c>
      <x:c r="AO10" s="84" t="str">
        <x:f>IF(MAX(Q10:V10)=Q10,"CAQ",IF(MAX(Q10:V10)=R10,"PLQ",IF(MAX(Q10:V10)=S10,"QS",IF(MAX(Q10:V10)=T10,"PQ",IF(MAX(Q10:V10)=U10,"PCQ","Autre")))))</x:f>
        <x:v>CAQ</x:v>
      </x:c>
      <x:c r="AP10" s="84" t="str">
        <x:f>IF(MAX(W10:AB10)=W10,"CAQ",IF(MAX(W10:AB10)=X10,"PLQ",IF(MAX(W10:AB10)=Y10,"QS",IF(MAX(W10:AB10)=Z10,"PQ",IF(MAX(W10:AB10)=AA10,"PCQ","Autre")))))</x:f>
        <x:v>CAQ</x:v>
      </x:c>
      <x:c r="AQ10" s="84" t="str">
        <x:f>IF(MAX(AC10:AH10)=AC10,"CAQ",IF(MAX(AC10:AH10)=AD10,"PLQ",IF(MAX(AC10:AH10)=AE10,"QS",IF(MAX(AC10:AH10)=AF10,"PQ",IF(MAX(AC10:AH10)=AG10,"PCQ","Autre")))))</x:f>
        <x:v>CAQ</x:v>
      </x:c>
      <x:c r="AR10" s="84" t="str">
        <x:f>IF(MAX(AI10:AN10)=AI10,"CAQ",IF(MAX(AI10:AN10)=AJ10,"PLQ",IF(MAX(AI10:AN10)=AK10,"QS",IF(MAX(AI10:AN10)=AL10,"PQ",IF(MAX(AI10:AN10)=AM10,"PCQ","Autre")))))</x:f>
        <x:v>CAQ</x:v>
      </x:c>
      <x:c r="AS10" s="88" t="n">
        <x:f>(MAX(K10:P10)-LARGE(K10:P10,2))*100</x:f>
        <x:v>35.49730146491904</x:v>
      </x:c>
      <x:c r="AT10" s="84" t="str">
        <x:f>IF(AS10&lt;5,"Oui","Non")</x:f>
        <x:v>Non</x:v>
      </x:c>
      <x:c r="AU10" s="89" t="n">
        <x:v>3.7031739563161024</x:v>
      </x:c>
      <x:c r="AV10" s="89" t="n">
        <x:v>-0.9518822790479844</x:v>
      </x:c>
      <x:c r="AW10" s="89" t="n">
        <x:v>-1.2712409465886698</x:v>
      </x:c>
      <x:c r="AX10" s="90" t="n">
        <x:v>-0.3837287580915699</x:v>
      </x:c>
    </x:row>
    <x:row r="11">
      <x:c r="A11" s="83" t="str">
        <x:v>Bellechasse</x:v>
      </x:c>
      <x:c r="B11" s="84" t="str">
        <x:v>Reste du Québec</x:v>
      </x:c>
      <x:c r="C11" s="84" t="str">
        <x:f>IF(MAX(D11:I11)=D11,"CAQ",IF(MAX(D11:I11)=E11,"PLQ",IF(MAX(D11:I11)=F11,"QS",IF(MAX(D11:I11)=G11,"PQ",IF(MAX(D11:I11)=H11,"PCQ","Autre")))))</x:f>
        <x:v>CAQ</x:v>
      </x:c>
      <x:c r="D11" s="85" t="n">
        <x:v>30631</x:v>
      </x:c>
      <x:c r="E11" s="85" t="n">
        <x:v>2765</x:v>
      </x:c>
      <x:c r="F11" s="85" t="n">
        <x:v>4042</x:v>
      </x:c>
      <x:c r="G11" s="85" t="n">
        <x:v>5913</x:v>
      </x:c>
      <x:c r="H11" s="85" t="n">
        <x:v>23610</x:v>
      </x:c>
      <x:c r="I11" s="85" t="n">
        <x:v>1</x:v>
      </x:c>
      <x:c r="J11" s="86" t="n">
        <x:f>SUM(D11:I11)</x:f>
        <x:v>66962</x:v>
      </x:c>
      <x:c r="K11" s="87" t="n">
        <x:f>IFERROR(D11/J11,0)</x:f>
        <x:v>0.4574385472357457</x:v>
      </x:c>
      <x:c r="L11" s="87" t="n">
        <x:f>IFERROR(E11/J11,0)</x:f>
        <x:v>0.04129207610286431</x:v>
      </x:c>
      <x:c r="M11" s="87" t="n">
        <x:f>IFERROR(F11/J11,0)</x:f>
        <x:v>0.0603625937098653</x:v>
      </x:c>
      <x:c r="N11" s="87" t="n">
        <x:f>IFERROR(G11/J11,0)</x:f>
        <x:v>0.0883038141035214</x:v>
      </x:c>
      <x:c r="O11" s="87" t="n">
        <x:f>IFERROR(H11/J11,0)</x:f>
        <x:v>0.3525880350049282</x:v>
      </x:c>
      <x:c r="P11" s="87" t="n">
        <x:f>IFERROR(I11/J11,0)</x:f>
        <x:v>0.000014933843075176966</x:v>
      </x:c>
      <x:c r="Q11" s="86" t="n">
        <x:f>D11*INDEX('Régions'!$T$2:$Y$6,MATCH($B11,'Régions'!$A$2:$A$6,0),1)</x:f>
        <x:v>18081.138105894515</x:v>
      </x:c>
      <x:c r="R11" s="86" t="n">
        <x:f>E11*INDEX('Régions'!$T$2:$Y$6,MATCH($B11,'Régions'!$A$2:$A$6,0),2)</x:f>
        <x:v>6327.017738330886</x:v>
      </x:c>
      <x:c r="S11" s="86" t="n">
        <x:f>F11*INDEX('Régions'!$T$2:$Y$6,MATCH($B11,'Régions'!$A$2:$A$6,0),3)</x:f>
        <x:v>2427.255709903119</x:v>
      </x:c>
      <x:c r="T11" s="86" t="n">
        <x:f>G11*INDEX('Régions'!$T$2:$Y$6,MATCH($B11,'Régions'!$A$2:$A$6,0),4)</x:f>
        <x:v>10243.03872200442</x:v>
      </x:c>
      <x:c r="U11" s="86" t="n">
        <x:f>H11*INDEX('Régions'!$T$2:$Y$6,MATCH($B11,'Régions'!$A$2:$A$6,0),5)</x:f>
        <x:v>26616.503036369475</x:v>
      </x:c>
      <x:c r="V11" s="86" t="n">
        <x:f>I11*INDEX('Régions'!$T$2:$Y$6,MATCH($B11,'Régions'!$A$2:$A$6,0),6)</x:f>
        <x:v>2.3215603571998087</x:v>
      </x:c>
      <x:c r="W11" s="86" t="n">
        <x:f>MAX(0,Q11+(AU11/100)*J11*'Régions'!$O$2)</x:f>
        <x:v>13369.396044153988</x:v>
      </x:c>
      <x:c r="X11" s="86" t="n">
        <x:f>MAX(0,R11+(AV11/100)*J11*'Régions'!$O$2)</x:f>
        <x:v>2887.1164189225715</x:v>
      </x:c>
      <x:c r="Y11" s="86" t="n">
        <x:f>MAX(0,S11+(AW11/100)*J11*'Régions'!$O$2)</x:f>
        <x:v>2309.1134269473723</x:v>
      </x:c>
      <x:c r="Z11" s="86" t="n">
        <x:f>MAX(0,T11+(AX11/100)*J11*'Régions'!$O$2)</x:f>
        <x:v>12490.657291032861</x:v>
      </x:c>
      <x:c r="AA11" s="86" t="n">
        <x:f>U11</x:f>
        <x:v>26616.503036369475</x:v>
      </x:c>
      <x:c r="AB11" s="86" t="n">
        <x:f>V11</x:f>
        <x:v>2.3215603571998087</x:v>
      </x:c>
      <x:c r="AC11" s="86" t="n">
        <x:f>D11*INDEX('Régions'!$Z$2:$AE$6,MATCH($B11,'Régions'!$A$2:$A$6,0),1)</x:f>
        <x:v>20212.12938266066</x:v>
      </x:c>
      <x:c r="AD11" s="86" t="n">
        <x:f>E11*INDEX('Régions'!$Z$2:$AE$6,MATCH($B11,'Régions'!$A$2:$A$6,0),2)</x:f>
        <x:v>7631.965146861631</x:v>
      </x:c>
      <x:c r="AE11" s="86" t="n">
        <x:f>F11*INDEX('Régions'!$Z$2:$AE$6,MATCH($B11,'Régions'!$A$2:$A$6,0),3)</x:f>
        <x:v>3428.4986902381556</x:v>
      </x:c>
      <x:c r="AF11" s="86" t="n">
        <x:f>G11*INDEX('Régions'!$Z$2:$AE$6,MATCH($B11,'Régions'!$A$2:$A$6,0),4)</x:f>
        <x:v>11408.625886922162</x:v>
      </x:c>
      <x:c r="AG11" s="86" t="n">
        <x:f>H11*INDEX('Régions'!$Z$2:$AE$6,MATCH($B11,'Régions'!$A$2:$A$6,0),5)</x:f>
        <x:v>31783.23597872355</x:v>
      </x:c>
      <x:c r="AH11" s="86" t="n">
        <x:f>I11*INDEX('Régions'!$Z$2:$AE$6,MATCH($B11,'Régions'!$A$2:$A$6,0),6)</x:f>
        <x:v>9.982709535959177</x:v>
      </x:c>
      <x:c r="AI11" s="86" t="n">
        <x:f>D11*INDEX('Régions'!$AF$2:$AK$6,MATCH($B11,'Régions'!$A$2:$A$6,0),1)</x:f>
        <x:v>15950.146829128378</x:v>
      </x:c>
      <x:c r="AJ11" s="86" t="n">
        <x:f>E11*INDEX('Régions'!$AF$2:$AK$6,MATCH($B11,'Régions'!$A$2:$A$6,0),2)</x:f>
        <x:v>5022.07032980014</x:v>
      </x:c>
      <x:c r="AK11" s="86" t="n">
        <x:f>F11*INDEX('Régions'!$AF$2:$AK$6,MATCH($B11,'Régions'!$A$2:$A$6,0),3)</x:f>
        <x:v>1426.0127295680822</x:v>
      </x:c>
      <x:c r="AL11" s="86" t="n">
        <x:f>G11*INDEX('Régions'!$AF$2:$AK$6,MATCH($B11,'Régions'!$A$2:$A$6,0),4)</x:f>
        <x:v>9077.451557086675</x:v>
      </x:c>
      <x:c r="AM11" s="86" t="n">
        <x:f>H11*INDEX('Régions'!$AF$2:$AK$6,MATCH($B11,'Régions'!$A$2:$A$6,0),5)</x:f>
        <x:v>21449.7700940154</x:v>
      </x:c>
      <x:c r="AN11" s="86" t="n">
        <x:f>I11*INDEX('Régions'!$AF$2:$AK$6,MATCH($B11,'Régions'!$A$2:$A$6,0),6)</x:f>
        <x:v>0</x:v>
      </x:c>
      <x:c r="AO11" s="84" t="str">
        <x:f>IF(MAX(Q11:V11)=Q11,"CAQ",IF(MAX(Q11:V11)=R11,"PLQ",IF(MAX(Q11:V11)=S11,"QS",IF(MAX(Q11:V11)=T11,"PQ",IF(MAX(Q11:V11)=U11,"PCQ","Autre")))))</x:f>
        <x:v>PCQ</x:v>
      </x:c>
      <x:c r="AP11" s="84" t="str">
        <x:f>IF(MAX(W11:AB11)=W11,"CAQ",IF(MAX(W11:AB11)=X11,"PLQ",IF(MAX(W11:AB11)=Y11,"QS",IF(MAX(W11:AB11)=Z11,"PQ",IF(MAX(W11:AB11)=AA11,"PCQ","Autre")))))</x:f>
        <x:v>PCQ</x:v>
      </x:c>
      <x:c r="AQ11" s="84" t="str">
        <x:f>IF(MAX(AC11:AH11)=AC11,"CAQ",IF(MAX(AC11:AH11)=AD11,"PLQ",IF(MAX(AC11:AH11)=AE11,"QS",IF(MAX(AC11:AH11)=AF11,"PQ",IF(MAX(AC11:AH11)=AG11,"PCQ","Autre")))))</x:f>
        <x:v>PCQ</x:v>
      </x:c>
      <x:c r="AR11" s="84" t="str">
        <x:f>IF(MAX(AI11:AN11)=AI11,"CAQ",IF(MAX(AI11:AN11)=AJ11,"PLQ",IF(MAX(AI11:AN11)=AK11,"QS",IF(MAX(AI11:AN11)=AL11,"PQ",IF(MAX(AI11:AN11)=AM11,"PCQ","Autre")))))</x:f>
        <x:v>PCQ</x:v>
      </x:c>
      <x:c r="AS11" s="88" t="n">
        <x:f>(MAX(K11:P11)-LARGE(K11:P11,2))*100</x:f>
        <x:v>10.485051223081749</x:v>
      </x:c>
      <x:c r="AT11" s="84" t="str">
        <x:f>IF(AS11&lt;5,"Oui","Non")</x:f>
        <x:v>Non</x:v>
      </x:c>
      <x:c r="AU11" s="89" t="n">
        <x:v>-14.072883312148765</x:v>
      </x:c>
      <x:c r="AV11" s="89" t="n">
        <x:v>-10.274189299627592</x:v>
      </x:c>
      <x:c r="AW11" s="89" t="n">
        <x:v>-0.3528636628408549</x:v>
      </x:c>
      <x:c r="AX11" s="90" t="n">
        <x:v>6.713116600544909</x:v>
      </x:c>
    </x:row>
    <x:row r="12">
      <x:c r="A12" s="83" t="str">
        <x:v>Bellefeuille</x:v>
      </x:c>
      <x:c r="B12" s="84" t="str">
        <x:v>Banlieue de Montréal</x:v>
      </x:c>
      <x:c r="C12" s="84" t="str">
        <x:f>IF(MAX(D12:I12)=D12,"CAQ",IF(MAX(D12:I12)=E12,"PLQ",IF(MAX(D12:I12)=F12,"QS",IF(MAX(D12:I12)=G12,"PQ",IF(MAX(D12:I12)=H12,"PCQ","Autre")))))</x:f>
        <x:v>CAQ</x:v>
      </x:c>
      <x:c r="D12" s="85" t="n">
        <x:v>28339</x:v>
      </x:c>
      <x:c r="E12" s="85" t="n">
        <x:v>4026</x:v>
      </x:c>
      <x:c r="F12" s="85" t="n">
        <x:v>8055</x:v>
      </x:c>
      <x:c r="G12" s="85" t="n">
        <x:v>10769</x:v>
      </x:c>
      <x:c r="H12" s="85" t="n">
        <x:v>7115</x:v>
      </x:c>
      <x:c r="I12" s="85" t="n">
        <x:v>142</x:v>
      </x:c>
      <x:c r="J12" s="86" t="n">
        <x:f>SUM(D12:I12)</x:f>
        <x:v>58446</x:v>
      </x:c>
      <x:c r="K12" s="87" t="n">
        <x:f>IFERROR(D12/J12,0)</x:f>
        <x:v>0.4848749272833042</x:v>
      </x:c>
      <x:c r="L12" s="87" t="n">
        <x:f>IFERROR(E12/J12,0)</x:f>
        <x:v>0.06888409814187454</x:v>
      </x:c>
      <x:c r="M12" s="87" t="n">
        <x:f>IFERROR(F12/J12,0)</x:f>
        <x:v>0.13781952571604558</x:v>
      </x:c>
      <x:c r="N12" s="87" t="n">
        <x:f>IFERROR(G12/J12,0)</x:f>
        <x:v>0.1842555521335934</x:v>
      </x:c>
      <x:c r="O12" s="87" t="n">
        <x:f>IFERROR(H12/J12,0)</x:f>
        <x:v>0.12173630359648223</x:v>
      </x:c>
      <x:c r="P12" s="87" t="n">
        <x:f>IFERROR(I12/J12,0)</x:f>
        <x:v>0.0024295931286999967</x:v>
      </x:c>
      <x:c r="Q12" s="86" t="n">
        <x:f>D12*INDEX('Régions'!$T$2:$Y$6,MATCH($B12,'Régions'!$A$2:$A$6,0),1)</x:f>
        <x:v>20035.36940333125</x:v>
      </x:c>
      <x:c r="R12" s="86" t="n">
        <x:f>E12*INDEX('Régions'!$T$2:$Y$6,MATCH($B12,'Régions'!$A$2:$A$6,0),2)</x:f>
        <x:v>5150.299108115396</x:v>
      </x:c>
      <x:c r="S12" s="86" t="n">
        <x:f>F12*INDEX('Régions'!$T$2:$Y$6,MATCH($B12,'Régions'!$A$2:$A$6,0),3)</x:f>
        <x:v>4068.6104877563216</x:v>
      </x:c>
      <x:c r="T12" s="86" t="n">
        <x:f>G12*INDEX('Régions'!$T$2:$Y$6,MATCH($B12,'Régions'!$A$2:$A$6,0),4)</x:f>
        <x:v>20079.88071019311</x:v>
      </x:c>
      <x:c r="U12" s="86" t="n">
        <x:f>H12*INDEX('Régions'!$T$2:$Y$6,MATCH($B12,'Régions'!$A$2:$A$6,0),5)</x:f>
        <x:v>8326.936440324513</x:v>
      </x:c>
      <x:c r="V12" s="86" t="n">
        <x:f>I12*INDEX('Régions'!$T$2:$Y$6,MATCH($B12,'Régions'!$A$2:$A$6,0),6)</x:f>
        <x:v>304.880361347649</x:v>
      </x:c>
      <x:c r="W12" s="86" t="n">
        <x:f>MAX(0,Q12+(AU12/100)*J12*'Régions'!$O$2)</x:f>
        <x:v>20179.845971935687</x:v>
      </x:c>
      <x:c r="X12" s="86" t="n">
        <x:f>MAX(0,R12+(AV12/100)*J12*'Régions'!$O$2)</x:f>
        <x:v>5650.011946443165</x:v>
      </x:c>
      <x:c r="Y12" s="86" t="n">
        <x:f>MAX(0,S12+(AW12/100)*J12*'Régions'!$O$2)</x:f>
        <x:v>4076.046819842908</x:v>
      </x:c>
      <x:c r="Z12" s="86" t="n">
        <x:f>MAX(0,T12+(AX12/100)*J12*'Régions'!$O$2)</x:f>
        <x:v>19434.12038280126</x:v>
      </x:c>
      <x:c r="AA12" s="86" t="n">
        <x:f>U12</x:f>
        <x:v>8326.936440324513</x:v>
      </x:c>
      <x:c r="AB12" s="86" t="n">
        <x:f>V12</x:f>
        <x:v>304.880361347649</x:v>
      </x:c>
      <x:c r="AC12" s="86" t="n">
        <x:f>D12*INDEX('Régions'!$Z$2:$AE$6,MATCH($B12,'Régions'!$A$2:$A$6,0),1)</x:f>
        <x:v>22101.516873049786</x:v>
      </x:c>
      <x:c r="AD12" s="86" t="n">
        <x:f>E12*INDEX('Régions'!$Z$2:$AE$6,MATCH($B12,'Régions'!$A$2:$A$6,0),2)</x:f>
        <x:v>6094.520611269884</x:v>
      </x:c>
      <x:c r="AE12" s="86" t="n">
        <x:f>F12*INDEX('Régions'!$Z$2:$AE$6,MATCH($B12,'Régions'!$A$2:$A$6,0),3)</x:f>
        <x:v>5986.669717698588</x:v>
      </x:c>
      <x:c r="AF12" s="86" t="n">
        <x:f>G12*INDEX('Régions'!$Z$2:$AE$6,MATCH($B12,'Régions'!$A$2:$A$6,0),4)</x:f>
        <x:v>22288.667588314347</x:v>
      </x:c>
      <x:c r="AG12" s="86" t="n">
        <x:f>H12*INDEX('Régions'!$Z$2:$AE$6,MATCH($B12,'Régions'!$A$2:$A$6,0),5)</x:f>
        <x:v>10616.843961413753</x:v>
      </x:c>
      <x:c r="AH12" s="86" t="n">
        <x:f>I12*INDEX('Régions'!$Z$2:$AE$6,MATCH($B12,'Régions'!$A$2:$A$6,0),6)</x:f>
        <x:v>1310.9855537948906</x:v>
      </x:c>
      <x:c r="AI12" s="86" t="n">
        <x:f>D12*INDEX('Régions'!$AF$2:$AK$6,MATCH($B12,'Régions'!$A$2:$A$6,0),1)</x:f>
        <x:v>17969.221933612716</x:v>
      </x:c>
      <x:c r="AJ12" s="86" t="n">
        <x:f>E12*INDEX('Régions'!$AF$2:$AK$6,MATCH($B12,'Régions'!$A$2:$A$6,0),2)</x:f>
        <x:v>4206.077604960907</x:v>
      </x:c>
      <x:c r="AK12" s="86" t="n">
        <x:f>F12*INDEX('Régions'!$AF$2:$AK$6,MATCH($B12,'Régions'!$A$2:$A$6,0),3)</x:f>
        <x:v>2150.551257814056</x:v>
      </x:c>
      <x:c r="AL12" s="86" t="n">
        <x:f>G12*INDEX('Régions'!$AF$2:$AK$6,MATCH($B12,'Régions'!$A$2:$A$6,0),4)</x:f>
        <x:v>17871.093832071867</x:v>
      </x:c>
      <x:c r="AM12" s="86" t="n">
        <x:f>H12*INDEX('Régions'!$AF$2:$AK$6,MATCH($B12,'Régions'!$A$2:$A$6,0),5)</x:f>
        <x:v>6037.02891923527</x:v>
      </x:c>
      <x:c r="AN12" s="86" t="n">
        <x:f>I12*INDEX('Régions'!$AF$2:$AK$6,MATCH($B12,'Régions'!$A$2:$A$6,0),6)</x:f>
        <x:v>0</x:v>
      </x:c>
      <x:c r="AO12" s="84" t="str">
        <x:f>IF(MAX(Q12:V12)=Q12,"CAQ",IF(MAX(Q12:V12)=R12,"PLQ",IF(MAX(Q12:V12)=S12,"QS",IF(MAX(Q12:V12)=T12,"PQ",IF(MAX(Q12:V12)=U12,"PCQ","Autre")))))</x:f>
        <x:v>PQ</x:v>
      </x:c>
      <x:c r="AP12" s="84" t="str">
        <x:f>IF(MAX(W12:AB12)=W12,"CAQ",IF(MAX(W12:AB12)=X12,"PLQ",IF(MAX(W12:AB12)=Y12,"QS",IF(MAX(W12:AB12)=Z12,"PQ",IF(MAX(W12:AB12)=AA12,"PCQ","Autre")))))</x:f>
        <x:v>CAQ</x:v>
      </x:c>
      <x:c r="AQ12" s="84" t="str">
        <x:f>IF(MAX(AC12:AH12)=AC12,"CAQ",IF(MAX(AC12:AH12)=AD12,"PLQ",IF(MAX(AC12:AH12)=AE12,"QS",IF(MAX(AC12:AH12)=AF12,"PQ",IF(MAX(AC12:AH12)=AG12,"PCQ","Autre")))))</x:f>
        <x:v>PQ</x:v>
      </x:c>
      <x:c r="AR12" s="84" t="str">
        <x:f>IF(MAX(AI12:AN12)=AI12,"CAQ",IF(MAX(AI12:AN12)=AJ12,"PLQ",IF(MAX(AI12:AN12)=AK12,"QS",IF(MAX(AI12:AN12)=AL12,"PQ",IF(MAX(AI12:AN12)=AM12,"PCQ","Autre")))))</x:f>
        <x:v>CAQ</x:v>
      </x:c>
      <x:c r="AS12" s="88" t="n">
        <x:f>(MAX(K12:P12)-LARGE(K12:P12,2))*100</x:f>
        <x:v>30.06193751497108</x:v>
      </x:c>
      <x:c r="AT12" s="84" t="str">
        <x:f>IF(AS12&lt;5,"Oui","Non")</x:f>
        <x:v>Non</x:v>
      </x:c>
      <x:c r="AU12" s="89" t="n">
        <x:v>0.49439334977393057</x:v>
      </x:c>
      <x:c r="AV12" s="89" t="n">
        <x:v>1.7099984201750975</x:v>
      </x:c>
      <x:c r="AW12" s="89" t="n">
        <x:v>0.025446846958171454</x:v>
      </x:c>
      <x:c r="AX12" s="90" t="n">
        <x:v>-2.209767400307458</x:v>
      </x:c>
    </x:row>
    <x:row r="13">
      <x:c r="A13" s="83" t="str">
        <x:v>Berthier</x:v>
      </x:c>
      <x:c r="B13" s="84" t="str">
        <x:v>Reste du Québec</x:v>
      </x:c>
      <x:c r="C13" s="84" t="str">
        <x:f>IF(MAX(D13:I13)=D13,"CAQ",IF(MAX(D13:I13)=E13,"PLQ",IF(MAX(D13:I13)=F13,"QS",IF(MAX(D13:I13)=G13,"PQ",IF(MAX(D13:I13)=H13,"PCQ","Autre")))))</x:f>
        <x:v>CAQ</x:v>
      </x:c>
      <x:c r="D13" s="85" t="n">
        <x:v>36637</x:v>
      </x:c>
      <x:c r="E13" s="85" t="n">
        <x:v>1835</x:v>
      </x:c>
      <x:c r="F13" s="85" t="n">
        <x:v>10130</x:v>
      </x:c>
      <x:c r="G13" s="85" t="n">
        <x:v>14965</x:v>
      </x:c>
      <x:c r="H13" s="85" t="n">
        <x:v>7903</x:v>
      </x:c>
      <x:c r="I13" s="85" t="n">
        <x:v>417</x:v>
      </x:c>
      <x:c r="J13" s="86" t="n">
        <x:f>SUM(D13:I13)</x:f>
        <x:v>71887</x:v>
      </x:c>
      <x:c r="K13" s="87" t="n">
        <x:f>IFERROR(D13/J13,0)</x:f>
        <x:v>0.5096470850084159</x:v>
      </x:c>
      <x:c r="L13" s="87" t="n">
        <x:f>IFERROR(E13/J13,0)</x:f>
        <x:v>0.025526173021547707</x:v>
      </x:c>
      <x:c r="M13" s="87" t="n">
        <x:f>IFERROR(F13/J13,0)</x:f>
        <x:v>0.14091560365573746</x:v>
      </x:c>
      <x:c r="N13" s="87" t="n">
        <x:f>IFERROR(G13/J13,0)</x:f>
        <x:v>0.20817393965529232</x:v>
      </x:c>
      <x:c r="O13" s="87" t="n">
        <x:f>IFERROR(H13/J13,0)</x:f>
        <x:v>0.10993642800506351</x:v>
      </x:c>
      <x:c r="P13" s="87" t="n">
        <x:f>IFERROR(I13/J13,0)</x:f>
        <x:v>0.005800770653942994</x:v>
      </x:c>
      <x:c r="Q13" s="86" t="n">
        <x:f>D13*INDEX('Régions'!$T$2:$Y$6,MATCH($B13,'Régions'!$A$2:$A$6,0),1)</x:f>
        <x:v>21626.413005963153</x:v>
      </x:c>
      <x:c r="R13" s="86" t="n">
        <x:f>E13*INDEX('Régions'!$T$2:$Y$6,MATCH($B13,'Régions'!$A$2:$A$6,0),2)</x:f>
        <x:v>4198.943055998978</x:v>
      </x:c>
      <x:c r="S13" s="86" t="n">
        <x:f>F13*INDEX('Régions'!$T$2:$Y$6,MATCH($B13,'Régions'!$A$2:$A$6,0),3)</x:f>
        <x:v>6083.151989440524</x:v>
      </x:c>
      <x:c r="T13" s="86" t="n">
        <x:f>G13*INDEX('Régions'!$T$2:$Y$6,MATCH($B13,'Régions'!$A$2:$A$6,0),4)</x:f>
        <x:v>25923.739975443284</x:v>
      </x:c>
      <x:c r="U13" s="86" t="n">
        <x:f>H13*INDEX('Régions'!$T$2:$Y$6,MATCH($B13,'Régions'!$A$2:$A$6,0),5)</x:f>
        <x:v>8909.369906667851</x:v>
      </x:c>
      <x:c r="V13" s="86" t="n">
        <x:f>I13*INDEX('Régions'!$T$2:$Y$6,MATCH($B13,'Régions'!$A$2:$A$6,0),6)</x:f>
        <x:v>968.0906689523202</x:v>
      </x:c>
      <x:c r="W13" s="86" t="n">
        <x:f>MAX(0,Q13+(AU13/100)*J13*'Régions'!$O$2)</x:f>
        <x:v>21578.619317160355</x:v>
      </x:c>
      <x:c r="X13" s="86" t="n">
        <x:f>MAX(0,R13+(AV13/100)*J13*'Régions'!$O$2)</x:f>
        <x:v>6958.157043405299</x:v>
      </x:c>
      <x:c r="Y13" s="86" t="n">
        <x:f>MAX(0,S13+(AW13/100)*J13*'Régions'!$O$2)</x:f>
        <x:v>6004.481094656654</x:v>
      </x:c>
      <x:c r="Z13" s="86" t="n">
        <x:f>MAX(0,T13+(AX13/100)*J13*'Régions'!$O$2)</x:f>
        <x:v>23943.59397904355</x:v>
      </x:c>
      <x:c r="AA13" s="86" t="n">
        <x:f>U13</x:f>
        <x:v>8909.369906667851</x:v>
      </x:c>
      <x:c r="AB13" s="86" t="n">
        <x:f>V13</x:f>
        <x:v>968.0906689523202</x:v>
      </x:c>
      <x:c r="AC13" s="86" t="n">
        <x:f>D13*INDEX('Régions'!$Z$2:$AE$6,MATCH($B13,'Régions'!$A$2:$A$6,0),1)</x:f>
        <x:v>24175.24025309453</x:v>
      </x:c>
      <x:c r="AD13" s="86" t="n">
        <x:f>E13*INDEX('Régions'!$Z$2:$AE$6,MATCH($B13,'Régions'!$A$2:$A$6,0),2)</x:f>
        <x:v>5064.975061298767</x:v>
      </x:c>
      <x:c r="AE13" s="86" t="n">
        <x:f>F13*INDEX('Régions'!$Z$2:$AE$6,MATCH($B13,'Régions'!$A$2:$A$6,0),3)</x:f>
        <x:v>8592.45218508474</x:v>
      </x:c>
      <x:c r="AF13" s="86" t="n">
        <x:f>G13*INDEX('Régions'!$Z$2:$AE$6,MATCH($B13,'Régions'!$A$2:$A$6,0),4)</x:f>
        <x:v>28873.682800235103</x:v>
      </x:c>
      <x:c r="AG13" s="86" t="n">
        <x:f>H13*INDEX('Régions'!$Z$2:$AE$6,MATCH($B13,'Régions'!$A$2:$A$6,0),5)</x:f>
        <x:v>10638.835829726904</x:v>
      </x:c>
      <x:c r="AH13" s="86" t="n">
        <x:f>I13*INDEX('Régions'!$Z$2:$AE$6,MATCH($B13,'Régions'!$A$2:$A$6,0),6)</x:f>
        <x:v>4162.789876494977</x:v>
      </x:c>
      <x:c r="AI13" s="86" t="n">
        <x:f>D13*INDEX('Régions'!$AF$2:$AK$6,MATCH($B13,'Régions'!$A$2:$A$6,0),1)</x:f>
        <x:v>19077.585758831785</x:v>
      </x:c>
      <x:c r="AJ13" s="86" t="n">
        <x:f>E13*INDEX('Régions'!$AF$2:$AK$6,MATCH($B13,'Régions'!$A$2:$A$6,0),2)</x:f>
        <x:v>3332.9110506991888</x:v>
      </x:c>
      <x:c r="AK13" s="86" t="n">
        <x:f>F13*INDEX('Régions'!$AF$2:$AK$6,MATCH($B13,'Régions'!$A$2:$A$6,0),3)</x:f>
        <x:v>3573.8517937963074</x:v>
      </x:c>
      <x:c r="AL13" s="86" t="n">
        <x:f>G13*INDEX('Régions'!$AF$2:$AK$6,MATCH($B13,'Régions'!$A$2:$A$6,0),4)</x:f>
        <x:v>22973.797150651462</x:v>
      </x:c>
      <x:c r="AM13" s="86" t="n">
        <x:f>H13*INDEX('Régions'!$AF$2:$AK$6,MATCH($B13,'Régions'!$A$2:$A$6,0),5)</x:f>
        <x:v>7179.903983608798</x:v>
      </x:c>
      <x:c r="AN13" s="86" t="n">
        <x:f>I13*INDEX('Régions'!$AF$2:$AK$6,MATCH($B13,'Régions'!$A$2:$A$6,0),6)</x:f>
        <x:v>0</x:v>
      </x:c>
      <x:c r="AO13" s="84" t="str">
        <x:f>IF(MAX(Q13:V13)=Q13,"CAQ",IF(MAX(Q13:V13)=R13,"PLQ",IF(MAX(Q13:V13)=S13,"QS",IF(MAX(Q13:V13)=T13,"PQ",IF(MAX(Q13:V13)=U13,"PCQ","Autre")))))</x:f>
        <x:v>PQ</x:v>
      </x:c>
      <x:c r="AP13" s="84" t="str">
        <x:f>IF(MAX(W13:AB13)=W13,"CAQ",IF(MAX(W13:AB13)=X13,"PLQ",IF(MAX(W13:AB13)=Y13,"QS",IF(MAX(W13:AB13)=Z13,"PQ",IF(MAX(W13:AB13)=AA13,"PCQ","Autre")))))</x:f>
        <x:v>PQ</x:v>
      </x:c>
      <x:c r="AQ13" s="84" t="str">
        <x:f>IF(MAX(AC13:AH13)=AC13,"CAQ",IF(MAX(AC13:AH13)=AD13,"PLQ",IF(MAX(AC13:AH13)=AE13,"QS",IF(MAX(AC13:AH13)=AF13,"PQ",IF(MAX(AC13:AH13)=AG13,"PCQ","Autre")))))</x:f>
        <x:v>PQ</x:v>
      </x:c>
      <x:c r="AR13" s="84" t="str">
        <x:f>IF(MAX(AI13:AN13)=AI13,"CAQ",IF(MAX(AI13:AN13)=AJ13,"PLQ",IF(MAX(AI13:AN13)=AK13,"QS",IF(MAX(AI13:AN13)=AL13,"PQ",IF(MAX(AI13:AN13)=AM13,"PCQ","Autre")))))</x:f>
        <x:v>PQ</x:v>
      </x:c>
      <x:c r="AS13" s="88" t="n">
        <x:f>(MAX(K13:P13)-LARGE(K13:P13,2))*100</x:f>
        <x:v>30.147314535312365</x:v>
      </x:c>
      <x:c r="AT13" s="84" t="str">
        <x:f>IF(AS13&lt;5,"Oui","Non")</x:f>
        <x:v>Non</x:v>
      </x:c>
      <x:c r="AU13" s="89" t="n">
        <x:v>-0.1329689340292317</x:v>
      </x:c>
      <x:c r="AV13" s="89" t="n">
        <x:v>7.676531187575837</x:v>
      </x:c>
      <x:c r="AW13" s="89" t="n">
        <x:v>-0.21887377351640647</x:v>
      </x:c>
      <x:c r="AX13" s="90" t="n">
        <x:v>-5.509051696133469</x:v>
      </x:c>
    </x:row>
    <x:row r="14">
      <x:c r="A14" s="83" t="str">
        <x:v>Bertrand</x:v>
      </x:c>
      <x:c r="B14" s="84" t="str">
        <x:v>Banlieue de Montréal</x:v>
      </x:c>
      <x:c r="C14" s="84" t="str">
        <x:f>IF(MAX(D14:I14)=D14,"CAQ",IF(MAX(D14:I14)=E14,"PLQ",IF(MAX(D14:I14)=F14,"QS",IF(MAX(D14:I14)=G14,"PQ",IF(MAX(D14:I14)=H14,"PCQ","Autre")))))</x:f>
        <x:v>CAQ</x:v>
      </x:c>
      <x:c r="D14" s="85" t="n">
        <x:v>34557</x:v>
      </x:c>
      <x:c r="E14" s="85" t="n">
        <x:v>4588</x:v>
      </x:c>
      <x:c r="F14" s="85" t="n">
        <x:v>12327</x:v>
      </x:c>
      <x:c r="G14" s="85" t="n">
        <x:v>16721</x:v>
      </x:c>
      <x:c r="H14" s="85" t="n">
        <x:v>7473</x:v>
      </x:c>
      <x:c r="I14" s="85" t="n">
        <x:v>679</x:v>
      </x:c>
      <x:c r="J14" s="86" t="n">
        <x:f>SUM(D14:I14)</x:f>
        <x:v>76345</x:v>
      </x:c>
      <x:c r="K14" s="87" t="n">
        <x:f>IFERROR(D14/J14,0)</x:f>
        <x:v>0.4526426092081996</x:v>
      </x:c>
      <x:c r="L14" s="87" t="n">
        <x:f>IFERROR(E14/J14,0)</x:f>
        <x:v>0.06009561857358046</x:v>
      </x:c>
      <x:c r="M14" s="87" t="n">
        <x:f>IFERROR(F14/J14,0)</x:f>
        <x:v>0.16146440500360207</x:v>
      </x:c>
      <x:c r="N14" s="87" t="n">
        <x:f>IFERROR(G14/J14,0)</x:f>
        <x:v>0.21901892723819505</x:v>
      </x:c>
      <x:c r="O14" s="87" t="n">
        <x:f>IFERROR(H14/J14,0)</x:f>
        <x:v>0.0978846027899666</x:v>
      </x:c>
      <x:c r="P14" s="87" t="n">
        <x:f>IFERROR(I14/J14,0)</x:f>
        <x:v>0.008893837186456218</x:v>
      </x:c>
      <x:c r="Q14" s="86" t="n">
        <x:f>D14*INDEX('Régions'!$T$2:$Y$6,MATCH($B14,'Régions'!$A$2:$A$6,0),1)</x:f>
        <x:v>24431.428789686226</x:v>
      </x:c>
      <x:c r="R14" s="86" t="n">
        <x:f>E14*INDEX('Régions'!$T$2:$Y$6,MATCH($B14,'Régions'!$A$2:$A$6,0),2)</x:f>
        <x:v>5869.24299752445</x:v>
      </x:c>
      <x:c r="S14" s="86" t="n">
        <x:f>F14*INDEX('Régions'!$T$2:$Y$6,MATCH($B14,'Régions'!$A$2:$A$6,0),3)</x:f>
        <x:v>6226.413591877365</x:v>
      </x:c>
      <x:c r="T14" s="86" t="n">
        <x:f>G14*INDEX('Régions'!$T$2:$Y$6,MATCH($B14,'Régions'!$A$2:$A$6,0),4)</x:f>
        <x:v>31177.98173972876</x:v>
      </x:c>
      <x:c r="U14" s="86" t="n">
        <x:f>H14*INDEX('Régions'!$T$2:$Y$6,MATCH($B14,'Régions'!$A$2:$A$6,0),5)</x:f>
        <x:v>8745.91651701266</x:v>
      </x:c>
      <x:c r="V14" s="86" t="n">
        <x:f>I14*INDEX('Régions'!$T$2:$Y$6,MATCH($B14,'Régions'!$A$2:$A$6,0),6)</x:f>
        <x:v>1457.8434179933358</x:v>
      </x:c>
      <x:c r="W14" s="86" t="n">
        <x:f>MAX(0,Q14+(AU14/100)*J14*'Régions'!$O$2)</x:f>
        <x:v>24708.611199101942</x:v>
      </x:c>
      <x:c r="X14" s="86" t="n">
        <x:f>MAX(0,R14+(AV14/100)*J14*'Régions'!$O$2)</x:f>
        <x:v>5511.772299019045</x:v>
      </x:c>
      <x:c r="Y14" s="86" t="n">
        <x:f>MAX(0,S14+(AW14/100)*J14*'Régions'!$O$2)</x:f>
        <x:v>5743.276974505784</x:v>
      </x:c>
      <x:c r="Z14" s="86" t="n">
        <x:f>MAX(0,T14+(AX14/100)*J14*'Régions'!$O$2)</x:f>
        <x:v>31437.549732037252</x:v>
      </x:c>
      <x:c r="AA14" s="86" t="n">
        <x:f>U14</x:f>
        <x:v>8745.91651701266</x:v>
      </x:c>
      <x:c r="AB14" s="86" t="n">
        <x:f>V14</x:f>
        <x:v>1457.8434179933358</x:v>
      </x:c>
      <x:c r="AC14" s="86" t="n">
        <x:f>D14*INDEX('Régions'!$Z$2:$AE$6,MATCH($B14,'Régions'!$A$2:$A$6,0),1)</x:f>
        <x:v>26950.91988362262</x:v>
      </x:c>
      <x:c r="AD14" s="86" t="n">
        <x:f>E14*INDEX('Régions'!$Z$2:$AE$6,MATCH($B14,'Régions'!$A$2:$A$6,0),2)</x:f>
        <x:v>6945.270880403932</x:v>
      </x:c>
      <x:c r="AE14" s="86" t="n">
        <x:f>F14*INDEX('Régions'!$Z$2:$AE$6,MATCH($B14,'Régions'!$A$2:$A$6,0),3)</x:f>
        <x:v>9161.722856619552</x:v>
      </x:c>
      <x:c r="AF14" s="86" t="n">
        <x:f>G14*INDEX('Régions'!$Z$2:$AE$6,MATCH($B14,'Régions'!$A$2:$A$6,0),4)</x:f>
        <x:v>34607.55973109892</x:v>
      </x:c>
      <x:c r="AG14" s="86" t="n">
        <x:f>H14*INDEX('Régions'!$Z$2:$AE$6,MATCH($B14,'Régions'!$A$2:$A$6,0),5)</x:f>
        <x:v>11151.043559191143</x:v>
      </x:c>
      <x:c r="AH14" s="86" t="n">
        <x:f>I14*INDEX('Régions'!$Z$2:$AE$6,MATCH($B14,'Régions'!$A$2:$A$6,0),6)</x:f>
        <x:v>6268.726697371344</x:v>
      </x:c>
      <x:c r="AI14" s="86" t="n">
        <x:f>D14*INDEX('Régions'!$AF$2:$AK$6,MATCH($B14,'Régions'!$A$2:$A$6,0),1)</x:f>
        <x:v>21911.937695749835</x:v>
      </x:c>
      <x:c r="AJ14" s="86" t="n">
        <x:f>E14*INDEX('Régions'!$AF$2:$AK$6,MATCH($B14,'Régions'!$A$2:$A$6,0),2)</x:f>
        <x:v>4793.215114644967</x:v>
      </x:c>
      <x:c r="AK14" s="86" t="n">
        <x:f>F14*INDEX('Régions'!$AF$2:$AK$6,MATCH($B14,'Régions'!$A$2:$A$6,0),3)</x:f>
        <x:v>3291.104327135179</x:v>
      </x:c>
      <x:c r="AL14" s="86" t="n">
        <x:f>G14*INDEX('Régions'!$AF$2:$AK$6,MATCH($B14,'Régions'!$A$2:$A$6,0),4)</x:f>
        <x:v>27748.403748358593</x:v>
      </x:c>
      <x:c r="AM14" s="86" t="n">
        <x:f>H14*INDEX('Régions'!$AF$2:$AK$6,MATCH($B14,'Régions'!$A$2:$A$6,0),5)</x:f>
        <x:v>6340.789474834178</x:v>
      </x:c>
      <x:c r="AN14" s="86" t="n">
        <x:f>I14*INDEX('Régions'!$AF$2:$AK$6,MATCH($B14,'Régions'!$A$2:$A$6,0),6)</x:f>
        <x:v>0</x:v>
      </x:c>
      <x:c r="AO14" s="84" t="str">
        <x:f>IF(MAX(Q14:V14)=Q14,"CAQ",IF(MAX(Q14:V14)=R14,"PLQ",IF(MAX(Q14:V14)=S14,"QS",IF(MAX(Q14:V14)=T14,"PQ",IF(MAX(Q14:V14)=U14,"PCQ","Autre")))))</x:f>
        <x:v>PQ</x:v>
      </x:c>
      <x:c r="AP14" s="84" t="str">
        <x:f>IF(MAX(W14:AB14)=W14,"CAQ",IF(MAX(W14:AB14)=X14,"PLQ",IF(MAX(W14:AB14)=Y14,"QS",IF(MAX(W14:AB14)=Z14,"PQ",IF(MAX(W14:AB14)=AA14,"PCQ","Autre")))))</x:f>
        <x:v>PQ</x:v>
      </x:c>
      <x:c r="AQ14" s="84" t="str">
        <x:f>IF(MAX(AC14:AH14)=AC14,"CAQ",IF(MAX(AC14:AH14)=AD14,"PLQ",IF(MAX(AC14:AH14)=AE14,"QS",IF(MAX(AC14:AH14)=AF14,"PQ",IF(MAX(AC14:AH14)=AG14,"PCQ","Autre")))))</x:f>
        <x:v>PQ</x:v>
      </x:c>
      <x:c r="AR14" s="84" t="str">
        <x:f>IF(MAX(AI14:AN14)=AI14,"CAQ",IF(MAX(AI14:AN14)=AJ14,"PLQ",IF(MAX(AI14:AN14)=AK14,"QS",IF(MAX(AI14:AN14)=AL14,"PQ",IF(MAX(AI14:AN14)=AM14,"PCQ","Autre")))))</x:f>
        <x:v>PQ</x:v>
      </x:c>
      <x:c r="AS14" s="88" t="n">
        <x:f>(MAX(K14:P14)-LARGE(K14:P14,2))*100</x:f>
        <x:v>23.362368197000453</x:v>
      </x:c>
      <x:c r="AT14" s="84" t="str">
        <x:f>IF(AS14&lt;5,"Oui","Non")</x:f>
        <x:v>Non</x:v>
      </x:c>
      <x:c r="AU14" s="89" t="n">
        <x:v>0.7261311399979431</x:v>
      </x:c>
      <x:c r="AV14" s="89" t="n">
        <x:v>-0.9364613229560698</x:v>
      </x:c>
      <x:c r="AW14" s="89" t="n">
        <x:v>-1.2656666903440472</x:v>
      </x:c>
      <x:c r="AX14" s="90" t="n">
        <x:v>0.6799868814159254</x:v>
      </x:c>
    </x:row>
    <x:row r="15">
      <x:c r="A15" s="83" t="str">
        <x:v>Blainville</x:v>
      </x:c>
      <x:c r="B15" s="84" t="str">
        <x:v>Banlieue de Montréal</x:v>
      </x:c>
      <x:c r="C15" s="84" t="str">
        <x:f>IF(MAX(D15:I15)=D15,"CAQ",IF(MAX(D15:I15)=E15,"PLQ",IF(MAX(D15:I15)=F15,"QS",IF(MAX(D15:I15)=G15,"PQ",IF(MAX(D15:I15)=H15,"PCQ","Autre")))))</x:f>
        <x:v>CAQ</x:v>
      </x:c>
      <x:c r="D15" s="85" t="n">
        <x:v>43659</x:v>
      </x:c>
      <x:c r="E15" s="85" t="n">
        <x:v>9739</x:v>
      </x:c>
      <x:c r="F15" s="85" t="n">
        <x:v>12359</x:v>
      </x:c>
      <x:c r="G15" s="85" t="n">
        <x:v>13625</x:v>
      </x:c>
      <x:c r="H15" s="85" t="n">
        <x:v>8618</x:v>
      </x:c>
      <x:c r="I15" s="85" t="n">
        <x:v>290</x:v>
      </x:c>
      <x:c r="J15" s="86" t="n">
        <x:f>SUM(D15:I15)</x:f>
        <x:v>88290</x:v>
      </x:c>
      <x:c r="K15" s="87" t="n">
        <x:f>IFERROR(D15/J15,0)</x:f>
        <x:v>0.4944954128440367</x:v>
      </x:c>
      <x:c r="L15" s="87" t="n">
        <x:f>IFERROR(E15/J15,0)</x:f>
        <x:v>0.11030694302865557</x:v>
      </x:c>
      <x:c r="M15" s="87" t="n">
        <x:f>IFERROR(F15/J15,0)</x:f>
        <x:v>0.13998187790236719</x:v>
      </x:c>
      <x:c r="N15" s="87" t="n">
        <x:f>IFERROR(G15/J15,0)</x:f>
        <x:v>0.15432098765432098</x:v>
      </x:c>
      <x:c r="O15" s="87" t="n">
        <x:f>IFERROR(H15/J15,0)</x:f>
        <x:v>0.09761014837467437</x:v>
      </x:c>
      <x:c r="P15" s="87" t="n">
        <x:f>IFERROR(I15/J15,0)</x:f>
        <x:v>0.003284630195945181</x:v>
      </x:c>
      <x:c r="Q15" s="86" t="n">
        <x:f>D15*INDEX('Régions'!$T$2:$Y$6,MATCH($B15,'Régions'!$A$2:$A$6,0),1)</x:f>
        <x:v>30866.44527965133</x:v>
      </x:c>
      <x:c r="R15" s="86" t="n">
        <x:f>E15*INDEX('Régions'!$T$2:$Y$6,MATCH($B15,'Régions'!$A$2:$A$6,0),2)</x:f>
        <x:v>12458.70914404765</x:v>
      </x:c>
      <x:c r="S15" s="86" t="n">
        <x:f>F15*INDEX('Régions'!$T$2:$Y$6,MATCH($B15,'Régions'!$A$2:$A$6,0),3)</x:f>
        <x:v>6242.576911009358</x:v>
      </x:c>
      <x:c r="T15" s="86" t="n">
        <x:f>G15*INDEX('Régions'!$T$2:$Y$6,MATCH($B15,'Régions'!$A$2:$A$6,0),4)</x:f>
        <x:v>25405.179188075133</x:v>
      </x:c>
      <x:c r="U15" s="86" t="n">
        <x:f>H15*INDEX('Régions'!$T$2:$Y$6,MATCH($B15,'Régions'!$A$2:$A$6,0),5)</x:f>
        <x:v>10085.95056116889</x:v>
      </x:c>
      <x:c r="V15" s="86" t="n">
        <x:f>I15*INDEX('Régions'!$T$2:$Y$6,MATCH($B15,'Régions'!$A$2:$A$6,0),6)</x:f>
        <x:v>622.6429914846353</x:v>
      </x:c>
      <x:c r="W15" s="86" t="n">
        <x:f>MAX(0,Q15+(AU15/100)*J15*'Régions'!$O$2)</x:f>
        <x:v>30065.575326932198</x:v>
      </x:c>
      <x:c r="X15" s="86" t="n">
        <x:f>MAX(0,R15+(AV15/100)*J15*'Régions'!$O$2)</x:f>
        <x:v>11755.560932377883</x:v>
      </x:c>
      <x:c r="Y15" s="86" t="n">
        <x:f>MAX(0,S15+(AW15/100)*J15*'Régions'!$O$2)</x:f>
        <x:v>6057.434942442982</x:v>
      </x:c>
      <x:c r="Z15" s="86" t="n">
        <x:f>MAX(0,T15+(AX15/100)*J15*'Régions'!$O$2)</x:f>
        <x:v>26813.923905603384</x:v>
      </x:c>
      <x:c r="AA15" s="86" t="n">
        <x:f>U15</x:f>
        <x:v>10085.95056116889</x:v>
      </x:c>
      <x:c r="AB15" s="86" t="n">
        <x:f>V15</x:f>
        <x:v>622.6429914846353</x:v>
      </x:c>
      <x:c r="AC15" s="86" t="n">
        <x:f>D15*INDEX('Régions'!$Z$2:$AE$6,MATCH($B15,'Régions'!$A$2:$A$6,0),1)</x:f>
        <x:v>34049.54744911537</x:v>
      </x:c>
      <x:c r="AD15" s="86" t="n">
        <x:f>E15*INDEX('Régions'!$Z$2:$AE$6,MATCH($B15,'Régions'!$A$2:$A$6,0),2)</x:f>
        <x:v>14742.805820456384</x:v>
      </x:c>
      <x:c r="AE15" s="86" t="n">
        <x:f>F15*INDEX('Régions'!$Z$2:$AE$6,MATCH($B15,'Régions'!$A$2:$A$6,0),3)</x:f>
        <x:v>9185.506026199484</x:v>
      </x:c>
      <x:c r="AF15" s="86" t="n">
        <x:f>G15*INDEX('Régions'!$Z$2:$AE$6,MATCH($B15,'Régions'!$A$2:$A$6,0),4)</x:f>
        <x:v>28199.748898763395</x:v>
      </x:c>
      <x:c r="AG15" s="86" t="n">
        <x:f>H15*INDEX('Régions'!$Z$2:$AE$6,MATCH($B15,'Régions'!$A$2:$A$6,0),5)</x:f>
        <x:v>12859.586965490334</x:v>
      </x:c>
      <x:c r="AH15" s="86" t="n">
        <x:f>I15*INDEX('Régions'!$Z$2:$AE$6,MATCH($B15,'Régions'!$A$2:$A$6,0),6)</x:f>
        <x:v>2677.3648633839316</x:v>
      </x:c>
      <x:c r="AI15" s="86" t="n">
        <x:f>D15*INDEX('Régions'!$AF$2:$AK$6,MATCH($B15,'Régions'!$A$2:$A$6,0),1)</x:f>
        <x:v>27683.34311018729</x:v>
      </x:c>
      <x:c r="AJ15" s="86" t="n">
        <x:f>E15*INDEX('Régions'!$AF$2:$AK$6,MATCH($B15,'Régions'!$A$2:$A$6,0),2)</x:f>
        <x:v>10174.612467638914</x:v>
      </x:c>
      <x:c r="AK15" s="86" t="n">
        <x:f>F15*INDEX('Régions'!$AF$2:$AK$6,MATCH($B15,'Régions'!$A$2:$A$6,0),3)</x:f>
        <x:v>3299.647795819232</x:v>
      </x:c>
      <x:c r="AL15" s="86" t="n">
        <x:f>G15*INDEX('Régions'!$AF$2:$AK$6,MATCH($B15,'Régions'!$A$2:$A$6,0),4)</x:f>
        <x:v>22610.609477386868</x:v>
      </x:c>
      <x:c r="AM15" s="86" t="n">
        <x:f>H15*INDEX('Régions'!$AF$2:$AK$6,MATCH($B15,'Régions'!$A$2:$A$6,0),5)</x:f>
        <x:v>7312.314156847444</x:v>
      </x:c>
      <x:c r="AN15" s="86" t="n">
        <x:f>I15*INDEX('Régions'!$AF$2:$AK$6,MATCH($B15,'Régions'!$A$2:$A$6,0),6)</x:f>
        <x:v>0</x:v>
      </x:c>
      <x:c r="AO15" s="84" t="str">
        <x:f>IF(MAX(Q15:V15)=Q15,"CAQ",IF(MAX(Q15:V15)=R15,"PLQ",IF(MAX(Q15:V15)=S15,"QS",IF(MAX(Q15:V15)=T15,"PQ",IF(MAX(Q15:V15)=U15,"PCQ","Autre")))))</x:f>
        <x:v>CAQ</x:v>
      </x:c>
      <x:c r="AP15" s="84" t="str">
        <x:f>IF(MAX(W15:AB15)=W15,"CAQ",IF(MAX(W15:AB15)=X15,"PLQ",IF(MAX(W15:AB15)=Y15,"QS",IF(MAX(W15:AB15)=Z15,"PQ",IF(MAX(W15:AB15)=AA15,"PCQ","Autre")))))</x:f>
        <x:v>CAQ</x:v>
      </x:c>
      <x:c r="AQ15" s="84" t="str">
        <x:f>IF(MAX(AC15:AH15)=AC15,"CAQ",IF(MAX(AC15:AH15)=AD15,"PLQ",IF(MAX(AC15:AH15)=AE15,"QS",IF(MAX(AC15:AH15)=AF15,"PQ",IF(MAX(AC15:AH15)=AG15,"PCQ","Autre")))))</x:f>
        <x:v>CAQ</x:v>
      </x:c>
      <x:c r="AR15" s="84" t="str">
        <x:f>IF(MAX(AI15:AN15)=AI15,"CAQ",IF(MAX(AI15:AN15)=AJ15,"PLQ",IF(MAX(AI15:AN15)=AK15,"QS",IF(MAX(AI15:AN15)=AL15,"PQ",IF(MAX(AI15:AN15)=AM15,"PCQ","Autre")))))</x:f>
        <x:v>CAQ</x:v>
      </x:c>
      <x:c r="AS15" s="88" t="n">
        <x:f>(MAX(K15:P15)-LARGE(K15:P15,2))*100</x:f>
        <x:v>34.01744251897158</x:v>
      </x:c>
      <x:c r="AT15" s="84" t="str">
        <x:f>IF(AS15&lt;5,"Oui","Non")</x:f>
        <x:v>Non</x:v>
      </x:c>
      <x:c r="AU15" s="89" t="n">
        <x:v>-1.8141804342940993</x:v>
      </x:c>
      <x:c r="AV15" s="89" t="n">
        <x:v>-1.5928150677761184</x:v>
      </x:c>
      <x:c r="AW15" s="89" t="n">
        <x:v>-0.4193951037861049</x:v>
      </x:c>
      <x:c r="AX15" s="90" t="n">
        <x:v>3.191176163842449</x:v>
      </x:c>
    </x:row>
    <x:row r="16">
      <x:c r="A16" s="83" t="str">
        <x:v>Bonaventure</x:v>
      </x:c>
      <x:c r="B16" s="84" t="str">
        <x:v>Reste du Québec</x:v>
      </x:c>
      <x:c r="C16" s="84" t="str">
        <x:f>IF(MAX(D16:I16)=D16,"CAQ",IF(MAX(D16:I16)=E16,"PLQ",IF(MAX(D16:I16)=F16,"QS",IF(MAX(D16:I16)=G16,"PQ",IF(MAX(D16:I16)=H16,"PCQ","Autre")))))</x:f>
        <x:v>CAQ</x:v>
      </x:c>
      <x:c r="D16" s="85" t="n">
        <x:v>19738</x:v>
      </x:c>
      <x:c r="E16" s="85" t="n">
        <x:v>3803</x:v>
      </x:c>
      <x:c r="F16" s="85" t="n">
        <x:v>4810</x:v>
      </x:c>
      <x:c r="G16" s="85" t="n">
        <x:v>13348</x:v>
      </x:c>
      <x:c r="H16" s="85" t="n">
        <x:v>2426</x:v>
      </x:c>
      <x:c r="I16" s="85" t="n">
        <x:v>276</x:v>
      </x:c>
      <x:c r="J16" s="86" t="n">
        <x:f>SUM(D16:I16)</x:f>
        <x:v>44401</x:v>
      </x:c>
      <x:c r="K16" s="87" t="n">
        <x:f>IFERROR(D16/J16,0)</x:f>
        <x:v>0.44453953739780633</x:v>
      </x:c>
      <x:c r="L16" s="87" t="n">
        <x:f>IFERROR(E16/J16,0)</x:f>
        <x:v>0.08565122407152992</x:v>
      </x:c>
      <x:c r="M16" s="87" t="n">
        <x:f>IFERROR(F16/J16,0)</x:f>
        <x:v>0.10833089344834576</x:v>
      </x:c>
      <x:c r="N16" s="87" t="n">
        <x:f>IFERROR(G16/J16,0)</x:f>
        <x:v>0.30062385982297696</x:v>
      </x:c>
      <x:c r="O16" s="87" t="n">
        <x:f>IFERROR(H16/J16,0)</x:f>
        <x:v>0.05463840904484133</x:v>
      </x:c>
      <x:c r="P16" s="87" t="n">
        <x:f>IFERROR(I16/J16,0)</x:f>
        <x:v>0.006216076214499673</x:v>
      </x:c>
      <x:c r="Q16" s="86" t="n">
        <x:f>D16*INDEX('Régions'!$T$2:$Y$6,MATCH($B16,'Régions'!$A$2:$A$6,0),1)</x:f>
        <x:v>11651.121541384413</x:v>
      </x:c>
      <x:c r="R16" s="86" t="n">
        <x:f>E16*INDEX('Régions'!$T$2:$Y$6,MATCH($B16,'Régions'!$A$2:$A$6,0),2)</x:f>
        <x:v>8702.223674094885</x:v>
      </x:c>
      <x:c r="S16" s="86" t="n">
        <x:f>F16*INDEX('Régions'!$T$2:$Y$6,MATCH($B16,'Régions'!$A$2:$A$6,0),3)</x:f>
        <x:v>2888.446304956458</x:v>
      </x:c>
      <x:c r="T16" s="86" t="n">
        <x:f>G16*INDEX('Régions'!$T$2:$Y$6,MATCH($B16,'Régions'!$A$2:$A$6,0),4)</x:f>
        <x:v>23122.624870846437</x:v>
      </x:c>
      <x:c r="U16" s="86" t="n">
        <x:f>H16*INDEX('Régions'!$T$2:$Y$6,MATCH($B16,'Régions'!$A$2:$A$6,0),5)</x:f>
        <x:v>2734.9274191542713</x:v>
      </x:c>
      <x:c r="V16" s="86" t="n">
        <x:f>I16*INDEX('Régions'!$T$2:$Y$6,MATCH($B16,'Régions'!$A$2:$A$6,0),6)</x:f>
        <x:v>640.7506585871472</x:v>
      </x:c>
      <x:c r="W16" s="86" t="n">
        <x:f>MAX(0,Q16+(AU16/100)*J16*'Régions'!$O$2)</x:f>
        <x:v>16642.0776530819</x:v>
      </x:c>
      <x:c r="X16" s="86" t="n">
        <x:f>MAX(0,R16+(AV16/100)*J16*'Régions'!$O$2)</x:f>
        <x:v>7768.820319406324</x:v>
      </x:c>
      <x:c r="Y16" s="86" t="n">
        <x:f>MAX(0,S16+(AW16/100)*J16*'Régions'!$O$2)</x:f>
        <x:v>2211.366985866219</x:v>
      </x:c>
      <x:c r="Z16" s="86" t="n">
        <x:f>MAX(0,T16+(AX16/100)*J16*'Régions'!$O$2)</x:f>
        <x:v>21946.917851512106</x:v>
      </x:c>
      <x:c r="AA16" s="86" t="n">
        <x:f>U16</x:f>
        <x:v>2734.9274191542713</x:v>
      </x:c>
      <x:c r="AB16" s="86" t="n">
        <x:f>V16</x:f>
        <x:v>640.7506585871472</x:v>
      </x:c>
      <x:c r="AC16" s="86" t="n">
        <x:f>D16*INDEX('Régions'!$Z$2:$AE$6,MATCH($B16,'Régions'!$A$2:$A$6,0),1)</x:f>
        <x:v>13024.289437333293</x:v>
      </x:c>
      <x:c r="AD16" s="86" t="n">
        <x:f>E16*INDEX('Régions'!$Z$2:$AE$6,MATCH($B16,'Régions'!$A$2:$A$6,0),2)</x:f>
        <x:v>10497.057306876955</x:v>
      </x:c>
      <x:c r="AE16" s="86" t="n">
        <x:f>F16*INDEX('Régions'!$Z$2:$AE$6,MATCH($B16,'Régions'!$A$2:$A$6,0),3)</x:f>
        <x:v>4079.9304057509967</x:v>
      </x:c>
      <x:c r="AF16" s="86" t="n">
        <x:f>G16*INDEX('Régions'!$Z$2:$AE$6,MATCH($B16,'Régions'!$A$2:$A$6,0),4)</x:f>
        <x:v>25753.82011477034</x:v>
      </x:c>
      <x:c r="AG16" s="86" t="n">
        <x:f>H16*INDEX('Régions'!$Z$2:$AE$6,MATCH($B16,'Régions'!$A$2:$A$6,0),5)</x:f>
        <x:v>3265.8250946371595</x:v>
      </x:c>
      <x:c r="AH16" s="86" t="n">
        <x:f>I16*INDEX('Régions'!$Z$2:$AE$6,MATCH($B16,'Régions'!$A$2:$A$6,0),6)</x:f>
        <x:v>2755.227831924733</x:v>
      </x:c>
      <x:c r="AI16" s="86" t="n">
        <x:f>D16*INDEX('Régions'!$AF$2:$AK$6,MATCH($B16,'Régions'!$A$2:$A$6,0),1)</x:f>
        <x:v>10277.953645435537</x:v>
      </x:c>
      <x:c r="AJ16" s="86" t="n">
        <x:f>E16*INDEX('Régions'!$AF$2:$AK$6,MATCH($B16,'Régions'!$A$2:$A$6,0),2)</x:f>
        <x:v>6907.390041312815</x:v>
      </x:c>
      <x:c r="AK16" s="86" t="n">
        <x:f>F16*INDEX('Régions'!$AF$2:$AK$6,MATCH($B16,'Régions'!$A$2:$A$6,0),3)</x:f>
        <x:v>1696.9622041619189</x:v>
      </x:c>
      <x:c r="AL16" s="86" t="n">
        <x:f>G16*INDEX('Régions'!$AF$2:$AK$6,MATCH($B16,'Régions'!$A$2:$A$6,0),4)</x:f>
        <x:v>20491.429626922534</x:v>
      </x:c>
      <x:c r="AM16" s="86" t="n">
        <x:f>H16*INDEX('Régions'!$AF$2:$AK$6,MATCH($B16,'Régions'!$A$2:$A$6,0),5)</x:f>
        <x:v>2204.029743671383</x:v>
      </x:c>
      <x:c r="AN16" s="86" t="n">
        <x:f>I16*INDEX('Régions'!$AF$2:$AK$6,MATCH($B16,'Régions'!$A$2:$A$6,0),6)</x:f>
        <x:v>0</x:v>
      </x:c>
      <x:c r="AO16" s="84" t="str">
        <x:f>IF(MAX(Q16:V16)=Q16,"CAQ",IF(MAX(Q16:V16)=R16,"PLQ",IF(MAX(Q16:V16)=S16,"QS",IF(MAX(Q16:V16)=T16,"PQ",IF(MAX(Q16:V16)=U16,"PCQ","Autre")))))</x:f>
        <x:v>PQ</x:v>
      </x:c>
      <x:c r="AP16" s="84" t="str">
        <x:f>IF(MAX(W16:AB16)=W16,"CAQ",IF(MAX(W16:AB16)=X16,"PLQ",IF(MAX(W16:AB16)=Y16,"QS",IF(MAX(W16:AB16)=Z16,"PQ",IF(MAX(W16:AB16)=AA16,"PCQ","Autre")))))</x:f>
        <x:v>PQ</x:v>
      </x:c>
      <x:c r="AQ16" s="84" t="str">
        <x:f>IF(MAX(AC16:AH16)=AC16,"CAQ",IF(MAX(AC16:AH16)=AD16,"PLQ",IF(MAX(AC16:AH16)=AE16,"QS",IF(MAX(AC16:AH16)=AF16,"PQ",IF(MAX(AC16:AH16)=AG16,"PCQ","Autre")))))</x:f>
        <x:v>PQ</x:v>
      </x:c>
      <x:c r="AR16" s="84" t="str">
        <x:f>IF(MAX(AI16:AN16)=AI16,"CAQ",IF(MAX(AI16:AN16)=AJ16,"PLQ",IF(MAX(AI16:AN16)=AK16,"QS",IF(MAX(AI16:AN16)=AL16,"PQ",IF(MAX(AI16:AN16)=AM16,"PCQ","Autre")))))</x:f>
        <x:v>PQ</x:v>
      </x:c>
      <x:c r="AS16" s="88" t="n">
        <x:f>(MAX(K16:P16)-LARGE(K16:P16,2))*100</x:f>
        <x:v>14.391567757482937</x:v>
      </x:c>
      <x:c r="AT16" s="84" t="str">
        <x:f>IF(AS16&lt;5,"Oui","Non")</x:f>
        <x:v>Non</x:v>
      </x:c>
      <x:c r="AU16" s="89" t="n">
        <x:v>22.481277951836613</x:v>
      </x:c>
      <x:c r="AV16" s="89" t="n">
        <x:v>-4.204424921459249</x:v>
      </x:c>
      <x:c r="AW16" s="89" t="n">
        <x:v>-3.0498381527003406</x:v>
      </x:c>
      <x:c r="AX16" s="90" t="n">
        <x:v>-5.295858288481487</x:v>
      </x:c>
    </x:row>
    <x:row r="17">
      <x:c r="A17" s="83" t="str">
        <x:v>Borduas</x:v>
      </x:c>
      <x:c r="B17" s="84" t="str">
        <x:v>Banlieue de Montréal</x:v>
      </x:c>
      <x:c r="C17" s="84" t="str">
        <x:f>IF(MAX(D17:I17)=D17,"CAQ",IF(MAX(D17:I17)=E17,"PLQ",IF(MAX(D17:I17)=F17,"QS",IF(MAX(D17:I17)=G17,"PQ",IF(MAX(D17:I17)=H17,"PCQ","Autre")))))</x:f>
        <x:v>CAQ</x:v>
      </x:c>
      <x:c r="D17" s="85" t="n">
        <x:v>44300</x:v>
      </x:c>
      <x:c r="E17" s="85" t="n">
        <x:v>4527</x:v>
      </x:c>
      <x:c r="F17" s="85" t="n">
        <x:v>13092</x:v>
      </x:c>
      <x:c r="G17" s="85" t="n">
        <x:v>17730</x:v>
      </x:c>
      <x:c r="H17" s="85" t="n">
        <x:v>6534</x:v>
      </x:c>
      <x:c r="I17" s="85" t="n">
        <x:v>294</x:v>
      </x:c>
      <x:c r="J17" s="86" t="n">
        <x:f>SUM(D17:I17)</x:f>
        <x:v>86477</x:v>
      </x:c>
      <x:c r="K17" s="87" t="n">
        <x:f>IFERROR(D17/J17,0)</x:f>
        <x:v>0.5122749401574985</x:v>
      </x:c>
      <x:c r="L17" s="87" t="n">
        <x:f>IFERROR(E17/J17,0)</x:f>
        <x:v>0.05234917955063196</x:v>
      </x:c>
      <x:c r="M17" s="87" t="n">
        <x:f>IFERROR(F17/J17,0)</x:f>
        <x:v>0.15139285590388196</x:v>
      </x:c>
      <x:c r="N17" s="87" t="n">
        <x:f>IFERROR(G17/J17,0)</x:f>
        <x:v>0.20502561374700787</x:v>
      </x:c>
      <x:c r="O17" s="87" t="n">
        <x:f>IFERROR(H17/J17,0)</x:f>
        <x:v>0.07555766273113082</x:v>
      </x:c>
      <x:c r="P17" s="87" t="n">
        <x:f>IFERROR(I17/J17,0)</x:f>
        <x:v>0.0033997479098488615</x:v>
      </x:c>
      <x:c r="Q17" s="86" t="n">
        <x:f>D17*INDEX('Régions'!$T$2:$Y$6,MATCH($B17,'Régions'!$A$2:$A$6,0),1)</x:f>
        <x:v>31319.625412596575</x:v>
      </x:c>
      <x:c r="R17" s="86" t="n">
        <x:f>E17*INDEX('Régions'!$T$2:$Y$6,MATCH($B17,'Régions'!$A$2:$A$6,0),2)</x:f>
        <x:v>5791.2081625530045</x:v>
      </x:c>
      <x:c r="S17" s="86" t="n">
        <x:f>F17*INDEX('Régions'!$T$2:$Y$6,MATCH($B17,'Régions'!$A$2:$A$6,0),3)</x:f>
        <x:v>6612.817939876569</x:v>
      </x:c>
      <x:c r="T17" s="86" t="n">
        <x:f>G17*INDEX('Régions'!$T$2:$Y$6,MATCH($B17,'Régions'!$A$2:$A$6,0),4)</x:f>
        <x:v>33059.36344987685</x:v>
      </x:c>
      <x:c r="U17" s="86" t="n">
        <x:f>H17*INDEX('Régions'!$T$2:$Y$6,MATCH($B17,'Régions'!$A$2:$A$6,0),5)</x:f>
        <x:v>7646.971567263578</x:v>
      </x:c>
      <x:c r="V17" s="86" t="n">
        <x:f>I17*INDEX('Régions'!$T$2:$Y$6,MATCH($B17,'Régions'!$A$2:$A$6,0),6)</x:f>
        <x:v>631.2311706775268</x:v>
      </x:c>
      <x:c r="W17" s="86" t="n">
        <x:f>MAX(0,Q17+(AU17/100)*J17*'Régions'!$O$2)</x:f>
        <x:v>31516.387762226535</x:v>
      </x:c>
      <x:c r="X17" s="86" t="n">
        <x:f>MAX(0,R17+(AV17/100)*J17*'Régions'!$O$2)</x:f>
        <x:v>5876.540452245641</x:v>
      </x:c>
      <x:c r="Y17" s="86" t="n">
        <x:f>MAX(0,S17+(AW17/100)*J17*'Régions'!$O$2)</x:f>
        <x:v>6697.838202381176</x:v>
      </x:c>
      <x:c r="Z17" s="86" t="n">
        <x:f>MAX(0,T17+(AX17/100)*J17*'Régions'!$O$2)</x:f>
        <x:v>33677.7164153516</x:v>
      </x:c>
      <x:c r="AA17" s="86" t="n">
        <x:f>U17</x:f>
        <x:v>7646.971567263578</x:v>
      </x:c>
      <x:c r="AB17" s="86" t="n">
        <x:f>V17</x:f>
        <x:v>631.2311706775268</x:v>
      </x:c>
      <x:c r="AC17" s="86" t="n">
        <x:f>D17*INDEX('Régions'!$Z$2:$AE$6,MATCH($B17,'Régions'!$A$2:$A$6,0),1)</x:f>
        <x:v>34549.4617832706</x:v>
      </x:c>
      <x:c r="AD17" s="86" t="n">
        <x:f>E17*INDEX('Régions'!$Z$2:$AE$6,MATCH($B17,'Régions'!$A$2:$A$6,0),2)</x:f>
        <x:v>6852.929659021055</x:v>
      </x:c>
      <x:c r="AE17" s="86" t="n">
        <x:f>F17*INDEX('Régions'!$Z$2:$AE$6,MATCH($B17,'Régions'!$A$2:$A$6,0),3)</x:f>
        <x:v>9730.289254389809</x:v>
      </x:c>
      <x:c r="AF17" s="86" t="n">
        <x:f>G17*INDEX('Régions'!$Z$2:$AE$6,MATCH($B17,'Régions'!$A$2:$A$6,0),4)</x:f>
        <x:v>36695.8934293633</x:v>
      </x:c>
      <x:c r="AG17" s="86" t="n">
        <x:f>H17*INDEX('Régions'!$Z$2:$AE$6,MATCH($B17,'Régions'!$A$2:$A$6,0),5)</x:f>
        <x:v>9749.888748261064</x:v>
      </x:c>
      <x:c r="AH17" s="86" t="n">
        <x:f>I17*INDEX('Régions'!$Z$2:$AE$6,MATCH($B17,'Régions'!$A$2:$A$6,0),6)</x:f>
        <x:v>2714.294033913365</x:v>
      </x:c>
      <x:c r="AI17" s="86" t="n">
        <x:f>D17*INDEX('Régions'!$AF$2:$AK$6,MATCH($B17,'Régions'!$A$2:$A$6,0),1)</x:f>
        <x:v>28089.789041922555</x:v>
      </x:c>
      <x:c r="AJ17" s="86" t="n">
        <x:f>E17*INDEX('Régions'!$AF$2:$AK$6,MATCH($B17,'Régions'!$A$2:$A$6,0),2)</x:f>
        <x:v>4729.486666084954</x:v>
      </x:c>
      <x:c r="AK17" s="86" t="n">
        <x:f>F17*INDEX('Régions'!$AF$2:$AK$6,MATCH($B17,'Régions'!$A$2:$A$6,0),3)</x:f>
        <x:v>3495.3466253633296</x:v>
      </x:c>
      <x:c r="AL17" s="86" t="n">
        <x:f>G17*INDEX('Régions'!$AF$2:$AK$6,MATCH($B17,'Régions'!$A$2:$A$6,0),4)</x:f>
        <x:v>29422.8334703904</x:v>
      </x:c>
      <x:c r="AM17" s="86" t="n">
        <x:f>H17*INDEX('Régions'!$AF$2:$AK$6,MATCH($B17,'Régions'!$A$2:$A$6,0),5)</x:f>
        <x:v>5544.054386266094</x:v>
      </x:c>
      <x:c r="AN17" s="86" t="n">
        <x:f>I17*INDEX('Régions'!$AF$2:$AK$6,MATCH($B17,'Régions'!$A$2:$A$6,0),6)</x:f>
        <x:v>0</x:v>
      </x:c>
      <x:c r="AO17" s="84" t="str">
        <x:f>IF(MAX(Q17:V17)=Q17,"CAQ",IF(MAX(Q17:V17)=R17,"PLQ",IF(MAX(Q17:V17)=S17,"QS",IF(MAX(Q17:V17)=T17,"PQ",IF(MAX(Q17:V17)=U17,"PCQ","Autre")))))</x:f>
        <x:v>PQ</x:v>
      </x:c>
      <x:c r="AP17" s="84" t="str">
        <x:f>IF(MAX(W17:AB17)=W17,"CAQ",IF(MAX(W17:AB17)=X17,"PLQ",IF(MAX(W17:AB17)=Y17,"QS",IF(MAX(W17:AB17)=Z17,"PQ",IF(MAX(W17:AB17)=AA17,"PCQ","Autre")))))</x:f>
        <x:v>PQ</x:v>
      </x:c>
      <x:c r="AQ17" s="84" t="str">
        <x:f>IF(MAX(AC17:AH17)=AC17,"CAQ",IF(MAX(AC17:AH17)=AD17,"PLQ",IF(MAX(AC17:AH17)=AE17,"QS",IF(MAX(AC17:AH17)=AF17,"PQ",IF(MAX(AC17:AH17)=AG17,"PCQ","Autre")))))</x:f>
        <x:v>PQ</x:v>
      </x:c>
      <x:c r="AR17" s="84" t="str">
        <x:f>IF(MAX(AI17:AN17)=AI17,"CAQ",IF(MAX(AI17:AN17)=AJ17,"PLQ",IF(MAX(AI17:AN17)=AK17,"QS",IF(MAX(AI17:AN17)=AL17,"PQ",IF(MAX(AI17:AN17)=AM17,"PCQ","Autre")))))</x:f>
        <x:v>PQ</x:v>
      </x:c>
      <x:c r="AS17" s="88" t="n">
        <x:f>(MAX(K17:P17)-LARGE(K17:P17,2))*100</x:f>
        <x:v>30.72493264104906</x:v>
      </x:c>
      <x:c r="AT17" s="84" t="str">
        <x:f>IF(AS17&lt;5,"Oui","Non")</x:f>
        <x:v>Non</x:v>
      </x:c>
      <x:c r="AU17" s="89" t="n">
        <x:v>0.4550628482254515</x:v>
      </x:c>
      <x:c r="AV17" s="89" t="n">
        <x:v>0.19735256702391804</x:v>
      </x:c>
      <x:c r="AW17" s="89" t="n">
        <x:v>0.19663092499649093</x:v>
      </x:c>
      <x:c r="AX17" s="90" t="n">
        <x:v>1.4300980965453207</x:v>
      </x:c>
    </x:row>
    <x:row r="18">
      <x:c r="A18" s="83" t="str">
        <x:v>Bourassa-Sauvé</x:v>
      </x:c>
      <x:c r="B18" s="84" t="str">
        <x:v>Île de Montréal</x:v>
      </x:c>
      <x:c r="C18" s="84" t="str">
        <x:f>IF(MAX(D18:I18)=D18,"CAQ",IF(MAX(D18:I18)=E18,"PLQ",IF(MAX(D18:I18)=F18,"QS",IF(MAX(D18:I18)=G18,"PQ",IF(MAX(D18:I18)=H18,"PCQ","Autre")))))</x:f>
        <x:v>PLQ</x:v>
      </x:c>
      <x:c r="D18" s="85" t="n">
        <x:v>11531</x:v>
      </x:c>
      <x:c r="E18" s="85" t="n">
        <x:v>18499</x:v>
      </x:c>
      <x:c r="F18" s="85" t="n">
        <x:v>7124</x:v>
      </x:c>
      <x:c r="G18" s="85" t="n">
        <x:v>4512</x:v>
      </x:c>
      <x:c r="H18" s="85" t="n">
        <x:v>4120</x:v>
      </x:c>
      <x:c r="I18" s="85" t="n">
        <x:v>312</x:v>
      </x:c>
      <x:c r="J18" s="86" t="n">
        <x:f>SUM(D18:I18)</x:f>
        <x:v>46098</x:v>
      </x:c>
      <x:c r="K18" s="87" t="n">
        <x:f>IFERROR(D18/J18,0)</x:f>
        <x:v>0.25014100394811056</x:v>
      </x:c>
      <x:c r="L18" s="87" t="n">
        <x:f>IFERROR(E18/J18,0)</x:f>
        <x:v>0.40129723632261705</x:v>
      </x:c>
      <x:c r="M18" s="87" t="n">
        <x:f>IFERROR(F18/J18,0)</x:f>
        <x:v>0.1545403271291596</x:v>
      </x:c>
      <x:c r="N18" s="87" t="n">
        <x:f>IFERROR(G18/J18,0)</x:f>
        <x:v>0.09787843290381361</x:v>
      </x:c>
      <x:c r="O18" s="87" t="n">
        <x:f>IFERROR(H18/J18,0)</x:f>
        <x:v>0.08937481018699293</x:v>
      </x:c>
      <x:c r="P18" s="87" t="n">
        <x:f>IFERROR(I18/J18,0)</x:f>
        <x:v>0.00676818950930626</x:v>
      </x:c>
      <x:c r="Q18" s="86" t="n">
        <x:f>D18*INDEX('Régions'!$T$2:$Y$6,MATCH($B18,'Régions'!$A$2:$A$6,0),1)</x:f>
        <x:v>8636.57558769541</x:v>
      </x:c>
      <x:c r="R18" s="86" t="n">
        <x:f>E18*INDEX('Régions'!$T$2:$Y$6,MATCH($B18,'Régions'!$A$2:$A$6,0),2)</x:f>
        <x:v>18432.53435862703</x:v>
      </x:c>
      <x:c r="S18" s="86" t="n">
        <x:f>F18*INDEX('Régions'!$T$2:$Y$6,MATCH($B18,'Régions'!$A$2:$A$6,0),3)</x:f>
        <x:v>5491.079546770915</x:v>
      </x:c>
      <x:c r="T18" s="86" t="n">
        <x:f>G18*INDEX('Régions'!$T$2:$Y$6,MATCH($B18,'Régions'!$A$2:$A$6,0),4)</x:f>
        <x:v>8729.003302556963</x:v>
      </x:c>
      <x:c r="U18" s="86" t="n">
        <x:f>H18*INDEX('Régions'!$T$2:$Y$6,MATCH($B18,'Régions'!$A$2:$A$6,0),5)</x:f>
        <x:v>3283.8986190623796</x:v>
      </x:c>
      <x:c r="V18" s="86" t="n">
        <x:f>I18*INDEX('Régions'!$T$2:$Y$6,MATCH($B18,'Régions'!$A$2:$A$6,0),6)</x:f>
        <x:v>461.3452302492607</x:v>
      </x:c>
      <x:c r="W18" s="86" t="n">
        <x:f>MAX(0,Q18+(AU18/100)*J18*'Régions'!$O$2)</x:f>
        <x:v>8566.80603689772</x:v>
      </x:c>
      <x:c r="X18" s="86" t="n">
        <x:f>MAX(0,R18+(AV18/100)*J18*'Régions'!$O$2)</x:f>
        <x:v>18912.530923753628</x:v>
      </x:c>
      <x:c r="Y18" s="86" t="n">
        <x:f>MAX(0,S18+(AW18/100)*J18*'Régions'!$O$2)</x:f>
        <x:v>5718.631555631887</x:v>
      </x:c>
      <x:c r="Z18" s="86" t="n">
        <x:f>MAX(0,T18+(AX18/100)*J18*'Régions'!$O$2)</x:f>
        <x:v>8696.345343069635</x:v>
      </x:c>
      <x:c r="AA18" s="86" t="n">
        <x:f>U18</x:f>
        <x:v>3283.8986190623796</x:v>
      </x:c>
      <x:c r="AB18" s="86" t="n">
        <x:f>V18</x:f>
        <x:v>461.3452302492607</x:v>
      </x:c>
      <x:c r="AC18" s="86" t="n">
        <x:f>D18*INDEX('Régions'!$Z$2:$AE$6,MATCH($B18,'Régions'!$A$2:$A$6,0),1)</x:f>
        <x:v>10536.6222169884</x:v>
      </x:c>
      <x:c r="AD18" s="86" t="n">
        <x:f>E18*INDEX('Régions'!$Z$2:$AE$6,MATCH($B18,'Régions'!$A$2:$A$6,0),2)</x:f>
        <x:v>20221.57445814083</x:v>
      </x:c>
      <x:c r="AE18" s="86" t="n">
        <x:f>F18*INDEX('Régions'!$Z$2:$AE$6,MATCH($B18,'Régions'!$A$2:$A$6,0),3)</x:f>
        <x:v>6556.994988202917</x:v>
      </x:c>
      <x:c r="AF18" s="86" t="n">
        <x:f>G18*INDEX('Régions'!$Z$2:$AE$6,MATCH($B18,'Régions'!$A$2:$A$6,0),4)</x:f>
        <x:v>9929.241256658546</x:v>
      </x:c>
      <x:c r="AG18" s="86" t="n">
        <x:f>H18*INDEX('Régions'!$Z$2:$AE$6,MATCH($B18,'Régions'!$A$2:$A$6,0),5)</x:f>
        <x:v>4638.5067994256115</x:v>
      </x:c>
      <x:c r="AH18" s="86" t="n">
        <x:f>I18*INDEX('Régions'!$Z$2:$AE$6,MATCH($B18,'Régions'!$A$2:$A$6,0),6)</x:f>
        <x:v>1222.5648601605408</x:v>
      </x:c>
      <x:c r="AI18" s="86" t="n">
        <x:f>D18*INDEX('Régions'!$AF$2:$AK$6,MATCH($B18,'Régions'!$A$2:$A$6,0),1)</x:f>
        <x:v>6736.52895840242</x:v>
      </x:c>
      <x:c r="AJ18" s="86" t="n">
        <x:f>E18*INDEX('Régions'!$AF$2:$AK$6,MATCH($B18,'Régions'!$A$2:$A$6,0),2)</x:f>
        <x:v>16643.494259113228</x:v>
      </x:c>
      <x:c r="AK18" s="86" t="n">
        <x:f>F18*INDEX('Régions'!$AF$2:$AK$6,MATCH($B18,'Régions'!$A$2:$A$6,0),3)</x:f>
        <x:v>4425.164105338914</x:v>
      </x:c>
      <x:c r="AL18" s="86" t="n">
        <x:f>G18*INDEX('Régions'!$AF$2:$AK$6,MATCH($B18,'Régions'!$A$2:$A$6,0),4)</x:f>
        <x:v>7528.76534845538</x:v>
      </x:c>
      <x:c r="AM18" s="86" t="n">
        <x:f>H18*INDEX('Régions'!$AF$2:$AK$6,MATCH($B18,'Régions'!$A$2:$A$6,0),5)</x:f>
        <x:v>1929.2904386991481</x:v>
      </x:c>
      <x:c r="AN18" s="86" t="n">
        <x:f>I18*INDEX('Régions'!$AF$2:$AK$6,MATCH($B18,'Régions'!$A$2:$A$6,0),6)</x:f>
        <x:v>0</x:v>
      </x:c>
      <x:c r="AO18" s="84" t="str">
        <x:f>IF(MAX(Q18:V18)=Q18,"CAQ",IF(MAX(Q18:V18)=R18,"PLQ",IF(MAX(Q18:V18)=S18,"QS",IF(MAX(Q18:V18)=T18,"PQ",IF(MAX(Q18:V18)=U18,"PCQ","Autre")))))</x:f>
        <x:v>PLQ</x:v>
      </x:c>
      <x:c r="AP18" s="84" t="str">
        <x:f>IF(MAX(W18:AB18)=W18,"CAQ",IF(MAX(W18:AB18)=X18,"PLQ",IF(MAX(W18:AB18)=Y18,"QS",IF(MAX(W18:AB18)=Z18,"PQ",IF(MAX(W18:AB18)=AA18,"PCQ","Autre")))))</x:f>
        <x:v>PLQ</x:v>
      </x:c>
      <x:c r="AQ18" s="84" t="str">
        <x:f>IF(MAX(AC18:AH18)=AC18,"CAQ",IF(MAX(AC18:AH18)=AD18,"PLQ",IF(MAX(AC18:AH18)=AE18,"QS",IF(MAX(AC18:AH18)=AF18,"PQ",IF(MAX(AC18:AH18)=AG18,"PCQ","Autre")))))</x:f>
        <x:v>PLQ</x:v>
      </x:c>
      <x:c r="AR18" s="84" t="str">
        <x:f>IF(MAX(AI18:AN18)=AI18,"CAQ",IF(MAX(AI18:AN18)=AJ18,"PLQ",IF(MAX(AI18:AN18)=AK18,"QS",IF(MAX(AI18:AN18)=AL18,"PQ",IF(MAX(AI18:AN18)=AM18,"PCQ","Autre")))))</x:f>
        <x:v>PLQ</x:v>
      </x:c>
      <x:c r="AS18" s="88" t="n">
        <x:f>(MAX(K18:P18)-LARGE(K18:P18,2))*100</x:f>
        <x:v>15.115623237450649</x:v>
      </x:c>
      <x:c r="AT18" s="84" t="str">
        <x:f>IF(AS18&lt;5,"Oui","Non")</x:f>
        <x:v>Non</x:v>
      </x:c>
      <x:c r="AU18" s="89" t="n">
        <x:v>-0.3027009883191878</x:v>
      </x:c>
      <x:c r="AV18" s="89" t="n">
        <x:v>2.082504946533903</x:v>
      </x:c>
      <x:c r="AW18" s="89" t="n">
        <x:v>0.9872532815348695</x:v>
      </x:c>
      <x:c r="AX18" s="90" t="n">
        <x:v>-0.14168926845992275</x:v>
      </x:c>
    </x:row>
    <x:row r="19">
      <x:c r="A19" s="83" t="str">
        <x:v>Brome-Missisquoi</x:v>
      </x:c>
      <x:c r="B19" s="84" t="str">
        <x:v>Banlieue de Montréal</x:v>
      </x:c>
      <x:c r="C19" s="84" t="str">
        <x:f>IF(MAX(D19:I19)=D19,"CAQ",IF(MAX(D19:I19)=E19,"PLQ",IF(MAX(D19:I19)=F19,"QS",IF(MAX(D19:I19)=G19,"PQ",IF(MAX(D19:I19)=H19,"PCQ","Autre")))))</x:f>
        <x:v>CAQ</x:v>
      </x:c>
      <x:c r="D19" s="85" t="n">
        <x:v>35292</x:v>
      </x:c>
      <x:c r="E19" s="85" t="n">
        <x:v>9166</x:v>
      </x:c>
      <x:c r="F19" s="85" t="n">
        <x:v>12243</x:v>
      </x:c>
      <x:c r="G19" s="85" t="n">
        <x:v>10027</x:v>
      </x:c>
      <x:c r="H19" s="85" t="n">
        <x:v>9463</x:v>
      </x:c>
      <x:c r="I19" s="85" t="n">
        <x:v>747</x:v>
      </x:c>
      <x:c r="J19" s="86" t="n">
        <x:f>SUM(D19:I19)</x:f>
        <x:v>76938</x:v>
      </x:c>
      <x:c r="K19" s="87" t="n">
        <x:f>IFERROR(D19/J19,0)</x:f>
        <x:v>0.45870701083989707</x:v>
      </x:c>
      <x:c r="L19" s="87" t="n">
        <x:f>IFERROR(E19/J19,0)</x:f>
        <x:v>0.11913488783176064</x:v>
      </x:c>
      <x:c r="M19" s="87" t="n">
        <x:f>IFERROR(F19/J19,0)</x:f>
        <x:v>0.15912812914294627</x:v>
      </x:c>
      <x:c r="N19" s="87" t="n">
        <x:f>IFERROR(G19/J19,0)</x:f>
        <x:v>0.13032571681093869</x:v>
      </x:c>
      <x:c r="O19" s="87" t="n">
        <x:f>IFERROR(H19/J19,0)</x:f>
        <x:v>0.12299513894304505</x:v>
      </x:c>
      <x:c r="P19" s="87" t="n">
        <x:f>IFERROR(I19/J19,0)</x:f>
        <x:v>0.009709116431412305</x:v>
      </x:c>
      <x:c r="Q19" s="86" t="n">
        <x:f>D19*INDEX('Régions'!$T$2:$Y$6,MATCH($B19,'Régions'!$A$2:$A$6,0),1)</x:f>
        <x:v>24951.065915606283</x:v>
      </x:c>
      <x:c r="R19" s="86" t="n">
        <x:f>E19*INDEX('Régions'!$T$2:$Y$6,MATCH($B19,'Régions'!$A$2:$A$6,0),2)</x:f>
        <x:v>11725.693399151942</x:v>
      </x:c>
      <x:c r="S19" s="86" t="n">
        <x:f>F19*INDEX('Régions'!$T$2:$Y$6,MATCH($B19,'Régions'!$A$2:$A$6,0),3)</x:f>
        <x:v>6183.984879155884</x:v>
      </x:c>
      <x:c r="T19" s="86" t="n">
        <x:f>G19*INDEX('Régions'!$T$2:$Y$6,MATCH($B19,'Régions'!$A$2:$A$6,0),4)</x:f>
        <x:v>18696.34728211592</x:v>
      </x:c>
      <x:c r="U19" s="86" t="n">
        <x:f>H19*INDEX('Régions'!$T$2:$Y$6,MATCH($B19,'Régions'!$A$2:$A$6,0),5)</x:f>
        <x:v>11074.883982402089</x:v>
      </x:c>
      <x:c r="V19" s="86" t="n">
        <x:f>I19*INDEX('Régions'!$T$2:$Y$6,MATCH($B19,'Régions'!$A$2:$A$6,0),6)</x:f>
        <x:v>1603.8424642724917</x:v>
      </x:c>
      <x:c r="W19" s="86" t="n">
        <x:f>MAX(0,Q19+(AU19/100)*J19*'Régions'!$O$2)</x:f>
        <x:v>24372.99859636541</x:v>
      </x:c>
      <x:c r="X19" s="86" t="n">
        <x:f>MAX(0,R19+(AV19/100)*J19*'Régions'!$O$2)</x:f>
        <x:v>9477.978555837246</x:v>
      </x:c>
      <x:c r="Y19" s="86" t="n">
        <x:f>MAX(0,S19+(AW19/100)*J19*'Régions'!$O$2)</x:f>
        <x:v>5928.248645120094</x:v>
      </x:c>
      <x:c r="Z19" s="86" t="n">
        <x:f>MAX(0,T19+(AX19/100)*J19*'Régions'!$O$2)</x:f>
        <x:v>20226.45214585711</x:v>
      </x:c>
      <x:c r="AA19" s="86" t="n">
        <x:f>U19</x:f>
        <x:v>11074.883982402089</x:v>
      </x:c>
      <x:c r="AB19" s="86" t="n">
        <x:f>V19</x:f>
        <x:v>1603.8424642724917</x:v>
      </x:c>
      <x:c r="AC19" s="86" t="n">
        <x:f>D19*INDEX('Régions'!$Z$2:$AE$6,MATCH($B19,'Régions'!$A$2:$A$6,0),1)</x:f>
        <x:v>27524.14458815318</x:v>
      </x:c>
      <x:c r="AD19" s="86" t="n">
        <x:f>E19*INDEX('Régions'!$Z$2:$AE$6,MATCH($B19,'Régions'!$A$2:$A$6,0),2)</x:f>
        <x:v>13875.40385566313</x:v>
      </x:c>
      <x:c r="AE19" s="86" t="n">
        <x:f>F19*INDEX('Régions'!$Z$2:$AE$6,MATCH($B19,'Régions'!$A$2:$A$6,0),3)</x:f>
        <x:v>9099.29203647223</x:v>
      </x:c>
      <x:c r="AF19" s="86" t="n">
        <x:f>G19*INDEX('Régions'!$Z$2:$AE$6,MATCH($B19,'Régions'!$A$2:$A$6,0),4)</x:f>
        <x:v>20752.945483148666</x:v>
      </x:c>
      <x:c r="AG19" s="86" t="n">
        <x:f>H19*INDEX('Régions'!$Z$2:$AE$6,MATCH($B19,'Régions'!$A$2:$A$6,0),5)</x:f>
        <x:v>14120.477077562664</x:v>
      </x:c>
      <x:c r="AH19" s="86" t="n">
        <x:f>I19*INDEX('Régions'!$Z$2:$AE$6,MATCH($B19,'Régions'!$A$2:$A$6,0),6)</x:f>
        <x:v>6896.522596371714</x:v>
      </x:c>
      <x:c r="AI19" s="86" t="n">
        <x:f>D19*INDEX('Régions'!$AF$2:$AK$6,MATCH($B19,'Régions'!$A$2:$A$6,0),1)</x:f>
        <x:v>22377.987243059386</x:v>
      </x:c>
      <x:c r="AJ19" s="86" t="n">
        <x:f>E19*INDEX('Régions'!$AF$2:$AK$6,MATCH($B19,'Régions'!$A$2:$A$6,0),2)</x:f>
        <x:v>9575.982942640752</x:v>
      </x:c>
      <x:c r="AK19" s="86" t="n">
        <x:f>F19*INDEX('Régions'!$AF$2:$AK$6,MATCH($B19,'Régions'!$A$2:$A$6,0),3)</x:f>
        <x:v>3268.677721839539</x:v>
      </x:c>
      <x:c r="AL19" s="86" t="n">
        <x:f>G19*INDEX('Régions'!$AF$2:$AK$6,MATCH($B19,'Régions'!$A$2:$A$6,0),4)</x:f>
        <x:v>16639.749081083166</x:v>
      </x:c>
      <x:c r="AM19" s="86" t="n">
        <x:f>H19*INDEX('Régions'!$AF$2:$AK$6,MATCH($B19,'Régions'!$A$2:$A$6,0),5)</x:f>
        <x:v>8029.290887241513</x:v>
      </x:c>
      <x:c r="AN19" s="86" t="n">
        <x:f>I19*INDEX('Régions'!$AF$2:$AK$6,MATCH($B19,'Régions'!$A$2:$A$6,0),6)</x:f>
        <x:v>0</x:v>
      </x:c>
      <x:c r="AO19" s="84" t="str">
        <x:f>IF(MAX(Q19:V19)=Q19,"CAQ",IF(MAX(Q19:V19)=R19,"PLQ",IF(MAX(Q19:V19)=S19,"QS",IF(MAX(Q19:V19)=T19,"PQ",IF(MAX(Q19:V19)=U19,"PCQ","Autre")))))</x:f>
        <x:v>CAQ</x:v>
      </x:c>
      <x:c r="AP19" s="84" t="str">
        <x:f>IF(MAX(W19:AB19)=W19,"CAQ",IF(MAX(W19:AB19)=X19,"PLQ",IF(MAX(W19:AB19)=Y19,"QS",IF(MAX(W19:AB19)=Z19,"PQ",IF(MAX(W19:AB19)=AA19,"PCQ","Autre")))))</x:f>
        <x:v>CAQ</x:v>
      </x:c>
      <x:c r="AQ19" s="84" t="str">
        <x:f>IF(MAX(AC19:AH19)=AC19,"CAQ",IF(MAX(AC19:AH19)=AD19,"PLQ",IF(MAX(AC19:AH19)=AE19,"QS",IF(MAX(AC19:AH19)=AF19,"PQ",IF(MAX(AC19:AH19)=AG19,"PCQ","Autre")))))</x:f>
        <x:v>CAQ</x:v>
      </x:c>
      <x:c r="AR19" s="84" t="str">
        <x:f>IF(MAX(AI19:AN19)=AI19,"CAQ",IF(MAX(AI19:AN19)=AJ19,"PLQ",IF(MAX(AI19:AN19)=AK19,"QS",IF(MAX(AI19:AN19)=AL19,"PQ",IF(MAX(AI19:AN19)=AM19,"PCQ","Autre")))))</x:f>
        <x:v>CAQ</x:v>
      </x:c>
      <x:c r="AS19" s="88" t="n">
        <x:f>(MAX(K19:P19)-LARGE(K19:P19,2))*100</x:f>
        <x:v>29.957888169695078</x:v>
      </x:c>
      <x:c r="AT19" s="84" t="str">
        <x:f>IF(AS19&lt;5,"Oui","Non")</x:f>
        <x:v>Non</x:v>
      </x:c>
      <x:c r="AU19" s="89" t="n">
        <x:v>-1.5026835094254343</x:v>
      </x:c>
      <x:c r="AV19" s="89" t="n">
        <x:v>-5.84292506515557</x:v>
      </x:c>
      <x:c r="AW19" s="89" t="n">
        <x:v>-0.6647852401564652</x:v>
      </x:c>
      <x:c r="AX19" s="90" t="n">
        <x:v>3.9775010105310535</x:v>
      </x:c>
    </x:row>
    <x:row r="20">
      <x:c r="A20" s="83" t="str">
        <x:v>Camille-Laurin</x:v>
      </x:c>
      <x:c r="B20" s="84" t="str">
        <x:v>Île de Montréal</x:v>
      </x:c>
      <x:c r="C20" s="84" t="str">
        <x:f>IF(MAX(D20:I20)=D20,"CAQ",IF(MAX(D20:I20)=E20,"PLQ",IF(MAX(D20:I20)=F20,"QS",IF(MAX(D20:I20)=G20,"PQ",IF(MAX(D20:I20)=H20,"PCQ","Autre")))))</x:f>
        <x:v>PQ</x:v>
      </x:c>
      <x:c r="D20" s="85" t="n">
        <x:v>18137</x:v>
      </x:c>
      <x:c r="E20" s="85" t="n">
        <x:v>9349</x:v>
      </x:c>
      <x:c r="F20" s="85" t="n">
        <x:v>0</x:v>
      </x:c>
      <x:c r="G20" s="85" t="n">
        <x:v>24935</x:v>
      </x:c>
      <x:c r="H20" s="85" t="n">
        <x:v>3699</x:v>
      </x:c>
      <x:c r="I20" s="85" t="n">
        <x:v>656</x:v>
      </x:c>
      <x:c r="J20" s="86" t="n">
        <x:f>SUM(D20:I20)</x:f>
        <x:v>56776</x:v>
      </x:c>
      <x:c r="K20" s="87" t="n">
        <x:f>IFERROR(D20/J20,0)</x:f>
        <x:v>0.3194483584613217</x:v>
      </x:c>
      <x:c r="L20" s="87" t="n">
        <x:f>IFERROR(E20/J20,0)</x:f>
        <x:v>0.164664647033958</x:v>
      </x:c>
      <x:c r="M20" s="87" t="n">
        <x:f>IFERROR(F20/J20,0)</x:f>
        <x:v>0</x:v>
      </x:c>
      <x:c r="N20" s="87" t="n">
        <x:f>IFERROR(G20/J20,0)</x:f>
        <x:v>0.4391820487529942</x:v>
      </x:c>
      <x:c r="O20" s="87" t="n">
        <x:f>IFERROR(H20/J20,0)</x:f>
        <x:v>0.06515076793011132</x:v>
      </x:c>
      <x:c r="P20" s="87" t="n">
        <x:f>IFERROR(I20/J20,0)</x:f>
        <x:v>0.011554177821614766</x:v>
      </x:c>
      <x:c r="Q20" s="86" t="n">
        <x:f>D20*INDEX('Régions'!$T$2:$Y$6,MATCH($B20,'Régions'!$A$2:$A$6,0),1)</x:f>
        <x:v>13584.38742815295</x:v>
      </x:c>
      <x:c r="R20" s="86" t="n">
        <x:f>E20*INDEX('Régions'!$T$2:$Y$6,MATCH($B20,'Régions'!$A$2:$A$6,0),2)</x:f>
        <x:v>9315.409682620902</x:v>
      </x:c>
      <x:c r="S20" s="86" t="n">
        <x:f>F20*INDEX('Régions'!$T$2:$Y$6,MATCH($B20,'Régions'!$A$2:$A$6,0),3)</x:f>
        <x:v>0</x:v>
      </x:c>
      <x:c r="T20" s="86" t="n">
        <x:f>G20*INDEX('Régions'!$T$2:$Y$6,MATCH($B20,'Régions'!$A$2:$A$6,0),4)</x:f>
        <x:v>48239.737887690135</x:v>
      </x:c>
      <x:c r="U20" s="86" t="n">
        <x:f>H20*INDEX('Régions'!$T$2:$Y$6,MATCH($B20,'Régions'!$A$2:$A$6,0),5)</x:f>
        <x:v>2948.3351922115876</x:v>
      </x:c>
      <x:c r="V20" s="86" t="n">
        <x:f>I20*INDEX('Régions'!$T$2:$Y$6,MATCH($B20,'Régions'!$A$2:$A$6,0),6)</x:f>
        <x:v>970.007920011266</x:v>
      </x:c>
      <x:c r="W20" s="86" t="n">
        <x:f>MAX(0,Q20+(AU20/100)*J20*'Régions'!$O$2)</x:f>
        <x:v>14305.00552934947</x:v>
      </x:c>
      <x:c r="X20" s="86" t="n">
        <x:f>MAX(0,R20+(AV20/100)*J20*'Régions'!$O$2)</x:f>
        <x:v>10934.916782254837</x:v>
      </x:c>
      <x:c r="Y20" s="86" t="n">
        <x:f>MAX(0,S20+(AW20/100)*J20*'Régions'!$O$2)</x:f>
        <x:v>0</x:v>
      </x:c>
      <x:c r="Z20" s="86" t="n">
        <x:f>MAX(0,T20+(AX20/100)*J20*'Régions'!$O$2)</x:f>
        <x:v>53208.7064094067</x:v>
      </x:c>
      <x:c r="AA20" s="86" t="n">
        <x:f>U20</x:f>
        <x:v>2948.3351922115876</x:v>
      </x:c>
      <x:c r="AB20" s="86" t="n">
        <x:f>V20</x:f>
        <x:v>970.007920011266</x:v>
      </x:c>
      <x:c r="AC20" s="86" t="n">
        <x:f>D20*INDEX('Régions'!$Z$2:$AE$6,MATCH($B20,'Régions'!$A$2:$A$6,0),1)</x:f>
        <x:v>16572.952662346597</x:v>
      </x:c>
      <x:c r="AD20" s="86" t="n">
        <x:f>E20*INDEX('Régions'!$Z$2:$AE$6,MATCH($B20,'Régions'!$A$2:$A$6,0),2)</x:f>
        <x:v>10219.552387110578</x:v>
      </x:c>
      <x:c r="AE20" s="86" t="n">
        <x:f>F20*INDEX('Régions'!$Z$2:$AE$6,MATCH($B20,'Régions'!$A$2:$A$6,0),3)</x:f>
        <x:v>0</x:v>
      </x:c>
      <x:c r="AF20" s="86" t="n">
        <x:f>G20*INDEX('Régions'!$Z$2:$AE$6,MATCH($B20,'Régions'!$A$2:$A$6,0),4)</x:f>
        <x:v>54872.70184724753</x:v>
      </x:c>
      <x:c r="AG20" s="86" t="n">
        <x:f>H20*INDEX('Régions'!$Z$2:$AE$6,MATCH($B20,'Régions'!$A$2:$A$6,0),5)</x:f>
        <x:v>4164.523458998868</x:v>
      </x:c>
      <x:c r="AH20" s="86" t="n">
        <x:f>I20*INDEX('Régions'!$Z$2:$AE$6,MATCH($B20,'Régions'!$A$2:$A$6,0),6)</x:f>
        <x:v>2570.520988029855</x:v>
      </x:c>
      <x:c r="AI20" s="86" t="n">
        <x:f>D20*INDEX('Régions'!$AF$2:$AK$6,MATCH($B20,'Régions'!$A$2:$A$6,0),1)</x:f>
        <x:v>10595.8221939593</x:v>
      </x:c>
      <x:c r="AJ20" s="86" t="n">
        <x:f>E20*INDEX('Régions'!$AF$2:$AK$6,MATCH($B20,'Régions'!$A$2:$A$6,0),2)</x:f>
        <x:v>8411.266978131227</x:v>
      </x:c>
      <x:c r="AK20" s="86" t="n">
        <x:f>F20*INDEX('Régions'!$AF$2:$AK$6,MATCH($B20,'Régions'!$A$2:$A$6,0),3)</x:f>
        <x:v>0</x:v>
      </x:c>
      <x:c r="AL20" s="86" t="n">
        <x:f>G20*INDEX('Régions'!$AF$2:$AK$6,MATCH($B20,'Régions'!$A$2:$A$6,0),4)</x:f>
        <x:v>41606.77392813274</x:v>
      </x:c>
      <x:c r="AM20" s="86" t="n">
        <x:f>H20*INDEX('Régions'!$AF$2:$AK$6,MATCH($B20,'Régions'!$A$2:$A$6,0),5)</x:f>
        <x:v>1732.146925424308</x:v>
      </x:c>
      <x:c r="AN20" s="86" t="n">
        <x:f>I20*INDEX('Régions'!$AF$2:$AK$6,MATCH($B20,'Régions'!$A$2:$A$6,0),6)</x:f>
        <x:v>0</x:v>
      </x:c>
      <x:c r="AO20" s="84" t="str">
        <x:f>IF(MAX(Q20:V20)=Q20,"CAQ",IF(MAX(Q20:V20)=R20,"PLQ",IF(MAX(Q20:V20)=S20,"QS",IF(MAX(Q20:V20)=T20,"PQ",IF(MAX(Q20:V20)=U20,"PCQ","Autre")))))</x:f>
        <x:v>PQ</x:v>
      </x:c>
      <x:c r="AP20" s="84" t="str">
        <x:f>IF(MAX(W20:AB20)=W20,"CAQ",IF(MAX(W20:AB20)=X20,"PLQ",IF(MAX(W20:AB20)=Y20,"QS",IF(MAX(W20:AB20)=Z20,"PQ",IF(MAX(W20:AB20)=AA20,"PCQ","Autre")))))</x:f>
        <x:v>PQ</x:v>
      </x:c>
      <x:c r="AQ20" s="84" t="str">
        <x:f>IF(MAX(AC20:AH20)=AC20,"CAQ",IF(MAX(AC20:AH20)=AD20,"PLQ",IF(MAX(AC20:AH20)=AE20,"QS",IF(MAX(AC20:AH20)=AF20,"PQ",IF(MAX(AC20:AH20)=AG20,"PCQ","Autre")))))</x:f>
        <x:v>PQ</x:v>
      </x:c>
      <x:c r="AR20" s="84" t="str">
        <x:f>IF(MAX(AI20:AN20)=AI20,"CAQ",IF(MAX(AI20:AN20)=AJ20,"PLQ",IF(MAX(AI20:AN20)=AK20,"QS",IF(MAX(AI20:AN20)=AL20,"PQ",IF(MAX(AI20:AN20)=AM20,"PCQ","Autre")))))</x:f>
        <x:v>PQ</x:v>
      </x:c>
      <x:c r="AS20" s="88" t="n">
        <x:f>(MAX(K20:P20)-LARGE(K20:P20,2))*100</x:f>
        <x:v>11.973369029167252</x:v>
      </x:c>
      <x:c r="AT20" s="84" t="str">
        <x:f>IF(AS20&lt;5,"Oui","Non")</x:f>
        <x:v>Non</x:v>
      </x:c>
      <x:c r="AU20" s="89" t="n">
        <x:v>2.5384602691155416</x:v>
      </x:c>
      <x:c r="AV20" s="89" t="n">
        <x:v>5.704900308700631</x:v>
      </x:c>
      <x:c r="AW20" s="89" t="n">
        <x:v>-24.930623574026054</x:v>
      </x:c>
      <x:c r="AX20" s="90" t="n">
        <x:v>17.503763990829096</x:v>
      </x:c>
    </x:row>
    <x:row r="21">
      <x:c r="A21" s="83" t="str">
        <x:v>Chambly</x:v>
      </x:c>
      <x:c r="B21" s="84" t="str">
        <x:v>Banlieue de Montréal</x:v>
      </x:c>
      <x:c r="C21" s="84" t="str">
        <x:f>IF(MAX(D21:I21)=D21,"CAQ",IF(MAX(D21:I21)=E21,"PLQ",IF(MAX(D21:I21)=F21,"QS",IF(MAX(D21:I21)=G21,"PQ",IF(MAX(D21:I21)=H21,"PCQ","Autre")))))</x:f>
        <x:v>CAQ</x:v>
      </x:c>
      <x:c r="D21" s="85" t="n">
        <x:v>38291</x:v>
      </x:c>
      <x:c r="E21" s="85" t="n">
        <x:v>6203</x:v>
      </x:c>
      <x:c r="F21" s="85" t="n">
        <x:v>12936</x:v>
      </x:c>
      <x:c r="G21" s="85" t="n">
        <x:v>14139</x:v>
      </x:c>
      <x:c r="H21" s="85" t="n">
        <x:v>6584</x:v>
      </x:c>
      <x:c r="I21" s="85" t="n">
        <x:v>851</x:v>
      </x:c>
      <x:c r="J21" s="86" t="n">
        <x:f>SUM(D21:I21)</x:f>
        <x:v>79004</x:v>
      </x:c>
      <x:c r="K21" s="87" t="n">
        <x:f>IFERROR(D21/J21,0)</x:f>
        <x:v>0.4846716621943193</x:v>
      </x:c>
      <x:c r="L21" s="87" t="n">
        <x:f>IFERROR(E21/J21,0)</x:f>
        <x:v>0.07851501189813175</x:v>
      </x:c>
      <x:c r="M21" s="87" t="n">
        <x:f>IFERROR(F21/J21,0)</x:f>
        <x:v>0.16373854488380335</x:v>
      </x:c>
      <x:c r="N21" s="87" t="n">
        <x:f>IFERROR(G21/J21,0)</x:f>
        <x:v>0.1789656219938231</x:v>
      </x:c>
      <x:c r="O21" s="87" t="n">
        <x:f>IFERROR(H21/J21,0)</x:f>
        <x:v>0.08333755252898588</x:v>
      </x:c>
      <x:c r="P21" s="87" t="n">
        <x:f>IFERROR(I21/J21,0)</x:f>
        <x:v>0.010771606500936661</x:v>
      </x:c>
      <x:c r="Q21" s="86" t="n">
        <x:f>D21*INDEX('Régions'!$T$2:$Y$6,MATCH($B21,'Régions'!$A$2:$A$6,0),1)</x:f>
        <x:v>27071.326787217506</x:v>
      </x:c>
      <x:c r="R21" s="86" t="n">
        <x:f>E21*INDEX('Régions'!$T$2:$Y$6,MATCH($B21,'Régions'!$A$2:$A$6,0),2)</x:f>
        <x:v>7935.247234883209</x:v>
      </x:c>
      <x:c r="S21" s="86" t="n">
        <x:f>F21*INDEX('Régions'!$T$2:$Y$6,MATCH($B21,'Régions'!$A$2:$A$6,0),3)</x:f>
        <x:v>6534.021759108104</x:v>
      </x:c>
      <x:c r="T21" s="86" t="n">
        <x:f>G21*INDEX('Régions'!$T$2:$Y$6,MATCH($B21,'Régions'!$A$2:$A$6,0),4)</x:f>
        <x:v>26363.583746069307</x:v>
      </x:c>
      <x:c r="U21" s="86" t="n">
        <x:f>H21*INDEX('Régions'!$T$2:$Y$6,MATCH($B21,'Régions'!$A$2:$A$6,0),5)</x:f>
        <x:v>7705.48833775075</x:v>
      </x:c>
      <x:c r="V21" s="86" t="n">
        <x:f>I21*INDEX('Régions'!$T$2:$Y$6,MATCH($B21,'Régions'!$A$2:$A$6,0),6)</x:f>
        <x:v>1827.1351232876711</x:v>
      </x:c>
      <x:c r="W21" s="86" t="n">
        <x:f>MAX(0,Q21+(AU21/100)*J21*'Régions'!$O$2)</x:f>
        <x:v>25182.864310260593</x:v>
      </x:c>
      <x:c r="X21" s="86" t="n">
        <x:f>MAX(0,R21+(AV21/100)*J21*'Régions'!$O$2)</x:f>
        <x:v>8762.588142983885</x:v>
      </x:c>
      <x:c r="Y21" s="86" t="n">
        <x:f>MAX(0,S21+(AW21/100)*J21*'Régions'!$O$2)</x:f>
        <x:v>6805.167213151239</x:v>
      </x:c>
      <x:c r="Z21" s="86" t="n">
        <x:f>MAX(0,T21+(AX21/100)*J21*'Régions'!$O$2)</x:f>
        <x:v>27660.911764470038</x:v>
      </x:c>
      <x:c r="AA21" s="86" t="n">
        <x:f>U21</x:f>
        <x:v>7705.48833775075</x:v>
      </x:c>
      <x:c r="AB21" s="86" t="n">
        <x:f>V21</x:f>
        <x:v>1827.1351232876711</x:v>
      </x:c>
      <x:c r="AC21" s="86" t="n">
        <x:f>D21*INDEX('Régions'!$Z$2:$AE$6,MATCH($B21,'Régions'!$A$2:$A$6,0),1)</x:f>
        <x:v>29863.05736214931</x:v>
      </x:c>
      <x:c r="AD21" s="86" t="n">
        <x:f>E21*INDEX('Régions'!$Z$2:$AE$6,MATCH($B21,'Régions'!$A$2:$A$6,0),2)</x:f>
        <x:v>9390.042561278464</x:v>
      </x:c>
      <x:c r="AE21" s="86" t="n">
        <x:f>F21*INDEX('Régions'!$Z$2:$AE$6,MATCH($B21,'Régions'!$A$2:$A$6,0),3)</x:f>
        <x:v>9614.34630268764</x:v>
      </x:c>
      <x:c r="AF21" s="86" t="n">
        <x:f>G21*INDEX('Régions'!$Z$2:$AE$6,MATCH($B21,'Régions'!$A$2:$A$6,0),4)</x:f>
        <x:v>29263.577958136928</x:v>
      </x:c>
      <x:c r="AG21" s="86" t="n">
        <x:f>H21*INDEX('Régions'!$Z$2:$AE$6,MATCH($B21,'Régions'!$A$2:$A$6,0),5)</x:f>
        <x:v>9824.497630632208</x:v>
      </x:c>
      <x:c r="AH21" s="86" t="n">
        <x:f>I21*INDEX('Régions'!$Z$2:$AE$6,MATCH($B21,'Régions'!$A$2:$A$6,0),6)</x:f>
        <x:v>7856.681030136986</x:v>
      </x:c>
      <x:c r="AI21" s="86" t="n">
        <x:f>D21*INDEX('Régions'!$AF$2:$AK$6,MATCH($B21,'Régions'!$A$2:$A$6,0),1)</x:f>
        <x:v>24279.5962122857</x:v>
      </x:c>
      <x:c r="AJ21" s="86" t="n">
        <x:f>E21*INDEX('Régions'!$AF$2:$AK$6,MATCH($B21,'Régions'!$A$2:$A$6,0),2)</x:f>
        <x:v>6480.451908487954</x:v>
      </x:c>
      <x:c r="AK21" s="86" t="n">
        <x:f>F21*INDEX('Régions'!$AF$2:$AK$6,MATCH($B21,'Régions'!$A$2:$A$6,0),3)</x:f>
        <x:v>3453.6972155285694</x:v>
      </x:c>
      <x:c r="AL21" s="86" t="n">
        <x:f>G21*INDEX('Régions'!$AF$2:$AK$6,MATCH($B21,'Régions'!$A$2:$A$6,0),4)</x:f>
        <x:v>23463.589534001683</x:v>
      </x:c>
      <x:c r="AM21" s="86" t="n">
        <x:f>H21*INDEX('Régions'!$AF$2:$AK$6,MATCH($B21,'Régions'!$A$2:$A$6,0),5)</x:f>
        <x:v>5586.479044869293</x:v>
      </x:c>
      <x:c r="AN21" s="86" t="n">
        <x:f>I21*INDEX('Régions'!$AF$2:$AK$6,MATCH($B21,'Régions'!$A$2:$A$6,0),6)</x:f>
        <x:v>0</x:v>
      </x:c>
      <x:c r="AO21" s="84" t="str">
        <x:f>IF(MAX(Q21:V21)=Q21,"CAQ",IF(MAX(Q21:V21)=R21,"PLQ",IF(MAX(Q21:V21)=S21,"QS",IF(MAX(Q21:V21)=T21,"PQ",IF(MAX(Q21:V21)=U21,"PCQ","Autre")))))</x:f>
        <x:v>CAQ</x:v>
      </x:c>
      <x:c r="AP21" s="84" t="str">
        <x:f>IF(MAX(W21:AB21)=W21,"CAQ",IF(MAX(W21:AB21)=X21,"PLQ",IF(MAX(W21:AB21)=Y21,"QS",IF(MAX(W21:AB21)=Z21,"PQ",IF(MAX(W21:AB21)=AA21,"PCQ","Autre")))))</x:f>
        <x:v>PQ</x:v>
      </x:c>
      <x:c r="AQ21" s="84" t="str">
        <x:f>IF(MAX(AC21:AH21)=AC21,"CAQ",IF(MAX(AC21:AH21)=AD21,"PLQ",IF(MAX(AC21:AH21)=AE21,"QS",IF(MAX(AC21:AH21)=AF21,"PQ",IF(MAX(AC21:AH21)=AG21,"PCQ","Autre")))))</x:f>
        <x:v>CAQ</x:v>
      </x:c>
      <x:c r="AR21" s="84" t="str">
        <x:f>IF(MAX(AI21:AN21)=AI21,"CAQ",IF(MAX(AI21:AN21)=AJ21,"PLQ",IF(MAX(AI21:AN21)=AK21,"QS",IF(MAX(AI21:AN21)=AL21,"PQ",IF(MAX(AI21:AN21)=AM21,"PCQ","Autre")))))</x:f>
        <x:v>CAQ</x:v>
      </x:c>
      <x:c r="AS21" s="88" t="n">
        <x:f>(MAX(K21:P21)-LARGE(K21:P21,2))*100</x:f>
        <x:v>30.57060402004962</x:v>
      </x:c>
      <x:c r="AT21" s="84" t="str">
        <x:f>IF(AS21&lt;5,"Oui","Non")</x:f>
        <x:v>Non</x:v>
      </x:c>
      <x:c r="AU21" s="89" t="n">
        <x:v>-4.780675603657819</x:v>
      </x:c>
      <x:c r="AV21" s="89" t="n">
        <x:v>2.0944278975765145</x:v>
      </x:c>
      <x:c r="AW21" s="89" t="n">
        <x:v>0.6864094325429976</x:v>
      </x:c>
      <x:c r="AX21" s="90" t="n">
        <x:v>3.2842084410934365</x:v>
      </x:c>
    </x:row>
    <x:row r="22">
      <x:c r="A22" s="83" t="str">
        <x:v>Champlain</x:v>
      </x:c>
      <x:c r="B22" s="84" t="str">
        <x:v>Reste du Québec</x:v>
      </x:c>
      <x:c r="C22" s="84" t="str">
        <x:f>IF(MAX(D22:I22)=D22,"CAQ",IF(MAX(D22:I22)=E22,"PLQ",IF(MAX(D22:I22)=F22,"QS",IF(MAX(D22:I22)=G22,"PQ",IF(MAX(D22:I22)=H22,"PCQ","Autre")))))</x:f>
        <x:v>CAQ</x:v>
      </x:c>
      <x:c r="D22" s="85" t="n">
        <x:v>47401</x:v>
      </x:c>
      <x:c r="E22" s="85" t="n">
        <x:v>4310</x:v>
      </x:c>
      <x:c r="F22" s="85" t="n">
        <x:v>7610</x:v>
      </x:c>
      <x:c r="G22" s="85" t="n">
        <x:v>10211</x:v>
      </x:c>
      <x:c r="H22" s="85" t="n">
        <x:v>14884</x:v>
      </x:c>
      <x:c r="I22" s="85" t="n">
        <x:v>391</x:v>
      </x:c>
      <x:c r="J22" s="86" t="n">
        <x:f>SUM(D22:I22)</x:f>
        <x:v>84807</x:v>
      </x:c>
      <x:c r="K22" s="87" t="n">
        <x:f>IFERROR(D22/J22,0)</x:f>
        <x:v>0.5589279186859575</x:v>
      </x:c>
      <x:c r="L22" s="87" t="n">
        <x:f>IFERROR(E22/J22,0)</x:f>
        <x:v>0.05082127654556817</x:v>
      </x:c>
      <x:c r="M22" s="87" t="n">
        <x:f>IFERROR(F22/J22,0)</x:f>
        <x:v>0.08973315881943708</x:v>
      </x:c>
      <x:c r="N22" s="87" t="n">
        <x:f>IFERROR(G22/J22,0)</x:f>
        <x:v>0.12040279693893192</x:v>
      </x:c>
      <x:c r="O22" s="87" t="n">
        <x:f>IFERROR(H22/J22,0)</x:f>
        <x:v>0.1755043805346257</x:v>
      </x:c>
      <x:c r="P22" s="87" t="n">
        <x:f>IFERROR(I22/J22,0)</x:f>
        <x:v>0.004610468475479619</x:v>
      </x:c>
      <x:c r="Q22" s="86" t="n">
        <x:f>D22*INDEX('Régions'!$T$2:$Y$6,MATCH($B22,'Régions'!$A$2:$A$6,0),1)</x:f>
        <x:v>27980.28230738487</x:v>
      </x:c>
      <x:c r="R22" s="86" t="n">
        <x:f>E22*INDEX('Régions'!$T$2:$Y$6,MATCH($B22,'Régions'!$A$2:$A$6,0),2)</x:f>
        <x:v>9862.367613817763</x:v>
      </x:c>
      <x:c r="S22" s="86" t="n">
        <x:f>F22*INDEX('Régions'!$T$2:$Y$6,MATCH($B22,'Régions'!$A$2:$A$6,0),3)</x:f>
        <x:v>4569.870349421755</x:v>
      </x:c>
      <x:c r="T22" s="86" t="n">
        <x:f>G22*INDEX('Régions'!$T$2:$Y$6,MATCH($B22,'Régions'!$A$2:$A$6,0),4)</x:f>
        <x:v>17688.426922101662</x:v>
      </x:c>
      <x:c r="U22" s="86" t="n">
        <x:f>H22*INDEX('Régions'!$T$2:$Y$6,MATCH($B22,'Régions'!$A$2:$A$6,0),5)</x:f>
        <x:v>16779.332113228433</x:v>
      </x:c>
      <x:c r="V22" s="86" t="n">
        <x:f>I22*INDEX('Régions'!$T$2:$Y$6,MATCH($B22,'Régions'!$A$2:$A$6,0),6)</x:f>
        <x:v>907.7300996651252</x:v>
      </x:c>
      <x:c r="W22" s="86" t="n">
        <x:f>MAX(0,Q22+(AU22/100)*J22*'Régions'!$O$2)</x:f>
        <x:v>27158.58607792451</x:v>
      </x:c>
      <x:c r="X22" s="86" t="n">
        <x:f>MAX(0,R22+(AV22/100)*J22*'Régions'!$O$2)</x:f>
        <x:v>9516.205544291488</x:v>
      </x:c>
      <x:c r="Y22" s="86" t="n">
        <x:f>MAX(0,S22+(AW22/100)*J22*'Régions'!$O$2)</x:f>
        <x:v>3353.7712494156904</x:v>
      </x:c>
      <x:c r="Z22" s="86" t="n">
        <x:f>MAX(0,T22+(AX22/100)*J22*'Régions'!$O$2)</x:f>
        <x:v>19175.781056276057</x:v>
      </x:c>
      <x:c r="AA22" s="86" t="n">
        <x:f>U22</x:f>
        <x:v>16779.332113228433</x:v>
      </x:c>
      <x:c r="AB22" s="86" t="n">
        <x:f>V22</x:f>
        <x:v>907.7300996651252</x:v>
      </x:c>
      <x:c r="AC22" s="86" t="n">
        <x:f>D22*INDEX('Régions'!$Z$2:$AE$6,MATCH($B22,'Régions'!$A$2:$A$6,0),1)</x:f>
        <x:v>31277.95843646952</x:v>
      </x:c>
      <x:c r="AD22" s="86" t="n">
        <x:f>E22*INDEX('Régions'!$Z$2:$AE$6,MATCH($B22,'Régions'!$A$2:$A$6,0),2)</x:f>
        <x:v>11896.480934167677</x:v>
      </x:c>
      <x:c r="AE22" s="86" t="n">
        <x:f>F22*INDEX('Régions'!$Z$2:$AE$6,MATCH($B22,'Régions'!$A$2:$A$6,0),3)</x:f>
        <x:v>6454.9418685582295</x:v>
      </x:c>
      <x:c r="AF22" s="86" t="n">
        <x:f>G22*INDEX('Régions'!$Z$2:$AE$6,MATCH($B22,'Régions'!$A$2:$A$6,0),4)</x:f>
        <x:v>19701.247916685643</x:v>
      </x:c>
      <x:c r="AG22" s="86" t="n">
        <x:f>H22*INDEX('Régions'!$Z$2:$AE$6,MATCH($B22,'Régions'!$A$2:$A$6,0),5)</x:f>
        <x:v>20036.496582266893</x:v>
      </x:c>
      <x:c r="AH22" s="86" t="n">
        <x:f>I22*INDEX('Régions'!$Z$2:$AE$6,MATCH($B22,'Régions'!$A$2:$A$6,0),6)</x:f>
        <x:v>3903.2394285600385</x:v>
      </x:c>
      <x:c r="AI22" s="86" t="n">
        <x:f>D22*INDEX('Régions'!$AF$2:$AK$6,MATCH($B22,'Régions'!$A$2:$A$6,0),1)</x:f>
        <x:v>24682.606178300226</x:v>
      </x:c>
      <x:c r="AJ22" s="86" t="n">
        <x:f>E22*INDEX('Régions'!$AF$2:$AK$6,MATCH($B22,'Régions'!$A$2:$A$6,0),2)</x:f>
        <x:v>7828.2542934678495</x:v>
      </x:c>
      <x:c r="AK22" s="86" t="n">
        <x:f>F22*INDEX('Régions'!$AF$2:$AK$6,MATCH($B22,'Régions'!$A$2:$A$6,0),3)</x:f>
        <x:v>2684.7988302852814</x:v>
      </x:c>
      <x:c r="AL22" s="86" t="n">
        <x:f>G22*INDEX('Régions'!$AF$2:$AK$6,MATCH($B22,'Régions'!$A$2:$A$6,0),4)</x:f>
        <x:v>15675.605927517681</x:v>
      </x:c>
      <x:c r="AM22" s="86" t="n">
        <x:f>H22*INDEX('Régions'!$AF$2:$AK$6,MATCH($B22,'Régions'!$A$2:$A$6,0),5)</x:f>
        <x:v>13522.16764418997</x:v>
      </x:c>
      <x:c r="AN22" s="86" t="n">
        <x:f>I22*INDEX('Régions'!$AF$2:$AK$6,MATCH($B22,'Régions'!$A$2:$A$6,0),6)</x:f>
        <x:v>0</x:v>
      </x:c>
      <x:c r="AO22" s="84" t="str">
        <x:f>IF(MAX(Q22:V22)=Q22,"CAQ",IF(MAX(Q22:V22)=R22,"PLQ",IF(MAX(Q22:V22)=S22,"QS",IF(MAX(Q22:V22)=T22,"PQ",IF(MAX(Q22:V22)=U22,"PCQ","Autre")))))</x:f>
        <x:v>CAQ</x:v>
      </x:c>
      <x:c r="AP22" s="84" t="str">
        <x:f>IF(MAX(W22:AB22)=W22,"CAQ",IF(MAX(W22:AB22)=X22,"PLQ",IF(MAX(W22:AB22)=Y22,"QS",IF(MAX(W22:AB22)=Z22,"PQ",IF(MAX(W22:AB22)=AA22,"PCQ","Autre")))))</x:f>
        <x:v>CAQ</x:v>
      </x:c>
      <x:c r="AQ22" s="84" t="str">
        <x:f>IF(MAX(AC22:AH22)=AC22,"CAQ",IF(MAX(AC22:AH22)=AD22,"PLQ",IF(MAX(AC22:AH22)=AE22,"QS",IF(MAX(AC22:AH22)=AF22,"PQ",IF(MAX(AC22:AH22)=AG22,"PCQ","Autre")))))</x:f>
        <x:v>CAQ</x:v>
      </x:c>
      <x:c r="AR22" s="84" t="str">
        <x:f>IF(MAX(AI22:AN22)=AI22,"CAQ",IF(MAX(AI22:AN22)=AJ22,"PLQ",IF(MAX(AI22:AN22)=AK22,"QS",IF(MAX(AI22:AN22)=AL22,"PQ",IF(MAX(AI22:AN22)=AM22,"PCQ","Autre")))))</x:f>
        <x:v>CAQ</x:v>
      </x:c>
      <x:c r="AS22" s="88" t="n">
        <x:f>(MAX(K22:P22)-LARGE(K22:P22,2))*100</x:f>
        <x:v>38.34235381513318</x:v>
      </x:c>
      <x:c r="AT22" s="84" t="str">
        <x:f>IF(AS22&lt;5,"Oui","Non")</x:f>
        <x:v>Non</x:v>
      </x:c>
      <x:c r="AU22" s="89" t="n">
        <x:v>-1.9378028451905227</x:v>
      </x:c>
      <x:c r="AV22" s="89" t="n">
        <x:v>-0.8163525877021349</x:v>
      </x:c>
      <x:c r="AW22" s="89" t="n">
        <x:v>-2.867921515926905</x:v>
      </x:c>
      <x:c r="AX22" s="90" t="n">
        <x:v>3.507621149608868</x:v>
      </x:c>
    </x:row>
    <x:row r="23">
      <x:c r="A23" s="83" t="str">
        <x:v>Chapleau</x:v>
      </x:c>
      <x:c r="B23" s="84" t="str">
        <x:v>Île de Montréal</x:v>
      </x:c>
      <x:c r="C23" s="84" t="str">
        <x:f>IF(MAX(D23:I23)=D23,"CAQ",IF(MAX(D23:I23)=E23,"PLQ",IF(MAX(D23:I23)=F23,"QS",IF(MAX(D23:I23)=G23,"PQ",IF(MAX(D23:I23)=H23,"PCQ","Autre")))))</x:f>
        <x:v>CAQ</x:v>
      </x:c>
      <x:c r="D23" s="85" t="n">
        <x:v>35783</x:v>
      </x:c>
      <x:c r="E23" s="85" t="n">
        <x:v>8977</x:v>
      </x:c>
      <x:c r="F23" s="85" t="n">
        <x:v>9058</x:v>
      </x:c>
      <x:c r="G23" s="85" t="n">
        <x:v>6736</x:v>
      </x:c>
      <x:c r="H23" s="85" t="n">
        <x:v>7106</x:v>
      </x:c>
      <x:c r="I23" s="85" t="n">
        <x:v>690</x:v>
      </x:c>
      <x:c r="J23" s="86" t="n">
        <x:f>SUM(D23:I23)</x:f>
        <x:v>68350</x:v>
      </x:c>
      <x:c r="K23" s="87" t="n">
        <x:f>IFERROR(D23/J23,0)</x:f>
        <x:v>0.5235259692757864</x:v>
      </x:c>
      <x:c r="L23" s="87" t="n">
        <x:f>IFERROR(E23/J23,0)</x:f>
        <x:v>0.1313386978785662</x:v>
      </x:c>
      <x:c r="M23" s="87" t="n">
        <x:f>IFERROR(F23/J23,0)</x:f>
        <x:v>0.13252377468910023</x:v>
      </x:c>
      <x:c r="N23" s="87" t="n">
        <x:f>IFERROR(G23/J23,0)</x:f>
        <x:v>0.09855157278712509</x:v>
      </x:c>
      <x:c r="O23" s="87" t="n">
        <x:f>IFERROR(H23/J23,0)</x:f>
        <x:v>0.10396488661302121</x:v>
      </x:c>
      <x:c r="P23" s="87" t="n">
        <x:f>IFERROR(I23/J23,0)</x:f>
        <x:v>0.010095098756400878</x:v>
      </x:c>
      <x:c r="Q23" s="86" t="n">
        <x:f>D23*INDEX('Régions'!$T$2:$Y$6,MATCH($B23,'Régions'!$A$2:$A$6,0),1)</x:f>
        <x:v>26801.021962926447</x:v>
      </x:c>
      <x:c r="R23" s="86" t="n">
        <x:f>E23*INDEX('Régions'!$T$2:$Y$6,MATCH($B23,'Régions'!$A$2:$A$6,0),2)</x:f>
        <x:v>8944.746253170162</x:v>
      </x:c>
      <x:c r="S23" s="86" t="n">
        <x:f>F23*INDEX('Régions'!$T$2:$Y$6,MATCH($B23,'Régions'!$A$2:$A$6,0),3)</x:f>
        <x:v>6981.779693241289</x:v>
      </x:c>
      <x:c r="T23" s="86" t="n">
        <x:f>G23*INDEX('Régions'!$T$2:$Y$6,MATCH($B23,'Régions'!$A$2:$A$6,0),4)</x:f>
        <x:v>13031.597128994616</x:v>
      </x:c>
      <x:c r="U23" s="86" t="n">
        <x:f>H23*INDEX('Régions'!$T$2:$Y$6,MATCH($B23,'Régions'!$A$2:$A$6,0),5)</x:f>
        <x:v>5663.928055110988</x:v>
      </x:c>
      <x:c r="V23" s="86" t="n">
        <x:f>I23*INDEX('Régions'!$T$2:$Y$6,MATCH($B23,'Régions'!$A$2:$A$6,0),6)</x:f>
        <x:v>1020.2827207435572</x:v>
      </x:c>
      <x:c r="W23" s="86" t="n">
        <x:f>MAX(0,Q23+(AU23/100)*J23*'Régions'!$O$2)</x:f>
        <x:v>30043.419885320654</x:v>
      </x:c>
      <x:c r="X23" s="86" t="n">
        <x:f>MAX(0,R23+(AV23/100)*J23*'Régions'!$O$2)</x:f>
        <x:v>5373.82846652193</x:v>
      </x:c>
      <x:c r="Y23" s="86" t="n">
        <x:f>MAX(0,S23+(AW23/100)*J23*'Régions'!$O$2)</x:f>
        <x:v>5950.754785248631</x:v>
      </x:c>
      <x:c r="Z23" s="86" t="n">
        <x:f>MAX(0,T23+(AX23/100)*J23*'Régions'!$O$2)</x:f>
        <x:v>14028.228024979899</x:v>
      </x:c>
      <x:c r="AA23" s="86" t="n">
        <x:f>U23</x:f>
        <x:v>5663.928055110988</x:v>
      </x:c>
      <x:c r="AB23" s="86" t="n">
        <x:f>V23</x:f>
        <x:v>1020.2827207435572</x:v>
      </x:c>
      <x:c r="AC23" s="86" t="n">
        <x:f>D23*INDEX('Régions'!$Z$2:$AE$6,MATCH($B23,'Régions'!$A$2:$A$6,0),1)</x:f>
        <x:v>32697.246794770268</x:v>
      </x:c>
      <x:c r="AD23" s="86" t="n">
        <x:f>E23*INDEX('Régions'!$Z$2:$AE$6,MATCH($B23,'Régions'!$A$2:$A$6,0),2)</x:f>
        <x:v>9812.912801271972</x:v>
      </x:c>
      <x:c r="AE23" s="86" t="n">
        <x:f>F23*INDEX('Régions'!$Z$2:$AE$6,MATCH($B23,'Régions'!$A$2:$A$6,0),3)</x:f>
        <x:v>8337.066339576364</x:v>
      </x:c>
      <x:c r="AF23" s="86" t="n">
        <x:f>G23*INDEX('Régions'!$Z$2:$AE$6,MATCH($B23,'Régions'!$A$2:$A$6,0),4)</x:f>
        <x:v>14823.441734231375</x:v>
      </x:c>
      <x:c r="AG23" s="86" t="n">
        <x:f>H23*INDEX('Régions'!$Z$2:$AE$6,MATCH($B23,'Régions'!$A$2:$A$6,0),5)</x:f>
        <x:v>8000.29837784427</x:v>
      </x:c>
      <x:c r="AH23" s="86" t="n">
        <x:f>I23*INDEX('Régions'!$Z$2:$AE$6,MATCH($B23,'Régions'!$A$2:$A$6,0),6)</x:f>
        <x:v>2703.749209970427</x:v>
      </x:c>
      <x:c r="AI23" s="86" t="n">
        <x:f>D23*INDEX('Régions'!$AF$2:$AK$6,MATCH($B23,'Régions'!$A$2:$A$6,0),1)</x:f>
        <x:v>20904.79713108263</x:v>
      </x:c>
      <x:c r="AJ23" s="86" t="n">
        <x:f>E23*INDEX('Régions'!$AF$2:$AK$6,MATCH($B23,'Régions'!$A$2:$A$6,0),2)</x:f>
        <x:v>8076.579705068352</x:v>
      </x:c>
      <x:c r="AK23" s="86" t="n">
        <x:f>F23*INDEX('Régions'!$AF$2:$AK$6,MATCH($B23,'Régions'!$A$2:$A$6,0),3)</x:f>
        <x:v>5626.493046906216</x:v>
      </x:c>
      <x:c r="AL23" s="86" t="n">
        <x:f>G23*INDEX('Régions'!$AF$2:$AK$6,MATCH($B23,'Régions'!$A$2:$A$6,0),4)</x:f>
        <x:v>11239.752523757856</x:v>
      </x:c>
      <x:c r="AM23" s="86" t="n">
        <x:f>H23*INDEX('Régions'!$AF$2:$AK$6,MATCH($B23,'Régions'!$A$2:$A$6,0),5)</x:f>
        <x:v>3327.557732377705</x:v>
      </x:c>
      <x:c r="AN23" s="86" t="n">
        <x:f>I23*INDEX('Régions'!$AF$2:$AK$6,MATCH($B23,'Régions'!$A$2:$A$6,0),6)</x:f>
        <x:v>0</x:v>
      </x:c>
      <x:c r="AO23" s="84" t="str">
        <x:f>IF(MAX(Q23:V23)=Q23,"CAQ",IF(MAX(Q23:V23)=R23,"PLQ",IF(MAX(Q23:V23)=S23,"QS",IF(MAX(Q23:V23)=T23,"PQ",IF(MAX(Q23:V23)=U23,"PCQ","Autre")))))</x:f>
        <x:v>CAQ</x:v>
      </x:c>
      <x:c r="AP23" s="84" t="str">
        <x:f>IF(MAX(W23:AB23)=W23,"CAQ",IF(MAX(W23:AB23)=X23,"PLQ",IF(MAX(W23:AB23)=Y23,"QS",IF(MAX(W23:AB23)=Z23,"PQ",IF(MAX(W23:AB23)=AA23,"PCQ","Autre")))))</x:f>
        <x:v>CAQ</x:v>
      </x:c>
      <x:c r="AQ23" s="84" t="str">
        <x:f>IF(MAX(AC23:AH23)=AC23,"CAQ",IF(MAX(AC23:AH23)=AD23,"PLQ",IF(MAX(AC23:AH23)=AE23,"QS",IF(MAX(AC23:AH23)=AF23,"PQ",IF(MAX(AC23:AH23)=AG23,"PCQ","Autre")))))</x:f>
        <x:v>CAQ</x:v>
      </x:c>
      <x:c r="AR23" s="84" t="str">
        <x:f>IF(MAX(AI23:AN23)=AI23,"CAQ",IF(MAX(AI23:AN23)=AJ23,"PLQ",IF(MAX(AI23:AN23)=AK23,"QS",IF(MAX(AI23:AN23)=AL23,"PQ",IF(MAX(AI23:AN23)=AM23,"PCQ","Autre")))))</x:f>
        <x:v>CAQ</x:v>
      </x:c>
      <x:c r="AS23" s="88" t="n">
        <x:f>(MAX(K23:P23)-LARGE(K23:P23,2))*100</x:f>
        <x:v>39.10021945866862</x:v>
      </x:c>
      <x:c r="AT23" s="84" t="str">
        <x:f>IF(AS23&lt;5,"Oui","Non")</x:f>
        <x:v>Non</x:v>
      </x:c>
      <x:c r="AU23" s="89" t="n">
        <x:v>9.487631082353207</x:v>
      </x:c>
      <x:c r="AV23" s="89" t="n">
        <x:v>-10.44891817600068</x:v>
      </x:c>
      <x:c r="AW23" s="89" t="n">
        <x:v>-3.0168980482594225</x:v>
      </x:c>
      <x:c r="AX23" s="90" t="n">
        <x:v>2.9162571938120943</x:v>
      </x:c>
    </x:row>
    <x:row r="24">
      <x:c r="A24" s="83" t="str">
        <x:v>Charlesbourg</x:v>
      </x:c>
      <x:c r="B24" s="84" t="str">
        <x:v>Québec RMR</x:v>
      </x:c>
      <x:c r="C24" s="84" t="str">
        <x:f>IF(MAX(D24:I24)=D24,"CAQ",IF(MAX(D24:I24)=E24,"PLQ",IF(MAX(D24:I24)=F24,"QS",IF(MAX(D24:I24)=G24,"PQ",IF(MAX(D24:I24)=H24,"PCQ","Autre")))))</x:f>
        <x:v>CAQ</x:v>
      </x:c>
      <x:c r="D24" s="85" t="n">
        <x:v>38019</x:v>
      </x:c>
      <x:c r="E24" s="85" t="n">
        <x:v>5060</x:v>
      </x:c>
      <x:c r="F24" s="85" t="n">
        <x:v>11023</x:v>
      </x:c>
      <x:c r="G24" s="85" t="n">
        <x:v>12689</x:v>
      </x:c>
      <x:c r="H24" s="85" t="n">
        <x:v>17208</x:v>
      </x:c>
      <x:c r="I24" s="85" t="n">
        <x:v>478</x:v>
      </x:c>
      <x:c r="J24" s="86" t="n">
        <x:f>SUM(D24:I24)</x:f>
        <x:v>84477</x:v>
      </x:c>
      <x:c r="K24" s="87" t="n">
        <x:f>IFERROR(D24/J24,0)</x:f>
        <x:v>0.45005149330587024</x:v>
      </x:c>
      <x:c r="L24" s="87" t="n">
        <x:f>IFERROR(E24/J24,0)</x:f>
        <x:v>0.059897960391585875</x:v>
      </x:c>
      <x:c r="M24" s="87" t="n">
        <x:f>IFERROR(F24/J24,0)</x:f>
        <x:v>0.13048522082933817</x:v>
      </x:c>
      <x:c r="N24" s="87" t="n">
        <x:f>IFERROR(G24/J24,0)</x:f>
        <x:v>0.1502065651005599</x:v>
      </x:c>
      <x:c r="O24" s="87" t="n">
        <x:f>IFERROR(H24/J24,0)</x:f>
        <x:v>0.20370041549770943</x:v>
      </x:c>
      <x:c r="P24" s="87" t="n">
        <x:f>IFERROR(I24/J24,0)</x:f>
        <x:v>0.005658344874936373</x:v>
      </x:c>
      <x:c r="Q24" s="86" t="n">
        <x:f>D24*INDEX('Régions'!$T$2:$Y$6,MATCH($B24,'Régions'!$A$2:$A$6,0),1)</x:f>
        <x:v>31639.54746280243</x:v>
      </x:c>
      <x:c r="R24" s="86" t="n">
        <x:f>E24*INDEX('Régions'!$T$2:$Y$6,MATCH($B24,'Régions'!$A$2:$A$6,0),2)</x:f>
        <x:v>6072.7877734026015</x:v>
      </x:c>
      <x:c r="S24" s="86" t="n">
        <x:f>F24*INDEX('Régions'!$T$2:$Y$6,MATCH($B24,'Régions'!$A$2:$A$6,0),3)</x:f>
        <x:v>4372.950153702841</x:v>
      </x:c>
      <x:c r="T24" s="86" t="n">
        <x:f>G24*INDEX('Régions'!$T$2:$Y$6,MATCH($B24,'Régions'!$A$2:$A$6,0),4)</x:f>
        <x:v>25905.033465327026</x:v>
      </x:c>
      <x:c r="U24" s="86" t="n">
        <x:f>H24*INDEX('Régions'!$T$2:$Y$6,MATCH($B24,'Régions'!$A$2:$A$6,0),5)</x:f>
        <x:v>17621.5401652952</x:v>
      </x:c>
      <x:c r="V24" s="86" t="n">
        <x:f>I24*INDEX('Régions'!$T$2:$Y$6,MATCH($B24,'Régions'!$A$2:$A$6,0),6)</x:f>
        <x:v>816.3204911008569</x:v>
      </x:c>
      <x:c r="W24" s="86" t="n">
        <x:f>MAX(0,Q24+(AU24/100)*J24*'Régions'!$O$2)</x:f>
        <x:v>31566.85537851481</x:v>
      </x:c>
      <x:c r="X24" s="86" t="n">
        <x:f>MAX(0,R24+(AV24/100)*J24*'Régions'!$O$2)</x:f>
        <x:v>5421.433200058938</x:v>
      </x:c>
      <x:c r="Y24" s="86" t="n">
        <x:f>MAX(0,S24+(AW24/100)*J24*'Régions'!$O$2)</x:f>
        <x:v>4421.680222473363</x:v>
      </x:c>
      <x:c r="Z24" s="86" t="n">
        <x:f>MAX(0,T24+(AX24/100)*J24*'Régions'!$O$2)</x:f>
        <x:v>26935.161924134187</x:v>
      </x:c>
      <x:c r="AA24" s="86" t="n">
        <x:f>U24</x:f>
        <x:v>17621.5401652952</x:v>
      </x:c>
      <x:c r="AB24" s="86" t="n">
        <x:f>V24</x:f>
        <x:v>816.3204911008569</x:v>
      </x:c>
      <x:c r="AC24" s="86" t="n">
        <x:f>D24*INDEX('Régions'!$Z$2:$AE$6,MATCH($B24,'Régions'!$A$2:$A$6,0),1)</x:f>
        <x:v>34539.83931355932</x:v>
      </x:c>
      <x:c r="AD24" s="86" t="n">
        <x:f>E24*INDEX('Régions'!$Z$2:$AE$6,MATCH($B24,'Régions'!$A$2:$A$6,0),2)</x:f>
        <x:v>8935.673438006685</x:v>
      </x:c>
      <x:c r="AE24" s="86" t="n">
        <x:f>F24*INDEX('Régions'!$Z$2:$AE$6,MATCH($B24,'Régions'!$A$2:$A$6,0),3)</x:f>
        <x:v>6778.072738239403</x:v>
      </x:c>
      <x:c r="AF24" s="86" t="n">
        <x:f>G24*INDEX('Régions'!$Z$2:$AE$6,MATCH($B24,'Régions'!$A$2:$A$6,0),4)</x:f>
        <x:v>28958.126695169143</x:v>
      </x:c>
      <x:c r="AG24" s="86" t="n">
        <x:f>H24*INDEX('Régions'!$Z$2:$AE$6,MATCH($B24,'Régions'!$A$2:$A$6,0),5)</x:f>
        <x:v>20264.77119008948</x:v>
      </x:c>
      <x:c r="AH24" s="86" t="n">
        <x:f>I24*INDEX('Régions'!$Z$2:$AE$6,MATCH($B24,'Régions'!$A$2:$A$6,0),6)</x:f>
        <x:v>3510.178111733684</x:v>
      </x:c>
      <x:c r="AI24" s="86" t="n">
        <x:f>D24*INDEX('Régions'!$AF$2:$AK$6,MATCH($B24,'Régions'!$A$2:$A$6,0),1)</x:f>
        <x:v>28739.255612045545</x:v>
      </x:c>
      <x:c r="AJ24" s="86" t="n">
        <x:f>E24*INDEX('Régions'!$AF$2:$AK$6,MATCH($B24,'Régions'!$A$2:$A$6,0),2)</x:f>
        <x:v>3209.902108798518</x:v>
      </x:c>
      <x:c r="AK24" s="86" t="n">
        <x:f>F24*INDEX('Régions'!$AF$2:$AK$6,MATCH($B24,'Régions'!$A$2:$A$6,0),3)</x:f>
        <x:v>1967.8275691662786</x:v>
      </x:c>
      <x:c r="AL24" s="86" t="n">
        <x:f>G24*INDEX('Régions'!$AF$2:$AK$6,MATCH($B24,'Régions'!$A$2:$A$6,0),4)</x:f>
        <x:v>22851.940235484915</x:v>
      </x:c>
      <x:c r="AM24" s="86" t="n">
        <x:f>H24*INDEX('Régions'!$AF$2:$AK$6,MATCH($B24,'Régions'!$A$2:$A$6,0),5)</x:f>
        <x:v>14978.309140500918</x:v>
      </x:c>
      <x:c r="AN24" s="86" t="n">
        <x:f>I24*INDEX('Régions'!$AF$2:$AK$6,MATCH($B24,'Régions'!$A$2:$A$6,0),6)</x:f>
        <x:v>0</x:v>
      </x:c>
      <x:c r="AO24" s="84" t="str">
        <x:f>IF(MAX(Q24:V24)=Q24,"CAQ",IF(MAX(Q24:V24)=R24,"PLQ",IF(MAX(Q24:V24)=S24,"QS",IF(MAX(Q24:V24)=T24,"PQ",IF(MAX(Q24:V24)=U24,"PCQ","Autre")))))</x:f>
        <x:v>CAQ</x:v>
      </x:c>
      <x:c r="AP24" s="84" t="str">
        <x:f>IF(MAX(W24:AB24)=W24,"CAQ",IF(MAX(W24:AB24)=X24,"PLQ",IF(MAX(W24:AB24)=Y24,"QS",IF(MAX(W24:AB24)=Z24,"PQ",IF(MAX(W24:AB24)=AA24,"PCQ","Autre")))))</x:f>
        <x:v>CAQ</x:v>
      </x:c>
      <x:c r="AQ24" s="84" t="str">
        <x:f>IF(MAX(AC24:AH24)=AC24,"CAQ",IF(MAX(AC24:AH24)=AD24,"PLQ",IF(MAX(AC24:AH24)=AE24,"QS",IF(MAX(AC24:AH24)=AF24,"PQ",IF(MAX(AC24:AH24)=AG24,"PCQ","Autre")))))</x:f>
        <x:v>CAQ</x:v>
      </x:c>
      <x:c r="AR24" s="84" t="str">
        <x:f>IF(MAX(AI24:AN24)=AI24,"CAQ",IF(MAX(AI24:AN24)=AJ24,"PLQ",IF(MAX(AI24:AN24)=AK24,"QS",IF(MAX(AI24:AN24)=AL24,"PQ",IF(MAX(AI24:AN24)=AM24,"PCQ","Autre")))))</x:f>
        <x:v>CAQ</x:v>
      </x:c>
      <x:c r="AS24" s="88" t="n">
        <x:f>(MAX(K24:P24)-LARGE(K24:P24,2))*100</x:f>
        <x:v>24.63510778081608</x:v>
      </x:c>
      <x:c r="AT24" s="84" t="str">
        <x:f>IF(AS24&lt;5,"Oui","Non")</x:f>
        <x:v>Non</x:v>
      </x:c>
      <x:c r="AU24" s="89" t="n">
        <x:v>-0.17209911404907907</x:v>
      </x:c>
      <x:c r="AV24" s="89" t="n">
        <x:v>-1.5420873689730052</x:v>
      </x:c>
      <x:c r="AW24" s="89" t="n">
        <x:v>0.11536884304727268</x:v>
      </x:c>
      <x:c r="AX24" s="90" t="n">
        <x:v>2.4388376926433515</x:v>
      </x:c>
    </x:row>
    <x:row r="25">
      <x:c r="A25" s="83" t="str">
        <x:v>Charlevoix-Côte-de-Beaupré</x:v>
      </x:c>
      <x:c r="B25" s="84" t="str">
        <x:v>Québec RMR</x:v>
      </x:c>
      <x:c r="C25" s="84" t="str">
        <x:f>IF(MAX(D25:I25)=D25,"CAQ",IF(MAX(D25:I25)=E25,"PLQ",IF(MAX(D25:I25)=F25,"QS",IF(MAX(D25:I25)=G25,"PQ",IF(MAX(D25:I25)=H25,"PCQ","Autre")))))</x:f>
        <x:v>CAQ</x:v>
      </x:c>
      <x:c r="D25" s="85" t="n">
        <x:v>37316</x:v>
      </x:c>
      <x:c r="E25" s="85" t="n">
        <x:v>3645</x:v>
      </x:c>
      <x:c r="F25" s="85" t="n">
        <x:v>9707</x:v>
      </x:c>
      <x:c r="G25" s="85" t="n">
        <x:v>12538</x:v>
      </x:c>
      <x:c r="H25" s="85" t="n">
        <x:v>14037</x:v>
      </x:c>
      <x:c r="I25" s="85" t="n">
        <x:v>219</x:v>
      </x:c>
      <x:c r="J25" s="86" t="n">
        <x:f>SUM(D25:I25)</x:f>
        <x:v>77462</x:v>
      </x:c>
      <x:c r="K25" s="87" t="n">
        <x:f>IFERROR(D25/J25,0)</x:f>
        <x:v>0.4817329787508714</x:v>
      </x:c>
      <x:c r="L25" s="87" t="n">
        <x:f>IFERROR(E25/J25,0)</x:f>
        <x:v>0.04705533035552916</x:v>
      </x:c>
      <x:c r="M25" s="87" t="n">
        <x:f>IFERROR(F25/J25,0)</x:f>
        <x:v>0.12531305672458753</x:v>
      </x:c>
      <x:c r="N25" s="87" t="n">
        <x:f>IFERROR(G25/J25,0)</x:f>
        <x:v>0.16186000877849785</x:v>
      </x:c>
      <x:c r="O25" s="87" t="n">
        <x:f>IFERROR(H25/J25,0)</x:f>
        <x:v>0.18121143270248638</x:v>
      </x:c>
      <x:c r="P25" s="87" t="n">
        <x:f>IFERROR(I25/J25,0)</x:f>
        <x:v>0.002827192688027678</x:v>
      </x:c>
      <x:c r="Q25" s="86" t="n">
        <x:f>D25*INDEX('Régions'!$T$2:$Y$6,MATCH($B25,'Régions'!$A$2:$A$6,0),1)</x:f>
        <x:v>31054.50835429484</x:v>
      </x:c>
      <x:c r="R25" s="86" t="n">
        <x:f>E25*INDEX('Régions'!$T$2:$Y$6,MATCH($B25,'Régions'!$A$2:$A$6,0),2)</x:f>
        <x:v>4374.567477085471</x:v>
      </x:c>
      <x:c r="S25" s="86" t="n">
        <x:f>F25*INDEX('Régions'!$T$2:$Y$6,MATCH($B25,'Régions'!$A$2:$A$6,0),3)</x:f>
        <x:v>3850.8779045625943</x:v>
      </x:c>
      <x:c r="T25" s="86" t="n">
        <x:f>G25*INDEX('Régions'!$T$2:$Y$6,MATCH($B25,'Régions'!$A$2:$A$6,0),4)</x:f>
        <x:v>25596.76172970843</x:v>
      </x:c>
      <x:c r="U25" s="86" t="n">
        <x:f>H25*INDEX('Régions'!$T$2:$Y$6,MATCH($B25,'Régions'!$A$2:$A$6,0),5)</x:f>
        <x:v>14374.335152269217</x:v>
      </x:c>
      <x:c r="V25" s="86" t="n">
        <x:f>I25*INDEX('Régions'!$T$2:$Y$6,MATCH($B25,'Régions'!$A$2:$A$6,0),6)</x:f>
        <x:v>374.00457646671055</x:v>
      </x:c>
      <x:c r="W25" s="86" t="n">
        <x:f>MAX(0,Q25+(AU25/100)*J25*'Régions'!$O$2)</x:f>
        <x:v>33281.54232049314</x:v>
      </x:c>
      <x:c r="X25" s="86" t="n">
        <x:f>MAX(0,R25+(AV25/100)*J25*'Régions'!$O$2)</x:f>
        <x:v>3195.792279733943</x:v>
      </x:c>
      <x:c r="Y25" s="86" t="n">
        <x:f>MAX(0,S25+(AW25/100)*J25*'Régions'!$O$2)</x:f>
        <x:v>3944.2719659143586</x:v>
      </x:c>
      <x:c r="Z25" s="86" t="n">
        <x:f>MAX(0,T25+(AX25/100)*J25*'Régions'!$O$2)</x:f>
        <x:v>24504.444643537816</x:v>
      </x:c>
      <x:c r="AA25" s="86" t="n">
        <x:f>U25</x:f>
        <x:v>14374.335152269217</x:v>
      </x:c>
      <x:c r="AB25" s="86" t="n">
        <x:f>V25</x:f>
        <x:v>374.00457646671055</x:v>
      </x:c>
      <x:c r="AC25" s="86" t="n">
        <x:f>D25*INDEX('Régions'!$Z$2:$AE$6,MATCH($B25,'Régions'!$A$2:$A$6,0),1)</x:f>
        <x:v>33901.1716201052</x:v>
      </x:c>
      <x:c r="AD25" s="86" t="n">
        <x:f>E25*INDEX('Régions'!$Z$2:$AE$6,MATCH($B25,'Régions'!$A$2:$A$6,0),2)</x:f>
        <x:v>6436.863573425764</x:v>
      </x:c>
      <x:c r="AE25" s="86" t="n">
        <x:f>F25*INDEX('Régions'!$Z$2:$AE$6,MATCH($B25,'Régions'!$A$2:$A$6,0),3)</x:f>
        <x:v>5968.860752072022</x:v>
      </x:c>
      <x:c r="AF25" s="86" t="n">
        <x:f>G25*INDEX('Régions'!$Z$2:$AE$6,MATCH($B25,'Régions'!$A$2:$A$6,0),4)</x:f>
        <x:v>28613.52293356693</x:v>
      </x:c>
      <x:c r="AG25" s="86" t="n">
        <x:f>H25*INDEX('Régions'!$Z$2:$AE$6,MATCH($B25,'Régions'!$A$2:$A$6,0),5)</x:f>
        <x:v>16530.4854251096</x:v>
      </x:c>
      <x:c r="AH25" s="86" t="n">
        <x:f>I25*INDEX('Régions'!$Z$2:$AE$6,MATCH($B25,'Régions'!$A$2:$A$6,0),6)</x:f>
        <x:v>1608.2196788068552</x:v>
      </x:c>
      <x:c r="AI25" s="86" t="n">
        <x:f>D25*INDEX('Régions'!$AF$2:$AK$6,MATCH($B25,'Régions'!$A$2:$A$6,0),1)</x:f>
        <x:v>28207.845088484482</x:v>
      </x:c>
      <x:c r="AJ25" s="86" t="n">
        <x:f>E25*INDEX('Régions'!$AF$2:$AK$6,MATCH($B25,'Régions'!$A$2:$A$6,0),2)</x:f>
        <x:v>2312.2713807451773</x:v>
      </x:c>
      <x:c r="AK25" s="86" t="n">
        <x:f>F25*INDEX('Régions'!$AF$2:$AK$6,MATCH($B25,'Régions'!$A$2:$A$6,0),3)</x:f>
        <x:v>1732.8950570531676</x:v>
      </x:c>
      <x:c r="AL25" s="86" t="n">
        <x:f>G25*INDEX('Régions'!$AF$2:$AK$6,MATCH($B25,'Régions'!$A$2:$A$6,0),4)</x:f>
        <x:v>22580.000525849937</x:v>
      </x:c>
      <x:c r="AM25" s="86" t="n">
        <x:f>H25*INDEX('Régions'!$AF$2:$AK$6,MATCH($B25,'Régions'!$A$2:$A$6,0),5)</x:f>
        <x:v>12218.184879428834</x:v>
      </x:c>
      <x:c r="AN25" s="86" t="n">
        <x:f>I25*INDEX('Régions'!$AF$2:$AK$6,MATCH($B25,'Régions'!$A$2:$A$6,0),6)</x:f>
        <x:v>0</x:v>
      </x:c>
      <x:c r="AO25" s="84" t="str">
        <x:f>IF(MAX(Q25:V25)=Q25,"CAQ",IF(MAX(Q25:V25)=R25,"PLQ",IF(MAX(Q25:V25)=S25,"QS",IF(MAX(Q25:V25)=T25,"PQ",IF(MAX(Q25:V25)=U25,"PCQ","Autre")))))</x:f>
        <x:v>CAQ</x:v>
      </x:c>
      <x:c r="AP25" s="84" t="str">
        <x:f>IF(MAX(W25:AB25)=W25,"CAQ",IF(MAX(W25:AB25)=X25,"PLQ",IF(MAX(W25:AB25)=Y25,"QS",IF(MAX(W25:AB25)=Z25,"PQ",IF(MAX(W25:AB25)=AA25,"PCQ","Autre")))))</x:f>
        <x:v>CAQ</x:v>
      </x:c>
      <x:c r="AQ25" s="84" t="str">
        <x:f>IF(MAX(AC25:AH25)=AC25,"CAQ",IF(MAX(AC25:AH25)=AD25,"PLQ",IF(MAX(AC25:AH25)=AE25,"QS",IF(MAX(AC25:AH25)=AF25,"PQ",IF(MAX(AC25:AH25)=AG25,"PCQ","Autre")))))</x:f>
        <x:v>CAQ</x:v>
      </x:c>
      <x:c r="AR25" s="84" t="str">
        <x:f>IF(MAX(AI25:AN25)=AI25,"CAQ",IF(MAX(AI25:AN25)=AJ25,"PLQ",IF(MAX(AI25:AN25)=AK25,"QS",IF(MAX(AI25:AN25)=AL25,"PQ",IF(MAX(AI25:AN25)=AM25,"PCQ","Autre")))))</x:f>
        <x:v>CAQ</x:v>
      </x:c>
      <x:c r="AS25" s="88" t="n">
        <x:f>(MAX(K25:P25)-LARGE(K25:P25,2))*100</x:f>
        <x:v>30.0521546048385</x:v>
      </x:c>
      <x:c r="AT25" s="84" t="str">
        <x:f>IF(AS25&lt;5,"Oui","Non")</x:f>
        <x:v>Non</x:v>
      </x:c>
      <x:c r="AU25" s="89" t="n">
        <x:v>5.7500037855937105</x:v>
      </x:c>
      <x:c r="AV25" s="89" t="n">
        <x:v>-3.0434928025393826</x:v>
      </x:c>
      <x:c r="AW25" s="89" t="n">
        <x:v>0.24113516653782308</x:v>
      </x:c>
      <x:c r="AX25" s="90" t="n">
        <x:v>-2.820265642949096</x:v>
      </x:c>
    </x:row>
    <x:row r="26">
      <x:c r="A26" s="83" t="str">
        <x:v>Châteauguay</x:v>
      </x:c>
      <x:c r="B26" s="84" t="str">
        <x:v>Banlieue de Montréal</x:v>
      </x:c>
      <x:c r="C26" s="84" t="str">
        <x:f>IF(MAX(D26:I26)=D26,"CAQ",IF(MAX(D26:I26)=E26,"PLQ",IF(MAX(D26:I26)=F26,"QS",IF(MAX(D26:I26)=G26,"PQ",IF(MAX(D26:I26)=H26,"PCQ","Autre")))))</x:f>
        <x:v>CAQ</x:v>
      </x:c>
      <x:c r="D26" s="85" t="n">
        <x:v>27086</x:v>
      </x:c>
      <x:c r="E26" s="85" t="n">
        <x:v>17160</x:v>
      </x:c>
      <x:c r="F26" s="85" t="n">
        <x:v>8852</x:v>
      </x:c>
      <x:c r="G26" s="85" t="n">
        <x:v>9162</x:v>
      </x:c>
      <x:c r="H26" s="85" t="n">
        <x:v>6987</x:v>
      </x:c>
      <x:c r="I26" s="85" t="n">
        <x:v>0</x:v>
      </x:c>
      <x:c r="J26" s="86" t="n">
        <x:f>SUM(D26:I26)</x:f>
        <x:v>69247</x:v>
      </x:c>
      <x:c r="K26" s="87" t="n">
        <x:f>IFERROR(D26/J26,0)</x:f>
        <x:v>0.3911505191560645</x:v>
      </x:c>
      <x:c r="L26" s="87" t="n">
        <x:f>IFERROR(E26/J26,0)</x:f>
        <x:v>0.24780856932430287</x:v>
      </x:c>
      <x:c r="M26" s="87" t="n">
        <x:f>IFERROR(F26/J26,0)</x:f>
        <x:v>0.1278322526607651</x:v>
      </x:c>
      <x:c r="N26" s="87" t="n">
        <x:f>IFERROR(G26/J26,0)</x:f>
        <x:v>0.13230898089447918</x:v>
      </x:c>
      <x:c r="O26" s="87" t="n">
        <x:f>IFERROR(H26/J26,0)</x:f>
        <x:v>0.10089967796438835</x:v>
      </x:c>
      <x:c r="P26" s="87" t="n">
        <x:f>IFERROR(I26/J26,0)</x:f>
        <x:v>0</x:v>
      </x:c>
      <x:c r="Q26" s="86" t="n">
        <x:f>D26*INDEX('Régions'!$T$2:$Y$6,MATCH($B26,'Régions'!$A$2:$A$6,0),1)</x:f>
        <x:v>19149.511826762773</x:v>
      </x:c>
      <x:c r="R26" s="86" t="n">
        <x:f>E26*INDEX('Régions'!$T$2:$Y$6,MATCH($B26,'Régions'!$A$2:$A$6,0),2)</x:f>
        <x:v>21952.094559180376</x:v>
      </x:c>
      <x:c r="S26" s="86" t="n">
        <x:f>F26*INDEX('Régions'!$T$2:$Y$6,MATCH($B26,'Régions'!$A$2:$A$6,0),3)</x:f>
        <x:v>4471.178154887518</x:v>
      </x:c>
      <x:c r="T26" s="86" t="n">
        <x:f>G26*INDEX('Régions'!$T$2:$Y$6,MATCH($B26,'Régions'!$A$2:$A$6,0),4)</x:f>
        <x:v>17083.46801623078</x:v>
      </x:c>
      <x:c r="U26" s="86" t="n">
        <x:f>H26*INDEX('Régions'!$T$2:$Y$6,MATCH($B26,'Régions'!$A$2:$A$6,0),5)</x:f>
        <x:v>8177.133507877353</x:v>
      </x:c>
      <x:c r="V26" s="86" t="n">
        <x:f>I26*INDEX('Régions'!$T$2:$Y$6,MATCH($B26,'Régions'!$A$2:$A$6,0),6)</x:f>
        <x:v>0</x:v>
      </x:c>
      <x:c r="W26" s="86" t="n">
        <x:f>MAX(0,Q26+(AU26/100)*J26*'Régions'!$O$2)</x:f>
        <x:v>18826.07795361299</x:v>
      </x:c>
      <x:c r="X26" s="86" t="n">
        <x:f>MAX(0,R26+(AV26/100)*J26*'Régions'!$O$2)</x:f>
        <x:v>21106.713647934303</x:v>
      </x:c>
      <x:c r="Y26" s="86" t="n">
        <x:f>MAX(0,S26+(AW26/100)*J26*'Régions'!$O$2)</x:f>
        <x:v>4707.121672055386</x:v>
      </x:c>
      <x:c r="Z26" s="86" t="n">
        <x:f>MAX(0,T26+(AX26/100)*J26*'Régions'!$O$2)</x:f>
        <x:v>18366.396643148895</x:v>
      </x:c>
      <x:c r="AA26" s="86" t="n">
        <x:f>U26</x:f>
        <x:v>8177.133507877353</x:v>
      </x:c>
      <x:c r="AB26" s="86" t="n">
        <x:f>V26</x:f>
        <x:v>0</x:v>
      </x:c>
      <x:c r="AC26" s="86" t="n">
        <x:f>D26*INDEX('Régions'!$Z$2:$AE$6,MATCH($B26,'Régions'!$A$2:$A$6,0),1)</x:f>
        <x:v>21124.305233897685</x:v>
      </x:c>
      <x:c r="AD26" s="86" t="n">
        <x:f>E26*INDEX('Régions'!$Z$2:$AE$6,MATCH($B26,'Régions'!$A$2:$A$6,0),2)</x:f>
        <x:v>25976.645228363443</x:v>
      </x:c>
      <x:c r="AE26" s="86" t="n">
        <x:f>F26*INDEX('Régions'!$Z$2:$AE$6,MATCH($B26,'Régions'!$A$2:$A$6,0),3)</x:f>
        <x:v>6579.019285048777</x:v>
      </x:c>
      <x:c r="AF26" s="86" t="n">
        <x:f>G26*INDEX('Régions'!$Z$2:$AE$6,MATCH($B26,'Régions'!$A$2:$A$6,0),4)</x:f>
        <x:v>18962.649498016162</x:v>
      </x:c>
      <x:c r="AG26" s="86" t="n">
        <x:f>H26*INDEX('Régions'!$Z$2:$AE$6,MATCH($B26,'Régions'!$A$2:$A$6,0),5)</x:f>
        <x:v>10425.845222543625</x:v>
      </x:c>
      <x:c r="AH26" s="86" t="n">
        <x:f>I26*INDEX('Régions'!$Z$2:$AE$6,MATCH($B26,'Régions'!$A$2:$A$6,0),6)</x:f>
        <x:v>0</x:v>
      </x:c>
      <x:c r="AI26" s="86" t="n">
        <x:f>D26*INDEX('Régions'!$AF$2:$AK$6,MATCH($B26,'Régions'!$A$2:$A$6,0),1)</x:f>
        <x:v>17174.71841962786</x:v>
      </x:c>
      <x:c r="AJ26" s="86" t="n">
        <x:f>E26*INDEX('Régions'!$AF$2:$AK$6,MATCH($B26,'Régions'!$A$2:$A$6,0),2)</x:f>
        <x:v>17927.543889997305</x:v>
      </x:c>
      <x:c r="AK26" s="86" t="n">
        <x:f>F26*INDEX('Régions'!$AF$2:$AK$6,MATCH($B26,'Régions'!$A$2:$A$6,0),3)</x:f>
        <x:v>2363.3370247262596</x:v>
      </x:c>
      <x:c r="AL26" s="86" t="n">
        <x:f>G26*INDEX('Régions'!$AF$2:$AK$6,MATCH($B26,'Régions'!$A$2:$A$6,0),4)</x:f>
        <x:v>15204.286534445395</x:v>
      </x:c>
      <x:c r="AM26" s="86" t="n">
        <x:f>H26*INDEX('Régions'!$AF$2:$AK$6,MATCH($B26,'Régions'!$A$2:$A$6,0),5)</x:f>
        <x:v>5928.4217932110805</x:v>
      </x:c>
      <x:c r="AN26" s="86" t="n">
        <x:f>I26*INDEX('Régions'!$AF$2:$AK$6,MATCH($B26,'Régions'!$A$2:$A$6,0),6)</x:f>
        <x:v>0</x:v>
      </x:c>
      <x:c r="AO26" s="84" t="str">
        <x:f>IF(MAX(Q26:V26)=Q26,"CAQ",IF(MAX(Q26:V26)=R26,"PLQ",IF(MAX(Q26:V26)=S26,"QS",IF(MAX(Q26:V26)=T26,"PQ",IF(MAX(Q26:V26)=U26,"PCQ","Autre")))))</x:f>
        <x:v>PLQ</x:v>
      </x:c>
      <x:c r="AP26" s="84" t="str">
        <x:f>IF(MAX(W26:AB26)=W26,"CAQ",IF(MAX(W26:AB26)=X26,"PLQ",IF(MAX(W26:AB26)=Y26,"QS",IF(MAX(W26:AB26)=Z26,"PQ",IF(MAX(W26:AB26)=AA26,"PCQ","Autre")))))</x:f>
        <x:v>PLQ</x:v>
      </x:c>
      <x:c r="AQ26" s="84" t="str">
        <x:f>IF(MAX(AC26:AH26)=AC26,"CAQ",IF(MAX(AC26:AH26)=AD26,"PLQ",IF(MAX(AC26:AH26)=AE26,"QS",IF(MAX(AC26:AH26)=AF26,"PQ",IF(MAX(AC26:AH26)=AG26,"PCQ","Autre")))))</x:f>
        <x:v>PLQ</x:v>
      </x:c>
      <x:c r="AR26" s="84" t="str">
        <x:f>IF(MAX(AI26:AN26)=AI26,"CAQ",IF(MAX(AI26:AN26)=AJ26,"PLQ",IF(MAX(AI26:AN26)=AK26,"QS",IF(MAX(AI26:AN26)=AL26,"PQ",IF(MAX(AI26:AN26)=AM26,"PCQ","Autre")))))</x:f>
        <x:v>PLQ</x:v>
      </x:c>
      <x:c r="AS26" s="88" t="n">
        <x:f>(MAX(K26:P26)-LARGE(K26:P26,2))*100</x:f>
        <x:v>14.334194983176166</x:v>
      </x:c>
      <x:c r="AT26" s="84" t="str">
        <x:f>IF(AS26&lt;5,"Oui","Non")</x:f>
        <x:v>Non</x:v>
      </x:c>
      <x:c r="AU26" s="89" t="n">
        <x:v>-0.9341455172059032</x:v>
      </x:c>
      <x:c r="AV26" s="89" t="n">
        <x:v>-2.441639092656933</x:v>
      </x:c>
      <x:c r="AW26" s="89" t="n">
        <x:v>0.6814548418498073</x:v>
      </x:c>
      <x:c r="AX26" s="90" t="n">
        <x:v>3.705369552235088</x:v>
      </x:c>
    </x:row>
    <x:row r="27">
      <x:c r="A27" s="83" t="str">
        <x:v>Chauveau</x:v>
      </x:c>
      <x:c r="B27" s="84" t="str">
        <x:v>Québec RMR</x:v>
      </x:c>
      <x:c r="C27" s="84" t="str">
        <x:f>IF(MAX(D27:I27)=D27,"CAQ",IF(MAX(D27:I27)=E27,"PLQ",IF(MAX(D27:I27)=F27,"QS",IF(MAX(D27:I27)=G27,"PQ",IF(MAX(D27:I27)=H27,"PCQ","Autre")))))</x:f>
        <x:v>CAQ</x:v>
      </x:c>
      <x:c r="D27" s="85" t="n">
        <x:v>41686</x:v>
      </x:c>
      <x:c r="E27" s="85" t="n">
        <x:v>3392</x:v>
      </x:c>
      <x:c r="F27" s="85" t="n">
        <x:v>7839</x:v>
      </x:c>
      <x:c r="G27" s="85" t="n">
        <x:v>6794</x:v>
      </x:c>
      <x:c r="H27" s="85" t="n">
        <x:v>28337</x:v>
      </x:c>
      <x:c r="I27" s="85" t="n">
        <x:v>941</x:v>
      </x:c>
      <x:c r="J27" s="86" t="n">
        <x:f>SUM(D27:I27)</x:f>
        <x:v>88989</x:v>
      </x:c>
      <x:c r="K27" s="87" t="n">
        <x:f>IFERROR(D27/J27,0)</x:f>
        <x:v>0.46843991954061737</x:v>
      </x:c>
      <x:c r="L27" s="87" t="n">
        <x:f>IFERROR(E27/J27,0)</x:f>
        <x:v>0.03811707064918136</x:v>
      </x:c>
      <x:c r="M27" s="87" t="n">
        <x:f>IFERROR(F27/J27,0)</x:f>
        <x:v>0.08808953915652497</x:v>
      </x:c>
      <x:c r="N27" s="87" t="n">
        <x:f>IFERROR(G27/J27,0)</x:f>
        <x:v>0.07634651473777658</x:v>
      </x:c>
      <x:c r="O27" s="87" t="n">
        <x:f>IFERROR(H27/J27,0)</x:f>
        <x:v>0.31843261526705546</x:v>
      </x:c>
      <x:c r="P27" s="87" t="n">
        <x:f>IFERROR(I27/J27,0)</x:f>
        <x:v>0.010574340648844239</x:v>
      </x:c>
      <x:c r="Q27" s="86" t="n">
        <x:f>D27*INDEX('Régions'!$T$2:$Y$6,MATCH($B27,'Régions'!$A$2:$A$6,0),1)</x:f>
        <x:v>34691.23794772041</x:v>
      </x:c>
      <x:c r="R27" s="86" t="n">
        <x:f>E27*INDEX('Régions'!$T$2:$Y$6,MATCH($B27,'Régions'!$A$2:$A$6,0),2)</x:f>
        <x:v>4070.928088415341</x:v>
      </x:c>
      <x:c r="S27" s="86" t="n">
        <x:f>F27*INDEX('Régions'!$T$2:$Y$6,MATCH($B27,'Régions'!$A$2:$A$6,0),3)</x:f>
        <x:v>3109.8209430170164</x:v>
      </x:c>
      <x:c r="T27" s="86" t="n">
        <x:f>G27*INDEX('Régions'!$T$2:$Y$6,MATCH($B27,'Régions'!$A$2:$A$6,0),4)</x:f>
        <x:v>13870.186568163908</x:v>
      </x:c>
      <x:c r="U27" s="86" t="n">
        <x:f>H27*INDEX('Régions'!$T$2:$Y$6,MATCH($B27,'Régions'!$A$2:$A$6,0),5)</x:f>
        <x:v>29017.990682471525</x:v>
      </x:c>
      <x:c r="V27" s="86" t="n">
        <x:f>I27*INDEX('Régions'!$T$2:$Y$6,MATCH($B27,'Régions'!$A$2:$A$6,0),6)</x:f>
        <x:v>1607.0242303889252</x:v>
      </x:c>
      <x:c r="W27" s="86" t="n">
        <x:f>MAX(0,Q27+(AU27/100)*J27*'Régions'!$O$2)</x:f>
        <x:v>35904.70538428164</x:v>
      </x:c>
      <x:c r="X27" s="86" t="n">
        <x:f>MAX(0,R27+(AV27/100)*J27*'Régions'!$O$2)</x:f>
        <x:v>2401.6559631865257</x:v>
      </x:c>
      <x:c r="Y27" s="86" t="n">
        <x:f>MAX(0,S27+(AW27/100)*J27*'Régions'!$O$2)</x:f>
        <x:v>2683.2537103283057</x:v>
      </x:c>
      <x:c r="Z27" s="86" t="n">
        <x:f>MAX(0,T27+(AX27/100)*J27*'Régions'!$O$2)</x:f>
        <x:v>12092.79127830243</x:v>
      </x:c>
      <x:c r="AA27" s="86" t="n">
        <x:f>U27</x:f>
        <x:v>29017.990682471525</x:v>
      </x:c>
      <x:c r="AB27" s="86" t="n">
        <x:f>V27</x:f>
        <x:v>1607.0242303889252</x:v>
      </x:c>
      <x:c r="AC27" s="86" t="n">
        <x:f>D27*INDEX('Régions'!$Z$2:$AE$6,MATCH($B27,'Régions'!$A$2:$A$6,0),1)</x:f>
        <x:v>37871.268092928105</x:v>
      </x:c>
      <x:c r="AD27" s="86" t="n">
        <x:f>E27*INDEX('Régions'!$Z$2:$AE$6,MATCH($B27,'Régions'!$A$2:$A$6,0),2)</x:f>
        <x:v>5990.079901525431</x:v>
      </x:c>
      <x:c r="AE27" s="86" t="n">
        <x:f>F27*INDEX('Régions'!$Z$2:$AE$6,MATCH($B27,'Régions'!$A$2:$A$6,0),3)</x:f>
        <x:v>4820.222461676375</x:v>
      </x:c>
      <x:c r="AF27" s="86" t="n">
        <x:f>G27*INDEX('Régions'!$Z$2:$AE$6,MATCH($B27,'Régions'!$A$2:$A$6,0),4)</x:f>
        <x:v>15504.887127983227</x:v>
      </x:c>
      <x:c r="AG27" s="86" t="n">
        <x:f>H27*INDEX('Régions'!$Z$2:$AE$6,MATCH($B27,'Régions'!$A$2:$A$6,0),5)</x:f>
        <x:v>33370.68928484226</x:v>
      </x:c>
      <x:c r="AH27" s="86" t="n">
        <x:f>I27*INDEX('Régions'!$Z$2:$AE$6,MATCH($B27,'Régions'!$A$2:$A$6,0),6)</x:f>
        <x:v>6910.204190672378</x:v>
      </x:c>
      <x:c r="AI27" s="86" t="n">
        <x:f>D27*INDEX('Régions'!$AF$2:$AK$6,MATCH($B27,'Régions'!$A$2:$A$6,0),1)</x:f>
        <x:v>31511.20780251271</x:v>
      </x:c>
      <x:c r="AJ27" s="86" t="n">
        <x:f>E27*INDEX('Régions'!$AF$2:$AK$6,MATCH($B27,'Régions'!$A$2:$A$6,0),2)</x:f>
        <x:v>2151.7762753052516</x:v>
      </x:c>
      <x:c r="AK27" s="86" t="n">
        <x:f>F27*INDEX('Régions'!$AF$2:$AK$6,MATCH($B27,'Régions'!$A$2:$A$6,0),3)</x:f>
        <x:v>1399.4194243576574</x:v>
      </x:c>
      <x:c r="AL27" s="86" t="n">
        <x:f>G27*INDEX('Régions'!$AF$2:$AK$6,MATCH($B27,'Régions'!$A$2:$A$6,0),4)</x:f>
        <x:v>12235.486008344591</x:v>
      </x:c>
      <x:c r="AM27" s="86" t="n">
        <x:f>H27*INDEX('Régions'!$AF$2:$AK$6,MATCH($B27,'Régions'!$A$2:$A$6,0),5)</x:f>
        <x:v>24665.292080100797</x:v>
      </x:c>
      <x:c r="AN27" s="86" t="n">
        <x:f>I27*INDEX('Régions'!$AF$2:$AK$6,MATCH($B27,'Régions'!$A$2:$A$6,0),6)</x:f>
        <x:v>0</x:v>
      </x:c>
      <x:c r="AO27" s="84" t="str">
        <x:f>IF(MAX(Q27:V27)=Q27,"CAQ",IF(MAX(Q27:V27)=R27,"PLQ",IF(MAX(Q27:V27)=S27,"QS",IF(MAX(Q27:V27)=T27,"PQ",IF(MAX(Q27:V27)=U27,"PCQ","Autre")))))</x:f>
        <x:v>CAQ</x:v>
      </x:c>
      <x:c r="AP27" s="84" t="str">
        <x:f>IF(MAX(W27:AB27)=W27,"CAQ",IF(MAX(W27:AB27)=X27,"PLQ",IF(MAX(W27:AB27)=Y27,"QS",IF(MAX(W27:AB27)=Z27,"PQ",IF(MAX(W27:AB27)=AA27,"PCQ","Autre")))))</x:f>
        <x:v>CAQ</x:v>
      </x:c>
      <x:c r="AQ27" s="84" t="str">
        <x:f>IF(MAX(AC27:AH27)=AC27,"CAQ",IF(MAX(AC27:AH27)=AD27,"PLQ",IF(MAX(AC27:AH27)=AE27,"QS",IF(MAX(AC27:AH27)=AF27,"PQ",IF(MAX(AC27:AH27)=AG27,"PCQ","Autre")))))</x:f>
        <x:v>CAQ</x:v>
      </x:c>
      <x:c r="AR27" s="84" t="str">
        <x:f>IF(MAX(AI27:AN27)=AI27,"CAQ",IF(MAX(AI27:AN27)=AJ27,"PLQ",IF(MAX(AI27:AN27)=AK27,"QS",IF(MAX(AI27:AN27)=AL27,"PQ",IF(MAX(AI27:AN27)=AM27,"PCQ","Autre")))))</x:f>
        <x:v>CAQ</x:v>
      </x:c>
      <x:c r="AS27" s="88" t="n">
        <x:f>(MAX(K27:P27)-LARGE(K27:P27,2))*100</x:f>
        <x:v>15.00073042735619</x:v>
      </x:c>
      <x:c r="AT27" s="84" t="str">
        <x:f>IF(AS27&lt;5,"Oui","Non")</x:f>
        <x:v>Non</x:v>
      </x:c>
      <x:c r="AU27" s="89" t="n">
        <x:v>2.7272301892621087</x:v>
      </x:c>
      <x:c r="AV27" s="89" t="n">
        <x:v>-3.7516370005929165</x:v>
      </x:c>
      <x:c r="AW27" s="89" t="n">
        <x:v>-0.9586965415696563</x:v>
      </x:c>
      <x:c r="AX27" s="90" t="n">
        <x:v>-3.994640438394585</x:v>
      </x:c>
    </x:row>
    <x:row r="28">
      <x:c r="A28" s="83" t="str">
        <x:v>Chicoutimi</x:v>
      </x:c>
      <x:c r="B28" s="84" t="str">
        <x:v>Reste du Québec</x:v>
      </x:c>
      <x:c r="C28" s="84" t="str">
        <x:f>IF(MAX(D28:I28)=D28,"CAQ",IF(MAX(D28:I28)=E28,"PLQ",IF(MAX(D28:I28)=F28,"QS",IF(MAX(D28:I28)=G28,"PQ",IF(MAX(D28:I28)=H28,"PCQ","Autre")))))</x:f>
        <x:v>CAQ</x:v>
      </x:c>
      <x:c r="D28" s="85" t="n">
        <x:v>38545</x:v>
      </x:c>
      <x:c r="E28" s="85" t="n">
        <x:v>1879</x:v>
      </x:c>
      <x:c r="F28" s="85" t="n">
        <x:v>7454</x:v>
      </x:c>
      <x:c r="G28" s="85" t="n">
        <x:v>8798</x:v>
      </x:c>
      <x:c r="H28" s="85" t="n">
        <x:v>5219</x:v>
      </x:c>
      <x:c r="I28" s="85" t="n">
        <x:v>0</x:v>
      </x:c>
      <x:c r="J28" s="86" t="n">
        <x:f>SUM(D28:I28)</x:f>
        <x:v>61895</x:v>
      </x:c>
      <x:c r="K28" s="87" t="n">
        <x:f>IFERROR(D28/J28,0)</x:f>
        <x:v>0.6227482026011795</x:v>
      </x:c>
      <x:c r="L28" s="87" t="n">
        <x:f>IFERROR(E28/J28,0)</x:f>
        <x:v>0.030357864124727362</x:v>
      </x:c>
      <x:c r="M28" s="87" t="n">
        <x:f>IFERROR(F28/J28,0)</x:f>
        <x:v>0.12042976007755068</x:v>
      </x:c>
      <x:c r="N28" s="87" t="n">
        <x:f>IFERROR(G28/J28,0)</x:f>
        <x:v>0.14214395346958558</x:v>
      </x:c>
      <x:c r="O28" s="87" t="n">
        <x:f>IFERROR(H28/J28,0)</x:f>
        <x:v>0.08432021972695694</x:v>
      </x:c>
      <x:c r="P28" s="87" t="n">
        <x:f>IFERROR(I28/J28,0)</x:f>
        <x:v>0</x:v>
      </x:c>
      <x:c r="Q28" s="86" t="n">
        <x:f>D28*INDEX('Régions'!$T$2:$Y$6,MATCH($B28,'Régions'!$A$2:$A$6,0),1)</x:f>
        <x:v>22752.684153037906</x:v>
      </x:c>
      <x:c r="R28" s="86" t="n">
        <x:f>E28*INDEX('Régions'!$T$2:$Y$6,MATCH($B28,'Régions'!$A$2:$A$6,0),2)</x:f>
        <x:v>4299.62615924909</x:v>
      </x:c>
      <x:c r="S28" s="86" t="n">
        <x:f>F28*INDEX('Régions'!$T$2:$Y$6,MATCH($B28,'Régions'!$A$2:$A$6,0),3)</x:f>
        <x:v>4476.191009801546</x:v>
      </x:c>
      <x:c r="T28" s="86" t="n">
        <x:f>G28*INDEX('Régions'!$T$2:$Y$6,MATCH($B28,'Régions'!$A$2:$A$6,0),4)</x:f>
        <x:v>15240.699251850985</x:v>
      </x:c>
      <x:c r="U28" s="86" t="n">
        <x:f>H28*INDEX('Régions'!$T$2:$Y$6,MATCH($B28,'Régions'!$A$2:$A$6,0),5)</x:f>
        <x:v>5883.58870592174</x:v>
      </x:c>
      <x:c r="V28" s="86" t="n">
        <x:f>I28*INDEX('Régions'!$T$2:$Y$6,MATCH($B28,'Régions'!$A$2:$A$6,0),6)</x:f>
        <x:v>0</x:v>
      </x:c>
      <x:c r="W28" s="86" t="n">
        <x:f>MAX(0,Q28+(AU28/100)*J28*'Régions'!$O$2)</x:f>
        <x:v>28027.66673711504</x:v>
      </x:c>
      <x:c r="X28" s="86" t="n">
        <x:f>MAX(0,R28+(AV28/100)*J28*'Régions'!$O$2)</x:f>
        <x:v>3079.536431345953</x:v>
      </x:c>
      <x:c r="Y28" s="86" t="n">
        <x:f>MAX(0,S28+(AW28/100)*J28*'Régions'!$O$2)</x:f>
        <x:v>4562.60612406195</x:v>
      </x:c>
      <x:c r="Z28" s="86" t="n">
        <x:f>MAX(0,T28+(AX28/100)*J28*'Régions'!$O$2)</x:f>
        <x:v>13060.730462562015</x:v>
      </x:c>
      <x:c r="AA28" s="86" t="n">
        <x:f>U28</x:f>
        <x:v>5883.58870592174</x:v>
      </x:c>
      <x:c r="AB28" s="86" t="n">
        <x:f>V28</x:f>
        <x:v>0</x:v>
      </x:c>
      <x:c r="AC28" s="86" t="n">
        <x:f>D28*INDEX('Régions'!$Z$2:$AE$6,MATCH($B28,'Régions'!$A$2:$A$6,0),1)</x:f>
        <x:v>25434.25049964595</x:v>
      </x:c>
      <x:c r="AD28" s="86" t="n">
        <x:f>E28*INDEX('Régions'!$Z$2:$AE$6,MATCH($B28,'Régions'!$A$2:$A$6,0),2)</x:f>
        <x:v>5186.424054594215</x:v>
      </x:c>
      <x:c r="AE28" s="86" t="n">
        <x:f>F28*INDEX('Régions'!$Z$2:$AE$6,MATCH($B28,'Régions'!$A$2:$A$6,0),3)</x:f>
        <x:v>6322.619801344684</x:v>
      </x:c>
      <x:c r="AF28" s="86" t="n">
        <x:f>G28*INDEX('Régions'!$Z$2:$AE$6,MATCH($B28,'Régions'!$A$2:$A$6,0),4)</x:f>
        <x:v>16974.985718440923</x:v>
      </x:c>
      <x:c r="AG28" s="86" t="n">
        <x:f>H28*INDEX('Régions'!$Z$2:$AE$6,MATCH($B28,'Régions'!$A$2:$A$6,0),5)</x:f>
        <x:v>7025.6971017771375</x:v>
      </x:c>
      <x:c r="AH28" s="86" t="n">
        <x:f>I28*INDEX('Régions'!$Z$2:$AE$6,MATCH($B28,'Régions'!$A$2:$A$6,0),6)</x:f>
        <x:v>0</x:v>
      </x:c>
      <x:c r="AI28" s="86" t="n">
        <x:f>D28*INDEX('Régions'!$AF$2:$AK$6,MATCH($B28,'Régions'!$A$2:$A$6,0),1)</x:f>
        <x:v>20071.11780642987</x:v>
      </x:c>
      <x:c r="AJ28" s="86" t="n">
        <x:f>E28*INDEX('Régions'!$AF$2:$AK$6,MATCH($B28,'Régions'!$A$2:$A$6,0),2)</x:f>
        <x:v>3412.8282639039653</x:v>
      </x:c>
      <x:c r="AK28" s="86" t="n">
        <x:f>F28*INDEX('Régions'!$AF$2:$AK$6,MATCH($B28,'Régions'!$A$2:$A$6,0),3)</x:f>
        <x:v>2629.762218258408</x:v>
      </x:c>
      <x:c r="AL28" s="86" t="n">
        <x:f>G28*INDEX('Régions'!$AF$2:$AK$6,MATCH($B28,'Régions'!$A$2:$A$6,0),4)</x:f>
        <x:v>13506.412785261047</x:v>
      </x:c>
      <x:c r="AM28" s="86" t="n">
        <x:f>H28*INDEX('Régions'!$AF$2:$AK$6,MATCH($B28,'Régions'!$A$2:$A$6,0),5)</x:f>
        <x:v>4741.480310066344</x:v>
      </x:c>
      <x:c r="AN28" s="86" t="n">
        <x:f>I28*INDEX('Régions'!$AF$2:$AK$6,MATCH($B28,'Régions'!$A$2:$A$6,0),6)</x:f>
        <x:v>0</x:v>
      </x:c>
      <x:c r="AO28" s="84" t="str">
        <x:f>IF(MAX(Q28:V28)=Q28,"CAQ",IF(MAX(Q28:V28)=R28,"PLQ",IF(MAX(Q28:V28)=S28,"QS",IF(MAX(Q28:V28)=T28,"PQ",IF(MAX(Q28:V28)=U28,"PCQ","Autre")))))</x:f>
        <x:v>CAQ</x:v>
      </x:c>
      <x:c r="AP28" s="84" t="str">
        <x:f>IF(MAX(W28:AB28)=W28,"CAQ",IF(MAX(W28:AB28)=X28,"PLQ",IF(MAX(W28:AB28)=Y28,"QS",IF(MAX(W28:AB28)=Z28,"PQ",IF(MAX(W28:AB28)=AA28,"PCQ","Autre")))))</x:f>
        <x:v>CAQ</x:v>
      </x:c>
      <x:c r="AQ28" s="84" t="str">
        <x:f>IF(MAX(AC28:AH28)=AC28,"CAQ",IF(MAX(AC28:AH28)=AD28,"PLQ",IF(MAX(AC28:AH28)=AE28,"QS",IF(MAX(AC28:AH28)=AF28,"PQ",IF(MAX(AC28:AH28)=AG28,"PCQ","Autre")))))</x:f>
        <x:v>CAQ</x:v>
      </x:c>
      <x:c r="AR28" s="84" t="str">
        <x:f>IF(MAX(AI28:AN28)=AI28,"CAQ",IF(MAX(AI28:AN28)=AJ28,"PLQ",IF(MAX(AI28:AN28)=AK28,"QS",IF(MAX(AI28:AN28)=AL28,"PQ",IF(MAX(AI28:AN28)=AM28,"PCQ","Autre")))))</x:f>
        <x:v>CAQ</x:v>
      </x:c>
      <x:c r="AS28" s="88" t="n">
        <x:f>(MAX(K28:P28)-LARGE(K28:P28,2))*100</x:f>
        <x:v>48.06042491315939</x:v>
      </x:c>
      <x:c r="AT28" s="84" t="str">
        <x:f>IF(AS28&lt;5,"Oui","Non")</x:f>
        <x:v>Non</x:v>
      </x:c>
      <x:c r="AU28" s="89" t="n">
        <x:v>17.044939281289718</x:v>
      </x:c>
      <x:c r="AV28" s="89" t="n">
        <x:v>-3.9424500457327314</x:v>
      </x:c>
      <x:c r="AW28" s="89" t="n">
        <x:v>0.2792313248579176</x:v>
      </x:c>
      <x:c r="AX28" s="90" t="n">
        <x:v>-7.044086886788819</x:v>
      </x:c>
    </x:row>
    <x:row r="29">
      <x:c r="A29" s="83" t="str">
        <x:v>Chomedey</x:v>
      </x:c>
      <x:c r="B29" s="84" t="str">
        <x:v>Banlieue de Montréal</x:v>
      </x:c>
      <x:c r="C29" s="84" t="str">
        <x:f>IF(MAX(D29:I29)=D29,"CAQ",IF(MAX(D29:I29)=E29,"PLQ",IF(MAX(D29:I29)=F29,"QS",IF(MAX(D29:I29)=G29,"PQ",IF(MAX(D29:I29)=H29,"PCQ","Autre")))))</x:f>
        <x:v>PLQ</x:v>
      </x:c>
      <x:c r="D29" s="85" t="n">
        <x:v>16253</x:v>
      </x:c>
      <x:c r="E29" s="85" t="n">
        <x:v>22232</x:v>
      </x:c>
      <x:c r="F29" s="85" t="n">
        <x:v>4803</x:v>
      </x:c>
      <x:c r="G29" s="85" t="n">
        <x:v>4960</x:v>
      </x:c>
      <x:c r="H29" s="85" t="n">
        <x:v>12087</x:v>
      </x:c>
      <x:c r="I29" s="85" t="n">
        <x:v>543</x:v>
      </x:c>
      <x:c r="J29" s="86" t="n">
        <x:f>SUM(D29:I29)</x:f>
        <x:v>60878</x:v>
      </x:c>
      <x:c r="K29" s="87" t="n">
        <x:f>IFERROR(D29/J29,0)</x:f>
        <x:v>0.2669765761030257</x:v>
      </x:c>
      <x:c r="L29" s="87" t="n">
        <x:f>IFERROR(E29/J29,0)</x:f>
        <x:v>0.3651893951838102</x:v>
      </x:c>
      <x:c r="M29" s="87" t="n">
        <x:f>IFERROR(F29/J29,0)</x:f>
        <x:v>0.0788954959098525</x:v>
      </x:c>
      <x:c r="N29" s="87" t="n">
        <x:f>IFERROR(G29/J29,0)</x:f>
        <x:v>0.08147442425835277</x:v>
      </x:c>
      <x:c r="O29" s="87" t="n">
        <x:f>IFERROR(H29/J29,0)</x:f>
        <x:v>0.19854463024409474</x:v>
      </x:c>
      <x:c r="P29" s="87" t="n">
        <x:f>IFERROR(I29/J29,0)</x:f>
        <x:v>0.008919478300864023</x:v>
      </x:c>
      <x:c r="Q29" s="86" t="n">
        <x:f>D29*INDEX('Régions'!$T$2:$Y$6,MATCH($B29,'Régions'!$A$2:$A$6,0),1)</x:f>
        <x:v>11490.696881059417</x:v>
      </x:c>
      <x:c r="R29" s="86" t="n">
        <x:f>E29*INDEX('Régions'!$T$2:$Y$6,MATCH($B29,'Régions'!$A$2:$A$6,0),2)</x:f>
        <x:v>28440.499198117606</x:v>
      </x:c>
      <x:c r="S29" s="86" t="n">
        <x:f>F29*INDEX('Régions'!$T$2:$Y$6,MATCH($B29,'Régions'!$A$2:$A$6,0),3)</x:f>
        <x:v>2426.0131809675495</x:v>
      </x:c>
      <x:c r="T29" s="86" t="n">
        <x:f>G29*INDEX('Régions'!$T$2:$Y$6,MATCH($B29,'Régions'!$A$2:$A$6,0),4)</x:f>
        <x:v>9248.41752461304</x:v>
      </x:c>
      <x:c r="U29" s="86" t="n">
        <x:f>H29*INDEX('Régions'!$T$2:$Y$6,MATCH($B29,'Régions'!$A$2:$A$6,0),5)</x:f>
        <x:v>14145.844097568852</x:v>
      </x:c>
      <x:c r="V29" s="86" t="n">
        <x:f>I29*INDEX('Régions'!$T$2:$Y$6,MATCH($B29,'Régions'!$A$2:$A$6,0),6)</x:f>
        <x:v>1165.845325435024</x:v>
      </x:c>
      <x:c r="W29" s="86" t="n">
        <x:f>MAX(0,Q29+(AU29/100)*J29*'Régions'!$O$2)</x:f>
        <x:v>10666.49496053555</x:v>
      </x:c>
      <x:c r="X29" s="86" t="n">
        <x:f>MAX(0,R29+(AV29/100)*J29*'Régions'!$O$2)</x:f>
        <x:v>25484.32257252912</x:v>
      </x:c>
      <x:c r="Y29" s="86" t="n">
        <x:f>MAX(0,S29+(AW29/100)*J29*'Régions'!$O$2)</x:f>
        <x:v>2890.602013490553</x:v>
      </x:c>
      <x:c r="Z29" s="86" t="n">
        <x:f>MAX(0,T29+(AX29/100)*J29*'Régions'!$O$2)</x:f>
        <x:v>10286.041170014074</x:v>
      </x:c>
      <x:c r="AA29" s="86" t="n">
        <x:f>U29</x:f>
        <x:v>14145.844097568852</x:v>
      </x:c>
      <x:c r="AB29" s="86" t="n">
        <x:f>V29</x:f>
        <x:v>1165.845325435024</x:v>
      </x:c>
      <x:c r="AC29" s="86" t="n">
        <x:f>D29*INDEX('Régions'!$Z$2:$AE$6,MATCH($B29,'Régions'!$A$2:$A$6,0),1)</x:f>
        <x:v>12675.67499691867</x:v>
      </x:c>
      <x:c r="AD29" s="86" t="n">
        <x:f>E29*INDEX('Régions'!$Z$2:$AE$6,MATCH($B29,'Régions'!$A$2:$A$6,0),2)</x:f>
        <x:v>33654.590717772495</x:v>
      </x:c>
      <x:c r="AE29" s="86" t="n">
        <x:f>F29*INDEX('Régions'!$Z$2:$AE$6,MATCH($B29,'Régions'!$A$2:$A$6,0),3)</x:f>
        <x:v>3569.7051091379662</x:v>
      </x:c>
      <x:c r="AF29" s="86" t="n">
        <x:f>G29*INDEX('Régions'!$Z$2:$AE$6,MATCH($B29,'Régions'!$A$2:$A$6,0),4)</x:f>
        <x:v>10265.743452320472</x:v>
      </x:c>
      <x:c r="AG29" s="86" t="n">
        <x:f>H29*INDEX('Régions'!$Z$2:$AE$6,MATCH($B29,'Régions'!$A$2:$A$6,0),5)</x:f>
        <x:v>18035.951224400287</x:v>
      </x:c>
      <x:c r="AH29" s="86" t="n">
        <x:f>I29*INDEX('Régions'!$Z$2:$AE$6,MATCH($B29,'Régions'!$A$2:$A$6,0),6)</x:f>
        <x:v>5013.134899370603</x:v>
      </x:c>
      <x:c r="AI29" s="86" t="n">
        <x:f>D29*INDEX('Régions'!$AF$2:$AK$6,MATCH($B29,'Régions'!$A$2:$A$6,0),1)</x:f>
        <x:v>10305.718765200165</x:v>
      </x:c>
      <x:c r="AJ29" s="86" t="n">
        <x:f>E29*INDEX('Régions'!$AF$2:$AK$6,MATCH($B29,'Régions'!$A$2:$A$6,0),2)</x:f>
        <x:v>23226.40767846271</x:v>
      </x:c>
      <x:c r="AK29" s="86" t="n">
        <x:f>F29*INDEX('Régions'!$AF$2:$AK$6,MATCH($B29,'Régions'!$A$2:$A$6,0),3)</x:f>
        <x:v>1282.3212527971336</x:v>
      </x:c>
      <x:c r="AL29" s="86" t="n">
        <x:f>G29*INDEX('Régions'!$AF$2:$AK$6,MATCH($B29,'Régions'!$A$2:$A$6,0),4)</x:f>
        <x:v>8231.091596905606</x:v>
      </x:c>
      <x:c r="AM29" s="86" t="n">
        <x:f>H29*INDEX('Régions'!$AF$2:$AK$6,MATCH($B29,'Régions'!$A$2:$A$6,0),5)</x:f>
        <x:v>10255.736970737416</x:v>
      </x:c>
      <x:c r="AN29" s="86" t="n">
        <x:f>I29*INDEX('Régions'!$AF$2:$AK$6,MATCH($B29,'Régions'!$A$2:$A$6,0),6)</x:f>
        <x:v>0</x:v>
      </x:c>
      <x:c r="AO29" s="84" t="str">
        <x:f>IF(MAX(Q29:V29)=Q29,"CAQ",IF(MAX(Q29:V29)=R29,"PLQ",IF(MAX(Q29:V29)=S29,"QS",IF(MAX(Q29:V29)=T29,"PQ",IF(MAX(Q29:V29)=U29,"PCQ","Autre")))))</x:f>
        <x:v>PLQ</x:v>
      </x:c>
      <x:c r="AP29" s="84" t="str">
        <x:f>IF(MAX(W29:AB29)=W29,"CAQ",IF(MAX(W29:AB29)=X29,"PLQ",IF(MAX(W29:AB29)=Y29,"QS",IF(MAX(W29:AB29)=Z29,"PQ",IF(MAX(W29:AB29)=AA29,"PCQ","Autre")))))</x:f>
        <x:v>PLQ</x:v>
      </x:c>
      <x:c r="AQ29" s="84" t="str">
        <x:f>IF(MAX(AC29:AH29)=AC29,"CAQ",IF(MAX(AC29:AH29)=AD29,"PLQ",IF(MAX(AC29:AH29)=AE29,"QS",IF(MAX(AC29:AH29)=AF29,"PQ",IF(MAX(AC29:AH29)=AG29,"PCQ","Autre")))))</x:f>
        <x:v>PLQ</x:v>
      </x:c>
      <x:c r="AR29" s="84" t="str">
        <x:f>IF(MAX(AI29:AN29)=AI29,"CAQ",IF(MAX(AI29:AN29)=AJ29,"PLQ",IF(MAX(AI29:AN29)=AK29,"QS",IF(MAX(AI29:AN29)=AL29,"PQ",IF(MAX(AI29:AN29)=AM29,"PCQ","Autre")))))</x:f>
        <x:v>PLQ</x:v>
      </x:c>
      <x:c r="AS29" s="88" t="n">
        <x:f>(MAX(K29:P29)-LARGE(K29:P29,2))*100</x:f>
        <x:v>9.82128190807845</x:v>
      </x:c>
      <x:c r="AT29" s="84" t="str">
        <x:f>IF(AS29&lt;5,"Oui","Non")</x:f>
        <x:v>Non</x:v>
      </x:c>
      <x:c r="AU29" s="89" t="n">
        <x:v>-2.7077168123915585</x:v>
      </x:c>
      <x:c r="AV29" s="89" t="n">
        <x:v>-9.711805990960562</x:v>
      </x:c>
      <x:c r="AW29" s="89" t="n">
        <x:v>1.5262946631722576</x:v>
      </x:c>
      <x:c r="AX29" s="90" t="n">
        <x:v>3.408862463947679</x:v>
      </x:c>
    </x:row>
    <x:row r="30">
      <x:c r="A30" s="83" t="str">
        <x:v>Chutes-de-la-Chaudière</x:v>
      </x:c>
      <x:c r="B30" s="84" t="str">
        <x:v>Québec RMR</x:v>
      </x:c>
      <x:c r="C30" s="84" t="str">
        <x:f>IF(MAX(D30:I30)=D30,"CAQ",IF(MAX(D30:I30)=E30,"PLQ",IF(MAX(D30:I30)=F30,"QS",IF(MAX(D30:I30)=G30,"PQ",IF(MAX(D30:I30)=H30,"PCQ","Autre")))))</x:f>
        <x:v>CAQ</x:v>
      </x:c>
      <x:c r="D30" s="85" t="n">
        <x:v>45596</x:v>
      </x:c>
      <x:c r="E30" s="85" t="n">
        <x:v>4751</x:v>
      </x:c>
      <x:c r="F30" s="85" t="n">
        <x:v>8912</x:v>
      </x:c>
      <x:c r="G30" s="85" t="n">
        <x:v>10674</x:v>
      </x:c>
      <x:c r="H30" s="85" t="n">
        <x:v>26131</x:v>
      </x:c>
      <x:c r="I30" s="85" t="n">
        <x:v>0</x:v>
      </x:c>
      <x:c r="J30" s="86" t="n">
        <x:f>SUM(D30:I30)</x:f>
        <x:v>96064</x:v>
      </x:c>
      <x:c r="K30" s="87" t="n">
        <x:f>IFERROR(D30/J30,0)</x:f>
        <x:v>0.4746419053964024</x:v>
      </x:c>
      <x:c r="L30" s="87" t="n">
        <x:f>IFERROR(E30/J30,0)</x:f>
        <x:v>0.049456612258494334</x:v>
      </x:c>
      <x:c r="M30" s="87" t="n">
        <x:f>IFERROR(F30/J30,0)</x:f>
        <x:v>0.09277148567621586</x:v>
      </x:c>
      <x:c r="N30" s="87" t="n">
        <x:f>IFERROR(G30/J30,0)</x:f>
        <x:v>0.11111342438374416</x:v>
      </x:c>
      <x:c r="O30" s="87" t="n">
        <x:f>IFERROR(H30/J30,0)</x:f>
        <x:v>0.27201657228514325</x:v>
      </x:c>
      <x:c r="P30" s="87" t="n">
        <x:f>IFERROR(I30/J30,0)</x:f>
        <x:v>0</x:v>
      </x:c>
      <x:c r="Q30" s="86" t="n">
        <x:f>D30*INDEX('Régions'!$T$2:$Y$6,MATCH($B30,'Régions'!$A$2:$A$6,0),1)</x:f>
        <x:v>37945.15389973276</x:v>
      </x:c>
      <x:c r="R30" s="86" t="n">
        <x:f>E30*INDEX('Régions'!$T$2:$Y$6,MATCH($B30,'Régions'!$A$2:$A$6,0),2)</x:f>
        <x:v>5701.939666291652</x:v>
      </x:c>
      <x:c r="S30" s="86" t="n">
        <x:f>F30*INDEX('Régions'!$T$2:$Y$6,MATCH($B30,'Régions'!$A$2:$A$6,0),3)</x:f>
        <x:v>3535.492313326655</x:v>
      </x:c>
      <x:c r="T30" s="86" t="n">
        <x:f>G30*INDEX('Régions'!$T$2:$Y$6,MATCH($B30,'Régions'!$A$2:$A$6,0),4)</x:f>
        <x:v>21791.341099290777</x:v>
      </x:c>
      <x:c r="U30" s="86" t="n">
        <x:f>H30*INDEX('Régions'!$T$2:$Y$6,MATCH($B30,'Régions'!$A$2:$A$6,0),5)</x:f>
        <x:v>26758.97640977039</x:v>
      </x:c>
      <x:c r="V30" s="86" t="n">
        <x:f>I30*INDEX('Régions'!$T$2:$Y$6,MATCH($B30,'Régions'!$A$2:$A$6,0),6)</x:f>
        <x:v>0</x:v>
      </x:c>
      <x:c r="W30" s="86" t="n">
        <x:f>MAX(0,Q30+(AU30/100)*J30*'Régions'!$O$2)</x:f>
        <x:v>33575.716416679934</x:v>
      </x:c>
      <x:c r="X30" s="86" t="n">
        <x:f>MAX(0,R30+(AV30/100)*J30*'Régions'!$O$2)</x:f>
        <x:v>8543.11773712571</x:v>
      </x:c>
      <x:c r="Y30" s="86" t="n">
        <x:f>MAX(0,S30+(AW30/100)*J30*'Régions'!$O$2)</x:f>
        <x:v>2782.7610722874506</x:v>
      </x:c>
      <x:c r="Z30" s="86" t="n">
        <x:f>MAX(0,T30+(AX30/100)*J30*'Régions'!$O$2)</x:f>
        <x:v>21840.978600408882</x:v>
      </x:c>
      <x:c r="AA30" s="86" t="n">
        <x:f>U30</x:f>
        <x:v>26758.97640977039</x:v>
      </x:c>
      <x:c r="AB30" s="86" t="n">
        <x:f>V30</x:f>
        <x:v>0</x:v>
      </x:c>
      <x:c r="AC30" s="86" t="n">
        <x:f>D30*INDEX('Régions'!$Z$2:$AE$6,MATCH($B30,'Régions'!$A$2:$A$6,0),1)</x:f>
        <x:v>41423.459673874924</x:v>
      </x:c>
      <x:c r="AD30" s="86" t="n">
        <x:f>E30*INDEX('Régions'!$Z$2:$AE$6,MATCH($B30,'Régions'!$A$2:$A$6,0),2)</x:f>
        <x:v>8389.996937543432</x:v>
      </x:c>
      <x:c r="AE30" s="86" t="n">
        <x:f>F30*INDEX('Régions'!$Z$2:$AE$6,MATCH($B30,'Régions'!$A$2:$A$6,0),3)</x:f>
        <x:v>5480.0130856563155</x:v>
      </x:c>
      <x:c r="AF30" s="86" t="n">
        <x:f>G30*INDEX('Régions'!$Z$2:$AE$6,MATCH($B30,'Régions'!$A$2:$A$6,0),4)</x:f>
        <x:v>24359.606300278625</x:v>
      </x:c>
      <x:c r="AG30" s="86" t="n">
        <x:f>H30*INDEX('Régions'!$Z$2:$AE$6,MATCH($B30,'Régions'!$A$2:$A$6,0),5)</x:f>
        <x:v>30772.822871235945</x:v>
      </x:c>
      <x:c r="AH30" s="86" t="n">
        <x:f>I30*INDEX('Régions'!$Z$2:$AE$6,MATCH($B30,'Régions'!$A$2:$A$6,0),6)</x:f>
        <x:v>0</x:v>
      </x:c>
      <x:c r="AI30" s="86" t="n">
        <x:f>D30*INDEX('Régions'!$AF$2:$AK$6,MATCH($B30,'Régions'!$A$2:$A$6,0),1)</x:f>
        <x:v>34466.84812559059</x:v>
      </x:c>
      <x:c r="AJ30" s="86" t="n">
        <x:f>E30*INDEX('Régions'!$AF$2:$AK$6,MATCH($B30,'Régions'!$A$2:$A$6,0),2)</x:f>
        <x:v>3013.8823950398732</x:v>
      </x:c>
      <x:c r="AK30" s="86" t="n">
        <x:f>F30*INDEX('Régions'!$AF$2:$AK$6,MATCH($B30,'Régions'!$A$2:$A$6,0),3)</x:f>
        <x:v>1590.971540996995</x:v>
      </x:c>
      <x:c r="AL30" s="86" t="n">
        <x:f>G30*INDEX('Régions'!$AF$2:$AK$6,MATCH($B30,'Régions'!$A$2:$A$6,0),4)</x:f>
        <x:v>19223.075898302937</x:v>
      </x:c>
      <x:c r="AM30" s="86" t="n">
        <x:f>H30*INDEX('Régions'!$AF$2:$AK$6,MATCH($B30,'Régions'!$A$2:$A$6,0),5)</x:f>
        <x:v>22745.129948304828</x:v>
      </x:c>
      <x:c r="AN30" s="86" t="n">
        <x:f>I30*INDEX('Régions'!$AF$2:$AK$6,MATCH($B30,'Régions'!$A$2:$A$6,0),6)</x:f>
        <x:v>0</x:v>
      </x:c>
      <x:c r="AO30" s="84" t="str">
        <x:f>IF(MAX(Q30:V30)=Q30,"CAQ",IF(MAX(Q30:V30)=R30,"PLQ",IF(MAX(Q30:V30)=S30,"QS",IF(MAX(Q30:V30)=T30,"PQ",IF(MAX(Q30:V30)=U30,"PCQ","Autre")))))</x:f>
        <x:v>CAQ</x:v>
      </x:c>
      <x:c r="AP30" s="84" t="str">
        <x:f>IF(MAX(W30:AB30)=W30,"CAQ",IF(MAX(W30:AB30)=X30,"PLQ",IF(MAX(W30:AB30)=Y30,"QS",IF(MAX(W30:AB30)=Z30,"PQ",IF(MAX(W30:AB30)=AA30,"PCQ","Autre")))))</x:f>
        <x:v>CAQ</x:v>
      </x:c>
      <x:c r="AQ30" s="84" t="str">
        <x:f>IF(MAX(AC30:AH30)=AC30,"CAQ",IF(MAX(AC30:AH30)=AD30,"PLQ",IF(MAX(AC30:AH30)=AE30,"QS",IF(MAX(AC30:AH30)=AF30,"PQ",IF(MAX(AC30:AH30)=AG30,"PCQ","Autre")))))</x:f>
        <x:v>CAQ</x:v>
      </x:c>
      <x:c r="AR30" s="84" t="str">
        <x:f>IF(MAX(AI30:AN30)=AI30,"CAQ",IF(MAX(AI30:AN30)=AJ30,"PLQ",IF(MAX(AI30:AN30)=AK30,"QS",IF(MAX(AI30:AN30)=AL30,"PQ",IF(MAX(AI30:AN30)=AM30,"PCQ","Autre")))))</x:f>
        <x:v>CAQ</x:v>
      </x:c>
      <x:c r="AS30" s="88" t="n">
        <x:f>(MAX(K30:P30)-LARGE(K30:P30,2))*100</x:f>
        <x:v>20.262533311125914</x:v>
      </x:c>
      <x:c r="AT30" s="84" t="str">
        <x:f>IF(AS30&lt;5,"Oui","Non")</x:f>
        <x:v>Non</x:v>
      </x:c>
      <x:c r="AU30" s="89" t="n">
        <x:v>-9.096930136269199</x:v>
      </x:c>
      <x:c r="AV30" s="89" t="n">
        <x:v>5.915177529218142</x:v>
      </x:c>
      <x:c r="AW30" s="89" t="n">
        <x:v>-1.5671453219503764</x:v>
      </x:c>
      <x:c r="AX30" s="90" t="n">
        <x:v>0.10334256561896904</x:v>
      </x:c>
    </x:row>
    <x:row r="31">
      <x:c r="A31" s="83" t="str">
        <x:v>Côte-du-Sud</x:v>
      </x:c>
      <x:c r="B31" s="84" t="str">
        <x:v>Reste du Québec</x:v>
      </x:c>
      <x:c r="C31" s="84" t="str">
        <x:f>IF(MAX(D31:I31)=D31,"CAQ",IF(MAX(D31:I31)=E31,"PLQ",IF(MAX(D31:I31)=F31,"QS",IF(MAX(D31:I31)=G31,"PQ",IF(MAX(D31:I31)=H31,"PCQ","Autre")))))</x:f>
        <x:v>CAQ</x:v>
      </x:c>
      <x:c r="D31" s="85" t="n">
        <x:v>32511</x:v>
      </x:c>
      <x:c r="E31" s="85" t="n">
        <x:v>4301</x:v>
      </x:c>
      <x:c r="F31" s="85" t="n">
        <x:v>6363</x:v>
      </x:c>
      <x:c r="G31" s="85" t="n">
        <x:v>8707</x:v>
      </x:c>
      <x:c r="H31" s="85" t="n">
        <x:v>15957</x:v>
      </x:c>
      <x:c r="I31" s="85" t="n">
        <x:v>330</x:v>
      </x:c>
      <x:c r="J31" s="86" t="n">
        <x:f>SUM(D31:I31)</x:f>
        <x:v>68169</x:v>
      </x:c>
      <x:c r="K31" s="87" t="n">
        <x:f>IFERROR(D31/J31,0)</x:f>
        <x:v>0.4769176605201778</x:v>
      </x:c>
      <x:c r="L31" s="87" t="n">
        <x:f>IFERROR(E31/J31,0)</x:f>
        <x:v>0.06309319485396588</x:v>
      </x:c>
      <x:c r="M31" s="87" t="n">
        <x:f>IFERROR(F31/J31,0)</x:f>
        <x:v>0.09334154821106368</x:v>
      </x:c>
      <x:c r="N31" s="87" t="n">
        <x:f>IFERROR(G31/J31,0)</x:f>
        <x:v>0.12772667928237175</x:v>
      </x:c>
      <x:c r="O31" s="87" t="n">
        <x:f>IFERROR(H31/J31,0)</x:f>
        <x:v>0.23408000704132376</x:v>
      </x:c>
      <x:c r="P31" s="87" t="n">
        <x:f>IFERROR(I31/J31,0)</x:f>
        <x:v>0.004840910091097126</x:v>
      </x:c>
      <x:c r="Q31" s="86" t="n">
        <x:f>D31*INDEX('Régions'!$T$2:$Y$6,MATCH($B31,'Régions'!$A$2:$A$6,0),1)</x:f>
        <x:v>19190.88116485706</x:v>
      </x:c>
      <x:c r="R31" s="86" t="n">
        <x:f>E31*INDEX('Régions'!$T$2:$Y$6,MATCH($B31,'Régions'!$A$2:$A$6,0),2)</x:f>
        <x:v>9841.773342698421</x:v>
      </x:c>
      <x:c r="S31" s="86" t="n">
        <x:f>F31*INDEX('Régions'!$T$2:$Y$6,MATCH($B31,'Régions'!$A$2:$A$6,0),3)</x:f>
        <x:v>3821.036141047389</x:v>
      </x:c>
      <x:c r="T31" s="86" t="n">
        <x:f>G31*INDEX('Régions'!$T$2:$Y$6,MATCH($B31,'Régions'!$A$2:$A$6,0),4)</x:f>
        <x:v>15083.060739471077</x:v>
      </x:c>
      <x:c r="U31" s="86" t="n">
        <x:f>H31*INDEX('Régions'!$T$2:$Y$6,MATCH($B31,'Régions'!$A$2:$A$6,0),5)</x:f>
        <x:v>17988.96818938364</x:v>
      </x:c>
      <x:c r="V31" s="86" t="n">
        <x:f>I31*INDEX('Régions'!$T$2:$Y$6,MATCH($B31,'Régions'!$A$2:$A$6,0),6)</x:f>
        <x:v>766.1149178759368</x:v>
      </x:c>
      <x:c r="W31" s="86" t="n">
        <x:f>MAX(0,Q31+(AU31/100)*J31*'Régions'!$O$2)</x:f>
        <x:v>15127.427260439757</x:v>
      </x:c>
      <x:c r="X31" s="86" t="n">
        <x:f>MAX(0,R31+(AV31/100)*J31*'Régions'!$O$2)</x:f>
        <x:v>8846.288819752042</x:v>
      </x:c>
      <x:c r="Y31" s="86" t="n">
        <x:f>MAX(0,S31+(AW31/100)*J31*'Régions'!$O$2)</x:f>
        <x:v>3683.2769821881784</x:v>
      </x:c>
      <x:c r="Z31" s="86" t="n">
        <x:f>MAX(0,T31+(AX31/100)*J31*'Régions'!$O$2)</x:f>
        <x:v>17860.595656924284</x:v>
      </x:c>
      <x:c r="AA31" s="86" t="n">
        <x:f>U31</x:f>
        <x:v>17988.96818938364</x:v>
      </x:c>
      <x:c r="AB31" s="86" t="n">
        <x:f>V31</x:f>
        <x:v>766.1149178759368</x:v>
      </x:c>
      <x:c r="AC31" s="86" t="n">
        <x:f>D31*INDEX('Régions'!$Z$2:$AE$6,MATCH($B31,'Régions'!$A$2:$A$6,0),1)</x:f>
        <x:v>21452.663587858075</x:v>
      </x:c>
      <x:c r="AD31" s="86" t="n">
        <x:f>E31*INDEX('Régions'!$Z$2:$AE$6,MATCH($B31,'Régions'!$A$2:$A$6,0),2)</x:f>
        <x:v>11871.639094629973</x:v>
      </x:c>
      <x:c r="AE31" s="86" t="n">
        <x:f>F31*INDEX('Régions'!$Z$2:$AE$6,MATCH($B31,'Régions'!$A$2:$A$6,0),3)</x:f>
        <x:v>5397.213549229437</x:v>
      </x:c>
      <x:c r="AF31" s="86" t="n">
        <x:f>G31*INDEX('Régions'!$Z$2:$AE$6,MATCH($B31,'Régions'!$A$2:$A$6,0),4)</x:f>
        <x:v>16799.409030514336</x:v>
      </x:c>
      <x:c r="AG31" s="86" t="n">
        <x:f>H31*INDEX('Régions'!$Z$2:$AE$6,MATCH($B31,'Régions'!$A$2:$A$6,0),5)</x:f>
        <x:v>21480.944367322816</x:v>
      </x:c>
      <x:c r="AH31" s="86" t="n">
        <x:f>I31*INDEX('Régions'!$Z$2:$AE$6,MATCH($B31,'Régions'!$A$2:$A$6,0),6)</x:f>
        <x:v>3294.2941468665285</x:v>
      </x:c>
      <x:c r="AI31" s="86" t="n">
        <x:f>D31*INDEX('Régions'!$AF$2:$AK$6,MATCH($B31,'Régions'!$A$2:$A$6,0),1)</x:f>
        <x:v>16929.09874185605</x:v>
      </x:c>
      <x:c r="AJ31" s="86" t="n">
        <x:f>E31*INDEX('Régions'!$AF$2:$AK$6,MATCH($B31,'Régions'!$A$2:$A$6,0),2)</x:f>
        <x:v>7811.907590766873</x:v>
      </x:c>
      <x:c r="AK31" s="86" t="n">
        <x:f>F31*INDEX('Régions'!$AF$2:$AK$6,MATCH($B31,'Régions'!$A$2:$A$6,0),3)</x:f>
        <x:v>2244.8587328653407</x:v>
      </x:c>
      <x:c r="AL31" s="86" t="n">
        <x:f>G31*INDEX('Régions'!$AF$2:$AK$6,MATCH($B31,'Régions'!$A$2:$A$6,0),4)</x:f>
        <x:v>13366.712448427817</x:v>
      </x:c>
      <x:c r="AM31" s="86" t="n">
        <x:f>H31*INDEX('Régions'!$AF$2:$AK$6,MATCH($B31,'Régions'!$A$2:$A$6,0),5)</x:f>
        <x:v>14496.992011444461</x:v>
      </x:c>
      <x:c r="AN31" s="86" t="n">
        <x:f>I31*INDEX('Régions'!$AF$2:$AK$6,MATCH($B31,'Régions'!$A$2:$A$6,0),6)</x:f>
        <x:v>0</x:v>
      </x:c>
      <x:c r="AO31" s="84" t="str">
        <x:f>IF(MAX(Q31:V31)=Q31,"CAQ",IF(MAX(Q31:V31)=R31,"PLQ",IF(MAX(Q31:V31)=S31,"QS",IF(MAX(Q31:V31)=T31,"PQ",IF(MAX(Q31:V31)=U31,"PCQ","Autre")))))</x:f>
        <x:v>CAQ</x:v>
      </x:c>
      <x:c r="AP31" s="84" t="str">
        <x:f>IF(MAX(W31:AB31)=W31,"CAQ",IF(MAX(W31:AB31)=X31,"PLQ",IF(MAX(W31:AB31)=Y31,"QS",IF(MAX(W31:AB31)=Z31,"PQ",IF(MAX(W31:AB31)=AA31,"PCQ","Autre")))))</x:f>
        <x:v>PCQ</x:v>
      </x:c>
      <x:c r="AQ31" s="84" t="str">
        <x:f>IF(MAX(AC31:AH31)=AC31,"CAQ",IF(MAX(AC31:AH31)=AD31,"PLQ",IF(MAX(AC31:AH31)=AE31,"QS",IF(MAX(AC31:AH31)=AF31,"PQ",IF(MAX(AC31:AH31)=AG31,"PCQ","Autre")))))</x:f>
        <x:v>PCQ</x:v>
      </x:c>
      <x:c r="AR31" s="84" t="str">
        <x:f>IF(MAX(AI31:AN31)=AI31,"CAQ",IF(MAX(AI31:AN31)=AJ31,"PLQ",IF(MAX(AI31:AN31)=AK31,"QS",IF(MAX(AI31:AN31)=AL31,"PQ",IF(MAX(AI31:AN31)=AM31,"PCQ","Autre")))))</x:f>
        <x:v>CAQ</x:v>
      </x:c>
      <x:c r="AS31" s="88" t="n">
        <x:f>(MAX(K31:P31)-LARGE(K31:P31,2))*100</x:f>
        <x:v>24.283765347885407</x:v>
      </x:c>
      <x:c r="AT31" s="84" t="str">
        <x:f>IF(AS31&lt;5,"Oui","Non")</x:f>
        <x:v>Non</x:v>
      </x:c>
      <x:c r="AU31" s="89" t="n">
        <x:v>-11.921706067031351</x:v>
      </x:c>
      <x:c r="AV31" s="89" t="n">
        <x:v>-2.9206370137346283</x:v>
      </x:c>
      <x:c r="AW31" s="89" t="n">
        <x:v>-0.4041695165227899</x:v>
      </x:c>
      <x:c r="AX31" s="90" t="n">
        <x:v>8.148967763802336</x:v>
      </x:c>
    </x:row>
    <x:row r="32">
      <x:c r="A32" s="83" t="str">
        <x:v>Daniel-Johnson</x:v>
      </x:c>
      <x:c r="B32" s="84" t="str">
        <x:v>Banlieue de Montréal</x:v>
      </x:c>
      <x:c r="C32" s="84" t="str">
        <x:f>IF(MAX(D32:I32)=D32,"CAQ",IF(MAX(D32:I32)=E32,"PLQ",IF(MAX(D32:I32)=F32,"QS",IF(MAX(D32:I32)=G32,"PQ",IF(MAX(D32:I32)=H32,"PCQ","Autre")))))</x:f>
        <x:v>CAQ</x:v>
      </x:c>
      <x:c r="D32" s="85" t="n">
        <x:v>33672</x:v>
      </x:c>
      <x:c r="E32" s="85" t="n">
        <x:v>4087</x:v>
      </x:c>
      <x:c r="F32" s="85" t="n">
        <x:v>9910</x:v>
      </x:c>
      <x:c r="G32" s="85" t="n">
        <x:v>9631</x:v>
      </x:c>
      <x:c r="H32" s="85" t="n">
        <x:v>8893</x:v>
      </x:c>
      <x:c r="I32" s="85" t="n">
        <x:v>480</x:v>
      </x:c>
      <x:c r="J32" s="86" t="n">
        <x:f>SUM(D32:I32)</x:f>
        <x:v>66673</x:v>
      </x:c>
      <x:c r="K32" s="87" t="n">
        <x:f>IFERROR(D32/J32,0)</x:f>
        <x:v>0.505032021957914</x:v>
      </x:c>
      <x:c r="L32" s="87" t="n">
        <x:f>IFERROR(E32/J32,0)</x:f>
        <x:v>0.06129917657822507</x:v>
      </x:c>
      <x:c r="M32" s="87" t="n">
        <x:f>IFERROR(F32/J32,0)</x:f>
        <x:v>0.1486358795914388</x:v>
      </x:c>
      <x:c r="N32" s="87" t="n">
        <x:f>IFERROR(G32/J32,0)</x:f>
        <x:v>0.14445127712867278</x:v>
      </x:c>
      <x:c r="O32" s="87" t="n">
        <x:f>IFERROR(H32/J32,0)</x:f>
        <x:v>0.1333823286787755</x:v>
      </x:c>
      <x:c r="P32" s="87" t="n">
        <x:f>IFERROR(I32/J32,0)</x:f>
        <x:v>0.007199316064973827</x:v>
      </x:c>
      <x:c r="Q32" s="86" t="n">
        <x:f>D32*INDEX('Régions'!$T$2:$Y$6,MATCH($B32,'Régions'!$A$2:$A$6,0),1)</x:f>
        <x:v>23805.74327072126</x:v>
      </x:c>
      <x:c r="R32" s="86" t="n">
        <x:f>E32*INDEX('Régions'!$T$2:$Y$6,MATCH($B32,'Régions'!$A$2:$A$6,0),2)</x:f>
        <x:v>5228.333943086841</x:v>
      </x:c>
      <x:c r="S32" s="86" t="n">
        <x:f>F32*INDEX('Régions'!$T$2:$Y$6,MATCH($B32,'Régions'!$A$2:$A$6,0),3)</x:f>
        <x:v>5005.577893689031</x:v>
      </x:c>
      <x:c r="T32" s="86" t="n">
        <x:f>G32*INDEX('Régions'!$T$2:$Y$6,MATCH($B32,'Régions'!$A$2:$A$6,0),4)</x:f>
        <x:v>17957.96556039278</x:v>
      </x:c>
      <x:c r="U32" s="86" t="n">
        <x:f>H32*INDEX('Régions'!$T$2:$Y$6,MATCH($B32,'Régions'!$A$2:$A$6,0),5)</x:f>
        <x:v>10407.792798848333</x:v>
      </x:c>
      <x:c r="V32" s="86" t="n">
        <x:f>I32*INDEX('Régions'!$T$2:$Y$6,MATCH($B32,'Régions'!$A$2:$A$6,0),6)</x:f>
        <x:v>1030.5815031469826</x:v>
      </x:c>
      <x:c r="W32" s="86" t="n">
        <x:f>MAX(0,Q32+(AU32/100)*J32*'Régions'!$O$2)</x:f>
        <x:v>23239.326868901786</x:v>
      </x:c>
      <x:c r="X32" s="86" t="n">
        <x:f>MAX(0,R32+(AV32/100)*J32*'Régions'!$O$2)</x:f>
        <x:v>4118.675936338658</x:v>
      </x:c>
      <x:c r="Y32" s="86" t="n">
        <x:f>MAX(0,S32+(AW32/100)*J32*'Régions'!$O$2)</x:f>
        <x:v>4326.545551954354</x:v>
      </x:c>
      <x:c r="Z32" s="86" t="n">
        <x:f>MAX(0,T32+(AX32/100)*J32*'Régions'!$O$2)</x:f>
        <x:v>19078.038839752884</x:v>
      </x:c>
      <x:c r="AA32" s="86" t="n">
        <x:f>U32</x:f>
        <x:v>10407.792798848333</x:v>
      </x:c>
      <x:c r="AB32" s="86" t="n">
        <x:f>V32</x:f>
        <x:v>1030.5815031469826</x:v>
      </x:c>
      <x:c r="AC32" s="86" t="n">
        <x:f>D32*INDEX('Régions'!$Z$2:$AE$6,MATCH($B32,'Régions'!$A$2:$A$6,0),1)</x:f>
        <x:v>26260.710545514394</x:v>
      </x:c>
      <x:c r="AD32" s="86" t="n">
        <x:f>E32*INDEX('Régions'!$Z$2:$AE$6,MATCH($B32,'Régions'!$A$2:$A$6,0),2)</x:f>
        <x:v>6186.861832652761</x:v>
      </x:c>
      <x:c r="AE32" s="86" t="n">
        <x:f>F32*INDEX('Régions'!$Z$2:$AE$6,MATCH($B32,'Régions'!$A$2:$A$6,0),3)</x:f>
        <x:v>7365.350329285289</x:v>
      </x:c>
      <x:c r="AF32" s="86" t="n">
        <x:f>G32*INDEX('Régions'!$Z$2:$AE$6,MATCH($B32,'Régions'!$A$2:$A$6,0),4)</x:f>
        <x:v>19933.341772035983</x:v>
      </x:c>
      <x:c r="AG32" s="86" t="n">
        <x:f>H32*INDEX('Régions'!$Z$2:$AE$6,MATCH($B32,'Régions'!$A$2:$A$6,0),5)</x:f>
        <x:v>13269.935818531625</x:v>
      </x:c>
      <x:c r="AH32" s="86" t="n">
        <x:f>I32*INDEX('Régions'!$Z$2:$AE$6,MATCH($B32,'Régions'!$A$2:$A$6,0),6)</x:f>
        <x:v>4431.500463532025</x:v>
      </x:c>
      <x:c r="AI32" s="86" t="n">
        <x:f>D32*INDEX('Régions'!$AF$2:$AK$6,MATCH($B32,'Régions'!$A$2:$A$6,0),1)</x:f>
        <x:v>21350.775995928132</x:v>
      </x:c>
      <x:c r="AJ32" s="86" t="n">
        <x:f>E32*INDEX('Régions'!$AF$2:$AK$6,MATCH($B32,'Régions'!$A$2:$A$6,0),2)</x:f>
        <x:v>4269.80605352092</x:v>
      </x:c>
      <x:c r="AK32" s="86" t="n">
        <x:f>F32*INDEX('Régions'!$AF$2:$AK$6,MATCH($B32,'Régions'!$A$2:$A$6,0),3)</x:f>
        <x:v>2645.805458092774</x:v>
      </x:c>
      <x:c r="AL32" s="86" t="n">
        <x:f>G32*INDEX('Régions'!$AF$2:$AK$6,MATCH($B32,'Régions'!$A$2:$A$6,0),4)</x:f>
        <x:v>15982.589348749574</x:v>
      </x:c>
      <x:c r="AM32" s="86" t="n">
        <x:f>H32*INDEX('Régions'!$AF$2:$AK$6,MATCH($B32,'Régions'!$A$2:$A$6,0),5)</x:f>
        <x:v>7545.64977916504</x:v>
      </x:c>
      <x:c r="AN32" s="86" t="n">
        <x:f>I32*INDEX('Régions'!$AF$2:$AK$6,MATCH($B32,'Régions'!$A$2:$A$6,0),6)</x:f>
        <x:v>0</x:v>
      </x:c>
      <x:c r="AO32" s="84" t="str">
        <x:f>IF(MAX(Q32:V32)=Q32,"CAQ",IF(MAX(Q32:V32)=R32,"PLQ",IF(MAX(Q32:V32)=S32,"QS",IF(MAX(Q32:V32)=T32,"PQ",IF(MAX(Q32:V32)=U32,"PCQ","Autre")))))</x:f>
        <x:v>CAQ</x:v>
      </x:c>
      <x:c r="AP32" s="84" t="str">
        <x:f>IF(MAX(W32:AB32)=W32,"CAQ",IF(MAX(W32:AB32)=X32,"PLQ",IF(MAX(W32:AB32)=Y32,"QS",IF(MAX(W32:AB32)=Z32,"PQ",IF(MAX(W32:AB32)=AA32,"PCQ","Autre")))))</x:f>
        <x:v>CAQ</x:v>
      </x:c>
      <x:c r="AQ32" s="84" t="str">
        <x:f>IF(MAX(AC32:AH32)=AC32,"CAQ",IF(MAX(AC32:AH32)=AD32,"PLQ",IF(MAX(AC32:AH32)=AE32,"QS",IF(MAX(AC32:AH32)=AF32,"PQ",IF(MAX(AC32:AH32)=AG32,"PCQ","Autre")))))</x:f>
        <x:v>CAQ</x:v>
      </x:c>
      <x:c r="AR32" s="84" t="str">
        <x:f>IF(MAX(AI32:AN32)=AI32,"CAQ",IF(MAX(AI32:AN32)=AJ32,"PLQ",IF(MAX(AI32:AN32)=AK32,"QS",IF(MAX(AI32:AN32)=AL32,"PQ",IF(MAX(AI32:AN32)=AM32,"PCQ","Autre")))))</x:f>
        <x:v>CAQ</x:v>
      </x:c>
      <x:c r="AS32" s="88" t="n">
        <x:f>(MAX(K32:P32)-LARGE(K32:P32,2))*100</x:f>
        <x:v>35.63961423664752</x:v>
      </x:c>
      <x:c r="AT32" s="84" t="str">
        <x:f>IF(AS32&lt;5,"Oui","Non")</x:f>
        <x:v>Non</x:v>
      </x:c>
      <x:c r="AU32" s="89" t="n">
        <x:v>-1.6990877921181702</x:v>
      </x:c>
      <x:c r="AV32" s="89" t="n">
        <x:v>-3.328657797753762</x:v>
      </x:c>
      <x:c r="AW32" s="89" t="n">
        <x:v>-2.0369035193696927</x:v>
      </x:c>
      <x:c r="AX32" s="90" t="n">
        <x:v>3.3599006475187987</x:v>
      </x:c>
    </x:row>
    <x:row r="33">
      <x:c r="A33" s="83" t="str">
        <x:v>D'Arcy-McGee</x:v>
      </x:c>
      <x:c r="B33" s="84" t="str">
        <x:v>Île de Montréal</x:v>
      </x:c>
      <x:c r="C33" s="84" t="str">
        <x:f>IF(MAX(D33:I33)=D33,"CAQ",IF(MAX(D33:I33)=E33,"PLQ",IF(MAX(D33:I33)=F33,"QS",IF(MAX(D33:I33)=G33,"PQ",IF(MAX(D33:I33)=H33,"PCQ","Autre")))))</x:f>
        <x:v>PLQ</x:v>
      </x:c>
      <x:c r="D33" s="85" t="n">
        <x:v>3136</x:v>
      </x:c>
      <x:c r="E33" s="85" t="n">
        <x:v>27274</x:v>
      </x:c>
      <x:c r="F33" s="85" t="n">
        <x:v>4518</x:v>
      </x:c>
      <x:c r="G33" s="85" t="n">
        <x:v>2451</x:v>
      </x:c>
      <x:c r="H33" s="85" t="n">
        <x:v>14279</x:v>
      </x:c>
      <x:c r="I33" s="85" t="n">
        <x:v>1393</x:v>
      </x:c>
      <x:c r="J33" s="86" t="n">
        <x:f>SUM(D33:I33)</x:f>
        <x:v>53051</x:v>
      </x:c>
      <x:c r="K33" s="87" t="n">
        <x:f>IFERROR(D33/J33,0)</x:f>
        <x:v>0.05911292906825508</x:v>
      </x:c>
      <x:c r="L33" s="87" t="n">
        <x:f>IFERROR(E33/J33,0)</x:f>
        <x:v>0.5141090648621138</x:v>
      </x:c>
      <x:c r="M33" s="87" t="n">
        <x:f>IFERROR(F33/J33,0)</x:f>
        <x:v>0.08516333339616595</x:v>
      </x:c>
      <x:c r="N33" s="87" t="n">
        <x:f>IFERROR(G33/J33,0)</x:f>
        <x:v>0.04620082562062921</x:v>
      </x:c>
      <x:c r="O33" s="87" t="n">
        <x:f>IFERROR(H33/J33,0)</x:f>
        <x:v>0.26915609507832083</x:v>
      </x:c>
      <x:c r="P33" s="87" t="n">
        <x:f>IFERROR(I33/J33,0)</x:f>
        <x:v>0.02625775197451509</x:v>
      </x:c>
      <x:c r="Q33" s="86" t="n">
        <x:f>D33*INDEX('Régions'!$T$2:$Y$6,MATCH($B33,'Régions'!$A$2:$A$6,0),1)</x:f>
        <x:v>2348.8249972259828</x:v>
      </x:c>
      <x:c r="R33" s="86" t="n">
        <x:f>E33*INDEX('Régions'!$T$2:$Y$6,MATCH($B33,'Régions'!$A$2:$A$6,0),2)</x:f>
        <x:v>27176.006383977165</x:v>
      </x:c>
      <x:c r="S33" s="86" t="n">
        <x:f>F33*INDEX('Régions'!$T$2:$Y$6,MATCH($B33,'Régions'!$A$2:$A$6,0),3)</x:f>
        <x:v>3482.41120049284</x:v>
      </x:c>
      <x:c r="T33" s="86" t="n">
        <x:f>G33*INDEX('Régions'!$T$2:$Y$6,MATCH($B33,'Régions'!$A$2:$A$6,0),4)</x:f>
        <x:v>4741.752458902287</x:v>
      </x:c>
      <x:c r="U33" s="86" t="n">
        <x:f>H33*INDEX('Régions'!$T$2:$Y$6,MATCH($B33,'Régions'!$A$2:$A$6,0),5)</x:f>
        <x:v>11381.259315920319</x:v>
      </x:c>
      <x:c r="V33" s="86" t="n">
        <x:f>I33*INDEX('Régions'!$T$2:$Y$6,MATCH($B33,'Régions'!$A$2:$A$6,0),6)</x:f>
        <x:v>2059.788159414167</x:v>
      </x:c>
      <x:c r="W33" s="86" t="n">
        <x:f>MAX(0,Q33+(AU33/100)*J33*'Régions'!$O$2)</x:f>
        <x:v>1731.4727889083902</x:v>
      </x:c>
      <x:c r="X33" s="86" t="n">
        <x:f>MAX(0,R33+(AV33/100)*J33*'Régions'!$O$2)</x:f>
        <x:v>23252.8720819422</x:v>
      </x:c>
      <x:c r="Y33" s="86" t="n">
        <x:f>MAX(0,S33+(AW33/100)*J33*'Régions'!$O$2)</x:f>
        <x:v>3689.647634672981</x:v>
      </x:c>
      <x:c r="Z33" s="86" t="n">
        <x:f>MAX(0,T33+(AX33/100)*J33*'Régions'!$O$2)</x:f>
        <x:v>5074.822614381179</x:v>
      </x:c>
      <x:c r="AA33" s="86" t="n">
        <x:f>U33</x:f>
        <x:v>11381.259315920319</x:v>
      </x:c>
      <x:c r="AB33" s="86" t="n">
        <x:f>V33</x:f>
        <x:v>2059.788159414167</x:v>
      </x:c>
      <x:c r="AC33" s="86" t="n">
        <x:f>D33*INDEX('Régions'!$Z$2:$AE$6,MATCH($B33,'Régions'!$A$2:$A$6,0),1)</x:f>
        <x:v>2865.5664966156987</x:v>
      </x:c>
      <x:c r="AD33" s="86" t="n">
        <x:f>E33*INDEX('Régions'!$Z$2:$AE$6,MATCH($B33,'Régions'!$A$2:$A$6,0),2)</x:f>
        <x:v>29813.67759183377</x:v>
      </x:c>
      <x:c r="AE33" s="86" t="n">
        <x:f>F33*INDEX('Régions'!$Z$2:$AE$6,MATCH($B33,'Régions'!$A$2:$A$6,0),3)</x:f>
        <x:v>4158.408668823804</x:v>
      </x:c>
      <x:c r="AF33" s="86" t="n">
        <x:f>G33*INDEX('Régions'!$Z$2:$AE$6,MATCH($B33,'Régions'!$A$2:$A$6,0),4)</x:f>
        <x:v>5393.743422001351</x:v>
      </x:c>
      <x:c r="AG33" s="86" t="n">
        <x:f>H33*INDEX('Régions'!$Z$2:$AE$6,MATCH($B33,'Régions'!$A$2:$A$6,0),5)</x:f>
        <x:v>16076.028783737453</x:v>
      </x:c>
      <x:c r="AH33" s="86" t="n">
        <x:f>I33*INDEX('Régions'!$Z$2:$AE$6,MATCH($B33,'Régions'!$A$2:$A$6,0),6)</x:f>
        <x:v>5458.438622447543</x:v>
      </x:c>
      <x:c r="AI33" s="86" t="n">
        <x:f>D33*INDEX('Régions'!$AF$2:$AK$6,MATCH($B33,'Régions'!$A$2:$A$6,0),1)</x:f>
        <x:v>1832.0834978362666</x:v>
      </x:c>
      <x:c r="AJ33" s="86" t="n">
        <x:f>E33*INDEX('Régions'!$AF$2:$AK$6,MATCH($B33,'Régions'!$A$2:$A$6,0),2)</x:f>
        <x:v>24538.335176120556</x:v>
      </x:c>
      <x:c r="AK33" s="86" t="n">
        <x:f>F33*INDEX('Régions'!$AF$2:$AK$6,MATCH($B33,'Régions'!$A$2:$A$6,0),3)</x:f>
        <x:v>2806.413732161877</x:v>
      </x:c>
      <x:c r="AL33" s="86" t="n">
        <x:f>G33*INDEX('Régions'!$AF$2:$AK$6,MATCH($B33,'Régions'!$A$2:$A$6,0),4)</x:f>
        <x:v>4089.761495803222</x:v>
      </x:c>
      <x:c r="AM33" s="86" t="n">
        <x:f>H33*INDEX('Régions'!$AF$2:$AK$6,MATCH($B33,'Régions'!$A$2:$A$6,0),5)</x:f>
        <x:v>6686.489848103188</x:v>
      </x:c>
      <x:c r="AN33" s="86" t="n">
        <x:f>I33*INDEX('Régions'!$AF$2:$AK$6,MATCH($B33,'Régions'!$A$2:$A$6,0),6)</x:f>
        <x:v>0</x:v>
      </x:c>
      <x:c r="AO33" s="84" t="str">
        <x:f>IF(MAX(Q33:V33)=Q33,"CAQ",IF(MAX(Q33:V33)=R33,"PLQ",IF(MAX(Q33:V33)=S33,"QS",IF(MAX(Q33:V33)=T33,"PQ",IF(MAX(Q33:V33)=U33,"PCQ","Autre")))))</x:f>
        <x:v>PLQ</x:v>
      </x:c>
      <x:c r="AP33" s="84" t="str">
        <x:f>IF(MAX(W33:AB33)=W33,"CAQ",IF(MAX(W33:AB33)=X33,"PLQ",IF(MAX(W33:AB33)=Y33,"QS",IF(MAX(W33:AB33)=Z33,"PQ",IF(MAX(W33:AB33)=AA33,"PCQ","Autre")))))</x:f>
        <x:v>PLQ</x:v>
      </x:c>
      <x:c r="AQ33" s="84" t="str">
        <x:f>IF(MAX(AC33:AH33)=AC33,"CAQ",IF(MAX(AC33:AH33)=AD33,"PLQ",IF(MAX(AC33:AH33)=AE33,"QS",IF(MAX(AC33:AH33)=AF33,"PQ",IF(MAX(AC33:AH33)=AG33,"PCQ","Autre")))))</x:f>
        <x:v>PLQ</x:v>
      </x:c>
      <x:c r="AR33" s="84" t="str">
        <x:f>IF(MAX(AI33:AN33)=AI33,"CAQ",IF(MAX(AI33:AN33)=AJ33,"PLQ",IF(MAX(AI33:AN33)=AK33,"QS",IF(MAX(AI33:AN33)=AL33,"PQ",IF(MAX(AI33:AN33)=AM33,"PCQ","Autre")))))</x:f>
        <x:v>PLQ</x:v>
      </x:c>
      <x:c r="AS33" s="88" t="n">
        <x:f>(MAX(K33:P33)-LARGE(K33:P33,2))*100</x:f>
        <x:v>24.4952969783793</x:v>
      </x:c>
      <x:c r="AT33" s="84" t="str">
        <x:f>IF(AS33&lt;5,"Oui","Non")</x:f>
        <x:v>Non</x:v>
      </x:c>
      <x:c r="AU33" s="89" t="n">
        <x:v>-2.327391409464827</x:v>
      </x:c>
      <x:c r="AV33" s="89" t="n">
        <x:v>-14.79004845162189</x:v>
      </x:c>
      <x:c r="AW33" s="89" t="n">
        <x:v>0.7812724894163764</x:v>
      </x:c>
      <x:c r="AX33" s="90" t="n">
        <x:v>1.255660234411763</x:v>
      </x:c>
    </x:row>
    <x:row r="34">
      <x:c r="A34" s="83" t="str">
        <x:v>Deux-Montagnes</x:v>
      </x:c>
      <x:c r="B34" s="84" t="str">
        <x:v>Banlieue de Montréal</x:v>
      </x:c>
      <x:c r="C34" s="84" t="str">
        <x:f>IF(MAX(D34:I34)=D34,"CAQ",IF(MAX(D34:I34)=E34,"PLQ",IF(MAX(D34:I34)=F34,"QS",IF(MAX(D34:I34)=G34,"PQ",IF(MAX(D34:I34)=H34,"PCQ","Autre")))))</x:f>
        <x:v>CAQ</x:v>
      </x:c>
      <x:c r="D34" s="85" t="n">
        <x:v>32362</x:v>
      </x:c>
      <x:c r="E34" s="85" t="n">
        <x:v>7063</x:v>
      </x:c>
      <x:c r="F34" s="85" t="n">
        <x:v>9729</x:v>
      </x:c>
      <x:c r="G34" s="85" t="n">
        <x:v>12440</x:v>
      </x:c>
      <x:c r="H34" s="85" t="n">
        <x:v>6753</x:v>
      </x:c>
      <x:c r="I34" s="85" t="n">
        <x:v>393</x:v>
      </x:c>
      <x:c r="J34" s="86" t="n">
        <x:f>SUM(D34:I34)</x:f>
        <x:v>68740</x:v>
      </x:c>
      <x:c r="K34" s="87" t="n">
        <x:f>IFERROR(D34/J34,0)</x:f>
        <x:v>0.47078847832411985</x:v>
      </x:c>
      <x:c r="L34" s="87" t="n">
        <x:f>IFERROR(E34/J34,0)</x:f>
        <x:v>0.10274949083503054</x:v>
      </x:c>
      <x:c r="M34" s="87" t="n">
        <x:f>IFERROR(F34/J34,0)</x:f>
        <x:v>0.1415333139365726</x:v>
      </x:c>
      <x:c r="N34" s="87" t="n">
        <x:f>IFERROR(G34/J34,0)</x:f>
        <x:v>0.1809717777131219</x:v>
      </x:c>
      <x:c r="O34" s="87" t="n">
        <x:f>IFERROR(H34/J34,0)</x:f>
        <x:v>0.09823974396275822</x:v>
      </x:c>
      <x:c r="P34" s="87" t="n">
        <x:f>IFERROR(I34/J34,0)</x:f>
        <x:v>0.005717195228396857</x:v>
      </x:c>
      <x:c r="Q34" s="86" t="n">
        <x:f>D34*INDEX('Régions'!$T$2:$Y$6,MATCH($B34,'Régions'!$A$2:$A$6,0),1)</x:f>
        <x:v>22879.58730479572</x:v>
      </x:c>
      <x:c r="R34" s="86" t="n">
        <x:f>E34*INDEX('Régions'!$T$2:$Y$6,MATCH($B34,'Régions'!$A$2:$A$6,0),2)</x:f>
        <x:v>9035.41048202162</x:v>
      </x:c>
      <x:c r="S34" s="86" t="n">
        <x:f>F34*INDEX('Régions'!$T$2:$Y$6,MATCH($B34,'Régions'!$A$2:$A$6,0),3)</x:f>
        <x:v>4914.154119848697</x:v>
      </x:c>
      <x:c r="T34" s="86" t="n">
        <x:f>G34*INDEX('Régions'!$T$2:$Y$6,MATCH($B34,'Régions'!$A$2:$A$6,0),4)</x:f>
        <x:v>23195.627823827865</x:v>
      </x:c>
      <x:c r="U34" s="86" t="n">
        <x:f>H34*INDEX('Régions'!$T$2:$Y$6,MATCH($B34,'Régions'!$A$2:$A$6,0),5)</x:f>
        <x:v>7903.2750219973905</x:v>
      </x:c>
      <x:c r="V34" s="86" t="n">
        <x:f>I34*INDEX('Régions'!$T$2:$Y$6,MATCH($B34,'Régions'!$A$2:$A$6,0),6)</x:f>
        <x:v>843.788605701592</x:v>
      </x:c>
      <x:c r="W34" s="86" t="n">
        <x:f>MAX(0,Q34+(AU34/100)*J34*'Régions'!$O$2)</x:f>
        <x:v>21727.385436995304</x:v>
      </x:c>
      <x:c r="X34" s="86" t="n">
        <x:f>MAX(0,R34+(AV34/100)*J34*'Régions'!$O$2)</x:f>
        <x:v>10184.143352541529</x:v>
      </x:c>
      <x:c r="Y34" s="86" t="n">
        <x:f>MAX(0,S34+(AW34/100)*J34*'Régions'!$O$2)</x:f>
        <x:v>5026.3861385795135</x:v>
      </x:c>
      <x:c r="Z34" s="86" t="n">
        <x:f>MAX(0,T34+(AX34/100)*J34*'Régions'!$O$2)</x:f>
        <x:v>23370.122384205726</x:v>
      </x:c>
      <x:c r="AA34" s="86" t="n">
        <x:f>U34</x:f>
        <x:v>7903.2750219973905</x:v>
      </x:c>
      <x:c r="AB34" s="86" t="n">
        <x:f>V34</x:f>
        <x:v>843.788605701592</x:v>
      </x:c>
      <x:c r="AC34" s="86" t="n">
        <x:f>D34*INDEX('Régions'!$Z$2:$AE$6,MATCH($B34,'Régions'!$A$2:$A$6,0),1)</x:f>
        <x:v>25239.04474560278</x:v>
      </x:c>
      <x:c r="AD34" s="86" t="n">
        <x:f>E34*INDEX('Régions'!$Z$2:$AE$6,MATCH($B34,'Régions'!$A$2:$A$6,0),2)</x:f>
        <x:v>10691.902403725582</x:v>
      </x:c>
      <x:c r="AE34" s="86" t="n">
        <x:f>F34*INDEX('Régions'!$Z$2:$AE$6,MATCH($B34,'Régions'!$A$2:$A$6,0),3)</x:f>
        <x:v>7230.8267763487975</x:v>
      </x:c>
      <x:c r="AF34" s="86" t="n">
        <x:f>G34*INDEX('Régions'!$Z$2:$AE$6,MATCH($B34,'Régions'!$A$2:$A$6,0),4)</x:f>
        <x:v>25747.146884448928</x:v>
      </x:c>
      <x:c r="AG34" s="86" t="n">
        <x:f>H34*INDEX('Régions'!$Z$2:$AE$6,MATCH($B34,'Régions'!$A$2:$A$6,0),5)</x:f>
        <x:v>10076.675653046674</x:v>
      </x:c>
      <x:c r="AH34" s="86" t="n">
        <x:f>I34*INDEX('Régions'!$Z$2:$AE$6,MATCH($B34,'Régions'!$A$2:$A$6,0),6)</x:f>
        <x:v>3628.2910045168455</x:v>
      </x:c>
      <x:c r="AI34" s="86" t="n">
        <x:f>D34*INDEX('Régions'!$AF$2:$AK$6,MATCH($B34,'Régions'!$A$2:$A$6,0),1)</x:f>
        <x:v>20520.129863988663</x:v>
      </x:c>
      <x:c r="AJ34" s="86" t="n">
        <x:f>E34*INDEX('Régions'!$AF$2:$AK$6,MATCH($B34,'Régions'!$A$2:$A$6,0),2)</x:f>
        <x:v>7378.918560317656</x:v>
      </x:c>
      <x:c r="AK34" s="86" t="n">
        <x:f>F34*INDEX('Régions'!$AF$2:$AK$6,MATCH($B34,'Régions'!$A$2:$A$6,0),3)</x:f>
        <x:v>2597.481463348597</x:v>
      </x:c>
      <x:c r="AL34" s="86" t="n">
        <x:f>G34*INDEX('Régions'!$AF$2:$AK$6,MATCH($B34,'Régions'!$A$2:$A$6,0),4)</x:f>
        <x:v>20644.1087632068</x:v>
      </x:c>
      <x:c r="AM34" s="86" t="n">
        <x:f>H34*INDEX('Régions'!$AF$2:$AK$6,MATCH($B34,'Régions'!$A$2:$A$6,0),5)</x:f>
        <x:v>5729.874390948107</x:v>
      </x:c>
      <x:c r="AN34" s="86" t="n">
        <x:f>I34*INDEX('Régions'!$AF$2:$AK$6,MATCH($B34,'Régions'!$A$2:$A$6,0),6)</x:f>
        <x:v>0</x:v>
      </x:c>
      <x:c r="AO34" s="84" t="str">
        <x:f>IF(MAX(Q34:V34)=Q34,"CAQ",IF(MAX(Q34:V34)=R34,"PLQ",IF(MAX(Q34:V34)=S34,"QS",IF(MAX(Q34:V34)=T34,"PQ",IF(MAX(Q34:V34)=U34,"PCQ","Autre")))))</x:f>
        <x:v>PQ</x:v>
      </x:c>
      <x:c r="AP34" s="84" t="str">
        <x:f>IF(MAX(W34:AB34)=W34,"CAQ",IF(MAX(W34:AB34)=X34,"PLQ",IF(MAX(W34:AB34)=Y34,"QS",IF(MAX(W34:AB34)=Z34,"PQ",IF(MAX(W34:AB34)=AA34,"PCQ","Autre")))))</x:f>
        <x:v>PQ</x:v>
      </x:c>
      <x:c r="AQ34" s="84" t="str">
        <x:f>IF(MAX(AC34:AH34)=AC34,"CAQ",IF(MAX(AC34:AH34)=AD34,"PLQ",IF(MAX(AC34:AH34)=AE34,"QS",IF(MAX(AC34:AH34)=AF34,"PQ",IF(MAX(AC34:AH34)=AG34,"PCQ","Autre")))))</x:f>
        <x:v>PQ</x:v>
      </x:c>
      <x:c r="AR34" s="84" t="str">
        <x:f>IF(MAX(AI34:AN34)=AI34,"CAQ",IF(MAX(AI34:AN34)=AJ34,"PLQ",IF(MAX(AI34:AN34)=AK34,"QS",IF(MAX(AI34:AN34)=AL34,"PQ",IF(MAX(AI34:AN34)=AM34,"PCQ","Autre")))))</x:f>
        <x:v>PQ</x:v>
      </x:c>
      <x:c r="AS34" s="88" t="n">
        <x:f>(MAX(K34:P34)-LARGE(K34:P34,2))*100</x:f>
        <x:v>28.981670061099795</x:v>
      </x:c>
      <x:c r="AT34" s="84" t="str">
        <x:f>IF(AS34&lt;5,"Oui","Non")</x:f>
        <x:v>Non</x:v>
      </x:c>
      <x:c r="AU34" s="89" t="n">
        <x:v>-3.352347593251137</x:v>
      </x:c>
      <x:c r="AV34" s="89" t="n">
        <x:v>3.3422544967119854</x:v>
      </x:c>
      <x:c r="AW34" s="89" t="n">
        <x:v>0.3265406422194278</x:v>
      </x:c>
      <x:c r="AX34" s="90" t="n">
        <x:v>0.5076943857371563</x:v>
      </x:c>
    </x:row>
    <x:row r="35">
      <x:c r="A35" s="83" t="str">
        <x:v>Drummond-Bois-Francs</x:v>
      </x:c>
      <x:c r="B35" s="84" t="str">
        <x:v>Reste du Québec</x:v>
      </x:c>
      <x:c r="C35" s="84" t="str">
        <x:f>IF(MAX(D35:I35)=D35,"CAQ",IF(MAX(D35:I35)=E35,"PLQ",IF(MAX(D35:I35)=F35,"QS",IF(MAX(D35:I35)=G35,"PQ",IF(MAX(D35:I35)=H35,"PCQ","Autre")))))</x:f>
        <x:v>CAQ</x:v>
      </x:c>
      <x:c r="D35" s="85" t="n">
        <x:v>37692</x:v>
      </x:c>
      <x:c r="E35" s="85" t="n">
        <x:v>2934</x:v>
      </x:c>
      <x:c r="F35" s="85" t="n">
        <x:v>7766</x:v>
      </x:c>
      <x:c r="G35" s="85" t="n">
        <x:v>11740</x:v>
      </x:c>
      <x:c r="H35" s="85" t="n">
        <x:v>12748</x:v>
      </x:c>
      <x:c r="I35" s="85" t="n">
        <x:v>181</x:v>
      </x:c>
      <x:c r="J35" s="86" t="n">
        <x:f>SUM(D35:I35)</x:f>
        <x:v>73061</x:v>
      </x:c>
      <x:c r="K35" s="87" t="n">
        <x:f>IFERROR(D35/J35,0)</x:f>
        <x:v>0.5158976745459274</x:v>
      </x:c>
      <x:c r="L35" s="87" t="n">
        <x:f>IFERROR(E35/J35,0)</x:f>
        <x:v>0.04015822394985012</x:v>
      </x:c>
      <x:c r="M35" s="87" t="n">
        <x:f>IFERROR(F35/J35,0)</x:f>
        <x:v>0.10629474001177099</x:v>
      </x:c>
      <x:c r="N35" s="87" t="n">
        <x:f>IFERROR(G35/J35,0)</x:f>
        <x:v>0.16068764457097495</x:v>
      </x:c>
      <x:c r="O35" s="87" t="n">
        <x:f>IFERROR(H35/J35,0)</x:f>
        <x:v>0.17448433500773328</x:v>
      </x:c>
      <x:c r="P35" s="87" t="n">
        <x:f>IFERROR(I35/J35,0)</x:f>
        <x:v>0.0024773819137433105</x:v>
      </x:c>
      <x:c r="Q35" s="86" t="n">
        <x:f>D35*INDEX('Régions'!$T$2:$Y$6,MATCH($B35,'Régions'!$A$2:$A$6,0),1)</x:f>
        <x:v>22249.167754476708</x:v>
      </x:c>
      <x:c r="R35" s="86" t="n">
        <x:f>E35*INDEX('Régions'!$T$2:$Y$6,MATCH($B35,'Régions'!$A$2:$A$6,0),2)</x:f>
        <x:v>6713.732384905178</x:v>
      </x:c>
      <x:c r="S35" s="86" t="n">
        <x:f>F35*INDEX('Régions'!$T$2:$Y$6,MATCH($B35,'Régions'!$A$2:$A$6,0),3)</x:f>
        <x:v>4663.549689041965</x:v>
      </x:c>
      <x:c r="T35" s="86" t="n">
        <x:f>G35*INDEX('Régions'!$T$2:$Y$6,MATCH($B35,'Régions'!$A$2:$A$6,0),4)</x:f>
        <x:v>20337.1003883531</x:v>
      </x:c>
      <x:c r="U35" s="86" t="n">
        <x:f>H35*INDEX('Régions'!$T$2:$Y$6,MATCH($B35,'Régions'!$A$2:$A$6,0),5)</x:f>
        <x:v>14371.333363305297</x:v>
      </x:c>
      <x:c r="V35" s="86" t="n">
        <x:f>I35*INDEX('Régions'!$T$2:$Y$6,MATCH($B35,'Régions'!$A$2:$A$6,0),6)</x:f>
        <x:v>420.2024246531654</x:v>
      </x:c>
      <x:c r="W35" s="86" t="n">
        <x:f>MAX(0,Q35+(AU35/100)*J35*'Régions'!$O$2)</x:f>
        <x:v>18353.679095337233</x:v>
      </x:c>
      <x:c r="X35" s="86" t="n">
        <x:f>MAX(0,R35+(AV35/100)*J35*'Régions'!$O$2)</x:f>
        <x:v>8087.387241663981</x:v>
      </x:c>
      <x:c r="Y35" s="86" t="n">
        <x:f>MAX(0,S35+(AW35/100)*J35*'Régions'!$O$2)</x:f>
        <x:v>3480.437248649164</x:v>
      </x:c>
      <x:c r="Z35" s="86" t="n">
        <x:f>MAX(0,T35+(AX35/100)*J35*'Régions'!$O$2)</x:f>
        <x:v>23610.561970735613</x:v>
      </x:c>
      <x:c r="AA35" s="86" t="n">
        <x:f>U35</x:f>
        <x:v>14371.333363305297</x:v>
      </x:c>
      <x:c r="AB35" s="86" t="n">
        <x:f>V35</x:f>
        <x:v>420.2024246531654</x:v>
      </x:c>
      <x:c r="AC35" s="86" t="n">
        <x:f>D35*INDEX('Régions'!$Z$2:$AE$6,MATCH($B35,'Régions'!$A$2:$A$6,0),1)</x:f>
        <x:v>24871.39109696861</x:v>
      </x:c>
      <x:c r="AD35" s="86" t="n">
        <x:f>E35*INDEX('Régions'!$Z$2:$AE$6,MATCH($B35,'Régions'!$A$2:$A$6,0),2)</x:f>
        <x:v>8098.439689291871</x:v>
      </x:c>
      <x:c r="AE35" s="86" t="n">
        <x:f>F35*INDEX('Régions'!$Z$2:$AE$6,MATCH($B35,'Régions'!$A$2:$A$6,0),3)</x:f>
        <x:v>6587.263935771775</x:v>
      </x:c>
      <x:c r="AF35" s="86" t="n">
        <x:f>G35*INDEX('Régions'!$Z$2:$AE$6,MATCH($B35,'Régions'!$A$2:$A$6,0),4)</x:f>
        <x:v>22651.322156682934</x:v>
      </x:c>
      <x:c r="AG35" s="86" t="n">
        <x:f>H35*INDEX('Régions'!$Z$2:$AE$6,MATCH($B35,'Régions'!$A$2:$A$6,0),5)</x:f>
        <x:v>17161.062780888093</x:v>
      </x:c>
      <x:c r="AH35" s="86" t="n">
        <x:f>I35*INDEX('Régions'!$Z$2:$AE$6,MATCH($B35,'Régions'!$A$2:$A$6,0),6)</x:f>
        <x:v>1806.870426008611</x:v>
      </x:c>
      <x:c r="AI35" s="86" t="n">
        <x:f>D35*INDEX('Régions'!$AF$2:$AK$6,MATCH($B35,'Régions'!$A$2:$A$6,0),1)</x:f>
        <x:v>19626.944411984812</x:v>
      </x:c>
      <x:c r="AJ35" s="86" t="n">
        <x:f>E35*INDEX('Régions'!$AF$2:$AK$6,MATCH($B35,'Régions'!$A$2:$A$6,0),2)</x:f>
        <x:v>5329.025080518485</x:v>
      </x:c>
      <x:c r="AK35" s="86" t="n">
        <x:f>F35*INDEX('Régions'!$AF$2:$AK$6,MATCH($B35,'Régions'!$A$2:$A$6,0),3)</x:f>
        <x:v>2739.835442312154</x:v>
      </x:c>
      <x:c r="AL35" s="86" t="n">
        <x:f>G35*INDEX('Régions'!$AF$2:$AK$6,MATCH($B35,'Régions'!$A$2:$A$6,0),4)</x:f>
        <x:v>18022.878620023264</x:v>
      </x:c>
      <x:c r="AM35" s="86" t="n">
        <x:f>H35*INDEX('Régions'!$AF$2:$AK$6,MATCH($B35,'Régions'!$A$2:$A$6,0),5)</x:f>
        <x:v>11581.603945722503</x:v>
      </x:c>
      <x:c r="AN35" s="86" t="n">
        <x:f>I35*INDEX('Régions'!$AF$2:$AK$6,MATCH($B35,'Régions'!$A$2:$A$6,0),6)</x:f>
        <x:v>0</x:v>
      </x:c>
      <x:c r="AO35" s="84" t="str">
        <x:f>IF(MAX(Q35:V35)=Q35,"CAQ",IF(MAX(Q35:V35)=R35,"PLQ",IF(MAX(Q35:V35)=S35,"QS",IF(MAX(Q35:V35)=T35,"PQ",IF(MAX(Q35:V35)=U35,"PCQ","Autre")))))</x:f>
        <x:v>CAQ</x:v>
      </x:c>
      <x:c r="AP35" s="84" t="str">
        <x:f>IF(MAX(W35:AB35)=W35,"CAQ",IF(MAX(W35:AB35)=X35,"PLQ",IF(MAX(W35:AB35)=Y35,"QS",IF(MAX(W35:AB35)=Z35,"PQ",IF(MAX(W35:AB35)=AA35,"PCQ","Autre")))))</x:f>
        <x:v>PQ</x:v>
      </x:c>
      <x:c r="AQ35" s="84" t="str">
        <x:f>IF(MAX(AC35:AH35)=AC35,"CAQ",IF(MAX(AC35:AH35)=AD35,"PLQ",IF(MAX(AC35:AH35)=AE35,"QS",IF(MAX(AC35:AH35)=AF35,"PQ",IF(MAX(AC35:AH35)=AG35,"PCQ","Autre")))))</x:f>
        <x:v>CAQ</x:v>
      </x:c>
      <x:c r="AR35" s="84" t="str">
        <x:f>IF(MAX(AI35:AN35)=AI35,"CAQ",IF(MAX(AI35:AN35)=AJ35,"PLQ",IF(MAX(AI35:AN35)=AK35,"QS",IF(MAX(AI35:AN35)=AL35,"PQ",IF(MAX(AI35:AN35)=AM35,"PCQ","Autre")))))</x:f>
        <x:v>CAQ</x:v>
      </x:c>
      <x:c r="AS35" s="88" t="n">
        <x:f>(MAX(K35:P35)-LARGE(K35:P35,2))*100</x:f>
        <x:v>34.141333953819405</x:v>
      </x:c>
      <x:c r="AT35" s="84" t="str">
        <x:f>IF(AS35&lt;5,"Oui","Non")</x:f>
        <x:v>Non</x:v>
      </x:c>
      <x:c r="AU35" s="89" t="n">
        <x:v>-10.663660938502002</x:v>
      </x:c>
      <x:c r="AV35" s="89" t="n">
        <x:v>3.760295798740239</x:v>
      </x:c>
      <x:c r="AW35" s="89" t="n">
        <x:v>-3.238697637297057</x:v>
      </x:c>
      <x:c r="AX35" s="90" t="n">
        <x:v>8.960900021577888</x:v>
      </x:c>
    </x:row>
    <x:row r="36">
      <x:c r="A36" s="83" t="str">
        <x:v>Dubuc</x:v>
      </x:c>
      <x:c r="B36" s="84" t="str">
        <x:v>Reste du Québec</x:v>
      </x:c>
      <x:c r="C36" s="84" t="str">
        <x:f>IF(MAX(D36:I36)=D36,"CAQ",IF(MAX(D36:I36)=E36,"PLQ",IF(MAX(D36:I36)=F36,"QS",IF(MAX(D36:I36)=G36,"PQ",IF(MAX(D36:I36)=H36,"PCQ","Autre")))))</x:f>
        <x:v>CAQ</x:v>
      </x:c>
      <x:c r="D36" s="85" t="n">
        <x:v>31786</x:v>
      </x:c>
      <x:c r="E36" s="85" t="n">
        <x:v>1373</x:v>
      </x:c>
      <x:c r="F36" s="85" t="n">
        <x:v>5838</x:v>
      </x:c>
      <x:c r="G36" s="85" t="n">
        <x:v>9674</x:v>
      </x:c>
      <x:c r="H36" s="85" t="n">
        <x:v>6085</x:v>
      </x:c>
      <x:c r="I36" s="85" t="n">
        <x:v>410</x:v>
      </x:c>
      <x:c r="J36" s="86" t="n">
        <x:f>SUM(D36:I36)</x:f>
        <x:v>55166</x:v>
      </x:c>
      <x:c r="K36" s="87" t="n">
        <x:f>IFERROR(D36/J36,0)</x:f>
        <x:v>0.5761882318819562</x:v>
      </x:c>
      <x:c r="L36" s="87" t="n">
        <x:f>IFERROR(E36/J36,0)</x:f>
        <x:v>0.02488851829025124</x:v>
      </x:c>
      <x:c r="M36" s="87" t="n">
        <x:f>IFERROR(F36/J36,0)</x:f>
        <x:v>0.10582605227857739</x:v>
      </x:c>
      <x:c r="N36" s="87" t="n">
        <x:f>IFERROR(G36/J36,0)</x:f>
        <x:v>0.17536163579016062</x:v>
      </x:c>
      <x:c r="O36" s="87" t="n">
        <x:f>IFERROR(H36/J36,0)</x:f>
        <x:v>0.11030344777580393</x:v>
      </x:c>
      <x:c r="P36" s="87" t="n">
        <x:f>IFERROR(I36/J36,0)</x:f>
        <x:v>0.007432113983250553</x:v>
      </x:c>
      <x:c r="Q36" s="86" t="n">
        <x:f>D36*INDEX('Régions'!$T$2:$Y$6,MATCH($B36,'Régions'!$A$2:$A$6,0),1)</x:f>
        <x:v>18762.9217405231</x:v>
      </x:c>
      <x:c r="R36" s="86" t="n">
        <x:f>E36*INDEX('Régions'!$T$2:$Y$6,MATCH($B36,'Régions'!$A$2:$A$6,0),2)</x:f>
        <x:v>3141.770471872805</x:v>
      </x:c>
      <x:c r="S36" s="86" t="n">
        <x:f>F36*INDEX('Régions'!$T$2:$Y$6,MATCH($B36,'Régions'!$A$2:$A$6,0),3)</x:f>
        <x:v>3505.7691327101456</x:v>
      </x:c>
      <x:c r="T36" s="86" t="n">
        <x:f>G36*INDEX('Régions'!$T$2:$Y$6,MATCH($B36,'Régions'!$A$2:$A$6,0),4)</x:f>
        <x:v>16758.186469925713</x:v>
      </x:c>
      <x:c r="U36" s="86" t="n">
        <x:f>H36*INDEX('Régions'!$T$2:$Y$6,MATCH($B36,'Régions'!$A$2:$A$6,0),5)</x:f>
        <x:v>6859.865352660239</x:v>
      </x:c>
      <x:c r="V36" s="86" t="n">
        <x:f>I36*INDEX('Régions'!$T$2:$Y$6,MATCH($B36,'Régions'!$A$2:$A$6,0),6)</x:f>
        <x:v>951.8397464519215</x:v>
      </x:c>
      <x:c r="W36" s="86" t="n">
        <x:f>MAX(0,Q36+(AU36/100)*J36*'Régions'!$O$2)</x:f>
        <x:v>21914.253976324788</x:v>
      </x:c>
      <x:c r="X36" s="86" t="n">
        <x:f>MAX(0,R36+(AV36/100)*J36*'Régions'!$O$2)</x:f>
        <x:v>1178.8069631588694</x:v>
      </x:c>
      <x:c r="Y36" s="86" t="n">
        <x:f>MAX(0,S36+(AW36/100)*J36*'Régions'!$O$2)</x:f>
        <x:v>3400.2738585170823</x:v>
      </x:c>
      <x:c r="Z36" s="86" t="n">
        <x:f>MAX(0,T36+(AX36/100)*J36*'Régions'!$O$2)</x:f>
        <x:v>17266.579934851954</x:v>
      </x:c>
      <x:c r="AA36" s="86" t="n">
        <x:f>U36</x:f>
        <x:v>6859.865352660239</x:v>
      </x:c>
      <x:c r="AB36" s="86" t="n">
        <x:f>V36</x:f>
        <x:v>951.8397464519215</x:v>
      </x:c>
      <x:c r="AC36" s="86" t="n">
        <x:f>D36*INDEX('Régions'!$Z$2:$AE$6,MATCH($B36,'Régions'!$A$2:$A$6,0),1)</x:f>
        <x:v>20974.266088513326</x:v>
      </x:c>
      <x:c r="AD36" s="86" t="n">
        <x:f>E36*INDEX('Régions'!$Z$2:$AE$6,MATCH($B36,'Régions'!$A$2:$A$6,0),2)</x:f>
        <x:v>3789.760631696571</x:v>
      </x:c>
      <x:c r="AE36" s="86" t="n">
        <x:f>F36*INDEX('Régions'!$Z$2:$AE$6,MATCH($B36,'Régions'!$A$2:$A$6,0),3)</x:f>
        <x:v>4951.898899953081</x:v>
      </x:c>
      <x:c r="AF36" s="86" t="n">
        <x:f>G36*INDEX('Régions'!$Z$2:$AE$6,MATCH($B36,'Régions'!$A$2:$A$6,0),4)</x:f>
        <x:v>18665.152516503465</x:v>
      </x:c>
      <x:c r="AG36" s="86" t="n">
        <x:f>H36*INDEX('Régions'!$Z$2:$AE$6,MATCH($B36,'Régions'!$A$2:$A$6,0),5)</x:f>
        <x:v>8191.486274058992</x:v>
      </x:c>
      <x:c r="AH36" s="86" t="n">
        <x:f>I36*INDEX('Régions'!$Z$2:$AE$6,MATCH($B36,'Régions'!$A$2:$A$6,0),6)</x:f>
        <x:v>4092.910909743263</x:v>
      </x:c>
      <x:c r="AI36" s="86" t="n">
        <x:f>D36*INDEX('Régions'!$AF$2:$AK$6,MATCH($B36,'Régions'!$A$2:$A$6,0),1)</x:f>
        <x:v>16551.57739253288</x:v>
      </x:c>
      <x:c r="AJ36" s="86" t="n">
        <x:f>E36*INDEX('Régions'!$AF$2:$AK$6,MATCH($B36,'Régions'!$A$2:$A$6,0),2)</x:f>
        <x:v>2493.780312049039</x:v>
      </x:c>
      <x:c r="AK36" s="86" t="n">
        <x:f>F36*INDEX('Régions'!$AF$2:$AK$6,MATCH($B36,'Régions'!$A$2:$A$6,0),3)</x:f>
        <x:v>2059.6393654672106</x:v>
      </x:c>
      <x:c r="AL36" s="86" t="n">
        <x:f>G36*INDEX('Régions'!$AF$2:$AK$6,MATCH($B36,'Régions'!$A$2:$A$6,0),4)</x:f>
        <x:v>14851.220423347962</x:v>
      </x:c>
      <x:c r="AM36" s="86" t="n">
        <x:f>H36*INDEX('Régions'!$AF$2:$AK$6,MATCH($B36,'Régions'!$A$2:$A$6,0),5)</x:f>
        <x:v>5528.244431261487</x:v>
      </x:c>
      <x:c r="AN36" s="86" t="n">
        <x:f>I36*INDEX('Régions'!$AF$2:$AK$6,MATCH($B36,'Régions'!$A$2:$A$6,0),6)</x:f>
        <x:v>0</x:v>
      </x:c>
      <x:c r="AO36" s="84" t="str">
        <x:f>IF(MAX(Q36:V36)=Q36,"CAQ",IF(MAX(Q36:V36)=R36,"PLQ",IF(MAX(Q36:V36)=S36,"QS",IF(MAX(Q36:V36)=T36,"PQ",IF(MAX(Q36:V36)=U36,"PCQ","Autre")))))</x:f>
        <x:v>CAQ</x:v>
      </x:c>
      <x:c r="AP36" s="84" t="str">
        <x:f>IF(MAX(W36:AB36)=W36,"CAQ",IF(MAX(W36:AB36)=X36,"PLQ",IF(MAX(W36:AB36)=Y36,"QS",IF(MAX(W36:AB36)=Z36,"PQ",IF(MAX(W36:AB36)=AA36,"PCQ","Autre")))))</x:f>
        <x:v>CAQ</x:v>
      </x:c>
      <x:c r="AQ36" s="84" t="str">
        <x:f>IF(MAX(AC36:AH36)=AC36,"CAQ",IF(MAX(AC36:AH36)=AD36,"PLQ",IF(MAX(AC36:AH36)=AE36,"QS",IF(MAX(AC36:AH36)=AF36,"PQ",IF(MAX(AC36:AH36)=AG36,"PCQ","Autre")))))</x:f>
        <x:v>CAQ</x:v>
      </x:c>
      <x:c r="AR36" s="84" t="str">
        <x:f>IF(MAX(AI36:AN36)=AI36,"CAQ",IF(MAX(AI36:AN36)=AJ36,"PLQ",IF(MAX(AI36:AN36)=AK36,"QS",IF(MAX(AI36:AN36)=AL36,"PQ",IF(MAX(AI36:AN36)=AM36,"PCQ","Autre")))))</x:f>
        <x:v>CAQ</x:v>
      </x:c>
      <x:c r="AS36" s="88" t="n">
        <x:f>(MAX(K36:P36)-LARGE(K36:P36,2))*100</x:f>
        <x:v>40.08265960917956</x:v>
      </x:c>
      <x:c r="AT36" s="84" t="str">
        <x:f>IF(AS36&lt;5,"Oui","Non")</x:f>
        <x:v>Non</x:v>
      </x:c>
      <x:c r="AU36" s="89" t="n">
        <x:v>11.424907500278032</x:v>
      </x:c>
      <x:c r="AV36" s="89" t="n">
        <x:v>-7.116570020352883</x:v>
      </x:c>
      <x:c r="AW36" s="89" t="n">
        <x:v>-0.3824648304863981</x:v>
      </x:c>
      <x:c r="AX36" s="90" t="n">
        <x:v>1.84314057544952</x:v>
      </x:c>
    </x:row>
    <x:row r="37">
      <x:c r="A37" s="83" t="str">
        <x:v>Duplessis</x:v>
      </x:c>
      <x:c r="B37" s="84" t="str">
        <x:v>Reste du Québec</x:v>
      </x:c>
      <x:c r="C37" s="84" t="str">
        <x:f>IF(MAX(D37:I37)=D37,"CAQ",IF(MAX(D37:I37)=E37,"PLQ",IF(MAX(D37:I37)=F37,"QS",IF(MAX(D37:I37)=G37,"PQ",IF(MAX(D37:I37)=H37,"PCQ","Autre")))))</x:f>
        <x:v>CAQ</x:v>
      </x:c>
      <x:c r="D37" s="85" t="n">
        <x:v>17551</x:v>
      </x:c>
      <x:c r="E37" s="85" t="n">
        <x:v>1564</x:v>
      </x:c>
      <x:c r="F37" s="85" t="n">
        <x:v>3638</x:v>
      </x:c>
      <x:c r="G37" s="85" t="n">
        <x:v>9640</x:v>
      </x:c>
      <x:c r="H37" s="85" t="n">
        <x:v>6112</x:v>
      </x:c>
      <x:c r="I37" s="85" t="n">
        <x:v>380</x:v>
      </x:c>
      <x:c r="J37" s="86" t="n">
        <x:f>SUM(D37:I37)</x:f>
        <x:v>38885</x:v>
      </x:c>
      <x:c r="K37" s="87" t="n">
        <x:f>IFERROR(D37/J37,0)</x:f>
        <x:v>0.45135656422785136</x:v>
      </x:c>
      <x:c r="L37" s="87" t="n">
        <x:f>IFERROR(E37/J37,0)</x:f>
        <x:v>0.04022116497364022</x:v>
      </x:c>
      <x:c r="M37" s="87" t="n">
        <x:f>IFERROR(F37/J37,0)</x:f>
        <x:v>0.09355792722129355</x:v>
      </x:c>
      <x:c r="N37" s="87" t="n">
        <x:f>IFERROR(G37/J37,0)</x:f>
        <x:v>0.24791050533624792</x:v>
      </x:c>
      <x:c r="O37" s="87" t="n">
        <x:f>IFERROR(H37/J37,0)</x:f>
        <x:v>0.15718143242895719</x:v>
      </x:c>
      <x:c r="P37" s="87" t="n">
        <x:f>IFERROR(I37/J37,0)</x:f>
        <x:v>0.009772405812009772</x:v>
      </x:c>
      <x:c r="Q37" s="86" t="n">
        <x:f>D37*INDEX('Régions'!$T$2:$Y$6,MATCH($B37,'Régions'!$A$2:$A$6,0),1)</x:f>
        <x:v>10360.15980204873</x:v>
      </x:c>
      <x:c r="R37" s="86" t="n">
        <x:f>E37*INDEX('Régions'!$T$2:$Y$6,MATCH($B37,'Régions'!$A$2:$A$6,0),2)</x:f>
        <x:v>3578.826670072154</x:v>
      </x:c>
      <x:c r="S37" s="86" t="n">
        <x:f>F37*INDEX('Régions'!$T$2:$Y$6,MATCH($B37,'Régions'!$A$2:$A$6,0),3)</x:f>
        <x:v>2184.650240630269</x:v>
      </x:c>
      <x:c r="T37" s="86" t="n">
        <x:f>G37*INDEX('Régions'!$T$2:$Y$6,MATCH($B37,'Régions'!$A$2:$A$6,0),4)</x:f>
        <x:v>16699.288564201353</x:v>
      </x:c>
      <x:c r="U37" s="86" t="n">
        <x:f>H37*INDEX('Régions'!$T$2:$Y$6,MATCH($B37,'Régions'!$A$2:$A$6,0),5)</x:f>
        <x:v>6890.3035391058975</x:v>
      </x:c>
      <x:c r="V37" s="86" t="n">
        <x:f>I37*INDEX('Régions'!$T$2:$Y$6,MATCH($B37,'Régions'!$A$2:$A$6,0),6)</x:f>
        <x:v>882.1929357359273</x:v>
      </x:c>
      <x:c r="W37" s="86" t="n">
        <x:f>MAX(0,Q37+(AU37/100)*J37*'Régions'!$O$2)</x:f>
        <x:v>11423.772924766241</x:v>
      </x:c>
      <x:c r="X37" s="86" t="n">
        <x:f>MAX(0,R37+(AV37/100)*J37*'Régions'!$O$2)</x:f>
        <x:v>3356.667255333955</x:v>
      </x:c>
      <x:c r="Y37" s="86" t="n">
        <x:f>MAX(0,S37+(AW37/100)*J37*'Régions'!$O$2)</x:f>
        <x:v>1813.1705647673857</x:v>
      </x:c>
      <x:c r="Z37" s="86" t="n">
        <x:f>MAX(0,T37+(AX37/100)*J37*'Régions'!$O$2)</x:f>
        <x:v>15913.274763087918</x:v>
      </x:c>
      <x:c r="AA37" s="86" t="n">
        <x:f>U37</x:f>
        <x:v>6890.3035391058975</x:v>
      </x:c>
      <x:c r="AB37" s="86" t="n">
        <x:f>V37</x:f>
        <x:v>882.1929357359273</x:v>
      </x:c>
      <x:c r="AC37" s="86" t="n">
        <x:f>D37*INDEX('Régions'!$Z$2:$AE$6,MATCH($B37,'Régions'!$A$2:$A$6,0),1)</x:f>
        <x:v>11581.178635861617</x:v>
      </x:c>
      <x:c r="AD37" s="86" t="n">
        <x:f>E37*INDEX('Régions'!$Z$2:$AE$6,MATCH($B37,'Régions'!$A$2:$A$6,0),2)</x:f>
        <x:v>4316.959670774536</x:v>
      </x:c>
      <x:c r="AE37" s="86" t="n">
        <x:f>F37*INDEX('Régions'!$Z$2:$AE$6,MATCH($B37,'Régions'!$A$2:$A$6,0),3)</x:f>
        <x:v>3085.8184648902547</x:v>
      </x:c>
      <x:c r="AF37" s="86" t="n">
        <x:f>G37*INDEX('Régions'!$Z$2:$AE$6,MATCH($B37,'Régions'!$A$2:$A$6,0),4)</x:f>
        <x:v>18599.552435300127</x:v>
      </x:c>
      <x:c r="AG37" s="86" t="n">
        <x:f>H37*INDEX('Régions'!$Z$2:$AE$6,MATCH($B37,'Régions'!$A$2:$A$6,0),5)</x:f>
        <x:v>8227.833049638219</x:v>
      </x:c>
      <x:c r="AH37" s="86" t="n">
        <x:f>I37*INDEX('Régions'!$Z$2:$AE$6,MATCH($B37,'Régions'!$A$2:$A$6,0),6)</x:f>
        <x:v>3793.4296236644873</x:v>
      </x:c>
      <x:c r="AI37" s="86" t="n">
        <x:f>D37*INDEX('Régions'!$AF$2:$AK$6,MATCH($B37,'Régions'!$A$2:$A$6,0),1)</x:f>
        <x:v>9139.140968235844</x:v>
      </x:c>
      <x:c r="AJ37" s="86" t="n">
        <x:f>E37*INDEX('Régions'!$AF$2:$AK$6,MATCH($B37,'Régions'!$A$2:$A$6,0),2)</x:f>
        <x:v>2840.693669369772</x:v>
      </x:c>
      <x:c r="AK37" s="86" t="n">
        <x:f>F37*INDEX('Régions'!$AF$2:$AK$6,MATCH($B37,'Régions'!$A$2:$A$6,0),3)</x:f>
        <x:v>1283.482016370283</x:v>
      </x:c>
      <x:c r="AL37" s="86" t="n">
        <x:f>G37*INDEX('Régions'!$AF$2:$AK$6,MATCH($B37,'Régions'!$A$2:$A$6,0),4)</x:f>
        <x:v>14799.02469310258</x:v>
      </x:c>
      <x:c r="AM37" s="86" t="n">
        <x:f>H37*INDEX('Régions'!$AF$2:$AK$6,MATCH($B37,'Régions'!$A$2:$A$6,0),5)</x:f>
        <x:v>5552.774028573575</x:v>
      </x:c>
      <x:c r="AN37" s="86" t="n">
        <x:f>I37*INDEX('Régions'!$AF$2:$AK$6,MATCH($B37,'Régions'!$A$2:$A$6,0),6)</x:f>
        <x:v>0</x:v>
      </x:c>
      <x:c r="AO37" s="84" t="str">
        <x:f>IF(MAX(Q37:V37)=Q37,"CAQ",IF(MAX(Q37:V37)=R37,"PLQ",IF(MAX(Q37:V37)=S37,"QS",IF(MAX(Q37:V37)=T37,"PQ",IF(MAX(Q37:V37)=U37,"PCQ","Autre")))))</x:f>
        <x:v>PQ</x:v>
      </x:c>
      <x:c r="AP37" s="84" t="str">
        <x:f>IF(MAX(W37:AB37)=W37,"CAQ",IF(MAX(W37:AB37)=X37,"PLQ",IF(MAX(W37:AB37)=Y37,"QS",IF(MAX(W37:AB37)=Z37,"PQ",IF(MAX(W37:AB37)=AA37,"PCQ","Autre")))))</x:f>
        <x:v>PQ</x:v>
      </x:c>
      <x:c r="AQ37" s="84" t="str">
        <x:f>IF(MAX(AC37:AH37)=AC37,"CAQ",IF(MAX(AC37:AH37)=AD37,"PLQ",IF(MAX(AC37:AH37)=AE37,"QS",IF(MAX(AC37:AH37)=AF37,"PQ",IF(MAX(AC37:AH37)=AG37,"PCQ","Autre")))))</x:f>
        <x:v>PQ</x:v>
      </x:c>
      <x:c r="AR37" s="84" t="str">
        <x:f>IF(MAX(AI37:AN37)=AI37,"CAQ",IF(MAX(AI37:AN37)=AJ37,"PLQ",IF(MAX(AI37:AN37)=AK37,"QS",IF(MAX(AI37:AN37)=AL37,"PQ",IF(MAX(AI37:AN37)=AM37,"PCQ","Autre")))))</x:f>
        <x:v>PQ</x:v>
      </x:c>
      <x:c r="AS37" s="88" t="n">
        <x:f>(MAX(K37:P37)-LARGE(K37:P37,2))*100</x:f>
        <x:v>20.344605889160345</x:v>
      </x:c>
      <x:c r="AT37" s="84" t="str">
        <x:f>IF(AS37&lt;5,"Oui","Non")</x:f>
        <x:v>Non</x:v>
      </x:c>
      <x:c r="AU37" s="89" t="n">
        <x:v>5.470557401144455</x:v>
      </x:c>
      <x:c r="AV37" s="89" t="n">
        <x:v>-1.1426483977790864</x:v>
      </x:c>
      <x:c r="AW37" s="89" t="n">
        <x:v>-1.9106579702347082</x:v>
      </x:c>
      <x:c r="AX37" s="90" t="n">
        <x:v>-4.042760967537279</x:v>
      </x:c>
    </x:row>
    <x:row r="38">
      <x:c r="A38" s="83" t="str">
        <x:v>Fabre</x:v>
      </x:c>
      <x:c r="B38" s="84" t="str">
        <x:v>Banlieue de Montréal</x:v>
      </x:c>
      <x:c r="C38" s="84" t="str">
        <x:f>IF(MAX(D38:I38)=D38,"CAQ",IF(MAX(D38:I38)=E38,"PLQ",IF(MAX(D38:I38)=F38,"QS",IF(MAX(D38:I38)=G38,"PQ",IF(MAX(D38:I38)=H38,"PCQ","Autre")))))</x:f>
        <x:v>CAQ</x:v>
      </x:c>
      <x:c r="D38" s="85" t="n">
        <x:v>22893</x:v>
      </x:c>
      <x:c r="E38" s="85" t="n">
        <x:v>22251</x:v>
      </x:c>
      <x:c r="F38" s="85" t="n">
        <x:v>8014</x:v>
      </x:c>
      <x:c r="G38" s="85" t="n">
        <x:v>7897</x:v>
      </x:c>
      <x:c r="H38" s="85" t="n">
        <x:v>10920</x:v>
      </x:c>
      <x:c r="I38" s="85" t="n">
        <x:v>1</x:v>
      </x:c>
      <x:c r="J38" s="86" t="n">
        <x:f>SUM(D38:I38)</x:f>
        <x:v>71976</x:v>
      </x:c>
      <x:c r="K38" s="87" t="n">
        <x:f>IFERROR(D38/J38,0)</x:f>
        <x:v>0.3180643547849283</x:v>
      </x:c>
      <x:c r="L38" s="87" t="n">
        <x:f>IFERROR(E38/J38,0)</x:f>
        <x:v>0.3091447149049683</x:v>
      </x:c>
      <x:c r="M38" s="87" t="n">
        <x:f>IFERROR(F38/J38,0)</x:f>
        <x:v>0.11134266977881516</x:v>
      </x:c>
      <x:c r="N38" s="87" t="n">
        <x:f>IFERROR(G38/J38,0)</x:f>
        <x:v>0.10971712793153274</x:v>
      </x:c>
      <x:c r="O38" s="87" t="n">
        <x:f>IFERROR(H38/J38,0)</x:f>
        <x:v>0.15171723907969323</x:v>
      </x:c>
      <x:c r="P38" s="87" t="n">
        <x:f>IFERROR(I38/J38,0)</x:f>
        <x:v>0.000013893520062242969</x:v>
      </x:c>
      <x:c r="Q38" s="86" t="n">
        <x:f>D38*INDEX('Régions'!$T$2:$Y$6,MATCH($B38,'Régions'!$A$2:$A$6,0),1)</x:f>
        <x:v>16185.105746514073</x:v>
      </x:c>
      <x:c r="R38" s="86" t="n">
        <x:f>E38*INDEX('Régions'!$T$2:$Y$6,MATCH($B38,'Régions'!$A$2:$A$6,0),2)</x:f>
        <x:v>28464.805130321827</x:v>
      </x:c>
      <x:c r="S38" s="86" t="n">
        <x:f>F38*INDEX('Régions'!$T$2:$Y$6,MATCH($B38,'Régions'!$A$2:$A$6,0),3)</x:f>
        <x:v>4047.9012351184556</x:v>
      </x:c>
      <x:c r="T38" s="86" t="n">
        <x:f>G38*INDEX('Régions'!$T$2:$Y$6,MATCH($B38,'Régions'!$A$2:$A$6,0),4)</x:f>
        <x:v>14724.748627392979</x:v>
      </x:c>
      <x:c r="U38" s="86" t="n">
        <x:f>H38*INDEX('Régions'!$T$2:$Y$6,MATCH($B38,'Régions'!$A$2:$A$6,0),5)</x:f>
        <x:v>12780.062674398267</x:v>
      </x:c>
      <x:c r="V38" s="86" t="n">
        <x:f>I38*INDEX('Régions'!$T$2:$Y$6,MATCH($B38,'Régions'!$A$2:$A$6,0),6)</x:f>
        <x:v>2.1470447982228804</x:v>
      </x:c>
      <x:c r="W38" s="86" t="n">
        <x:f>MAX(0,Q38+(AU38/100)*J38*'Régions'!$O$2)</x:f>
        <x:v>14838.764600976108</x:v>
      </x:c>
      <x:c r="X38" s="86" t="n">
        <x:f>MAX(0,R38+(AV38/100)*J38*'Régions'!$O$2)</x:f>
        <x:v>28407.56515319846</x:v>
      </x:c>
      <x:c r="Y38" s="86" t="n">
        <x:f>MAX(0,S38+(AW38/100)*J38*'Régions'!$O$2)</x:f>
        <x:v>4431.833699498906</x:v>
      </x:c>
      <x:c r="Z38" s="86" t="n">
        <x:f>MAX(0,T38+(AX38/100)*J38*'Régions'!$O$2)</x:f>
        <x:v>14518.364473949276</x:v>
      </x:c>
      <x:c r="AA38" s="86" t="n">
        <x:f>U38</x:f>
        <x:v>12780.062674398267</x:v>
      </x:c>
      <x:c r="AB38" s="86" t="n">
        <x:f>V38</x:f>
        <x:v>2.1470447982228804</x:v>
      </x:c>
      <x:c r="AC38" s="86" t="n">
        <x:f>D38*INDEX('Régions'!$Z$2:$AE$6,MATCH($B38,'Régions'!$A$2:$A$6,0),1)</x:f>
        <x:v>17854.194776623335</x:v>
      </x:c>
      <x:c r="AD38" s="86" t="n">
        <x:f>E38*INDEX('Régions'!$Z$2:$AE$6,MATCH($B38,'Régions'!$A$2:$A$6,0),2)</x:f>
        <x:v>33683.352737547495</x:v>
      </x:c>
      <x:c r="AE38" s="86" t="n">
        <x:f>F38*INDEX('Régions'!$Z$2:$AE$6,MATCH($B38,'Régions'!$A$2:$A$6,0),3)</x:f>
        <x:v>5956.197531674299</x:v>
      </x:c>
      <x:c r="AF38" s="86" t="n">
        <x:f>G38*INDEX('Régions'!$Z$2:$AE$6,MATCH($B38,'Régions'!$A$2:$A$6,0),4)</x:f>
        <x:v>16344.470976406203</x:v>
      </x:c>
      <x:c r="AG38" s="86" t="n">
        <x:f>H38*INDEX('Régions'!$Z$2:$AE$6,MATCH($B38,'Régions'!$A$2:$A$6,0),5)</x:f>
        <x:v>16294.579909857792</x:v>
      </x:c>
      <x:c r="AH38" s="86" t="n">
        <x:f>I38*INDEX('Régions'!$Z$2:$AE$6,MATCH($B38,'Régions'!$A$2:$A$6,0),6)</x:f>
        <x:v>9.232292632358385</x:v>
      </x:c>
      <x:c r="AI38" s="86" t="n">
        <x:f>D38*INDEX('Régions'!$AF$2:$AK$6,MATCH($B38,'Régions'!$A$2:$A$6,0),1)</x:f>
        <x:v>14516.016716404809</x:v>
      </x:c>
      <x:c r="AJ38" s="86" t="n">
        <x:f>E38*INDEX('Régions'!$AF$2:$AK$6,MATCH($B38,'Régions'!$A$2:$A$6,0),2)</x:f>
        <x:v>23246.257523096156</x:v>
      </x:c>
      <x:c r="AK38" s="86" t="n">
        <x:f>F38*INDEX('Régions'!$AF$2:$AK$6,MATCH($B38,'Régions'!$A$2:$A$6,0),3)</x:f>
        <x:v>2139.6049385626125</x:v>
      </x:c>
      <x:c r="AL38" s="86" t="n">
        <x:f>G38*INDEX('Régions'!$AF$2:$AK$6,MATCH($B38,'Régions'!$A$2:$A$6,0),4)</x:f>
        <x:v>13105.026278379752</x:v>
      </x:c>
      <x:c r="AM38" s="86" t="n">
        <x:f>H38*INDEX('Régions'!$AF$2:$AK$6,MATCH($B38,'Régions'!$A$2:$A$6,0),5)</x:f>
        <x:v>9265.545438938743</x:v>
      </x:c>
      <x:c r="AN38" s="86" t="n">
        <x:f>I38*INDEX('Régions'!$AF$2:$AK$6,MATCH($B38,'Régions'!$A$2:$A$6,0),6)</x:f>
        <x:v>0</x:v>
      </x:c>
      <x:c r="AO38" s="84" t="str">
        <x:f>IF(MAX(Q38:V38)=Q38,"CAQ",IF(MAX(Q38:V38)=R38,"PLQ",IF(MAX(Q38:V38)=S38,"QS",IF(MAX(Q38:V38)=T38,"PQ",IF(MAX(Q38:V38)=U38,"PCQ","Autre")))))</x:f>
        <x:v>PLQ</x:v>
      </x:c>
      <x:c r="AP38" s="84" t="str">
        <x:f>IF(MAX(W38:AB38)=W38,"CAQ",IF(MAX(W38:AB38)=X38,"PLQ",IF(MAX(W38:AB38)=Y38,"QS",IF(MAX(W38:AB38)=Z38,"PQ",IF(MAX(W38:AB38)=AA38,"PCQ","Autre")))))</x:f>
        <x:v>PLQ</x:v>
      </x:c>
      <x:c r="AQ38" s="84" t="str">
        <x:f>IF(MAX(AC38:AH38)=AC38,"CAQ",IF(MAX(AC38:AH38)=AD38,"PLQ",IF(MAX(AC38:AH38)=AE38,"QS",IF(MAX(AC38:AH38)=AF38,"PQ",IF(MAX(AC38:AH38)=AG38,"PCQ","Autre")))))</x:f>
        <x:v>PLQ</x:v>
      </x:c>
      <x:c r="AR38" s="84" t="str">
        <x:f>IF(MAX(AI38:AN38)=AI38,"CAQ",IF(MAX(AI38:AN38)=AJ38,"PLQ",IF(MAX(AI38:AN38)=AK38,"QS",IF(MAX(AI38:AN38)=AL38,"PQ",IF(MAX(AI38:AN38)=AM38,"PCQ","Autre")))))</x:f>
        <x:v>PLQ</x:v>
      </x:c>
      <x:c r="AS38" s="88" t="n">
        <x:f>(MAX(K38:P38)-LARGE(K38:P38,2))*100</x:f>
        <x:v>0.8919639879959973</x:v>
      </x:c>
      <x:c r="AT38" s="84" t="str">
        <x:f>IF(AS38&lt;5,"Oui","Non")</x:f>
        <x:v>Oui</x:v>
      </x:c>
      <x:c r="AU38" s="89" t="n">
        <x:v>-3.7410835432309772</x:v>
      </x:c>
      <x:c r="AV38" s="89" t="n">
        <x:v>-0.1590529541051683</x:v>
      </x:c>
      <x:c r="AW38" s="89" t="n">
        <x:v>1.0668346792832337</x:v>
      </x:c>
      <x:c r="AX38" s="90" t="n">
        <x:v>-0.573480475279825</x:v>
      </x:c>
    </x:row>
    <x:row r="39">
      <x:c r="A39" s="83" t="str">
        <x:v>Gaspé</x:v>
      </x:c>
      <x:c r="B39" s="84" t="str">
        <x:v>Reste du Québec</x:v>
      </x:c>
      <x:c r="C39" s="84" t="str">
        <x:f>IF(MAX(D39:I39)=D39,"CAQ",IF(MAX(D39:I39)=E39,"PLQ",IF(MAX(D39:I39)=F39,"QS",IF(MAX(D39:I39)=G39,"PQ",IF(MAX(D39:I39)=H39,"PCQ","Autre")))))</x:f>
        <x:v>CAQ</x:v>
      </x:c>
      <x:c r="D39" s="85" t="n">
        <x:v>15000</x:v>
      </x:c>
      <x:c r="E39" s="85" t="n">
        <x:v>2496</x:v>
      </x:c>
      <x:c r="F39" s="85" t="n">
        <x:v>3250</x:v>
      </x:c>
      <x:c r="G39" s="85" t="n">
        <x:v>13588</x:v>
      </x:c>
      <x:c r="H39" s="85" t="n">
        <x:v>1901</x:v>
      </x:c>
      <x:c r="I39" s="85" t="n">
        <x:v>0</x:v>
      </x:c>
      <x:c r="J39" s="86" t="n">
        <x:f>SUM(D39:I39)</x:f>
        <x:v>36235</x:v>
      </x:c>
      <x:c r="K39" s="87" t="n">
        <x:f>IFERROR(D39/J39,0)</x:f>
        <x:v>0.4139643990616807</x:v>
      </x:c>
      <x:c r="L39" s="87" t="n">
        <x:f>IFERROR(E39/J39,0)</x:f>
        <x:v>0.06888367600386366</x:v>
      </x:c>
      <x:c r="M39" s="87" t="n">
        <x:f>IFERROR(F39/J39,0)</x:f>
        <x:v>0.08969228646336415</x:v>
      </x:c>
      <x:c r="N39" s="87" t="n">
        <x:f>IFERROR(G39/J39,0)</x:f>
        <x:v>0.3749965502966745</x:v>
      </x:c>
      <x:c r="O39" s="87" t="n">
        <x:f>IFERROR(H39/J39,0)</x:f>
        <x:v>0.052463088174417</x:v>
      </x:c>
      <x:c r="P39" s="87" t="n">
        <x:f>IFERROR(I39/J39,0)</x:f>
        <x:v>0</x:v>
      </x:c>
      <x:c r="Q39" s="86" t="n">
        <x:f>D39*INDEX('Régions'!$T$2:$Y$6,MATCH($B39,'Régions'!$A$2:$A$6,0),1)</x:f>
        <x:v>8854.332917254342</x:v>
      </x:c>
      <x:c r="R39" s="86" t="n">
        <x:f>E39*INDEX('Régions'!$T$2:$Y$6,MATCH($B39,'Régions'!$A$2:$A$6,0),2)</x:f>
        <x:v>5711.477857097248</x:v>
      </x:c>
      <x:c r="S39" s="86" t="n">
        <x:f>F39*INDEX('Régions'!$T$2:$Y$6,MATCH($B39,'Régions'!$A$2:$A$6,0),3)</x:f>
        <x:v>1951.6529087543634</x:v>
      </x:c>
      <x:c r="T39" s="86" t="n">
        <x:f>G39*INDEX('Régions'!$T$2:$Y$6,MATCH($B39,'Régions'!$A$2:$A$6,0),4)</x:f>
        <x:v>23538.374793606636</x:v>
      </x:c>
      <x:c r="U39" s="86" t="n">
        <x:f>H39*INDEX('Régions'!$T$2:$Y$6,MATCH($B39,'Régions'!$A$2:$A$6,0),5)</x:f>
        <x:v>2143.0737938220404</x:v>
      </x:c>
      <x:c r="V39" s="86" t="n">
        <x:f>I39*INDEX('Régions'!$T$2:$Y$6,MATCH($B39,'Régions'!$A$2:$A$6,0),6)</x:f>
        <x:v>0</x:v>
      </x:c>
      <x:c r="W39" s="86" t="n">
        <x:f>MAX(0,Q39+(AU39/100)*J39*'Régions'!$O$2)</x:f>
        <x:v>11722.767382511158</x:v>
      </x:c>
      <x:c r="X39" s="86" t="n">
        <x:f>MAX(0,R39+(AV39/100)*J39*'Régions'!$O$2)</x:f>
        <x:v>3259.569925534235</x:v>
      </x:c>
      <x:c r="Y39" s="86" t="n">
        <x:f>MAX(0,S39+(AW39/100)*J39*'Régions'!$O$2)</x:f>
        <x:v>1276.1055906295082</x:v>
      </x:c>
      <x:c r="Z39" s="86" t="n">
        <x:f>MAX(0,T39+(AX39/100)*J39*'Régions'!$O$2)</x:f>
        <x:v>25272.699061002106</x:v>
      </x:c>
      <x:c r="AA39" s="86" t="n">
        <x:f>U39</x:f>
        <x:v>2143.0737938220404</x:v>
      </x:c>
      <x:c r="AB39" s="86" t="n">
        <x:f>V39</x:f>
        <x:v>0</x:v>
      </x:c>
      <x:c r="AC39" s="86" t="n">
        <x:f>D39*INDEX('Régions'!$Z$2:$AE$6,MATCH($B39,'Régions'!$A$2:$A$6,0),1)</x:f>
        <x:v>9897.87929678789</x:v>
      </x:c>
      <x:c r="AD39" s="86" t="n">
        <x:f>E39*INDEX('Régions'!$Z$2:$AE$6,MATCH($B39,'Régions'!$A$2:$A$6,0),2)</x:f>
        <x:v>6889.4701651235555</x:v>
      </x:c>
      <x:c r="AE39" s="86" t="n">
        <x:f>F39*INDEX('Régions'!$Z$2:$AE$6,MATCH($B39,'Régions'!$A$2:$A$6,0),3)</x:f>
        <x:v>2756.7097336155384</x:v>
      </x:c>
      <x:c r="AF39" s="86" t="n">
        <x:f>G39*INDEX('Régions'!$Z$2:$AE$6,MATCH($B39,'Régions'!$A$2:$A$6,0),4)</x:f>
        <x:v>26216.879511499807</x:v>
      </x:c>
      <x:c r="AG39" s="86" t="n">
        <x:f>H39*INDEX('Régions'!$Z$2:$AE$6,MATCH($B39,'Régions'!$A$2:$A$6,0),5)</x:f>
        <x:v>2559.0822361522014</x:v>
      </x:c>
      <x:c r="AH39" s="86" t="n">
        <x:f>I39*INDEX('Régions'!$Z$2:$AE$6,MATCH($B39,'Régions'!$A$2:$A$6,0),6)</x:f>
        <x:v>0</x:v>
      </x:c>
      <x:c r="AI39" s="86" t="n">
        <x:f>D39*INDEX('Régions'!$AF$2:$AK$6,MATCH($B39,'Régions'!$A$2:$A$6,0),1)</x:f>
        <x:v>7810.7865377207945</x:v>
      </x:c>
      <x:c r="AJ39" s="86" t="n">
        <x:f>E39*INDEX('Régions'!$AF$2:$AK$6,MATCH($B39,'Régions'!$A$2:$A$6,0),2)</x:f>
        <x:v>4533.485549070941</x:v>
      </x:c>
      <x:c r="AK39" s="86" t="n">
        <x:f>F39*INDEX('Régions'!$AF$2:$AK$6,MATCH($B39,'Régions'!$A$2:$A$6,0),3)</x:f>
        <x:v>1146.5960838931885</x:v>
      </x:c>
      <x:c r="AL39" s="86" t="n">
        <x:f>G39*INDEX('Régions'!$AF$2:$AK$6,MATCH($B39,'Régions'!$A$2:$A$6,0),4)</x:f>
        <x:v>20859.87007571347</x:v>
      </x:c>
      <x:c r="AM39" s="86" t="n">
        <x:f>H39*INDEX('Régions'!$AF$2:$AK$6,MATCH($B39,'Régions'!$A$2:$A$6,0),5)</x:f>
        <x:v>1727.0653514918795</x:v>
      </x:c>
      <x:c r="AN39" s="86" t="n">
        <x:f>I39*INDEX('Régions'!$AF$2:$AK$6,MATCH($B39,'Régions'!$A$2:$A$6,0),6)</x:f>
        <x:v>0</x:v>
      </x:c>
      <x:c r="AO39" s="84" t="str">
        <x:f>IF(MAX(Q39:V39)=Q39,"CAQ",IF(MAX(Q39:V39)=R39,"PLQ",IF(MAX(Q39:V39)=S39,"QS",IF(MAX(Q39:V39)=T39,"PQ",IF(MAX(Q39:V39)=U39,"PCQ","Autre")))))</x:f>
        <x:v>PQ</x:v>
      </x:c>
      <x:c r="AP39" s="84" t="str">
        <x:f>IF(MAX(W39:AB39)=W39,"CAQ",IF(MAX(W39:AB39)=X39,"PLQ",IF(MAX(W39:AB39)=Y39,"QS",IF(MAX(W39:AB39)=Z39,"PQ",IF(MAX(W39:AB39)=AA39,"PCQ","Autre")))))</x:f>
        <x:v>PQ</x:v>
      </x:c>
      <x:c r="AQ39" s="84" t="str">
        <x:f>IF(MAX(AC39:AH39)=AC39,"CAQ",IF(MAX(AC39:AH39)=AD39,"PLQ",IF(MAX(AC39:AH39)=AE39,"QS",IF(MAX(AC39:AH39)=AF39,"PQ",IF(MAX(AC39:AH39)=AG39,"PCQ","Autre")))))</x:f>
        <x:v>PQ</x:v>
      </x:c>
      <x:c r="AR39" s="84" t="str">
        <x:f>IF(MAX(AI39:AN39)=AI39,"CAQ",IF(MAX(AI39:AN39)=AJ39,"PLQ",IF(MAX(AI39:AN39)=AK39,"QS",IF(MAX(AI39:AN39)=AL39,"PQ",IF(MAX(AI39:AN39)=AM39,"PCQ","Autre")))))</x:f>
        <x:v>PQ</x:v>
      </x:c>
      <x:c r="AS39" s="88" t="n">
        <x:f>(MAX(K39:P39)-LARGE(K39:P39,2))*100</x:f>
        <x:v>3.89678487650062</x:v>
      </x:c>
      <x:c r="AT39" s="84" t="str">
        <x:f>IF(AS39&lt;5,"Oui","Non")</x:f>
        <x:v>Oui</x:v>
      </x:c>
      <x:c r="AU39" s="89" t="n">
        <x:v>15.832396662104687</x:v>
      </x:c>
      <x:c r="AV39" s="89" t="n">
        <x:v>-13.533367912587346</x:v>
      </x:c>
      <x:c r="AW39" s="89" t="n">
        <x:v>-3.728700527803809</x:v>
      </x:c>
      <x:c r="AX39" s="90" t="n">
        <x:v>9.572646708406063</x:v>
      </x:c>
    </x:row>
    <x:row r="40">
      <x:c r="A40" s="83" t="str">
        <x:v>Gatineau</x:v>
      </x:c>
      <x:c r="B40" s="84" t="str">
        <x:v>Reste du Québec</x:v>
      </x:c>
      <x:c r="C40" s="84" t="str">
        <x:f>IF(MAX(D40:I40)=D40,"CAQ",IF(MAX(D40:I40)=E40,"PLQ",IF(MAX(D40:I40)=F40,"QS",IF(MAX(D40:I40)=G40,"PQ",IF(MAX(D40:I40)=H40,"PCQ","Autre")))))</x:f>
        <x:v>CAQ</x:v>
      </x:c>
      <x:c r="D40" s="85" t="n">
        <x:v>33474</x:v>
      </x:c>
      <x:c r="E40" s="85" t="n">
        <x:v>14011</x:v>
      </x:c>
      <x:c r="F40" s="85" t="n">
        <x:v>8666</x:v>
      </x:c>
      <x:c r="G40" s="85" t="n">
        <x:v>6952</x:v>
      </x:c>
      <x:c r="H40" s="85" t="n">
        <x:v>8350</x:v>
      </x:c>
      <x:c r="I40" s="85" t="n">
        <x:v>173</x:v>
      </x:c>
      <x:c r="J40" s="86" t="n">
        <x:f>SUM(D40:I40)</x:f>
        <x:v>71626</x:v>
      </x:c>
      <x:c r="K40" s="87" t="n">
        <x:f>IFERROR(D40/J40,0)</x:f>
        <x:v>0.4673442604640773</x:v>
      </x:c>
      <x:c r="L40" s="87" t="n">
        <x:f>IFERROR(E40/J40,0)</x:f>
        <x:v>0.1956133247703348</x:v>
      </x:c>
      <x:c r="M40" s="87" t="n">
        <x:f>IFERROR(F40/J40,0)</x:f>
        <x:v>0.12098958478764694</x:v>
      </x:c>
      <x:c r="N40" s="87" t="n">
        <x:f>IFERROR(G40/J40,0)</x:f>
        <x:v>0.09705972691480748</x:v>
      </x:c>
      <x:c r="O40" s="87" t="n">
        <x:f>IFERROR(H40/J40,0)</x:f>
        <x:v>0.11657777901879206</x:v>
      </x:c>
      <x:c r="P40" s="87" t="n">
        <x:f>IFERROR(I40/J40,0)</x:f>
        <x:v>0.00241532404434144</x:v>
      </x:c>
      <x:c r="Q40" s="86" t="n">
        <x:f>D40*INDEX('Régions'!$T$2:$Y$6,MATCH($B40,'Régions'!$A$2:$A$6,0),1)</x:f>
        <x:v>19759.329338144787</x:v>
      </x:c>
      <x:c r="R40" s="86" t="n">
        <x:f>E40*INDEX('Régions'!$T$2:$Y$6,MATCH($B40,'Régions'!$A$2:$A$6,0),2)</x:f>
        <x:v>32060.70362812081</x:v>
      </x:c>
      <x:c r="S40" s="86" t="n">
        <x:f>F40*INDEX('Régions'!$T$2:$Y$6,MATCH($B40,'Régions'!$A$2:$A$6,0),3)</x:f>
        <x:v>5204.007417620096</x:v>
      </x:c>
      <x:c r="T40" s="86" t="n">
        <x:f>G40*INDEX('Régions'!$T$2:$Y$6,MATCH($B40,'Régions'!$A$2:$A$6,0),4)</x:f>
        <x:v>12042.889429287117</x:v>
      </x:c>
      <x:c r="U40" s="86" t="n">
        <x:f>H40*INDEX('Régions'!$T$2:$Y$6,MATCH($B40,'Régions'!$A$2:$A$6,0),5)</x:f>
        <x:v>9413.290993379294</x:v>
      </x:c>
      <x:c r="V40" s="86" t="n">
        <x:f>I40*INDEX('Régions'!$T$2:$Y$6,MATCH($B40,'Régions'!$A$2:$A$6,0),6)</x:f>
        <x:v>401.6299417955669</x:v>
      </x:c>
      <x:c r="W40" s="86" t="n">
        <x:f>MAX(0,Q40+(AU40/100)*J40*'Régions'!$O$2)</x:f>
        <x:v>19411.26395040131</x:v>
      </x:c>
      <x:c r="X40" s="86" t="n">
        <x:f>MAX(0,R40+(AV40/100)*J40*'Régions'!$O$2)</x:f>
        <x:v>32715.20586452626</x:v>
      </x:c>
      <x:c r="Y40" s="86" t="n">
        <x:f>MAX(0,S40+(AW40/100)*J40*'Régions'!$O$2)</x:f>
        <x:v>5307.335009017911</x:v>
      </x:c>
      <x:c r="Z40" s="86" t="n">
        <x:f>MAX(0,T40+(AX40/100)*J40*'Régions'!$O$2)</x:f>
        <x:v>12953.932137436172</x:v>
      </x:c>
      <x:c r="AA40" s="86" t="n">
        <x:f>U40</x:f>
        <x:v>9413.290993379294</x:v>
      </x:c>
      <x:c r="AB40" s="86" t="n">
        <x:f>V40</x:f>
        <x:v>401.6299417955669</x:v>
      </x:c>
      <x:c r="AC40" s="86" t="n">
        <x:f>D40*INDEX('Régions'!$Z$2:$AE$6,MATCH($B40,'Régions'!$A$2:$A$6,0),1)</x:f>
        <x:v>22088.107438711857</x:v>
      </x:c>
      <x:c r="AD40" s="86" t="n">
        <x:f>E40*INDEX('Régions'!$Z$2:$AE$6,MATCH($B40,'Régions'!$A$2:$A$6,0),2)</x:f>
        <x:v>38673.22375142073</x:v>
      </x:c>
      <x:c r="AE40" s="86" t="n">
        <x:f>F40*INDEX('Régions'!$Z$2:$AE$6,MATCH($B40,'Régions'!$A$2:$A$6,0),3)</x:f>
        <x:v>7350.660477388386</x:v>
      </x:c>
      <x:c r="AF40" s="86" t="n">
        <x:f>G40*INDEX('Régions'!$Z$2:$AE$6,MATCH($B40,'Régions'!$A$2:$A$6,0),4)</x:f>
        <x:v>13413.287191930132</x:v>
      </x:c>
      <x:c r="AG40" s="86" t="n">
        <x:f>H40*INDEX('Régions'!$Z$2:$AE$6,MATCH($B40,'Régions'!$A$2:$A$6,0),5)</x:f>
        <x:v>11240.576892094097</x:v>
      </x:c>
      <x:c r="AH40" s="86" t="n">
        <x:f>I40*INDEX('Régions'!$Z$2:$AE$6,MATCH($B40,'Régions'!$A$2:$A$6,0),6)</x:f>
        <x:v>1727.0087497209377</x:v>
      </x:c>
      <x:c r="AI40" s="86" t="n">
        <x:f>D40*INDEX('Régions'!$AF$2:$AK$6,MATCH($B40,'Régions'!$A$2:$A$6,0),1)</x:f>
        <x:v>17430.551237577725</x:v>
      </x:c>
      <x:c r="AJ40" s="86" t="n">
        <x:f>E40*INDEX('Régions'!$AF$2:$AK$6,MATCH($B40,'Régions'!$A$2:$A$6,0),2)</x:f>
        <x:v>25448.183504820892</x:v>
      </x:c>
      <x:c r="AK40" s="86" t="n">
        <x:f>F40*INDEX('Régions'!$AF$2:$AK$6,MATCH($B40,'Régions'!$A$2:$A$6,0),3)</x:f>
        <x:v>3057.3543578518065</x:v>
      </x:c>
      <x:c r="AL40" s="86" t="n">
        <x:f>G40*INDEX('Régions'!$AF$2:$AK$6,MATCH($B40,'Régions'!$A$2:$A$6,0),4)</x:f>
        <x:v>10672.4916666441</x:v>
      </x:c>
      <x:c r="AM40" s="86" t="n">
        <x:f>H40*INDEX('Régions'!$AF$2:$AK$6,MATCH($B40,'Régions'!$A$2:$A$6,0),5)</x:f>
        <x:v>7586.005094664489</x:v>
      </x:c>
      <x:c r="AN40" s="86" t="n">
        <x:f>I40*INDEX('Régions'!$AF$2:$AK$6,MATCH($B40,'Régions'!$A$2:$A$6,0),6)</x:f>
        <x:v>0</x:v>
      </x:c>
      <x:c r="AO40" s="84" t="str">
        <x:f>IF(MAX(Q40:V40)=Q40,"CAQ",IF(MAX(Q40:V40)=R40,"PLQ",IF(MAX(Q40:V40)=S40,"QS",IF(MAX(Q40:V40)=T40,"PQ",IF(MAX(Q40:V40)=U40,"PCQ","Autre")))))</x:f>
        <x:v>PLQ</x:v>
      </x:c>
      <x:c r="AP40" s="84" t="str">
        <x:f>IF(MAX(W40:AB40)=W40,"CAQ",IF(MAX(W40:AB40)=X40,"PLQ",IF(MAX(W40:AB40)=Y40,"QS",IF(MAX(W40:AB40)=Z40,"PQ",IF(MAX(W40:AB40)=AA40,"PCQ","Autre")))))</x:f>
        <x:v>PLQ</x:v>
      </x:c>
      <x:c r="AQ40" s="84" t="str">
        <x:f>IF(MAX(AC40:AH40)=AC40,"CAQ",IF(MAX(AC40:AH40)=AD40,"PLQ",IF(MAX(AC40:AH40)=AE40,"QS",IF(MAX(AC40:AH40)=AF40,"PQ",IF(MAX(AC40:AH40)=AG40,"PCQ","Autre")))))</x:f>
        <x:v>PLQ</x:v>
      </x:c>
      <x:c r="AR40" s="84" t="str">
        <x:f>IF(MAX(AI40:AN40)=AI40,"CAQ",IF(MAX(AI40:AN40)=AJ40,"PLQ",IF(MAX(AI40:AN40)=AK40,"QS",IF(MAX(AI40:AN40)=AL40,"PQ",IF(MAX(AI40:AN40)=AM40,"PCQ","Autre")))))</x:f>
        <x:v>PLQ</x:v>
      </x:c>
      <x:c r="AS40" s="88" t="n">
        <x:f>(MAX(K40:P40)-LARGE(K40:P40,2))*100</x:f>
        <x:v>27.173093569374252</x:v>
      </x:c>
      <x:c r="AT40" s="84" t="str">
        <x:f>IF(AS40&lt;5,"Oui","Non")</x:f>
        <x:v>Non</x:v>
      </x:c>
      <x:c r="AU40" s="89" t="n">
        <x:v>-0.971896763028729</x:v>
      </x:c>
      <x:c r="AV40" s="89" t="n">
        <x:v>1.827554900191128</x:v>
      </x:c>
      <x:c r="AW40" s="89" t="n">
        <x:v>0.28851978722200106</x:v>
      </x:c>
      <x:c r="AX40" s="90" t="n">
        <x:v>2.5438882756235306</x:v>
      </x:c>
    </x:row>
    <x:row r="41">
      <x:c r="A41" s="83" t="str">
        <x:v>Gouin</x:v>
      </x:c>
      <x:c r="B41" s="84" t="str">
        <x:v>Île de Montréal</x:v>
      </x:c>
      <x:c r="C41" s="84" t="str">
        <x:f>IF(MAX(D41:I41)=D41,"CAQ",IF(MAX(D41:I41)=E41,"PLQ",IF(MAX(D41:I41)=F41,"QS",IF(MAX(D41:I41)=G41,"PQ",IF(MAX(D41:I41)=H41,"PCQ","Autre")))))</x:f>
        <x:v>QS</x:v>
      </x:c>
      <x:c r="D41" s="85" t="n">
        <x:v>7245</x:v>
      </x:c>
      <x:c r="E41" s="85" t="n">
        <x:v>4924</x:v>
      </x:c>
      <x:c r="F41" s="85" t="n">
        <x:v>34823</x:v>
      </x:c>
      <x:c r="G41" s="85" t="n">
        <x:v>9196</x:v>
      </x:c>
      <x:c r="H41" s="85" t="n">
        <x:v>1819</x:v>
      </x:c>
      <x:c r="I41" s="85" t="n">
        <x:v>581</x:v>
      </x:c>
      <x:c r="J41" s="86" t="n">
        <x:f>SUM(D41:I41)</x:f>
        <x:v>58588</x:v>
      </x:c>
      <x:c r="K41" s="87" t="n">
        <x:f>IFERROR(D41/J41,0)</x:f>
        <x:v>0.12366013518126578</x:v>
      </x:c>
      <x:c r="L41" s="87" t="n">
        <x:f>IFERROR(E41/J41,0)</x:f>
        <x:v>0.08404451423499693</x:v>
      </x:c>
      <x:c r="M41" s="87" t="n">
        <x:f>IFERROR(F41/J41,0)</x:f>
        <x:v>0.5943708609271523</x:v>
      </x:c>
      <x:c r="N41" s="87" t="n">
        <x:f>IFERROR(G41/J41,0)</x:f>
        <x:v>0.15696046972076194</x:v>
      </x:c>
      <x:c r="O41" s="87" t="n">
        <x:f>IFERROR(H41/J41,0)</x:f>
        <x:v>0.031047313443025876</x:v>
      </x:c>
      <x:c r="P41" s="87" t="n">
        <x:f>IFERROR(I41/J41,0)</x:f>
        <x:v>0.00991670649279716</x:v>
      </x:c>
      <x:c r="Q41" s="86" t="n">
        <x:f>D41*INDEX('Régions'!$T$2:$Y$6,MATCH($B41,'Régions'!$A$2:$A$6,0),1)</x:f>
        <x:v>5426.414893144849</x:v>
      </x:c>
      <x:c r="R41" s="86" t="n">
        <x:f>E41*INDEX('Régions'!$T$2:$Y$6,MATCH($B41,'Régions'!$A$2:$A$6,0),2)</x:f>
        <x:v>4906.308404880236</x:v>
      </x:c>
      <x:c r="S41" s="86" t="n">
        <x:f>F41*INDEX('Régions'!$T$2:$Y$6,MATCH($B41,'Régions'!$A$2:$A$6,0),3)</x:f>
        <x:v>26841.081282594547</x:v>
      </x:c>
      <x:c r="T41" s="86" t="n">
        <x:f>G41*INDEX('Régions'!$T$2:$Y$6,MATCH($B41,'Régions'!$A$2:$A$6,0),4)</x:f>
        <x:v>17790.761163633386</x:v>
      </x:c>
      <x:c r="U41" s="86" t="n">
        <x:f>H41*INDEX('Régions'!$T$2:$Y$6,MATCH($B41,'Régions'!$A$2:$A$6,0),5)</x:f>
        <x:v>1449.857181571473</x:v>
      </x:c>
      <x:c r="V41" s="86" t="n">
        <x:f>I41*INDEX('Régions'!$T$2:$Y$6,MATCH($B41,'Régions'!$A$2:$A$6,0),6)</x:f>
        <x:v>859.1076242782707</x:v>
      </x:c>
      <x:c r="W41" s="86" t="n">
        <x:f>MAX(0,Q41+(AU41/100)*J41*'Régions'!$O$2)</x:f>
        <x:v>5608.074083075749</x:v>
      </x:c>
      <x:c r="X41" s="86" t="n">
        <x:f>MAX(0,R41+(AV41/100)*J41*'Régions'!$O$2)</x:f>
        <x:v>6389.031286302328</x:v>
      </x:c>
      <x:c r="Y41" s="86" t="n">
        <x:f>MAX(0,S41+(AW41/100)*J41*'Régions'!$O$2)</x:f>
        <x:v>26785.95415474596</x:v>
      </x:c>
      <x:c r="Z41" s="86" t="n">
        <x:f>MAX(0,T41+(AX41/100)*J41*'Régions'!$O$2)</x:f>
        <x:v>17737.91626143794</x:v>
      </x:c>
      <x:c r="AA41" s="86" t="n">
        <x:f>U41</x:f>
        <x:v>1449.857181571473</x:v>
      </x:c>
      <x:c r="AB41" s="86" t="n">
        <x:f>V41</x:f>
        <x:v>859.1076242782707</x:v>
      </x:c>
      <x:c r="AC41" s="86" t="n">
        <x:f>D41*INDEX('Régions'!$Z$2:$AE$6,MATCH($B41,'Régions'!$A$2:$A$6,0),1)</x:f>
        <x:v>6620.226169636715</x:v>
      </x:c>
      <x:c r="AD41" s="86" t="n">
        <x:f>E41*INDEX('Régions'!$Z$2:$AE$6,MATCH($B41,'Régions'!$A$2:$A$6,0),2)</x:f>
        <x:v>5382.508926530377</x:v>
      </x:c>
      <x:c r="AE41" s="86" t="n">
        <x:f>F41*INDEX('Régions'!$Z$2:$AE$6,MATCH($B41,'Régions'!$A$2:$A$6,0),3)</x:f>
        <x:v>32051.408825686434</x:v>
      </x:c>
      <x:c r="AF41" s="86" t="n">
        <x:f>G41*INDEX('Régions'!$Z$2:$AE$6,MATCH($B41,'Régions'!$A$2:$A$6,0),4)</x:f>
        <x:v>20236.990823632976</x:v>
      </x:c>
      <x:c r="AG41" s="86" t="n">
        <x:f>H41*INDEX('Régions'!$Z$2:$AE$6,MATCH($B41,'Régions'!$A$2:$A$6,0),5)</x:f>
        <x:v>2047.9232689697055</x:v>
      </x:c>
      <x:c r="AH41" s="86" t="n">
        <x:f>I41*INDEX('Régions'!$Z$2:$AE$6,MATCH($B41,'Régions'!$A$2:$A$6,0),6)</x:f>
        <x:v>2276.6352043374172</x:v>
      </x:c>
      <x:c r="AI41" s="86" t="n">
        <x:f>D41*INDEX('Régions'!$AF$2:$AK$6,MATCH($B41,'Régions'!$A$2:$A$6,0),1)</x:f>
        <x:v>4232.603616652982</x:v>
      </x:c>
      <x:c r="AJ41" s="86" t="n">
        <x:f>E41*INDEX('Régions'!$AF$2:$AK$6,MATCH($B41,'Régions'!$A$2:$A$6,0),2)</x:f>
        <x:v>4430.1078832300955</x:v>
      </x:c>
      <x:c r="AK41" s="86" t="n">
        <x:f>F41*INDEX('Régions'!$AF$2:$AK$6,MATCH($B41,'Régions'!$A$2:$A$6,0),3)</x:f>
        <x:v>21630.753739502667</x:v>
      </x:c>
      <x:c r="AL41" s="86" t="n">
        <x:f>G41*INDEX('Régions'!$AF$2:$AK$6,MATCH($B41,'Régions'!$A$2:$A$6,0),4)</x:f>
        <x:v>15344.531503633794</x:v>
      </x:c>
      <x:c r="AM41" s="86" t="n">
        <x:f>H41*INDEX('Régions'!$AF$2:$AK$6,MATCH($B41,'Régions'!$A$2:$A$6,0),5)</x:f>
        <x:v>851.7910941732404</x:v>
      </x:c>
      <x:c r="AN41" s="86" t="n">
        <x:f>I41*INDEX('Régions'!$AF$2:$AK$6,MATCH($B41,'Régions'!$A$2:$A$6,0),6)</x:f>
        <x:v>0</x:v>
      </x:c>
      <x:c r="AO41" s="84" t="str">
        <x:f>IF(MAX(Q41:V41)=Q41,"CAQ",IF(MAX(Q41:V41)=R41,"PLQ",IF(MAX(Q41:V41)=S41,"QS",IF(MAX(Q41:V41)=T41,"PQ",IF(MAX(Q41:V41)=U41,"PCQ","Autre")))))</x:f>
        <x:v>QS</x:v>
      </x:c>
      <x:c r="AP41" s="84" t="str">
        <x:f>IF(MAX(W41:AB41)=W41,"CAQ",IF(MAX(W41:AB41)=X41,"PLQ",IF(MAX(W41:AB41)=Y41,"QS",IF(MAX(W41:AB41)=Z41,"PQ",IF(MAX(W41:AB41)=AA41,"PCQ","Autre")))))</x:f>
        <x:v>QS</x:v>
      </x:c>
      <x:c r="AQ41" s="84" t="str">
        <x:f>IF(MAX(AC41:AH41)=AC41,"CAQ",IF(MAX(AC41:AH41)=AD41,"PLQ",IF(MAX(AC41:AH41)=AE41,"QS",IF(MAX(AC41:AH41)=AF41,"PQ",IF(MAX(AC41:AH41)=AG41,"PCQ","Autre")))))</x:f>
        <x:v>QS</x:v>
      </x:c>
      <x:c r="AR41" s="84" t="str">
        <x:f>IF(MAX(AI41:AN41)=AI41,"CAQ",IF(MAX(AI41:AN41)=AJ41,"PLQ",IF(MAX(AI41:AN41)=AK41,"QS",IF(MAX(AI41:AN41)=AL41,"PQ",IF(MAX(AI41:AN41)=AM41,"PCQ","Autre")))))</x:f>
        <x:v>QS</x:v>
      </x:c>
      <x:c r="AS41" s="88" t="n">
        <x:f>(MAX(K41:P41)-LARGE(K41:P41,2))*100</x:f>
        <x:v>43.74103912063904</x:v>
      </x:c>
      <x:c r="AT41" s="84" t="str">
        <x:f>IF(AS41&lt;5,"Oui","Non")</x:f>
        <x:v>Non</x:v>
      </x:c>
      <x:c r="AU41" s="89" t="n">
        <x:v>0.6201242231545695</x:v>
      </x:c>
      <x:c r="AV41" s="89" t="n">
        <x:v>5.061524139489633</x:v>
      </x:c>
      <x:c r="AW41" s="89" t="n">
        <x:v>-0.1881857303495188</x:v>
      </x:c>
      <x:c r="AX41" s="90" t="n">
        <x:v>-0.18039496892007373</x:v>
      </x:c>
    </x:row>
    <x:row r="42">
      <x:c r="A42" s="83" t="str">
        <x:v>Granby</x:v>
      </x:c>
      <x:c r="B42" s="84" t="str">
        <x:v>Reste du Québec</x:v>
      </x:c>
      <x:c r="C42" s="84" t="str">
        <x:f>IF(MAX(D42:I42)=D42,"CAQ",IF(MAX(D42:I42)=E42,"PLQ",IF(MAX(D42:I42)=F42,"QS",IF(MAX(D42:I42)=G42,"PQ",IF(MAX(D42:I42)=H42,"PCQ","Autre")))))</x:f>
        <x:v>CAQ</x:v>
      </x:c>
      <x:c r="D42" s="85" t="n">
        <x:v>45504</x:v>
      </x:c>
      <x:c r="E42" s="85" t="n">
        <x:v>4011</x:v>
      </x:c>
      <x:c r="F42" s="85" t="n">
        <x:v>11338</x:v>
      </x:c>
      <x:c r="G42" s="85" t="n">
        <x:v>9928</x:v>
      </x:c>
      <x:c r="H42" s="85" t="n">
        <x:v>8059</x:v>
      </x:c>
      <x:c r="I42" s="85" t="n">
        <x:v>112</x:v>
      </x:c>
      <x:c r="J42" s="86" t="n">
        <x:f>SUM(D42:I42)</x:f>
        <x:v>78952</x:v>
      </x:c>
      <x:c r="K42" s="87" t="n">
        <x:f>IFERROR(D42/J42,0)</x:f>
        <x:v>0.5763501874556692</x:v>
      </x:c>
      <x:c r="L42" s="87" t="n">
        <x:f>IFERROR(E42/J42,0)</x:f>
        <x:v>0.05080301955618604</x:v>
      </x:c>
      <x:c r="M42" s="87" t="n">
        <x:f>IFERROR(F42/J42,0)</x:f>
        <x:v>0.14360624176714967</x:v>
      </x:c>
      <x:c r="N42" s="87" t="n">
        <x:f>IFERROR(G42/J42,0)</x:f>
        <x:v>0.12574728949234978</x:v>
      </x:c>
      <x:c r="O42" s="87" t="n">
        <x:f>IFERROR(H42/J42,0)</x:f>
        <x:v>0.10207467828554058</x:v>
      </x:c>
      <x:c r="P42" s="87" t="n">
        <x:f>IFERROR(I42/J42,0)</x:f>
        <x:v>0.0014185834431046712</x:v>
      </x:c>
      <x:c r="Q42" s="86" t="n">
        <x:f>D42*INDEX('Régions'!$T$2:$Y$6,MATCH($B42,'Régions'!$A$2:$A$6,0),1)</x:f>
        <x:v>26860.50433778277</x:v>
      </x:c>
      <x:c r="R42" s="86" t="n">
        <x:f>E42*INDEX('Régions'!$T$2:$Y$6,MATCH($B42,'Régions'!$A$2:$A$6,0),2)</x:f>
        <x:v>9178.180162186321</x:v>
      </x:c>
      <x:c r="S42" s="86" t="n">
        <x:f>F42*INDEX('Régions'!$T$2:$Y$6,MATCH($B42,'Régions'!$A$2:$A$6,0),3)</x:f>
        <x:v>6808.566362909837</x:v>
      </x:c>
      <x:c r="T42" s="86" t="n">
        <x:f>G42*INDEX('Régions'!$T$2:$Y$6,MATCH($B42,'Régions'!$A$2:$A$6,0),4)</x:f>
        <x:v>17198.188471513593</x:v>
      </x:c>
      <x:c r="U42" s="86" t="n">
        <x:f>H42*INDEX('Régions'!$T$2:$Y$6,MATCH($B42,'Régions'!$A$2:$A$6,0),5)</x:f>
        <x:v>9085.234983909428</x:v>
      </x:c>
      <x:c r="V42" s="86" t="n">
        <x:f>I42*INDEX('Régions'!$T$2:$Y$6,MATCH($B42,'Régions'!$A$2:$A$6,0),6)</x:f>
        <x:v>260.0147600063786</x:v>
      </x:c>
      <x:c r="W42" s="86" t="n">
        <x:f>MAX(0,Q42+(AU42/100)*J42*'Régions'!$O$2)</x:f>
        <x:v>22954.998296090584</x:v>
      </x:c>
      <x:c r="X42" s="86" t="n">
        <x:f>MAX(0,R42+(AV42/100)*J42*'Régions'!$O$2)</x:f>
        <x:v>11744.362684431395</x:v>
      </x:c>
      <x:c r="Y42" s="86" t="n">
        <x:f>MAX(0,S42+(AW42/100)*J42*'Régions'!$O$2)</x:f>
        <x:v>7322.727757434386</x:v>
      </x:c>
      <x:c r="Z42" s="86" t="n">
        <x:f>MAX(0,T42+(AX42/100)*J42*'Régions'!$O$2)</x:f>
        <x:v>19892.822899684157</x:v>
      </x:c>
      <x:c r="AA42" s="86" t="n">
        <x:f>U42</x:f>
        <x:v>9085.234983909428</x:v>
      </x:c>
      <x:c r="AB42" s="86" t="n">
        <x:f>V42</x:f>
        <x:v>260.0147600063786</x:v>
      </x:c>
      <x:c r="AC42" s="86" t="n">
        <x:f>D42*INDEX('Régions'!$Z$2:$AE$6,MATCH($B42,'Régions'!$A$2:$A$6,0),1)</x:f>
        <x:v>30026.206634735743</x:v>
      </x:c>
      <x:c r="AD42" s="86" t="n">
        <x:f>E42*INDEX('Régions'!$Z$2:$AE$6,MATCH($B42,'Régions'!$A$2:$A$6,0),2)</x:f>
        <x:v>11071.179820637251</x:v>
      </x:c>
      <x:c r="AE42" s="86" t="n">
        <x:f>F42*INDEX('Régions'!$Z$2:$AE$6,MATCH($B42,'Régions'!$A$2:$A$6,0),3)</x:f>
        <x:v>9617.099987610145</x:v>
      </x:c>
      <x:c r="AF42" s="86" t="n">
        <x:f>G42*INDEX('Régions'!$Z$2:$AE$6,MATCH($B42,'Régions'!$A$2:$A$6,0),4)</x:f>
        <x:v>19155.22371137548</x:v>
      </x:c>
      <x:c r="AG42" s="86" t="n">
        <x:f>H42*INDEX('Régions'!$Z$2:$AE$6,MATCH($B42,'Régions'!$A$2:$A$6,0),5)</x:f>
        <x:v>10848.839421962435</x:v>
      </x:c>
      <x:c r="AH42" s="86" t="n">
        <x:f>I42*INDEX('Régions'!$Z$2:$AE$6,MATCH($B42,'Régions'!$A$2:$A$6,0),6)</x:f>
        <x:v>1118.063468027428</x:v>
      </x:c>
      <x:c r="AI42" s="86" t="n">
        <x:f>D42*INDEX('Régions'!$AF$2:$AK$6,MATCH($B42,'Régions'!$A$2:$A$6,0),1)</x:f>
        <x:v>23694.802040829803</x:v>
      </x:c>
      <x:c r="AJ42" s="86" t="n">
        <x:f>E42*INDEX('Régions'!$AF$2:$AK$6,MATCH($B42,'Régions'!$A$2:$A$6,0),2)</x:f>
        <x:v>7285.180503735393</x:v>
      </x:c>
      <x:c r="AK42" s="86" t="n">
        <x:f>F42*INDEX('Régions'!$AF$2:$AK$6,MATCH($B42,'Régions'!$A$2:$A$6,0),3)</x:f>
        <x:v>4000.0327382095293</x:v>
      </x:c>
      <x:c r="AL42" s="86" t="n">
        <x:f>G42*INDEX('Régions'!$AF$2:$AK$6,MATCH($B42,'Régions'!$A$2:$A$6,0),4)</x:f>
        <x:v>15241.153231651702</x:v>
      </x:c>
      <x:c r="AM42" s="86" t="n">
        <x:f>H42*INDEX('Régions'!$AF$2:$AK$6,MATCH($B42,'Régions'!$A$2:$A$6,0),5)</x:f>
        <x:v>7321.630545856421</x:v>
      </x:c>
      <x:c r="AN42" s="86" t="n">
        <x:f>I42*INDEX('Régions'!$AF$2:$AK$6,MATCH($B42,'Régions'!$A$2:$A$6,0),6)</x:f>
        <x:v>0</x:v>
      </x:c>
      <x:c r="AO42" s="84" t="str">
        <x:f>IF(MAX(Q42:V42)=Q42,"CAQ",IF(MAX(Q42:V42)=R42,"PLQ",IF(MAX(Q42:V42)=S42,"QS",IF(MAX(Q42:V42)=T42,"PQ",IF(MAX(Q42:V42)=U42,"PCQ","Autre")))))</x:f>
        <x:v>CAQ</x:v>
      </x:c>
      <x:c r="AP42" s="84" t="str">
        <x:f>IF(MAX(W42:AB42)=W42,"CAQ",IF(MAX(W42:AB42)=X42,"PLQ",IF(MAX(W42:AB42)=Y42,"QS",IF(MAX(W42:AB42)=Z42,"PQ",IF(MAX(W42:AB42)=AA42,"PCQ","Autre")))))</x:f>
        <x:v>CAQ</x:v>
      </x:c>
      <x:c r="AQ42" s="84" t="str">
        <x:f>IF(MAX(AC42:AH42)=AC42,"CAQ",IF(MAX(AC42:AH42)=AD42,"PLQ",IF(MAX(AC42:AH42)=AE42,"QS",IF(MAX(AC42:AH42)=AF42,"PQ",IF(MAX(AC42:AH42)=AG42,"PCQ","Autre")))))</x:f>
        <x:v>CAQ</x:v>
      </x:c>
      <x:c r="AR42" s="84" t="str">
        <x:f>IF(MAX(AI42:AN42)=AI42,"CAQ",IF(MAX(AI42:AN42)=AJ42,"PLQ",IF(MAX(AI42:AN42)=AK42,"QS",IF(MAX(AI42:AN42)=AL42,"PQ",IF(MAX(AI42:AN42)=AM42,"PCQ","Autre")))))</x:f>
        <x:v>CAQ</x:v>
      </x:c>
      <x:c r="AS42" s="88" t="n">
        <x:f>(MAX(K42:P42)-LARGE(K42:P42,2))*100</x:f>
        <x:v>43.27439456885196</x:v>
      </x:c>
      <x:c r="AT42" s="84" t="str">
        <x:f>IF(AS42&lt;5,"Oui","Non")</x:f>
        <x:v>Non</x:v>
      </x:c>
      <x:c r="AU42" s="89" t="n">
        <x:v>-9.893368228017502</x:v>
      </x:c>
      <x:c r="AV42" s="89" t="n">
        <x:v>6.50061435364544</x:v>
      </x:c>
      <x:c r="AW42" s="89" t="n">
        <x:v>1.3024657881359536</x:v>
      </x:c>
      <x:c r="AX42" s="90" t="n">
        <x:v>6.826006758968904</x:v>
      </x:c>
    </x:row>
    <x:row r="43">
      <x:c r="A43" s="83" t="str">
        <x:v>Groulx</x:v>
      </x:c>
      <x:c r="B43" s="84" t="str">
        <x:v>Banlieue de Montréal</x:v>
      </x:c>
      <x:c r="C43" s="84" t="str">
        <x:f>IF(MAX(D43:I43)=D43,"CAQ",IF(MAX(D43:I43)=E43,"PLQ",IF(MAX(D43:I43)=F43,"QS",IF(MAX(D43:I43)=G43,"PQ",IF(MAX(D43:I43)=H43,"PCQ","Autre")))))</x:f>
        <x:v>CAQ</x:v>
      </x:c>
      <x:c r="D43" s="85" t="n">
        <x:v>34941</x:v>
      </x:c>
      <x:c r="E43" s="85" t="n">
        <x:v>8066</x:v>
      </x:c>
      <x:c r="F43" s="85" t="n">
        <x:v>11865</x:v>
      </x:c>
      <x:c r="G43" s="85" t="n">
        <x:v>11939</x:v>
      </x:c>
      <x:c r="H43" s="85" t="n">
        <x:v>6368</x:v>
      </x:c>
      <x:c r="I43" s="85" t="n">
        <x:v>0</x:v>
      </x:c>
      <x:c r="J43" s="86" t="n">
        <x:f>SUM(D43:I43)</x:f>
        <x:v>73179</x:v>
      </x:c>
      <x:c r="K43" s="87" t="n">
        <x:f>IFERROR(D43/J43,0)</x:f>
        <x:v>0.4774730455458533</x:v>
      </x:c>
      <x:c r="L43" s="87" t="n">
        <x:f>IFERROR(E43/J43,0)</x:f>
        <x:v>0.1102228781481026</x:v>
      </x:c>
      <x:c r="M43" s="87" t="n">
        <x:f>IFERROR(F43/J43,0)</x:f>
        <x:v>0.16213667855532324</x:v>
      </x:c>
      <x:c r="N43" s="87" t="n">
        <x:f>IFERROR(G43/J43,0)</x:f>
        <x:v>0.16314789762090218</x:v>
      </x:c>
      <x:c r="O43" s="87" t="n">
        <x:f>IFERROR(H43/J43,0)</x:f>
        <x:v>0.08701950012981867</x:v>
      </x:c>
      <x:c r="P43" s="87" t="n">
        <x:f>IFERROR(I43/J43,0)</x:f>
        <x:v>0</x:v>
      </x:c>
      <x:c r="Q43" s="86" t="n">
        <x:f>D43*INDEX('Régions'!$T$2:$Y$6,MATCH($B43,'Régions'!$A$2:$A$6,0),1)</x:f>
        <x:v>24702.912675881194</x:v>
      </x:c>
      <x:c r="R43" s="86" t="n">
        <x:f>E43*INDEX('Régions'!$T$2:$Y$6,MATCH($B43,'Régions'!$A$2:$A$6,0),2)</x:f>
        <x:v>10318.507850486534</x:v>
      </x:c>
      <x:c r="S43" s="86" t="n">
        <x:f>F43*INDEX('Régions'!$T$2:$Y$6,MATCH($B43,'Régions'!$A$2:$A$6,0),3)</x:f>
        <x:v>5993.055671909218</x:v>
      </x:c>
      <x:c r="T43" s="86" t="n">
        <x:f>G43*INDEX('Régions'!$T$2:$Y$6,MATCH($B43,'Régions'!$A$2:$A$6,0),4)</x:f>
        <x:v>22261.463069829653</x:v>
      </x:c>
      <x:c r="U43" s="86" t="n">
        <x:f>H43*INDEX('Régions'!$T$2:$Y$6,MATCH($B43,'Régions'!$A$2:$A$6,0),5)</x:f>
        <x:v>7452.695889246169</x:v>
      </x:c>
      <x:c r="V43" s="86" t="n">
        <x:f>I43*INDEX('Régions'!$T$2:$Y$6,MATCH($B43,'Régions'!$A$2:$A$6,0),6)</x:f>
        <x:v>0</x:v>
      </x:c>
      <x:c r="W43" s="86" t="n">
        <x:f>MAX(0,Q43+(AU43/100)*J43*'Régions'!$O$2)</x:f>
        <x:v>26218.951841150316</x:v>
      </x:c>
      <x:c r="X43" s="86" t="n">
        <x:f>MAX(0,R43+(AV43/100)*J43*'Régions'!$O$2)</x:f>
        <x:v>9297.174901477805</x:v>
      </x:c>
      <x:c r="Y43" s="86" t="n">
        <x:f>MAX(0,S43+(AW43/100)*J43*'Régions'!$O$2)</x:f>
        <x:v>5877.192773268334</x:v>
      </x:c>
      <x:c r="Z43" s="86" t="n">
        <x:f>MAX(0,T43+(AX43/100)*J43*'Régions'!$O$2)</x:f>
        <x:v>23098.056209003746</x:v>
      </x:c>
      <x:c r="AA43" s="86" t="n">
        <x:f>U43</x:f>
        <x:v>7452.695889246169</x:v>
      </x:c>
      <x:c r="AB43" s="86" t="n">
        <x:f>V43</x:f>
        <x:v>0</x:v>
      </x:c>
      <x:c r="AC43" s="86" t="n">
        <x:f>D43*INDEX('Régions'!$Z$2:$AE$6,MATCH($B43,'Régions'!$A$2:$A$6,0),1)</x:f>
        <x:v>27250.400545581444</x:v>
      </x:c>
      <x:c r="AD43" s="86" t="n">
        <x:f>E43*INDEX('Régions'!$Z$2:$AE$6,MATCH($B43,'Régions'!$A$2:$A$6,0),2)</x:f>
        <x:v>12210.234289742397</x:v>
      </x:c>
      <x:c r="AE43" s="86" t="n">
        <x:f>F43*INDEX('Régions'!$Z$2:$AE$6,MATCH($B43,'Régions'!$A$2:$A$6,0),3)</x:f>
        <x:v>8818.353345809279</x:v>
      </x:c>
      <x:c r="AF43" s="86" t="n">
        <x:f>G43*INDEX('Régions'!$Z$2:$AE$6,MATCH($B43,'Régions'!$A$2:$A$6,0),4)</x:f>
        <x:v>24710.22400751091</x:v>
      </x:c>
      <x:c r="AG43" s="86" t="n">
        <x:f>H43*INDEX('Régions'!$Z$2:$AE$6,MATCH($B43,'Régions'!$A$2:$A$6,0),5)</x:f>
        <x:v>9502.187258788867</x:v>
      </x:c>
      <x:c r="AH43" s="86" t="n">
        <x:f>I43*INDEX('Régions'!$Z$2:$AE$6,MATCH($B43,'Régions'!$A$2:$A$6,0),6)</x:f>
        <x:v>0</x:v>
      </x:c>
      <x:c r="AI43" s="86" t="n">
        <x:f>D43*INDEX('Régions'!$AF$2:$AK$6,MATCH($B43,'Régions'!$A$2:$A$6,0),1)</x:f>
        <x:v>22155.42480618095</x:v>
      </x:c>
      <x:c r="AJ43" s="86" t="n">
        <x:f>E43*INDEX('Régions'!$AF$2:$AK$6,MATCH($B43,'Régions'!$A$2:$A$6,0),2)</x:f>
        <x:v>8426.781411230668</x:v>
      </x:c>
      <x:c r="AK43" s="86" t="n">
        <x:f>F43*INDEX('Régions'!$AF$2:$AK$6,MATCH($B43,'Régions'!$A$2:$A$6,0),3)</x:f>
        <x:v>3167.7579980091587</x:v>
      </x:c>
      <x:c r="AL43" s="86" t="n">
        <x:f>G43*INDEX('Régions'!$AF$2:$AK$6,MATCH($B43,'Régions'!$A$2:$A$6,0),4)</x:f>
        <x:v>19812.70213214839</x:v>
      </x:c>
      <x:c r="AM43" s="86" t="n">
        <x:f>H43*INDEX('Régions'!$AF$2:$AK$6,MATCH($B43,'Régions'!$A$2:$A$6,0),5)</x:f>
        <x:v>5403.204519703472</x:v>
      </x:c>
      <x:c r="AN43" s="86" t="n">
        <x:f>I43*INDEX('Régions'!$AF$2:$AK$6,MATCH($B43,'Régions'!$A$2:$A$6,0),6)</x:f>
        <x:v>0</x:v>
      </x:c>
      <x:c r="AO43" s="84" t="str">
        <x:f>IF(MAX(Q43:V43)=Q43,"CAQ",IF(MAX(Q43:V43)=R43,"PLQ",IF(MAX(Q43:V43)=S43,"QS",IF(MAX(Q43:V43)=T43,"PQ",IF(MAX(Q43:V43)=U43,"PCQ","Autre")))))</x:f>
        <x:v>CAQ</x:v>
      </x:c>
      <x:c r="AP43" s="84" t="str">
        <x:f>IF(MAX(W43:AB43)=W43,"CAQ",IF(MAX(W43:AB43)=X43,"PLQ",IF(MAX(W43:AB43)=Y43,"QS",IF(MAX(W43:AB43)=Z43,"PQ",IF(MAX(W43:AB43)=AA43,"PCQ","Autre")))))</x:f>
        <x:v>CAQ</x:v>
      </x:c>
      <x:c r="AQ43" s="84" t="str">
        <x:f>IF(MAX(AC43:AH43)=AC43,"CAQ",IF(MAX(AC43:AH43)=AD43,"PLQ",IF(MAX(AC43:AH43)=AE43,"QS",IF(MAX(AC43:AH43)=AF43,"PQ",IF(MAX(AC43:AH43)=AG43,"PCQ","Autre")))))</x:f>
        <x:v>CAQ</x:v>
      </x:c>
      <x:c r="AR43" s="84" t="str">
        <x:f>IF(MAX(AI43:AN43)=AI43,"CAQ",IF(MAX(AI43:AN43)=AJ43,"PLQ",IF(MAX(AI43:AN43)=AK43,"QS",IF(MAX(AI43:AN43)=AL43,"PQ",IF(MAX(AI43:AN43)=AM43,"PCQ","Autre")))))</x:f>
        <x:v>CAQ</x:v>
      </x:c>
      <x:c r="AS43" s="88" t="n">
        <x:f>(MAX(K43:P43)-LARGE(K43:P43,2))*100</x:f>
        <x:v>31.432514792495112</x:v>
      </x:c>
      <x:c r="AT43" s="84" t="str">
        <x:f>IF(AS43&lt;5,"Oui","Non")</x:f>
        <x:v>Non</x:v>
      </x:c>
      <x:c r="AU43" s="89" t="n">
        <x:v>4.14337218401214</x:v>
      </x:c>
      <x:c r="AV43" s="89" t="n">
        <x:v>-2.791327973896142</x:v>
      </x:c>
      <x:c r="AW43" s="89" t="n">
        <x:v>-0.3166561408078389</x:v>
      </x:c>
      <x:c r="AX43" s="90" t="n">
        <x:v>2.2864295472036833</x:v>
      </x:c>
    </x:row>
    <x:row r="44">
      <x:c r="A44" s="83" t="str">
        <x:v>Hochelaga-Maisonneuve</x:v>
      </x:c>
      <x:c r="B44" s="84" t="str">
        <x:v>Île de Montréal</x:v>
      </x:c>
      <x:c r="C44" s="84" t="str">
        <x:f>IF(MAX(D44:I44)=D44,"CAQ",IF(MAX(D44:I44)=E44,"PLQ",IF(MAX(D44:I44)=F44,"QS",IF(MAX(D44:I44)=G44,"PQ",IF(MAX(D44:I44)=H44,"PCQ","Autre")))))</x:f>
        <x:v>QS</x:v>
      </x:c>
      <x:c r="D44" s="85" t="n">
        <x:v>9368</x:v>
      </x:c>
      <x:c r="E44" s="85" t="n">
        <x:v>3878</x:v>
      </x:c>
      <x:c r="F44" s="85" t="n">
        <x:v>25330</x:v>
      </x:c>
      <x:c r="G44" s="85" t="n">
        <x:v>8623</x:v>
      </x:c>
      <x:c r="H44" s="85" t="n">
        <x:v>2300</x:v>
      </x:c>
      <x:c r="I44" s="85" t="n">
        <x:v>322</x:v>
      </x:c>
      <x:c r="J44" s="86" t="n">
        <x:f>SUM(D44:I44)</x:f>
        <x:v>49821</x:v>
      </x:c>
      <x:c r="K44" s="87" t="n">
        <x:f>IFERROR(D44/J44,0)</x:f>
        <x:v>0.18803315870817527</x:v>
      </x:c>
      <x:c r="L44" s="87" t="n">
        <x:f>IFERROR(E44/J44,0)</x:f>
        <x:v>0.07783866241143293</x:v>
      </x:c>
      <x:c r="M44" s="87" t="n">
        <x:f>IFERROR(F44/J44,0)</x:f>
        <x:v>0.5084201441159351</x:v>
      </x:c>
      <x:c r="N44" s="87" t="n">
        <x:f>IFERROR(G44/J44,0)</x:f>
        <x:v>0.17307962505770658</x:v>
      </x:c>
      <x:c r="O44" s="87" t="n">
        <x:f>IFERROR(H44/J44,0)</x:f>
        <x:v>0.04616527167258786</x:v>
      </x:c>
      <x:c r="P44" s="87" t="n">
        <x:f>IFERROR(I44/J44,0)</x:f>
        <x:v>0.006463138034162301</x:v>
      </x:c>
      <x:c r="Q44" s="86" t="n">
        <x:f>D44*INDEX('Régions'!$T$2:$Y$6,MATCH($B44,'Régions'!$A$2:$A$6,0),1)</x:f>
        <x:v>7016.515489162311</x:v>
      </x:c>
      <x:c r="R44" s="86" t="n">
        <x:f>E44*INDEX('Régions'!$T$2:$Y$6,MATCH($B44,'Régions'!$A$2:$A$6,0),2)</x:f>
        <x:v>3864.0666113171314</x:v>
      </x:c>
      <x:c r="S44" s="86" t="n">
        <x:f>F44*INDEX('Régions'!$T$2:$Y$6,MATCH($B44,'Régions'!$A$2:$A$6,0),3)</x:f>
        <x:v>19524.009674299166</x:v>
      </x:c>
      <x:c r="T44" s="86" t="n">
        <x:f>G44*INDEX('Régions'!$T$2:$Y$6,MATCH($B44,'Régions'!$A$2:$A$6,0),4)</x:f>
        <x:v>16682.22417507728</x:v>
      </x:c>
      <x:c r="U44" s="86" t="n">
        <x:f>H44*INDEX('Régions'!$T$2:$Y$6,MATCH($B44,'Régions'!$A$2:$A$6,0),5)</x:f>
        <x:v>1833.2443747192895</x:v>
      </x:c>
      <x:c r="V44" s="86" t="n">
        <x:f>I44*INDEX('Régions'!$T$2:$Y$6,MATCH($B44,'Régions'!$A$2:$A$6,0),6)</x:f>
        <x:v>476.13193634699337</x:v>
      </x:c>
      <x:c r="W44" s="86" t="n">
        <x:f>MAX(0,Q44+(AU44/100)*J44*'Régions'!$O$2)</x:f>
        <x:v>8032.233360313927</x:v>
      </x:c>
      <x:c r="X44" s="86" t="n">
        <x:f>MAX(0,R44+(AV44/100)*J44*'Régions'!$O$2)</x:f>
        <x:v>5248.6919010889105</x:v>
      </x:c>
      <x:c r="Y44" s="86" t="n">
        <x:f>MAX(0,S44+(AW44/100)*J44*'Régions'!$O$2)</x:f>
        <x:v>19599.99025320766</x:v>
      </x:c>
      <x:c r="Z44" s="86" t="n">
        <x:f>MAX(0,T44+(AX44/100)*J44*'Régions'!$O$2)</x:f>
        <x:v>15620.321013595745</x:v>
      </x:c>
      <x:c r="AA44" s="86" t="n">
        <x:f>U44</x:f>
        <x:v>1833.2443747192895</x:v>
      </x:c>
      <x:c r="AB44" s="86" t="n">
        <x:f>V44</x:f>
        <x:v>476.13193634699337</x:v>
      </x:c>
      <x:c r="AC44" s="86" t="n">
        <x:f>D44*INDEX('Régions'!$Z$2:$AE$6,MATCH($B44,'Régions'!$A$2:$A$6,0),1)</x:f>
        <x:v>8560.148896778019</x:v>
      </x:c>
      <x:c r="AD44" s="86" t="n">
        <x:f>E44*INDEX('Régions'!$Z$2:$AE$6,MATCH($B44,'Régions'!$A$2:$A$6,0),2)</x:f>
        <x:v>4239.108370650853</x:v>
      </x:c>
      <x:c r="AE44" s="86" t="n">
        <x:f>F44*INDEX('Régions'!$Z$2:$AE$6,MATCH($B44,'Régions'!$A$2:$A$6,0),3)</x:f>
        <x:v>23313.964493427833</x:v>
      </x:c>
      <x:c r="AF44" s="86" t="n">
        <x:f>G44*INDEX('Régions'!$Z$2:$AE$6,MATCH($B44,'Régions'!$A$2:$A$6,0),4)</x:f>
        <x:v>18976.029999150407</x:v>
      </x:c>
      <x:c r="AG44" s="86" t="n">
        <x:f>H44*INDEX('Régions'!$Z$2:$AE$6,MATCH($B44,'Régions'!$A$2:$A$6,0),5)</x:f>
        <x:v>2589.4576792909966</x:v>
      </x:c>
      <x:c r="AH44" s="86" t="n">
        <x:f>I44*INDEX('Régions'!$Z$2:$AE$6,MATCH($B44,'Régions'!$A$2:$A$6,0),6)</x:f>
        <x:v>1261.7496313195325</x:v>
      </x:c>
      <x:c r="AI44" s="86" t="n">
        <x:f>D44*INDEX('Régions'!$AF$2:$AK$6,MATCH($B44,'Régions'!$A$2:$A$6,0),1)</x:f>
        <x:v>5472.882081546602</x:v>
      </x:c>
      <x:c r="AJ44" s="86" t="n">
        <x:f>E44*INDEX('Régions'!$AF$2:$AK$6,MATCH($B44,'Régions'!$A$2:$A$6,0),2)</x:f>
        <x:v>3489.02485198341</x:v>
      </x:c>
      <x:c r="AK44" s="86" t="n">
        <x:f>F44*INDEX('Régions'!$AF$2:$AK$6,MATCH($B44,'Régions'!$A$2:$A$6,0),3)</x:f>
        <x:v>15734.054855170505</x:v>
      </x:c>
      <x:c r="AL44" s="86" t="n">
        <x:f>G44*INDEX('Régions'!$AF$2:$AK$6,MATCH($B44,'Régions'!$A$2:$A$6,0),4)</x:f>
        <x:v>14388.418351004155</x:v>
      </x:c>
      <x:c r="AM44" s="86" t="n">
        <x:f>H44*INDEX('Régions'!$AF$2:$AK$6,MATCH($B44,'Régions'!$A$2:$A$6,0),5)</x:f>
        <x:v>1077.0310701475826</x:v>
      </x:c>
      <x:c r="AN44" s="86" t="n">
        <x:f>I44*INDEX('Régions'!$AF$2:$AK$6,MATCH($B44,'Régions'!$A$2:$A$6,0),6)</x:f>
        <x:v>0</x:v>
      </x:c>
      <x:c r="AO44" s="84" t="str">
        <x:f>IF(MAX(Q44:V44)=Q44,"CAQ",IF(MAX(Q44:V44)=R44,"PLQ",IF(MAX(Q44:V44)=S44,"QS",IF(MAX(Q44:V44)=T44,"PQ",IF(MAX(Q44:V44)=U44,"PCQ","Autre")))))</x:f>
        <x:v>QS</x:v>
      </x:c>
      <x:c r="AP44" s="84" t="str">
        <x:f>IF(MAX(W44:AB44)=W44,"CAQ",IF(MAX(W44:AB44)=X44,"PLQ",IF(MAX(W44:AB44)=Y44,"QS",IF(MAX(W44:AB44)=Z44,"PQ",IF(MAX(W44:AB44)=AA44,"PCQ","Autre")))))</x:f>
        <x:v>QS</x:v>
      </x:c>
      <x:c r="AQ44" s="84" t="str">
        <x:f>IF(MAX(AC44:AH44)=AC44,"CAQ",IF(MAX(AC44:AH44)=AD44,"PLQ",IF(MAX(AC44:AH44)=AE44,"QS",IF(MAX(AC44:AH44)=AF44,"PQ",IF(MAX(AC44:AH44)=AG44,"PCQ","Autre")))))</x:f>
        <x:v>QS</x:v>
      </x:c>
      <x:c r="AR44" s="84" t="str">
        <x:f>IF(MAX(AI44:AN44)=AI44,"CAQ",IF(MAX(AI44:AN44)=AJ44,"PLQ",IF(MAX(AI44:AN44)=AK44,"QS",IF(MAX(AI44:AN44)=AL44,"PQ",IF(MAX(AI44:AN44)=AM44,"PCQ","Autre")))))</x:f>
        <x:v>QS</x:v>
      </x:c>
      <x:c r="AS44" s="88" t="n">
        <x:f>(MAX(K44:P44)-LARGE(K44:P44,2))*100</x:f>
        <x:v>32.038698540775975</x:v>
      </x:c>
      <x:c r="AT44" s="84" t="str">
        <x:f>IF(AS44&lt;5,"Oui","Non")</x:f>
        <x:v>Non</x:v>
      </x:c>
      <x:c r="AU44" s="89" t="n">
        <x:v>4.077468822992778</x:v>
      </x:c>
      <x:c r="AV44" s="89" t="n">
        <x:v>5.558400231917382</x:v>
      </x:c>
      <x:c r="AW44" s="89" t="n">
        <x:v>0.3050142667087946</x:v>
      </x:c>
      <x:c r="AX44" s="90" t="n">
        <x:v>-4.262873733893481</x:v>
      </x:c>
    </x:row>
    <x:row r="45">
      <x:c r="A45" s="83" t="str">
        <x:v>Hull</x:v>
      </x:c>
      <x:c r="B45" s="84" t="str">
        <x:v>Reste du Québec</x:v>
      </x:c>
      <x:c r="C45" s="84" t="str">
        <x:f>IF(MAX(D45:I45)=D45,"CAQ",IF(MAX(D45:I45)=E45,"PLQ",IF(MAX(D45:I45)=F45,"QS",IF(MAX(D45:I45)=G45,"PQ",IF(MAX(D45:I45)=H45,"PCQ","Autre")))))</x:f>
        <x:v>CAQ</x:v>
      </x:c>
      <x:c r="D45" s="85" t="n">
        <x:v>24613</x:v>
      </x:c>
      <x:c r="E45" s="85" t="n">
        <x:v>17661</x:v>
      </x:c>
      <x:c r="F45" s="85" t="n">
        <x:v>13959</x:v>
      </x:c>
      <x:c r="G45" s="85" t="n">
        <x:v>8098</x:v>
      </x:c>
      <x:c r="H45" s="85" t="n">
        <x:v>4990</x:v>
      </x:c>
      <x:c r="I45" s="85" t="n">
        <x:v>12</x:v>
      </x:c>
      <x:c r="J45" s="86" t="n">
        <x:f>SUM(D45:I45)</x:f>
        <x:v>69333</x:v>
      </x:c>
      <x:c r="K45" s="87" t="n">
        <x:f>IFERROR(D45/J45,0)</x:f>
        <x:v>0.354996899023553</x:v>
      </x:c>
      <x:c r="L45" s="87" t="n">
        <x:f>IFERROR(E45/J45,0)</x:f>
        <x:v>0.2547271861883951</x:v>
      </x:c>
      <x:c r="M45" s="87" t="n">
        <x:f>IFERROR(F45/J45,0)</x:f>
        <x:v>0.20133269871489767</x:v>
      </x:c>
      <x:c r="N45" s="87" t="n">
        <x:f>IFERROR(G45/J45,0)</x:f>
        <x:v>0.11679863845499257</x:v>
      </x:c>
      <x:c r="O45" s="87" t="n">
        <x:f>IFERROR(H45/J45,0)</x:f>
        <x:v>0.07197149986298011</x:v>
      </x:c>
      <x:c r="P45" s="87" t="n">
        <x:f>IFERROR(I45/J45,0)</x:f>
        <x:v>0.0001730777551815153</x:v>
      </x:c>
      <x:c r="Q45" s="86" t="n">
        <x:f>D45*INDEX('Régions'!$T$2:$Y$6,MATCH($B45,'Régions'!$A$2:$A$6,0),1)</x:f>
        <x:v>14528.779739492074</x:v>
      </x:c>
      <x:c r="R45" s="86" t="n">
        <x:f>E45*INDEX('Régions'!$T$2:$Y$6,MATCH($B45,'Régions'!$A$2:$A$6,0),2)</x:f>
        <x:v>40412.82469318689</x:v>
      </x:c>
      <x:c r="S45" s="86" t="n">
        <x:f>F45*INDEX('Régions'!$T$2:$Y$6,MATCH($B45,'Régions'!$A$2:$A$6,0),3)</x:f>
        <x:v>8382.499370246818</x:v>
      </x:c>
      <x:c r="T45" s="86" t="n">
        <x:f>G45*INDEX('Régions'!$T$2:$Y$6,MATCH($B45,'Régions'!$A$2:$A$6,0),4)</x:f>
        <x:v>14028.09531046707</x:v>
      </x:c>
      <x:c r="U45" s="86" t="n">
        <x:f>H45*INDEX('Régions'!$T$2:$Y$6,MATCH($B45,'Régions'!$A$2:$A$6,0),5)</x:f>
        <x:v>5625.427791253015</x:v>
      </x:c>
      <x:c r="V45" s="86" t="n">
        <x:f>I45*INDEX('Régions'!$T$2:$Y$6,MATCH($B45,'Régions'!$A$2:$A$6,0),6)</x:f>
        <x:v>27.858724286397702</x:v>
      </x:c>
      <x:c r="W45" s="86" t="n">
        <x:f>MAX(0,Q45+(AU45/100)*J45*'Régions'!$O$2)</x:f>
        <x:v>15224.97078808762</x:v>
      </x:c>
      <x:c r="X45" s="86" t="n">
        <x:f>MAX(0,R45+(AV45/100)*J45*'Régions'!$O$2)</x:f>
        <x:v>42043.080611966165</x:v>
      </x:c>
      <x:c r="Y45" s="86" t="n">
        <x:f>MAX(0,S45+(AW45/100)*J45*'Régions'!$O$2)</x:f>
        <x:v>9472.507210574744</x:v>
      </x:c>
      <x:c r="Z45" s="86" t="n">
        <x:f>MAX(0,T45+(AX45/100)*J45*'Régions'!$O$2)</x:f>
        <x:v>14078.707508480424</x:v>
      </x:c>
      <x:c r="AA45" s="86" t="n">
        <x:f>U45</x:f>
        <x:v>5625.427791253015</x:v>
      </x:c>
      <x:c r="AB45" s="86" t="n">
        <x:f>V45</x:f>
        <x:v>27.858724286397702</x:v>
      </x:c>
      <x:c r="AC45" s="86" t="n">
        <x:f>D45*INDEX('Régions'!$Z$2:$AE$6,MATCH($B45,'Régions'!$A$2:$A$6,0),1)</x:f>
        <x:v>16241.100208789356</x:v>
      </x:c>
      <x:c r="AD45" s="86" t="n">
        <x:f>E45*INDEX('Régions'!$Z$2:$AE$6,MATCH($B45,'Régions'!$A$2:$A$6,0),2)</x:f>
        <x:v>48747.9697861567</x:v>
      </x:c>
      <x:c r="AE45" s="86" t="n">
        <x:f>F45*INDEX('Régions'!$Z$2:$AE$6,MATCH($B45,'Régions'!$A$2:$A$6,0),3)</x:f>
        <x:v>11840.280360473631</x:v>
      </x:c>
      <x:c r="AF45" s="86" t="n">
        <x:f>G45*INDEX('Régions'!$Z$2:$AE$6,MATCH($B45,'Régions'!$A$2:$A$6,0),4)</x:f>
        <x:v>15624.395811313321</x:v>
      </x:c>
      <x:c r="AG45" s="86" t="n">
        <x:f>H45*INDEX('Régions'!$Z$2:$AE$6,MATCH($B45,'Régions'!$A$2:$A$6,0),5)</x:f>
        <x:v>6717.422597790365</x:v>
      </x:c>
      <x:c r="AH45" s="86" t="n">
        <x:f>I45*INDEX('Régions'!$Z$2:$AE$6,MATCH($B45,'Régions'!$A$2:$A$6,0),6)</x:f>
        <x:v>119.79251443151013</x:v>
      </x:c>
      <x:c r="AI45" s="86" t="n">
        <x:f>D45*INDEX('Régions'!$AF$2:$AK$6,MATCH($B45,'Régions'!$A$2:$A$6,0),1)</x:f>
        <x:v>12816.459270194795</x:v>
      </x:c>
      <x:c r="AJ45" s="86" t="n">
        <x:f>E45*INDEX('Régions'!$AF$2:$AK$6,MATCH($B45,'Régions'!$A$2:$A$6,0),2)</x:f>
        <x:v>32077.6796002171</x:v>
      </x:c>
      <x:c r="AK45" s="86" t="n">
        <x:f>F45*INDEX('Régions'!$AF$2:$AK$6,MATCH($B45,'Régions'!$A$2:$A$6,0),3)</x:f>
        <x:v>4924.7183800200055</x:v>
      </x:c>
      <x:c r="AL45" s="86" t="n">
        <x:f>G45*INDEX('Régions'!$AF$2:$AK$6,MATCH($B45,'Régions'!$A$2:$A$6,0),4)</x:f>
        <x:v>12431.794809620818</x:v>
      </x:c>
      <x:c r="AM45" s="86" t="n">
        <x:f>H45*INDEX('Régions'!$AF$2:$AK$6,MATCH($B45,'Régions'!$A$2:$A$6,0),5)</x:f>
        <x:v>4533.432984715665</x:v>
      </x:c>
      <x:c r="AN45" s="86" t="n">
        <x:f>I45*INDEX('Régions'!$AF$2:$AK$6,MATCH($B45,'Régions'!$A$2:$A$6,0),6)</x:f>
        <x:v>0</x:v>
      </x:c>
      <x:c r="AO45" s="84" t="str">
        <x:f>IF(MAX(Q45:V45)=Q45,"CAQ",IF(MAX(Q45:V45)=R45,"PLQ",IF(MAX(Q45:V45)=S45,"QS",IF(MAX(Q45:V45)=T45,"PQ",IF(MAX(Q45:V45)=U45,"PCQ","Autre")))))</x:f>
        <x:v>PLQ</x:v>
      </x:c>
      <x:c r="AP45" s="84" t="str">
        <x:f>IF(MAX(W45:AB45)=W45,"CAQ",IF(MAX(W45:AB45)=X45,"PLQ",IF(MAX(W45:AB45)=Y45,"QS",IF(MAX(W45:AB45)=Z45,"PQ",IF(MAX(W45:AB45)=AA45,"PCQ","Autre")))))</x:f>
        <x:v>PLQ</x:v>
      </x:c>
      <x:c r="AQ45" s="84" t="str">
        <x:f>IF(MAX(AC45:AH45)=AC45,"CAQ",IF(MAX(AC45:AH45)=AD45,"PLQ",IF(MAX(AC45:AH45)=AE45,"QS",IF(MAX(AC45:AH45)=AF45,"PQ",IF(MAX(AC45:AH45)=AG45,"PCQ","Autre")))))</x:f>
        <x:v>PLQ</x:v>
      </x:c>
      <x:c r="AR45" s="84" t="str">
        <x:f>IF(MAX(AI45:AN45)=AI45,"CAQ",IF(MAX(AI45:AN45)=AJ45,"PLQ",IF(MAX(AI45:AN45)=AK45,"QS",IF(MAX(AI45:AN45)=AL45,"PQ",IF(MAX(AI45:AN45)=AM45,"PCQ","Autre")))))</x:f>
        <x:v>PLQ</x:v>
      </x:c>
      <x:c r="AS45" s="88" t="n">
        <x:f>(MAX(K45:P45)-LARGE(K45:P45,2))*100</x:f>
        <x:v>10.02697128351579</x:v>
      </x:c>
      <x:c r="AT45" s="84" t="str">
        <x:f>IF(AS45&lt;5,"Oui","Non")</x:f>
        <x:v>Non</x:v>
      </x:c>
      <x:c r="AU45" s="89" t="n">
        <x:v>2.0082530644730365</x:v>
      </x:c>
      <x:c r="AV45" s="89" t="n">
        <x:v>4.702683913228256</x:v>
      </x:c>
      <x:c r="AW45" s="89" t="n">
        <x:v>3.144268502236816</x:v>
      </x:c>
      <x:c r="AX45" s="90" t="n">
        <x:v>0.14599742694922785</x:v>
      </x:c>
    </x:row>
    <x:row r="46">
      <x:c r="A46" s="83" t="str">
        <x:v>Huntingdon</x:v>
      </x:c>
      <x:c r="B46" s="84" t="str">
        <x:v>Banlieue de Montréal</x:v>
      </x:c>
      <x:c r="C46" s="84" t="str">
        <x:f>IF(MAX(D46:I46)=D46,"CAQ",IF(MAX(D46:I46)=E46,"PLQ",IF(MAX(D46:I46)=F46,"QS",IF(MAX(D46:I46)=G46,"PQ",IF(MAX(D46:I46)=H46,"PCQ","Autre")))))</x:f>
        <x:v>CAQ</x:v>
      </x:c>
      <x:c r="D46" s="85" t="n">
        <x:v>29807</x:v>
      </x:c>
      <x:c r="E46" s="85" t="n">
        <x:v>8984</x:v>
      </x:c>
      <x:c r="F46" s="85" t="n">
        <x:v>7180</x:v>
      </x:c>
      <x:c r="G46" s="85" t="n">
        <x:v>8587</x:v>
      </x:c>
      <x:c r="H46" s="85" t="n">
        <x:v>9137</x:v>
      </x:c>
      <x:c r="I46" s="85" t="n">
        <x:v>21</x:v>
      </x:c>
      <x:c r="J46" s="86" t="n">
        <x:f>SUM(D46:I46)</x:f>
        <x:v>63716</x:v>
      </x:c>
      <x:c r="K46" s="87" t="n">
        <x:f>IFERROR(D46/J46,0)</x:f>
        <x:v>0.46781028313139555</x:v>
      </x:c>
      <x:c r="L46" s="87" t="n">
        <x:f>IFERROR(E46/J46,0)</x:f>
        <x:v>0.14100069056437944</x:v>
      </x:c>
      <x:c r="M46" s="87" t="n">
        <x:f>IFERROR(F46/J46,0)</x:f>
        <x:v>0.11268755100759621</x:v>
      </x:c>
      <x:c r="N46" s="87" t="n">
        <x:f>IFERROR(G46/J46,0)</x:f>
        <x:v>0.13476991650448866</x:v>
      </x:c>
      <x:c r="O46" s="87" t="n">
        <x:f>IFERROR(H46/J46,0)</x:f>
        <x:v>0.1434019712474104</x:v>
      </x:c>
      <x:c r="P46" s="87" t="n">
        <x:f>IFERROR(I46/J46,0)</x:f>
        <x:v>0.0003295875447297382</x:v>
      </x:c>
      <x:c r="Q46" s="86" t="n">
        <x:f>D46*INDEX('Régions'!$T$2:$Y$6,MATCH($B46,'Régions'!$A$2:$A$6,0),1)</x:f>
        <x:v>21073.22967659743</x:v>
      </x:c>
      <x:c r="R46" s="86" t="n">
        <x:f>E46*INDEX('Régions'!$T$2:$Y$6,MATCH($B46,'Régions'!$A$2:$A$6,0),2)</x:f>
        <x:v>11492.868153827301</x:v>
      </x:c>
      <x:c r="S46" s="86" t="n">
        <x:f>F46*INDEX('Régions'!$T$2:$Y$6,MATCH($B46,'Régions'!$A$2:$A$6,0),3)</x:f>
        <x:v>3626.6447302408924</x:v>
      </x:c>
      <x:c r="T46" s="86" t="n">
        <x:f>G46*INDEX('Régions'!$T$2:$Y$6,MATCH($B46,'Régions'!$A$2:$A$6,0),4)</x:f>
        <x:v>16011.322839486325</x:v>
      </x:c>
      <x:c r="U46" s="86" t="n">
        <x:f>H46*INDEX('Régions'!$T$2:$Y$6,MATCH($B46,'Régions'!$A$2:$A$6,0),5)</x:f>
        <x:v>10693.35463882573</x:v>
      </x:c>
      <x:c r="V46" s="86" t="n">
        <x:f>I46*INDEX('Régions'!$T$2:$Y$6,MATCH($B46,'Régions'!$A$2:$A$6,0),6)</x:f>
        <x:v>45.08794076268049</x:v>
      </x:c>
      <x:c r="W46" s="86" t="n">
        <x:f>MAX(0,Q46+(AU46/100)*J46*'Régions'!$O$2)</x:f>
        <x:v>22998.51822098902</x:v>
      </x:c>
      <x:c r="X46" s="86" t="n">
        <x:f>MAX(0,R46+(AV46/100)*J46*'Régions'!$O$2)</x:f>
        <x:v>7071.675456525412</x:v>
      </x:c>
      <x:c r="Y46" s="86" t="n">
        <x:f>MAX(0,S46+(AW46/100)*J46*'Régions'!$O$2)</x:f>
        <x:v>3370.6272194518074</x:v>
      </x:c>
      <x:c r="Z46" s="86" t="n">
        <x:f>MAX(0,T46+(AX46/100)*J46*'Régions'!$O$2)</x:f>
        <x:v>17550.385726941546</x:v>
      </x:c>
      <x:c r="AA46" s="86" t="n">
        <x:f>U46</x:f>
        <x:v>10693.35463882573</x:v>
      </x:c>
      <x:c r="AB46" s="86" t="n">
        <x:f>V46</x:f>
        <x:v>45.08794076268049</x:v>
      </x:c>
      <x:c r="AC46" s="86" t="n">
        <x:f>D46*INDEX('Régions'!$Z$2:$AE$6,MATCH($B46,'Régions'!$A$2:$A$6,0),1)</x:f>
        <x:v>23246.40648699654</x:v>
      </x:c>
      <x:c r="AD46" s="86" t="n">
        <x:f>E46*INDEX('Régions'!$Z$2:$AE$6,MATCH($B46,'Régions'!$A$2:$A$6,0),2)</x:f>
        <x:v>13599.893982028972</x:v>
      </x:c>
      <x:c r="AE46" s="86" t="n">
        <x:f>F46*INDEX('Régions'!$Z$2:$AE$6,MATCH($B46,'Régions'!$A$2:$A$6,0),3)</x:f>
        <x:v>5336.348674497313</x:v>
      </x:c>
      <x:c r="AF46" s="86" t="n">
        <x:f>G46*INDEX('Régions'!$Z$2:$AE$6,MATCH($B46,'Régions'!$A$2:$A$6,0),4)</x:f>
        <x:v>17772.568351829817</x:v>
      </x:c>
      <x:c r="AG46" s="86" t="n">
        <x:f>H46*INDEX('Régions'!$Z$2:$AE$6,MATCH($B46,'Régions'!$A$2:$A$6,0),5)</x:f>
        <x:v>13634.027164502806</x:v>
      </x:c>
      <x:c r="AH46" s="86" t="n">
        <x:f>I46*INDEX('Régions'!$Z$2:$AE$6,MATCH($B46,'Régions'!$A$2:$A$6,0),6)</x:f>
        <x:v>193.87814527952608</x:v>
      </x:c>
      <x:c r="AI46" s="86" t="n">
        <x:f>D46*INDEX('Régions'!$AF$2:$AK$6,MATCH($B46,'Régions'!$A$2:$A$6,0),1)</x:f>
        <x:v>18900.05286619832</x:v>
      </x:c>
      <x:c r="AJ46" s="86" t="n">
        <x:f>E46*INDEX('Régions'!$AF$2:$AK$6,MATCH($B46,'Régions'!$A$2:$A$6,0),2)</x:f>
        <x:v>9385.842325625628</x:v>
      </x:c>
      <x:c r="AK46" s="86" t="n">
        <x:f>F46*INDEX('Régions'!$AF$2:$AK$6,MATCH($B46,'Régions'!$A$2:$A$6,0),3)</x:f>
        <x:v>1916.9407859844719</x:v>
      </x:c>
      <x:c r="AL46" s="86" t="n">
        <x:f>G46*INDEX('Régions'!$AF$2:$AK$6,MATCH($B46,'Régions'!$A$2:$A$6,0),4)</x:f>
        <x:v>14250.07732714283</x:v>
      </x:c>
      <x:c r="AM46" s="86" t="n">
        <x:f>H46*INDEX('Régions'!$AF$2:$AK$6,MATCH($B46,'Régions'!$A$2:$A$6,0),5)</x:f>
        <x:v>7752.682113148653</x:v>
      </x:c>
      <x:c r="AN46" s="86" t="n">
        <x:f>I46*INDEX('Régions'!$AF$2:$AK$6,MATCH($B46,'Régions'!$A$2:$A$6,0),6)</x:f>
        <x:v>0</x:v>
      </x:c>
      <x:c r="AO46" s="84" t="str">
        <x:f>IF(MAX(Q46:V46)=Q46,"CAQ",IF(MAX(Q46:V46)=R46,"PLQ",IF(MAX(Q46:V46)=S46,"QS",IF(MAX(Q46:V46)=T46,"PQ",IF(MAX(Q46:V46)=U46,"PCQ","Autre")))))</x:f>
        <x:v>CAQ</x:v>
      </x:c>
      <x:c r="AP46" s="84" t="str">
        <x:f>IF(MAX(W46:AB46)=W46,"CAQ",IF(MAX(W46:AB46)=X46,"PLQ",IF(MAX(W46:AB46)=Y46,"QS",IF(MAX(W46:AB46)=Z46,"PQ",IF(MAX(W46:AB46)=AA46,"PCQ","Autre")))))</x:f>
        <x:v>CAQ</x:v>
      </x:c>
      <x:c r="AQ46" s="84" t="str">
        <x:f>IF(MAX(AC46:AH46)=AC46,"CAQ",IF(MAX(AC46:AH46)=AD46,"PLQ",IF(MAX(AC46:AH46)=AE46,"QS",IF(MAX(AC46:AH46)=AF46,"PQ",IF(MAX(AC46:AH46)=AG46,"PCQ","Autre")))))</x:f>
        <x:v>CAQ</x:v>
      </x:c>
      <x:c r="AR46" s="84" t="str">
        <x:f>IF(MAX(AI46:AN46)=AI46,"CAQ",IF(MAX(AI46:AN46)=AJ46,"PLQ",IF(MAX(AI46:AN46)=AK46,"QS",IF(MAX(AI46:AN46)=AL46,"PQ",IF(MAX(AI46:AN46)=AM46,"PCQ","Autre")))))</x:f>
        <x:v>CAQ</x:v>
      </x:c>
      <x:c r="AS46" s="88" t="n">
        <x:f>(MAX(K46:P46)-LARGE(K46:P46,2))*100</x:f>
        <x:v>32.44083118839852</x:v>
      </x:c>
      <x:c r="AT46" s="84" t="str">
        <x:f>IF(AS46&lt;5,"Oui","Non")</x:f>
        <x:v>Non</x:v>
      </x:c>
      <x:c r="AU46" s="89" t="n">
        <x:v>6.043344040402998</x:v>
      </x:c>
      <x:c r="AV46" s="89" t="n">
        <x:v>-13.877809960769316</x:v>
      </x:c>
      <x:c r="AW46" s="89" t="n">
        <x:v>-0.8036207884647026</x:v>
      </x:c>
      <x:c r="AX46" s="90" t="n">
        <x:v>4.831009126295499</x:v>
      </x:c>
    </x:row>
    <x:row r="47">
      <x:c r="A47" s="83" t="str">
        <x:v>Iberville</x:v>
      </x:c>
      <x:c r="B47" s="84" t="str">
        <x:v>Banlieue de Montréal</x:v>
      </x:c>
      <x:c r="C47" s="84" t="str">
        <x:f>IF(MAX(D47:I47)=D47,"CAQ",IF(MAX(D47:I47)=E47,"PLQ",IF(MAX(D47:I47)=F47,"QS",IF(MAX(D47:I47)=G47,"PQ",IF(MAX(D47:I47)=H47,"PCQ","Autre")))))</x:f>
        <x:v>CAQ</x:v>
      </x:c>
      <x:c r="D47" s="85" t="n">
        <x:v>37619</x:v>
      </x:c>
      <x:c r="E47" s="85" t="n">
        <x:v>3992</x:v>
      </x:c>
      <x:c r="F47" s="85" t="n">
        <x:v>9709</x:v>
      </x:c>
      <x:c r="G47" s="85" t="n">
        <x:v>10791</x:v>
      </x:c>
      <x:c r="H47" s="85" t="n">
        <x:v>7975</x:v>
      </x:c>
      <x:c r="I47" s="85" t="n">
        <x:v>698</x:v>
      </x:c>
      <x:c r="J47" s="86" t="n">
        <x:f>SUM(D47:I47)</x:f>
        <x:v>70784</x:v>
      </x:c>
      <x:c r="K47" s="87" t="n">
        <x:f>IFERROR(D47/J47,0)</x:f>
        <x:v>0.5314619122965641</x:v>
      </x:c>
      <x:c r="L47" s="87" t="n">
        <x:f>IFERROR(E47/J47,0)</x:f>
        <x:v>0.056396925858951175</x:v>
      </x:c>
      <x:c r="M47" s="87" t="n">
        <x:f>IFERROR(F47/J47,0)</x:f>
        <x:v>0.1371637658227848</x:v>
      </x:c>
      <x:c r="N47" s="87" t="n">
        <x:f>IFERROR(G47/J47,0)</x:f>
        <x:v>0.1524497061482821</x:v>
      </x:c>
      <x:c r="O47" s="87" t="n">
        <x:f>IFERROR(H47/J47,0)</x:f>
        <x:v>0.11266670433996383</x:v>
      </x:c>
      <x:c r="P47" s="87" t="n">
        <x:f>IFERROR(I47/J47,0)</x:f>
        <x:v>0.009860985533453888</x:v>
      </x:c>
      <x:c r="Q47" s="86" t="n">
        <x:f>D47*INDEX('Régions'!$T$2:$Y$6,MATCH($B47,'Régions'!$A$2:$A$6,0),1)</x:f>
        <x:v>26596.22998637631</x:v>
      </x:c>
      <x:c r="R47" s="86" t="n">
        <x:f>E47*INDEX('Régions'!$T$2:$Y$6,MATCH($B47,'Régions'!$A$2:$A$6,0),2)</x:f>
        <x:v>5106.804282065737</x:v>
      </x:c>
      <x:c r="S47" s="86" t="n">
        <x:f>F47*INDEX('Régions'!$T$2:$Y$6,MATCH($B47,'Régions'!$A$2:$A$6,0),3)</x:f>
        <x:v>4904.052045391201</x:v>
      </x:c>
      <x:c r="T47" s="86" t="n">
        <x:f>G47*INDEX('Régions'!$T$2:$Y$6,MATCH($B47,'Régions'!$A$2:$A$6,0),4)</x:f>
        <x:v>20120.901916955507</x:v>
      </x:c>
      <x:c r="U47" s="86" t="n">
        <x:f>H47*INDEX('Régions'!$T$2:$Y$6,MATCH($B47,'Régions'!$A$2:$A$6,0),5)</x:f>
        <x:v>9333.424892703862</x:v>
      </x:c>
      <x:c r="V47" s="86" t="n">
        <x:f>I47*INDEX('Régions'!$T$2:$Y$6,MATCH($B47,'Régions'!$A$2:$A$6,0),6)</x:f>
        <x:v>1498.6372691595705</x:v>
      </x:c>
      <x:c r="W47" s="86" t="n">
        <x:f>MAX(0,Q47+(AU47/100)*J47*'Régions'!$O$2)</x:f>
        <x:v>27493.729743085347</x:v>
      </x:c>
      <x:c r="X47" s="86" t="n">
        <x:f>MAX(0,R47+(AV47/100)*J47*'Régions'!$O$2)</x:f>
        <x:v>5030.428975432869</x:v>
      </x:c>
      <x:c r="Y47" s="86" t="n">
        <x:f>MAX(0,S47+(AW47/100)*J47*'Régions'!$O$2)</x:f>
        <x:v>3879.735890405913</x:v>
      </x:c>
      <x:c r="Z47" s="86" t="n">
        <x:f>MAX(0,T47+(AX47/100)*J47*'Régions'!$O$2)</x:f>
        <x:v>20271.17472384641</x:v>
      </x:c>
      <x:c r="AA47" s="86" t="n">
        <x:f>U47</x:f>
        <x:v>9333.424892703862</x:v>
      </x:c>
      <x:c r="AB47" s="86" t="n">
        <x:f>V47</x:f>
        <x:v>1498.6372691595705</x:v>
      </x:c>
      <x:c r="AC47" s="86" t="n">
        <x:f>D47*INDEX('Régions'!$Z$2:$AE$6,MATCH($B47,'Régions'!$A$2:$A$6,0),1)</x:f>
        <x:v>29338.966203721367</x:v>
      </x:c>
      <x:c r="AD47" s="86" t="n">
        <x:f>E47*INDEX('Régions'!$Z$2:$AE$6,MATCH($B47,'Régions'!$A$2:$A$6,0),2)</x:f>
        <x:v>6043.051733777789</x:v>
      </x:c>
      <x:c r="AE47" s="86" t="n">
        <x:f>F47*INDEX('Régions'!$Z$2:$AE$6,MATCH($B47,'Régions'!$A$2:$A$6,0),3)</x:f>
        <x:v>7215.96229536134</x:v>
      </x:c>
      <x:c r="AF47" s="86" t="n">
        <x:f>G47*INDEX('Régions'!$Z$2:$AE$6,MATCH($B47,'Régions'!$A$2:$A$6,0),4)</x:f>
        <x:v>22334.20112782061</x:v>
      </x:c>
      <x:c r="AG47" s="86" t="n">
        <x:f>H47*INDEX('Régions'!$Z$2:$AE$6,MATCH($B47,'Régions'!$A$2:$A$6,0),5)</x:f>
        <x:v>11900.116738197426</x:v>
      </x:c>
      <x:c r="AH47" s="86" t="n">
        <x:f>I47*INDEX('Régions'!$Z$2:$AE$6,MATCH($B47,'Régions'!$A$2:$A$6,0),6)</x:f>
        <x:v>6444.140257386153</x:v>
      </x:c>
      <x:c r="AI47" s="86" t="n">
        <x:f>D47*INDEX('Régions'!$AF$2:$AK$6,MATCH($B47,'Régions'!$A$2:$A$6,0),1)</x:f>
        <x:v>23853.493769031254</x:v>
      </x:c>
      <x:c r="AJ47" s="86" t="n">
        <x:f>E47*INDEX('Régions'!$AF$2:$AK$6,MATCH($B47,'Régions'!$A$2:$A$6,0),2)</x:f>
        <x:v>4170.556830353686</x:v>
      </x:c>
      <x:c r="AK47" s="86" t="n">
        <x:f>F47*INDEX('Régions'!$AF$2:$AK$6,MATCH($B47,'Régions'!$A$2:$A$6,0),3)</x:f>
        <x:v>2592.1417954210638</x:v>
      </x:c>
      <x:c r="AL47" s="86" t="n">
        <x:f>G47*INDEX('Régions'!$AF$2:$AK$6,MATCH($B47,'Régions'!$A$2:$A$6,0),4)</x:f>
        <x:v>17907.6027060904</x:v>
      </x:c>
      <x:c r="AM47" s="86" t="n">
        <x:f>H47*INDEX('Régions'!$AF$2:$AK$6,MATCH($B47,'Régions'!$A$2:$A$6,0),5)</x:f>
        <x:v>6766.733047210299</x:v>
      </x:c>
      <x:c r="AN47" s="86" t="n">
        <x:f>I47*INDEX('Régions'!$AF$2:$AK$6,MATCH($B47,'Régions'!$A$2:$A$6,0),6)</x:f>
        <x:v>0</x:v>
      </x:c>
      <x:c r="AO47" s="84" t="str">
        <x:f>IF(MAX(Q47:V47)=Q47,"CAQ",IF(MAX(Q47:V47)=R47,"PLQ",IF(MAX(Q47:V47)=S47,"QS",IF(MAX(Q47:V47)=T47,"PQ",IF(MAX(Q47:V47)=U47,"PCQ","Autre")))))</x:f>
        <x:v>CAQ</x:v>
      </x:c>
      <x:c r="AP47" s="84" t="str">
        <x:f>IF(MAX(W47:AB47)=W47,"CAQ",IF(MAX(W47:AB47)=X47,"PLQ",IF(MAX(W47:AB47)=Y47,"QS",IF(MAX(W47:AB47)=Z47,"PQ",IF(MAX(W47:AB47)=AA47,"PCQ","Autre")))))</x:f>
        <x:v>CAQ</x:v>
      </x:c>
      <x:c r="AQ47" s="84" t="str">
        <x:f>IF(MAX(AC47:AH47)=AC47,"CAQ",IF(MAX(AC47:AH47)=AD47,"PLQ",IF(MAX(AC47:AH47)=AE47,"QS",IF(MAX(AC47:AH47)=AF47,"PQ",IF(MAX(AC47:AH47)=AG47,"PCQ","Autre")))))</x:f>
        <x:v>CAQ</x:v>
      </x:c>
      <x:c r="AR47" s="84" t="str">
        <x:f>IF(MAX(AI47:AN47)=AI47,"CAQ",IF(MAX(AI47:AN47)=AJ47,"PLQ",IF(MAX(AI47:AN47)=AK47,"QS",IF(MAX(AI47:AN47)=AL47,"PQ",IF(MAX(AI47:AN47)=AM47,"PCQ","Autre")))))</x:f>
        <x:v>CAQ</x:v>
      </x:c>
      <x:c r="AS47" s="88" t="n">
        <x:f>(MAX(K47:P47)-LARGE(K47:P47,2))*100</x:f>
        <x:v>37.901220614828205</x:v>
      </x:c>
      <x:c r="AT47" s="84" t="str">
        <x:f>IF(AS47&lt;5,"Oui","Non")</x:f>
        <x:v>Non</x:v>
      </x:c>
      <x:c r="AU47" s="89" t="n">
        <x:v>2.535883128133581</x:v>
      </x:c>
      <x:c r="AV47" s="89" t="n">
        <x:v>-0.21579822172487495</x:v>
      </x:c>
      <x:c r="AW47" s="89" t="n">
        <x:v>-2.894202517476516</x:v>
      </x:c>
      <x:c r="AX47" s="90" t="n">
        <x:v>0.4245954082586517</x:v>
      </x:c>
    </x:row>
    <x:row r="48">
      <x:c r="A48" s="83" t="str">
        <x:v>Îles-de-la-Madeleine</x:v>
      </x:c>
      <x:c r="B48" s="84" t="str">
        <x:v>Reste du Québec</x:v>
      </x:c>
      <x:c r="C48" s="84" t="str">
        <x:f>IF(MAX(D48:I48)=D48,"CAQ",IF(MAX(D48:I48)=E48,"PLQ",IF(MAX(D48:I48)=F48,"QS",IF(MAX(D48:I48)=G48,"PQ",IF(MAX(D48:I48)=H48,"PCQ","Autre")))))</x:f>
        <x:v>PQ</x:v>
      </x:c>
      <x:c r="D48" s="85" t="n">
        <x:v>6668</x:v>
      </x:c>
      <x:c r="E48" s="85" t="n">
        <x:v>1211</x:v>
      </x:c>
      <x:c r="F48" s="85" t="n">
        <x:v>899</x:v>
      </x:c>
      <x:c r="G48" s="85" t="n">
        <x:v>7745</x:v>
      </x:c>
      <x:c r="H48" s="85" t="n">
        <x:v>186</x:v>
      </x:c>
      <x:c r="I48" s="85" t="n">
        <x:v>0</x:v>
      </x:c>
      <x:c r="J48" s="86" t="n">
        <x:f>SUM(D48:I48)</x:f>
        <x:v>16709</x:v>
      </x:c>
      <x:c r="K48" s="87" t="n">
        <x:f>IFERROR(D48/J48,0)</x:f>
        <x:v>0.39906637141660184</x:v>
      </x:c>
      <x:c r="L48" s="87" t="n">
        <x:f>IFERROR(E48/J48,0)</x:f>
        <x:v>0.0724759111855886</x:v>
      </x:c>
      <x:c r="M48" s="87" t="n">
        <x:f>IFERROR(F48/J48,0)</x:f>
        <x:v>0.05380333951762523</x:v>
      </x:c>
      <x:c r="N48" s="87" t="n">
        <x:f>IFERROR(G48/J48,0)</x:f>
        <x:v>0.46352265246274466</x:v>
      </x:c>
      <x:c r="O48" s="87" t="n">
        <x:f>IFERROR(H48/J48,0)</x:f>
        <x:v>0.011131725417439703</x:v>
      </x:c>
      <x:c r="P48" s="87" t="n">
        <x:f>IFERROR(I48/J48,0)</x:f>
        <x:v>0</x:v>
      </x:c>
      <x:c r="Q48" s="86" t="n">
        <x:f>D48*INDEX('Régions'!$T$2:$Y$6,MATCH($B48,'Régions'!$A$2:$A$6,0),1)</x:f>
        <x:v>3936.04612615013</x:v>
      </x:c>
      <x:c r="R48" s="86" t="n">
        <x:f>E48*INDEX('Régions'!$T$2:$Y$6,MATCH($B48,'Régions'!$A$2:$A$6,0),2)</x:f>
        <x:v>2771.073591724666</x:v>
      </x:c>
      <x:c r="S48" s="86" t="n">
        <x:f>F48*INDEX('Régions'!$T$2:$Y$6,MATCH($B48,'Régions'!$A$2:$A$6,0),3)</x:f>
        <x:v>539.8572199908224</x:v>
      </x:c>
      <x:c r="T48" s="86" t="n">
        <x:f>G48*INDEX('Régions'!$T$2:$Y$6,MATCH($B48,'Régions'!$A$2:$A$6,0),4)</x:f>
        <x:v>13416.59646574061</x:v>
      </x:c>
      <x:c r="U48" s="86" t="n">
        <x:f>H48*INDEX('Régions'!$T$2:$Y$6,MATCH($B48,'Régions'!$A$2:$A$6,0),5)</x:f>
        <x:v>209.685284403419</x:v>
      </x:c>
      <x:c r="V48" s="86" t="n">
        <x:f>I48*INDEX('Régions'!$T$2:$Y$6,MATCH($B48,'Régions'!$A$2:$A$6,0),6)</x:f>
        <x:v>0</x:v>
      </x:c>
      <x:c r="W48" s="86" t="n">
        <x:f>MAX(0,Q48+(AU48/100)*J48*'Régions'!$O$2)</x:f>
        <x:v>5991.140814368137</x:v>
      </x:c>
      <x:c r="X48" s="86" t="n">
        <x:f>MAX(0,R48+(AV48/100)*J48*'Régions'!$O$2)</x:f>
        <x:v>1229.6351206553356</x:v>
      </x:c>
      <x:c r="Y48" s="86" t="n">
        <x:f>MAX(0,S48+(AW48/100)*J48*'Régions'!$O$2)</x:f>
        <x:v>0</x:v>
      </x:c>
      <x:c r="Z48" s="86" t="n">
        <x:f>MAX(0,T48+(AX48/100)*J48*'Régions'!$O$2)</x:f>
        <x:v>14517.959035342908</x:v>
      </x:c>
      <x:c r="AA48" s="86" t="n">
        <x:f>U48</x:f>
        <x:v>209.685284403419</x:v>
      </x:c>
      <x:c r="AB48" s="86" t="n">
        <x:f>V48</x:f>
        <x:v>0</x:v>
      </x:c>
      <x:c r="AC48" s="86" t="n">
        <x:f>D48*INDEX('Régions'!$Z$2:$AE$6,MATCH($B48,'Régions'!$A$2:$A$6,0),1)</x:f>
        <x:v>4399.93727673211</x:v>
      </x:c>
      <x:c r="AD48" s="86" t="n">
        <x:f>E48*INDEX('Régions'!$Z$2:$AE$6,MATCH($B48,'Régions'!$A$2:$A$6,0),2)</x:f>
        <x:v>3342.607520017879</x:v>
      </x:c>
      <x:c r="AE48" s="86" t="n">
        <x:f>F48*INDEX('Régions'!$Z$2:$AE$6,MATCH($B48,'Régions'!$A$2:$A$6,0),3)</x:f>
        <x:v>762.5483232370366</x:v>
      </x:c>
      <x:c r="AF48" s="86" t="n">
        <x:f>G48*INDEX('Régions'!$Z$2:$AE$6,MATCH($B48,'Régions'!$A$2:$A$6,0),4)</x:f>
        <x:v>14943.312615290402</x:v>
      </x:c>
      <x:c r="AG48" s="86" t="n">
        <x:f>H48*INDEX('Régions'!$Z$2:$AE$6,MATCH($B48,'Régions'!$A$2:$A$6,0),5)</x:f>
        <x:v>250.38889843467092</x:v>
      </x:c>
      <x:c r="AH48" s="86" t="n">
        <x:f>I48*INDEX('Régions'!$Z$2:$AE$6,MATCH($B48,'Régions'!$A$2:$A$6,0),6)</x:f>
        <x:v>0</x:v>
      </x:c>
      <x:c r="AI48" s="86" t="n">
        <x:f>D48*INDEX('Régions'!$AF$2:$AK$6,MATCH($B48,'Régions'!$A$2:$A$6,0),1)</x:f>
        <x:v>3472.154975568151</x:v>
      </x:c>
      <x:c r="AJ48" s="86" t="n">
        <x:f>E48*INDEX('Régions'!$AF$2:$AK$6,MATCH($B48,'Régions'!$A$2:$A$6,0),2)</x:f>
        <x:v>2199.539663431454</x:v>
      </x:c>
      <x:c r="AK48" s="86" t="n">
        <x:f>F48*INDEX('Régions'!$AF$2:$AK$6,MATCH($B48,'Régions'!$A$2:$A$6,0),3)</x:f>
        <x:v>317.16611674460813</x:v>
      </x:c>
      <x:c r="AL48" s="86" t="n">
        <x:f>G48*INDEX('Régions'!$AF$2:$AK$6,MATCH($B48,'Régions'!$A$2:$A$6,0),4)</x:f>
        <x:v>11889.880316190818</x:v>
      </x:c>
      <x:c r="AM48" s="86" t="n">
        <x:f>H48*INDEX('Régions'!$AF$2:$AK$6,MATCH($B48,'Régions'!$A$2:$A$6,0),5)</x:f>
        <x:v>168.98167037216706</x:v>
      </x:c>
      <x:c r="AN48" s="86" t="n">
        <x:f>I48*INDEX('Régions'!$AF$2:$AK$6,MATCH($B48,'Régions'!$A$2:$A$6,0),6)</x:f>
        <x:v>0</x:v>
      </x:c>
      <x:c r="AO48" s="84" t="str">
        <x:f>IF(MAX(Q48:V48)=Q48,"CAQ",IF(MAX(Q48:V48)=R48,"PLQ",IF(MAX(Q48:V48)=S48,"QS",IF(MAX(Q48:V48)=T48,"PQ",IF(MAX(Q48:V48)=U48,"PCQ","Autre")))))</x:f>
        <x:v>PQ</x:v>
      </x:c>
      <x:c r="AP48" s="84" t="str">
        <x:f>IF(MAX(W48:AB48)=W48,"CAQ",IF(MAX(W48:AB48)=X48,"PLQ",IF(MAX(W48:AB48)=Y48,"QS",IF(MAX(W48:AB48)=Z48,"PQ",IF(MAX(W48:AB48)=AA48,"PCQ","Autre")))))</x:f>
        <x:v>PQ</x:v>
      </x:c>
      <x:c r="AQ48" s="84" t="str">
        <x:f>IF(MAX(AC48:AH48)=AC48,"CAQ",IF(MAX(AC48:AH48)=AD48,"PLQ",IF(MAX(AC48:AH48)=AE48,"QS",IF(MAX(AC48:AH48)=AF48,"PQ",IF(MAX(AC48:AH48)=AG48,"PCQ","Autre")))))</x:f>
        <x:v>PQ</x:v>
      </x:c>
      <x:c r="AR48" s="84" t="str">
        <x:f>IF(MAX(AI48:AN48)=AI48,"CAQ",IF(MAX(AI48:AN48)=AJ48,"PLQ",IF(MAX(AI48:AN48)=AK48,"QS",IF(MAX(AI48:AN48)=AL48,"PQ",IF(MAX(AI48:AN48)=AM48,"PCQ","Autre")))))</x:f>
        <x:v>PQ</x:v>
      </x:c>
      <x:c r="AS48" s="88" t="n">
        <x:f>(MAX(K48:P48)-LARGE(K48:P48,2))*100</x:f>
        <x:v>6.445628104614282</x:v>
      </x:c>
      <x:c r="AT48" s="84" t="str">
        <x:f>IF(AS48&lt;5,"Oui","Non")</x:f>
        <x:v>Non</x:v>
      </x:c>
      <x:c r="AU48" s="89" t="n">
        <x:v>24.598655673206142</x:v>
      </x:c>
      <x:c r="AV48" s="89" t="n">
        <x:v>-18.450397642819205</x:v>
      </x:c>
      <x:c r="AW48" s="89" t="n">
        <x:v>-7.055341678710711</x:v>
      </x:c>
      <x:c r="AX48" s="90" t="n">
        <x:v>13.182866354686684</x:v>
      </x:c>
    </x:row>
    <x:row r="49">
      <x:c r="A49" s="83" t="str">
        <x:v>Jacques-Cartier</x:v>
      </x:c>
      <x:c r="B49" s="84" t="str">
        <x:v>Île de Montréal</x:v>
      </x:c>
      <x:c r="C49" s="84" t="str">
        <x:f>IF(MAX(D49:I49)=D49,"CAQ",IF(MAX(D49:I49)=E49,"PLQ",IF(MAX(D49:I49)=F49,"QS",IF(MAX(D49:I49)=G49,"PQ",IF(MAX(D49:I49)=H49,"PCQ","Autre")))))</x:f>
        <x:v>PLQ</x:v>
      </x:c>
      <x:c r="D49" s="85" t="n">
        <x:v>5680</x:v>
      </x:c>
      <x:c r="E49" s="85" t="n">
        <x:v>37711</x:v>
      </x:c>
      <x:c r="F49" s="85" t="n">
        <x:v>3024</x:v>
      </x:c>
      <x:c r="G49" s="85" t="n">
        <x:v>4052</x:v>
      </x:c>
      <x:c r="H49" s="85" t="n">
        <x:v>9807</x:v>
      </x:c>
      <x:c r="I49" s="85" t="n">
        <x:v>-1</x:v>
      </x:c>
      <x:c r="J49" s="86" t="n">
        <x:f>SUM(D49:I49)</x:f>
        <x:v>60273</x:v>
      </x:c>
      <x:c r="K49" s="87" t="n">
        <x:f>IFERROR(D49/J49,0)</x:f>
        <x:v>0.09423788429313291</x:v>
      </x:c>
      <x:c r="L49" s="87" t="n">
        <x:f>IFERROR(E49/J49,0)</x:f>
        <x:v>0.6256698687637914</x:v>
      </x:c>
      <x:c r="M49" s="87" t="n">
        <x:f>IFERROR(F49/J49,0)</x:f>
        <x:v>0.05017171868000597</x:v>
      </x:c>
      <x:c r="N49" s="87" t="n">
        <x:f>IFERROR(G49/J49,0)</x:f>
        <x:v>0.06722744844291806</x:v>
      </x:c>
      <x:c r="O49" s="87" t="n">
        <x:f>IFERROR(H49/J49,0)</x:f>
        <x:v>0.16270967099696382</x:v>
      </x:c>
      <x:c r="P49" s="87" t="n">
        <x:f>IFERROR(I49/J49,0)</x:f>
        <x:v>-0.000016591176812171286</x:v>
      </x:c>
      <x:c r="Q49" s="86" t="n">
        <x:f>D49*INDEX('Régions'!$T$2:$Y$6,MATCH($B49,'Régions'!$A$2:$A$6,0),1)</x:f>
        <x:v>4254.24935722053</x:v>
      </x:c>
      <x:c r="R49" s="86" t="n">
        <x:f>E49*INDEX('Régions'!$T$2:$Y$6,MATCH($B49,'Régions'!$A$2:$A$6,0),2)</x:f>
        <x:v>37575.50695703464</x:v>
      </x:c>
      <x:c r="S49" s="86" t="n">
        <x:f>F49*INDEX('Régions'!$T$2:$Y$6,MATCH($B49,'Régions'!$A$2:$A$6,0),3)</x:f>
        <x:v>2330.85689913465</x:v>
      </x:c>
      <x:c r="T49" s="86" t="n">
        <x:f>G49*INDEX('Régions'!$T$2:$Y$6,MATCH($B49,'Régions'!$A$2:$A$6,0),4)</x:f>
        <x:v>7839.078320470039</x:v>
      </x:c>
      <x:c r="U49" s="86" t="n">
        <x:f>H49*INDEX('Régions'!$T$2:$Y$6,MATCH($B49,'Régions'!$A$2:$A$6,0),5)</x:f>
        <x:v>7816.794601248727</x:v>
      </x:c>
      <x:c r="V49" s="86" t="n">
        <x:f>I49*INDEX('Régions'!$T$2:$Y$6,MATCH($B49,'Régions'!$A$2:$A$6,0),6)</x:f>
        <x:v>-1.4786706097732714</x:v>
      </x:c>
      <x:c r="W49" s="86" t="n">
        <x:f>MAX(0,Q49+(AU49/100)*J49*'Régions'!$O$2)</x:f>
        <x:v>3729.6716762874335</x:v>
      </x:c>
      <x:c r="X49" s="86" t="n">
        <x:f>MAX(0,R49+(AV49/100)*J49*'Régions'!$O$2)</x:f>
        <x:v>37236.90347825543</x:v>
      </x:c>
      <x:c r="Y49" s="86" t="n">
        <x:f>MAX(0,S49+(AW49/100)*J49*'Régions'!$O$2)</x:f>
        <x:v>2373.70574031239</x:v>
      </x:c>
      <x:c r="Z49" s="86" t="n">
        <x:f>MAX(0,T49+(AX49/100)*J49*'Régions'!$O$2)</x:f>
        <x:v>7667.609571572075</x:v>
      </x:c>
      <x:c r="AA49" s="86" t="n">
        <x:f>U49</x:f>
        <x:v>7816.794601248727</x:v>
      </x:c>
      <x:c r="AB49" s="86" t="n">
        <x:f>V49</x:f>
        <x:v>-1.4786706097732714</x:v>
      </x:c>
      <x:c r="AC49" s="86" t="n">
        <x:f>D49*INDEX('Régions'!$Z$2:$AE$6,MATCH($B49,'Régions'!$A$2:$A$6,0),1)</x:f>
        <x:v>5190.184215809047</x:v>
      </x:c>
      <x:c r="AD49" s="86" t="n">
        <x:f>E49*INDEX('Régions'!$Z$2:$AE$6,MATCH($B49,'Régions'!$A$2:$A$6,0),2)</x:f>
        <x:v>41222.54145580565</x:v>
      </x:c>
      <x:c r="AE49" s="86" t="n">
        <x:f>F49*INDEX('Régions'!$Z$2:$AE$6,MATCH($B49,'Régions'!$A$2:$A$6,0),3)</x:f>
        <x:v>2783.317356025494</x:v>
      </x:c>
      <x:c r="AF49" s="86" t="n">
        <x:f>G49*INDEX('Régions'!$Z$2:$AE$6,MATCH($B49,'Régions'!$A$2:$A$6,0),4)</x:f>
        <x:v>8916.95158953467</x:v>
      </x:c>
      <x:c r="AG49" s="86" t="n">
        <x:f>H49*INDEX('Régions'!$Z$2:$AE$6,MATCH($B49,'Régions'!$A$2:$A$6,0),5)</x:f>
        <x:v>11041.222374263827</x:v>
      </x:c>
      <x:c r="AH49" s="86" t="n">
        <x:f>I49*INDEX('Régions'!$Z$2:$AE$6,MATCH($B49,'Régions'!$A$2:$A$6,0),6)</x:f>
        <x:v>-3.918477115899169</x:v>
      </x:c>
      <x:c r="AI49" s="86" t="n">
        <x:f>D49*INDEX('Régions'!$AF$2:$AK$6,MATCH($B49,'Régions'!$A$2:$A$6,0),1)</x:f>
        <x:v>3318.3144986320135</x:v>
      </x:c>
      <x:c r="AJ49" s="86" t="n">
        <x:f>E49*INDEX('Régions'!$AF$2:$AK$6,MATCH($B49,'Régions'!$A$2:$A$6,0),2)</x:f>
        <x:v>33928.47245826363</x:v>
      </x:c>
      <x:c r="AK49" s="86" t="n">
        <x:f>F49*INDEX('Régions'!$AF$2:$AK$6,MATCH($B49,'Régions'!$A$2:$A$6,0),3)</x:f>
        <x:v>1878.3964422438062</x:v>
      </x:c>
      <x:c r="AL49" s="86" t="n">
        <x:f>G49*INDEX('Régions'!$AF$2:$AK$6,MATCH($B49,'Régions'!$A$2:$A$6,0),4)</x:f>
        <x:v>6761.205051405408</x:v>
      </x:c>
      <x:c r="AM49" s="86" t="n">
        <x:f>H49*INDEX('Régions'!$AF$2:$AK$6,MATCH($B49,'Régions'!$A$2:$A$6,0),5)</x:f>
        <x:v>4592.3668282336275</x:v>
      </x:c>
      <x:c r="AN49" s="86" t="n">
        <x:f>I49*INDEX('Régions'!$AF$2:$AK$6,MATCH($B49,'Régions'!$A$2:$A$6,0),6)</x:f>
        <x:v>0</x:v>
      </x:c>
      <x:c r="AO49" s="84" t="str">
        <x:f>IF(MAX(Q49:V49)=Q49,"CAQ",IF(MAX(Q49:V49)=R49,"PLQ",IF(MAX(Q49:V49)=S49,"QS",IF(MAX(Q49:V49)=T49,"PQ",IF(MAX(Q49:V49)=U49,"PCQ","Autre")))))</x:f>
        <x:v>PLQ</x:v>
      </x:c>
      <x:c r="AP49" s="84" t="str">
        <x:f>IF(MAX(W49:AB49)=W49,"CAQ",IF(MAX(W49:AB49)=X49,"PLQ",IF(MAX(W49:AB49)=Y49,"QS",IF(MAX(W49:AB49)=Z49,"PQ",IF(MAX(W49:AB49)=AA49,"PCQ","Autre")))))</x:f>
        <x:v>PLQ</x:v>
      </x:c>
      <x:c r="AQ49" s="84" t="str">
        <x:f>IF(MAX(AC49:AH49)=AC49,"CAQ",IF(MAX(AC49:AH49)=AD49,"PLQ",IF(MAX(AC49:AH49)=AE49,"QS",IF(MAX(AC49:AH49)=AF49,"PQ",IF(MAX(AC49:AH49)=AG49,"PCQ","Autre")))))</x:f>
        <x:v>PLQ</x:v>
      </x:c>
      <x:c r="AR49" s="84" t="str">
        <x:f>IF(MAX(AI49:AN49)=AI49,"CAQ",IF(MAX(AI49:AN49)=AJ49,"PLQ",IF(MAX(AI49:AN49)=AK49,"QS",IF(MAX(AI49:AN49)=AL49,"PQ",IF(MAX(AI49:AN49)=AM49,"PCQ","Autre")))))</x:f>
        <x:v>PLQ</x:v>
      </x:c>
      <x:c r="AS49" s="88" t="n">
        <x:f>(MAX(K49:P49)-LARGE(K49:P49,2))*100</x:f>
        <x:v>46.296019776682755</x:v>
      </x:c>
      <x:c r="AT49" s="84" t="str">
        <x:f>IF(AS49&lt;5,"Oui","Non")</x:f>
        <x:v>Non</x:v>
      </x:c>
      <x:c r="AU49" s="89" t="n">
        <x:v>-1.7406722112159572</x:v>
      </x:c>
      <x:c r="AV49" s="89" t="n">
        <x:v>-1.1235660371284262</x:v>
      </x:c>
      <x:c r="AW49" s="89" t="n">
        <x:v>0.14218254003530578</x:v>
      </x:c>
      <x:c r="AX49" s="90" t="n">
        <x:v>-0.5689736661455863</x:v>
      </x:c>
    </x:row>
    <x:row r="50">
      <x:c r="A50" s="83" t="str">
        <x:v>Jean-Lesage</x:v>
      </x:c>
      <x:c r="B50" s="84" t="str">
        <x:v>Québec RMR</x:v>
      </x:c>
      <x:c r="C50" s="84" t="str">
        <x:f>IF(MAX(D50:I50)=D50,"CAQ",IF(MAX(D50:I50)=E50,"PLQ",IF(MAX(D50:I50)=F50,"QS",IF(MAX(D50:I50)=G50,"PQ",IF(MAX(D50:I50)=H50,"PCQ","Autre")))))</x:f>
        <x:v>QS</x:v>
      </x:c>
      <x:c r="D50" s="85" t="n">
        <x:v>18350</x:v>
      </x:c>
      <x:c r="E50" s="85" t="n">
        <x:v>2581</x:v>
      </x:c>
      <x:c r="F50" s="85" t="n">
        <x:v>22174</x:v>
      </x:c>
      <x:c r="G50" s="85" t="n">
        <x:v>6958</x:v>
      </x:c>
      <x:c r="H50" s="85" t="n">
        <x:v>8289</x:v>
      </x:c>
      <x:c r="I50" s="85" t="n">
        <x:v>351</x:v>
      </x:c>
      <x:c r="J50" s="86" t="n">
        <x:f>SUM(D50:I50)</x:f>
        <x:v>58703</x:v>
      </x:c>
      <x:c r="K50" s="87" t="n">
        <x:f>IFERROR(D50/J50,0)</x:f>
        <x:v>0.3125904979302591</x:v>
      </x:c>
      <x:c r="L50" s="87" t="n">
        <x:f>IFERROR(E50/J50,0)</x:f>
        <x:v>0.0439670885644686</x:v>
      </x:c>
      <x:c r="M50" s="87" t="n">
        <x:f>IFERROR(F50/J50,0)</x:f>
        <x:v>0.37773197281229237</x:v>
      </x:c>
      <x:c r="N50" s="87" t="n">
        <x:f>IFERROR(G50/J50,0)</x:f>
        <x:v>0.11852886564570805</x:v>
      </x:c>
      <x:c r="O50" s="87" t="n">
        <x:f>IFERROR(H50/J50,0)</x:f>
        <x:v>0.14120232356097645</x:v>
      </x:c>
      <x:c r="P50" s="87" t="n">
        <x:f>IFERROR(I50/J50,0)</x:f>
        <x:v>0.005979251486295419</x:v>
      </x:c>
      <x:c r="Q50" s="86" t="n">
        <x:f>D50*INDEX('Régions'!$T$2:$Y$6,MATCH($B50,'Régions'!$A$2:$A$6,0),1)</x:f>
        <x:v>15270.935478114223</x:v>
      </x:c>
      <x:c r="R50" s="86" t="n">
        <x:f>E50*INDEX('Régions'!$T$2:$Y$6,MATCH($B50,'Régions'!$A$2:$A$6,0),2)</x:f>
        <x:v>3097.6018267099043</x:v>
      </x:c>
      <x:c r="S50" s="86" t="n">
        <x:f>F50*INDEX('Régions'!$T$2:$Y$6,MATCH($B50,'Régions'!$A$2:$A$6,0),3)</x:f>
        <x:v>8796.679371151846</x:v>
      </x:c>
      <x:c r="T50" s="86" t="n">
        <x:f>G50*INDEX('Régions'!$T$2:$Y$6,MATCH($B50,'Régions'!$A$2:$A$6,0),4)</x:f>
        <x:v>14204.998254531125</x:v>
      </x:c>
      <x:c r="U50" s="86" t="n">
        <x:f>H50*INDEX('Régions'!$T$2:$Y$6,MATCH($B50,'Régions'!$A$2:$A$6,0),5)</x:f>
        <x:v>8488.200048241044</x:v>
      </x:c>
      <x:c r="V50" s="86" t="n">
        <x:f>I50*INDEX('Régions'!$T$2:$Y$6,MATCH($B50,'Régions'!$A$2:$A$6,0),6)</x:f>
        <x:v>599.4319924192484</x:v>
      </x:c>
      <x:c r="W50" s="86" t="n">
        <x:f>MAX(0,Q50+(AU50/100)*J50*'Régions'!$O$2)</x:f>
        <x:v>15814.950457802131</x:v>
      </x:c>
      <x:c r="X50" s="86" t="n">
        <x:f>MAX(0,R50+(AV50/100)*J50*'Régions'!$O$2)</x:f>
        <x:v>3504.2733606002557</x:v>
      </x:c>
      <x:c r="Y50" s="86" t="n">
        <x:f>MAX(0,S50+(AW50/100)*J50*'Régions'!$O$2)</x:f>
        <x:v>9869.487885675328</x:v>
      </x:c>
      <x:c r="Z50" s="86" t="n">
        <x:f>MAX(0,T50+(AX50/100)*J50*'Régions'!$O$2)</x:f>
        <x:v>14211.793733820272</x:v>
      </x:c>
      <x:c r="AA50" s="86" t="n">
        <x:f>U50</x:f>
        <x:v>8488.200048241044</x:v>
      </x:c>
      <x:c r="AB50" s="86" t="n">
        <x:f>V50</x:f>
        <x:v>599.4319924192484</x:v>
      </x:c>
      <x:c r="AC50" s="86" t="n">
        <x:f>D50*INDEX('Régions'!$Z$2:$AE$6,MATCH($B50,'Régions'!$A$2:$A$6,0),1)</x:f>
        <x:v>16670.77123027469</x:v>
      </x:c>
      <x:c r="AD50" s="86" t="n">
        <x:f>E50*INDEX('Régions'!$Z$2:$AE$6,MATCH($B50,'Régions'!$A$2:$A$6,0),2)</x:f>
        <x:v>4557.899830730287</x:v>
      </x:c>
      <x:c r="AE50" s="86" t="n">
        <x:f>F50*INDEX('Régions'!$Z$2:$AE$6,MATCH($B50,'Régions'!$A$2:$A$6,0),3)</x:f>
        <x:v>13634.853025285362</x:v>
      </x:c>
      <x:c r="AF50" s="86" t="n">
        <x:f>G50*INDEX('Régions'!$Z$2:$AE$6,MATCH($B50,'Régions'!$A$2:$A$6,0),4)</x:f>
        <x:v>15879.158763100868</x:v>
      </x:c>
      <x:c r="AG50" s="86" t="n">
        <x:f>H50*INDEX('Régions'!$Z$2:$AE$6,MATCH($B50,'Régions'!$A$2:$A$6,0),5)</x:f>
        <x:v>9761.430055477202</x:v>
      </x:c>
      <x:c r="AH50" s="86" t="n">
        <x:f>I50*INDEX('Régions'!$Z$2:$AE$6,MATCH($B50,'Régions'!$A$2:$A$6,0),6)</x:f>
        <x:v>2577.557567402768</x:v>
      </x:c>
      <x:c r="AI50" s="86" t="n">
        <x:f>D50*INDEX('Régions'!$AF$2:$AK$6,MATCH($B50,'Régions'!$A$2:$A$6,0),1)</x:f>
        <x:v>13871.099725953754</x:v>
      </x:c>
      <x:c r="AJ50" s="86" t="n">
        <x:f>E50*INDEX('Régions'!$AF$2:$AK$6,MATCH($B50,'Régions'!$A$2:$A$6,0),2)</x:f>
        <x:v>1637.3038226895208</x:v>
      </x:c>
      <x:c r="AK50" s="86" t="n">
        <x:f>F50*INDEX('Régions'!$AF$2:$AK$6,MATCH($B50,'Régions'!$A$2:$A$6,0),3)</x:f>
        <x:v>3958.505717018331</x:v>
      </x:c>
      <x:c r="AL50" s="86" t="n">
        <x:f>G50*INDEX('Régions'!$AF$2:$AK$6,MATCH($B50,'Régions'!$A$2:$A$6,0),4)</x:f>
        <x:v>12530.837745961388</x:v>
      </x:c>
      <x:c r="AM50" s="86" t="n">
        <x:f>H50*INDEX('Régions'!$AF$2:$AK$6,MATCH($B50,'Régions'!$A$2:$A$6,0),5)</x:f>
        <x:v>7214.970041004887</x:v>
      </x:c>
      <x:c r="AN50" s="86" t="n">
        <x:f>I50*INDEX('Régions'!$AF$2:$AK$6,MATCH($B50,'Régions'!$A$2:$A$6,0),6)</x:f>
        <x:v>0</x:v>
      </x:c>
      <x:c r="AO50" s="84" t="str">
        <x:f>IF(MAX(Q50:V50)=Q50,"CAQ",IF(MAX(Q50:V50)=R50,"PLQ",IF(MAX(Q50:V50)=S50,"QS",IF(MAX(Q50:V50)=T50,"PQ",IF(MAX(Q50:V50)=U50,"PCQ","Autre")))))</x:f>
        <x:v>CAQ</x:v>
      </x:c>
      <x:c r="AP50" s="84" t="str">
        <x:f>IF(MAX(W50:AB50)=W50,"CAQ",IF(MAX(W50:AB50)=X50,"PLQ",IF(MAX(W50:AB50)=Y50,"QS",IF(MAX(W50:AB50)=Z50,"PQ",IF(MAX(W50:AB50)=AA50,"PCQ","Autre")))))</x:f>
        <x:v>CAQ</x:v>
      </x:c>
      <x:c r="AQ50" s="84" t="str">
        <x:f>IF(MAX(AC50:AH50)=AC50,"CAQ",IF(MAX(AC50:AH50)=AD50,"PLQ",IF(MAX(AC50:AH50)=AE50,"QS",IF(MAX(AC50:AH50)=AF50,"PQ",IF(MAX(AC50:AH50)=AG50,"PCQ","Autre")))))</x:f>
        <x:v>CAQ</x:v>
      </x:c>
      <x:c r="AR50" s="84" t="str">
        <x:f>IF(MAX(AI50:AN50)=AI50,"CAQ",IF(MAX(AI50:AN50)=AJ50,"PLQ",IF(MAX(AI50:AN50)=AK50,"QS",IF(MAX(AI50:AN50)=AL50,"PQ",IF(MAX(AI50:AN50)=AM50,"PCQ","Autre")))))</x:f>
        <x:v>CAQ</x:v>
      </x:c>
      <x:c r="AS50" s="88" t="n">
        <x:f>(MAX(K50:P50)-LARGE(K50:P50,2))*100</x:f>
        <x:v>6.514147488203326</x:v>
      </x:c>
      <x:c r="AT50" s="84" t="str">
        <x:f>IF(AS50&lt;5,"Oui","Non")</x:f>
        <x:v>Non</x:v>
      </x:c>
      <x:c r="AU50" s="89" t="n">
        <x:v>1.8534486472170375</x:v>
      </x:c>
      <x:c r="AV50" s="89" t="n">
        <x:v>1.385522150112775</x:v>
      </x:c>
      <x:c r="AW50" s="89" t="n">
        <x:v>3.655038122492829</x:v>
      </x:c>
      <x:c r="AX50" s="90" t="n">
        <x:v>0.02315206817078419</x:v>
      </x:c>
    </x:row>
    <x:row r="51">
      <x:c r="A51" s="83" t="str">
        <x:v>Jeanne-Mance-Viger</x:v>
      </x:c>
      <x:c r="B51" s="84" t="str">
        <x:v>Île de Montréal</x:v>
      </x:c>
      <x:c r="C51" s="84" t="str">
        <x:f>IF(MAX(D51:I51)=D51,"CAQ",IF(MAX(D51:I51)=E51,"PLQ",IF(MAX(D51:I51)=F51,"QS",IF(MAX(D51:I51)=G51,"PQ",IF(MAX(D51:I51)=H51,"PCQ","Autre")))))</x:f>
        <x:v>PLQ</x:v>
      </x:c>
      <x:c r="D51" s="85" t="n">
        <x:v>8906</x:v>
      </x:c>
      <x:c r="E51" s="85" t="n">
        <x:v>28930</x:v>
      </x:c>
      <x:c r="F51" s="85" t="n">
        <x:v>5714</x:v>
      </x:c>
      <x:c r="G51" s="85" t="n">
        <x:v>2881</x:v>
      </x:c>
      <x:c r="H51" s="85" t="n">
        <x:v>7215</x:v>
      </x:c>
      <x:c r="I51" s="85" t="n">
        <x:v>0</x:v>
      </x:c>
      <x:c r="J51" s="86" t="n">
        <x:f>SUM(D51:I51)</x:f>
        <x:v>53646</x:v>
      </x:c>
      <x:c r="K51" s="87" t="n">
        <x:f>IFERROR(D51/J51,0)</x:f>
        <x:v>0.1660142415091526</x:v>
      </x:c>
      <x:c r="L51" s="87" t="n">
        <x:f>IFERROR(E51/J51,0)</x:f>
        <x:v>0.5392759944823472</x:v>
      </x:c>
      <x:c r="M51" s="87" t="n">
        <x:f>IFERROR(F51/J51,0)</x:f>
        <x:v>0.10651306714386907</x:v>
      </x:c>
      <x:c r="N51" s="87" t="n">
        <x:f>IFERROR(G51/J51,0)</x:f>
        <x:v>0.05370391082280133</x:v>
      </x:c>
      <x:c r="O51" s="87" t="n">
        <x:f>IFERROR(H51/J51,0)</x:f>
        <x:v>0.13449278604182976</x:v>
      </x:c>
      <x:c r="P51" s="87" t="n">
        <x:f>IFERROR(I51/J51,0)</x:f>
        <x:v>0</x:v>
      </x:c>
      <x:c r="Q51" s="86" t="n">
        <x:f>D51*INDEX('Régions'!$T$2:$Y$6,MATCH($B51,'Régions'!$A$2:$A$6,0),1)</x:f>
        <x:v>6670.483235106697</x:v>
      </x:c>
      <x:c r="R51" s="86" t="n">
        <x:f>E51*INDEX('Régions'!$T$2:$Y$6,MATCH($B51,'Régions'!$A$2:$A$6,0),2)</x:f>
        <x:v>28826.05648927401</x:v>
      </x:c>
      <x:c r="S51" s="86" t="n">
        <x:f>F51*INDEX('Régions'!$T$2:$Y$6,MATCH($B51,'Régions'!$A$2:$A$6,0),3)</x:f>
        <x:v>4404.271270388687</x:v>
      </x:c>
      <x:c r="T51" s="86" t="n">
        <x:f>G51*INDEX('Régions'!$T$2:$Y$6,MATCH($B51,'Régions'!$A$2:$A$6,0),4)</x:f>
        <x:v>5573.638855200933</x:v>
      </x:c>
      <x:c r="U51" s="86" t="n">
        <x:f>H51*INDEX('Régions'!$T$2:$Y$6,MATCH($B51,'Régions'!$A$2:$A$6,0),5)</x:f>
        <x:v>5750.80789721725</x:v>
      </x:c>
      <x:c r="V51" s="86" t="n">
        <x:f>I51*INDEX('Régions'!$T$2:$Y$6,MATCH($B51,'Régions'!$A$2:$A$6,0),6)</x:f>
        <x:v>0</x:v>
      </x:c>
      <x:c r="W51" s="86" t="n">
        <x:f>MAX(0,Q51+(AU51/100)*J51*'Régions'!$O$2)</x:f>
        <x:v>6288.42773450077</x:v>
      </x:c>
      <x:c r="X51" s="86" t="n">
        <x:f>MAX(0,R51+(AV51/100)*J51*'Régions'!$O$2)</x:f>
        <x:v>27677.790465284837</x:v>
      </x:c>
      <x:c r="Y51" s="86" t="n">
        <x:f>MAX(0,S51+(AW51/100)*J51*'Régions'!$O$2)</x:f>
        <x:v>4945.462934054036</x:v>
      </x:c>
      <x:c r="Z51" s="86" t="n">
        <x:f>MAX(0,T51+(AX51/100)*J51*'Régions'!$O$2)</x:f>
        <x:v>5627.985990231182</x:v>
      </x:c>
      <x:c r="AA51" s="86" t="n">
        <x:f>U51</x:f>
        <x:v>5750.80789721725</x:v>
      </x:c>
      <x:c r="AB51" s="86" t="n">
        <x:f>V51</x:f>
        <x:v>0</x:v>
      </x:c>
      <x:c r="AC51" s="86" t="n">
        <x:f>D51*INDEX('Régions'!$Z$2:$AE$6,MATCH($B51,'Régions'!$A$2:$A$6,0),1)</x:f>
        <x:v>8137.98954683017</x:v>
      </x:c>
      <x:c r="AD51" s="86" t="n">
        <x:f>E51*INDEX('Régions'!$Z$2:$AE$6,MATCH($B51,'Régions'!$A$2:$A$6,0),2)</x:f>
        <x:v>31623.879619115312</x:v>
      </x:c>
      <x:c r="AE51" s="86" t="n">
        <x:f>F51*INDEX('Régions'!$Z$2:$AE$6,MATCH($B51,'Régions'!$A$2:$A$6,0),3)</x:f>
        <x:v>5259.218046405315</x:v>
      </x:c>
      <x:c r="AF51" s="86" t="n">
        <x:f>G51*INDEX('Régions'!$Z$2:$AE$6,MATCH($B51,'Régions'!$A$2:$A$6,0),4)</x:f>
        <x:v>6340.014197791062</x:v>
      </x:c>
      <x:c r="AG51" s="86" t="n">
        <x:f>H51*INDEX('Régions'!$Z$2:$AE$6,MATCH($B51,'Régions'!$A$2:$A$6,0),5)</x:f>
        <x:v>8123.0161548193655</x:v>
      </x:c>
      <x:c r="AH51" s="86" t="n">
        <x:f>I51*INDEX('Régions'!$Z$2:$AE$6,MATCH($B51,'Régions'!$A$2:$A$6,0),6)</x:f>
        <x:v>0</x:v>
      </x:c>
      <x:c r="AI51" s="86" t="n">
        <x:f>D51*INDEX('Régions'!$AF$2:$AK$6,MATCH($B51,'Régions'!$A$2:$A$6,0),1)</x:f>
        <x:v>5202.976923383224</x:v>
      </x:c>
      <x:c r="AJ51" s="86" t="n">
        <x:f>E51*INDEX('Régions'!$AF$2:$AK$6,MATCH($B51,'Régions'!$A$2:$A$6,0),2)</x:f>
        <x:v>26028.23335943271</x:v>
      </x:c>
      <x:c r="AK51" s="86" t="n">
        <x:f>F51*INDEX('Régions'!$AF$2:$AK$6,MATCH($B51,'Régions'!$A$2:$A$6,0),3)</x:f>
        <x:v>3549.3244943720597</x:v>
      </x:c>
      <x:c r="AL51" s="86" t="n">
        <x:f>G51*INDEX('Régions'!$AF$2:$AK$6,MATCH($B51,'Régions'!$A$2:$A$6,0),4)</x:f>
        <x:v>4807.263512610804</x:v>
      </x:c>
      <x:c r="AM51" s="86" t="n">
        <x:f>H51*INDEX('Régions'!$AF$2:$AK$6,MATCH($B51,'Régions'!$A$2:$A$6,0),5)</x:f>
        <x:v>3378.599639615134</x:v>
      </x:c>
      <x:c r="AN51" s="86" t="n">
        <x:f>I51*INDEX('Régions'!$AF$2:$AK$6,MATCH($B51,'Régions'!$A$2:$A$6,0),6)</x:f>
        <x:v>0</x:v>
      </x:c>
      <x:c r="AO51" s="84" t="str">
        <x:f>IF(MAX(Q51:V51)=Q51,"CAQ",IF(MAX(Q51:V51)=R51,"PLQ",IF(MAX(Q51:V51)=S51,"QS",IF(MAX(Q51:V51)=T51,"PQ",IF(MAX(Q51:V51)=U51,"PCQ","Autre")))))</x:f>
        <x:v>PLQ</x:v>
      </x:c>
      <x:c r="AP51" s="84" t="str">
        <x:f>IF(MAX(W51:AB51)=W51,"CAQ",IF(MAX(W51:AB51)=X51,"PLQ",IF(MAX(W51:AB51)=Y51,"QS",IF(MAX(W51:AB51)=Z51,"PQ",IF(MAX(W51:AB51)=AA51,"PCQ","Autre")))))</x:f>
        <x:v>PLQ</x:v>
      </x:c>
      <x:c r="AQ51" s="84" t="str">
        <x:f>IF(MAX(AC51:AH51)=AC51,"CAQ",IF(MAX(AC51:AH51)=AD51,"PLQ",IF(MAX(AC51:AH51)=AE51,"QS",IF(MAX(AC51:AH51)=AF51,"PQ",IF(MAX(AC51:AH51)=AG51,"PCQ","Autre")))))</x:f>
        <x:v>PLQ</x:v>
      </x:c>
      <x:c r="AR51" s="84" t="str">
        <x:f>IF(MAX(AI51:AN51)=AI51,"CAQ",IF(MAX(AI51:AN51)=AJ51,"PLQ",IF(MAX(AI51:AN51)=AK51,"QS",IF(MAX(AI51:AN51)=AL51,"PQ",IF(MAX(AI51:AN51)=AM51,"PCQ","Autre")))))</x:f>
        <x:v>PLQ</x:v>
      </x:c>
      <x:c r="AS51" s="88" t="n">
        <x:f>(MAX(K51:P51)-LARGE(K51:P51,2))*100</x:f>
        <x:v>37.326175297319466</x:v>
      </x:c>
      <x:c r="AT51" s="84" t="str">
        <x:f>IF(AS51&lt;5,"Oui","Non")</x:f>
        <x:v>Non</x:v>
      </x:c>
      <x:c r="AU51" s="89" t="n">
        <x:v>-1.4243578294968002</x:v>
      </x:c>
      <x:c r="AV51" s="89" t="n">
        <x:v>-4.280900808966831</x:v>
      </x:c>
      <x:c r="AW51" s="89" t="n">
        <x:v>2.0176403223552506</x:v>
      </x:c>
      <x:c r="AX51" s="90" t="n">
        <x:v>0.2026139321859917</x:v>
      </x:c>
    </x:row>
    <x:row r="52">
      <x:c r="A52" s="83" t="str">
        <x:v>Jean-Talon</x:v>
      </x:c>
      <x:c r="B52" s="84" t="str">
        <x:v>Québec RMR</x:v>
      </x:c>
      <x:c r="C52" s="84" t="str">
        <x:f>IF(MAX(D52:I52)=D52,"CAQ",IF(MAX(D52:I52)=E52,"PLQ",IF(MAX(D52:I52)=F52,"QS",IF(MAX(D52:I52)=G52,"PQ",IF(MAX(D52:I52)=H52,"PCQ","Autre")))))</x:f>
        <x:v>CAQ</x:v>
      </x:c>
      <x:c r="D52" s="85" t="n">
        <x:v>22436</x:v>
      </x:c>
      <x:c r="E52" s="85" t="n">
        <x:v>9326</x:v>
      </x:c>
      <x:c r="F52" s="85" t="n">
        <x:v>16399</x:v>
      </x:c>
      <x:c r="G52" s="85" t="n">
        <x:v>13431</x:v>
      </x:c>
      <x:c r="H52" s="85" t="n">
        <x:v>7154</x:v>
      </x:c>
      <x:c r="I52" s="85" t="n">
        <x:v>277</x:v>
      </x:c>
      <x:c r="J52" s="86" t="n">
        <x:f>SUM(D52:I52)</x:f>
        <x:v>69023</x:v>
      </x:c>
      <x:c r="K52" s="87" t="n">
        <x:f>IFERROR(D52/J52,0)</x:f>
        <x:v>0.32505106993321065</x:v>
      </x:c>
      <x:c r="L52" s="87" t="n">
        <x:f>IFERROR(E52/J52,0)</x:f>
        <x:v>0.13511438216246757</x:v>
      </x:c>
      <x:c r="M52" s="87" t="n">
        <x:f>IFERROR(F52/J52,0)</x:f>
        <x:v>0.23758747084305232</x:v>
      </x:c>
      <x:c r="N52" s="87" t="n">
        <x:f>IFERROR(G52/J52,0)</x:f>
        <x:v>0.19458731147588484</x:v>
      </x:c>
      <x:c r="O52" s="87" t="n">
        <x:f>IFERROR(H52/J52,0)</x:f>
        <x:v>0.10364661055010649</x:v>
      </x:c>
      <x:c r="P52" s="87" t="n">
        <x:f>IFERROR(I52/J52,0)</x:f>
        <x:v>0.004013155035278096</x:v>
      </x:c>
      <x:c r="Q52" s="86" t="n">
        <x:f>D52*INDEX('Régions'!$T$2:$Y$6,MATCH($B52,'Régions'!$A$2:$A$6,0),1)</x:f>
        <x:v>18671.31925814554</x:v>
      </x:c>
      <x:c r="R52" s="86" t="n">
        <x:f>E52*INDEX('Régions'!$T$2:$Y$6,MATCH($B52,'Régions'!$A$2:$A$6,0),2)</x:f>
        <x:v>11192.651931769302</x:v>
      </x:c>
      <x:c r="S52" s="86" t="n">
        <x:f>F52*INDEX('Régions'!$T$2:$Y$6,MATCH($B52,'Régions'!$A$2:$A$6,0),3)</x:f>
        <x:v>6505.670831041721</x:v>
      </x:c>
      <x:c r="T52" s="86" t="n">
        <x:f>G52*INDEX('Régions'!$T$2:$Y$6,MATCH($B52,'Régions'!$A$2:$A$6,0),4)</x:f>
        <x:v>27419.85219267139</x:v>
      </x:c>
      <x:c r="U52" s="86" t="n">
        <x:f>H52*INDEX('Régions'!$T$2:$Y$6,MATCH($B52,'Régions'!$A$2:$A$6,0),5)</x:f>
        <x:v>7325.92389252219</x:v>
      </x:c>
      <x:c r="V52" s="86" t="n">
        <x:f>I52*INDEX('Régions'!$T$2:$Y$6,MATCH($B52,'Régions'!$A$2:$A$6,0),6)</x:f>
        <x:v>473.05601680949235</x:v>
      </x:c>
      <x:c r="W52" s="86" t="n">
        <x:f>MAX(0,Q52+(AU52/100)*J52*'Régions'!$O$2)</x:f>
        <x:v>21047.473940451127</x:v>
      </x:c>
      <x:c r="X52" s="86" t="n">
        <x:f>MAX(0,R52+(AV52/100)*J52*'Régions'!$O$2)</x:f>
        <x:v>9757.159319406977</x:v>
      </x:c>
      <x:c r="Y52" s="86" t="n">
        <x:f>MAX(0,S52+(AW52/100)*J52*'Régions'!$O$2)</x:f>
        <x:v>8288.616566402769</x:v>
      </x:c>
      <x:c r="Z52" s="86" t="n">
        <x:f>MAX(0,T52+(AX52/100)*J52*'Régions'!$O$2)</x:f>
        <x:v>28229.588211662976</x:v>
      </x:c>
      <x:c r="AA52" s="86" t="n">
        <x:f>U52</x:f>
        <x:v>7325.92389252219</x:v>
      </x:c>
      <x:c r="AB52" s="86" t="n">
        <x:f>V52</x:f>
        <x:v>473.05601680949235</x:v>
      </x:c>
      <x:c r="AC52" s="86" t="n">
        <x:f>D52*INDEX('Régions'!$Z$2:$AE$6,MATCH($B52,'Régions'!$A$2:$A$6,0),1)</x:f>
        <x:v>20382.85685680888</x:v>
      </x:c>
      <x:c r="AD52" s="86" t="n">
        <x:f>E52*INDEX('Régions'!$Z$2:$AE$6,MATCH($B52,'Régions'!$A$2:$A$6,0),2)</x:f>
        <x:v>16469.187842460542</x:v>
      </x:c>
      <x:c r="AE52" s="86" t="n">
        <x:f>F52*INDEX('Régions'!$Z$2:$AE$6,MATCH($B52,'Régions'!$A$2:$A$6,0),3)</x:f>
        <x:v>10083.789788114667</x:v>
      </x:c>
      <x:c r="AF52" s="86" t="n">
        <x:f>G52*INDEX('Régions'!$Z$2:$AE$6,MATCH($B52,'Régions'!$A$2:$A$6,0),4)</x:f>
        <x:v>30651.47762966481</x:v>
      </x:c>
      <x:c r="AG52" s="86" t="n">
        <x:f>H52*INDEX('Régions'!$Z$2:$AE$6,MATCH($B52,'Régions'!$A$2:$A$6,0),5)</x:f>
        <x:v>8424.812476400519</x:v>
      </x:c>
      <x:c r="AH52" s="86" t="n">
        <x:f>I52*INDEX('Régions'!$Z$2:$AE$6,MATCH($B52,'Régions'!$A$2:$A$6,0),6)</x:f>
        <x:v>2034.140872280817</x:v>
      </x:c>
      <x:c r="AI52" s="86" t="n">
        <x:f>D52*INDEX('Régions'!$AF$2:$AK$6,MATCH($B52,'Régions'!$A$2:$A$6,0),1)</x:f>
        <x:v>16959.781659482203</x:v>
      </x:c>
      <x:c r="AJ52" s="86" t="n">
        <x:f>E52*INDEX('Régions'!$AF$2:$AK$6,MATCH($B52,'Régions'!$A$2:$A$6,0),2)</x:f>
        <x:v>5916.116021078059</x:v>
      </x:c>
      <x:c r="AK52" s="86" t="n">
        <x:f>F52*INDEX('Régions'!$AF$2:$AK$6,MATCH($B52,'Régions'!$A$2:$A$6,0),3)</x:f>
        <x:v>2927.5518739687745</x:v>
      </x:c>
      <x:c r="AL52" s="86" t="n">
        <x:f>G52*INDEX('Régions'!$AF$2:$AK$6,MATCH($B52,'Régions'!$A$2:$A$6,0),4)</x:f>
        <x:v>24188.22675567798</x:v>
      </x:c>
      <x:c r="AM52" s="86" t="n">
        <x:f>H52*INDEX('Régions'!$AF$2:$AK$6,MATCH($B52,'Régions'!$A$2:$A$6,0),5)</x:f>
        <x:v>6227.035308643861</x:v>
      </x:c>
      <x:c r="AN52" s="86" t="n">
        <x:f>I52*INDEX('Régions'!$AF$2:$AK$6,MATCH($B52,'Régions'!$A$2:$A$6,0),6)</x:f>
        <x:v>0</x:v>
      </x:c>
      <x:c r="AO52" s="84" t="str">
        <x:f>IF(MAX(Q52:V52)=Q52,"CAQ",IF(MAX(Q52:V52)=R52,"PLQ",IF(MAX(Q52:V52)=S52,"QS",IF(MAX(Q52:V52)=T52,"PQ",IF(MAX(Q52:V52)=U52,"PCQ","Autre")))))</x:f>
        <x:v>PQ</x:v>
      </x:c>
      <x:c r="AP52" s="84" t="str">
        <x:f>IF(MAX(W52:AB52)=W52,"CAQ",IF(MAX(W52:AB52)=X52,"PLQ",IF(MAX(W52:AB52)=Y52,"QS",IF(MAX(W52:AB52)=Z52,"PQ",IF(MAX(W52:AB52)=AA52,"PCQ","Autre")))))</x:f>
        <x:v>PQ</x:v>
      </x:c>
      <x:c r="AQ52" s="84" t="str">
        <x:f>IF(MAX(AC52:AH52)=AC52,"CAQ",IF(MAX(AC52:AH52)=AD52,"PLQ",IF(MAX(AC52:AH52)=AE52,"QS",IF(MAX(AC52:AH52)=AF52,"PQ",IF(MAX(AC52:AH52)=AG52,"PCQ","Autre")))))</x:f>
        <x:v>PQ</x:v>
      </x:c>
      <x:c r="AR52" s="84" t="str">
        <x:f>IF(MAX(AI52:AN52)=AI52,"CAQ",IF(MAX(AI52:AN52)=AJ52,"PLQ",IF(MAX(AI52:AN52)=AK52,"QS",IF(MAX(AI52:AN52)=AL52,"PQ",IF(MAX(AI52:AN52)=AM52,"PCQ","Autre")))))</x:f>
        <x:v>PQ</x:v>
      </x:c>
      <x:c r="AS52" s="88" t="n">
        <x:f>(MAX(K52:P52)-LARGE(K52:P52,2))*100</x:f>
        <x:v>8.746359909015833</x:v>
      </x:c>
      <x:c r="AT52" s="84" t="str">
        <x:f>IF(AS52&lt;5,"Oui","Non")</x:f>
        <x:v>Non</x:v>
      </x:c>
      <x:c r="AU52" s="89" t="n">
        <x:v>6.885109839634862</x:v>
      </x:c>
      <x:c r="AV52" s="89" t="n">
        <x:v>-4.159461664553335</x:v>
      </x:c>
      <x:c r="AW52" s="89" t="n">
        <x:v>5.166236574362307</x:v>
      </x:c>
      <x:c r="AX52" s="90" t="n">
        <x:v>2.346278831669399</x:v>
      </x:c>
    </x:row>
    <x:row r="53">
      <x:c r="A53" s="83" t="str">
        <x:v>Joliette</x:v>
      </x:c>
      <x:c r="B53" s="84" t="str">
        <x:v>Reste du Québec</x:v>
      </x:c>
      <x:c r="C53" s="84" t="str">
        <x:f>IF(MAX(D53:I53)=D53,"CAQ",IF(MAX(D53:I53)=E53,"PLQ",IF(MAX(D53:I53)=F53,"QS",IF(MAX(D53:I53)=G53,"PQ",IF(MAX(D53:I53)=H53,"PCQ","Autre")))))</x:f>
        <x:v>CAQ</x:v>
      </x:c>
      <x:c r="D53" s="85" t="n">
        <x:v>36963</x:v>
      </x:c>
      <x:c r="E53" s="85" t="n">
        <x:v>2429</x:v>
      </x:c>
      <x:c r="F53" s="85" t="n">
        <x:v>9230</x:v>
      </x:c>
      <x:c r="G53" s="85" t="n">
        <x:v>25324</x:v>
      </x:c>
      <x:c r="H53" s="85" t="n">
        <x:v>7155</x:v>
      </x:c>
      <x:c r="I53" s="85" t="n">
        <x:v>0</x:v>
      </x:c>
      <x:c r="J53" s="86" t="n">
        <x:f>SUM(D53:I53)</x:f>
        <x:v>81101</x:v>
      </x:c>
      <x:c r="K53" s="87" t="n">
        <x:f>IFERROR(D53/J53,0)</x:f>
        <x:v>0.45576503372338195</x:v>
      </x:c>
      <x:c r="L53" s="87" t="n">
        <x:f>IFERROR(E53/J53,0)</x:f>
        <x:v>0.029950308874119924</x:v>
      </x:c>
      <x:c r="M53" s="87" t="n">
        <x:f>IFERROR(F53/J53,0)</x:f>
        <x:v>0.11380870766081799</x:v>
      </x:c>
      <x:c r="N53" s="87" t="n">
        <x:f>IFERROR(G53/J53,0)</x:f>
        <x:v>0.31225262327221615</x:v>
      </x:c>
      <x:c r="O53" s="87" t="n">
        <x:f>IFERROR(H53/J53,0)</x:f>
        <x:v>0.088223326469464</x:v>
      </x:c>
      <x:c r="P53" s="87" t="n">
        <x:f>IFERROR(I53/J53,0)</x:f>
        <x:v>0</x:v>
      </x:c>
      <x:c r="Q53" s="86" t="n">
        <x:f>D53*INDEX('Régions'!$T$2:$Y$6,MATCH($B53,'Régions'!$A$2:$A$6,0),1)</x:f>
        <x:v>21818.84717469815</x:v>
      </x:c>
      <x:c r="R53" s="86" t="n">
        <x:f>E53*INDEX('Régions'!$T$2:$Y$6,MATCH($B53,'Régions'!$A$2:$A$6,0),2)</x:f>
        <x:v>5558.164949875487</x:v>
      </x:c>
      <x:c r="S53" s="86" t="n">
        <x:f>F53*INDEX('Régions'!$T$2:$Y$6,MATCH($B53,'Régions'!$A$2:$A$6,0),3)</x:f>
        <x:v>5542.694260862392</x:v>
      </x:c>
      <x:c r="T53" s="86" t="n">
        <x:f>G53*INDEX('Régions'!$T$2:$Y$6,MATCH($B53,'Régions'!$A$2:$A$6,0),4)</x:f>
        <x:v>43868.5460165804</x:v>
      </x:c>
      <x:c r="U53" s="86" t="n">
        <x:f>H53*INDEX('Régions'!$T$2:$Y$6,MATCH($B53,'Régions'!$A$2:$A$6,0),5)</x:f>
        <x:v>8066.119408099263</x:v>
      </x:c>
      <x:c r="V53" s="86" t="n">
        <x:f>I53*INDEX('Régions'!$T$2:$Y$6,MATCH($B53,'Régions'!$A$2:$A$6,0),6)</x:f>
        <x:v>0</x:v>
      </x:c>
      <x:c r="W53" s="86" t="n">
        <x:f>MAX(0,Q53+(AU53/100)*J53*'Régions'!$O$2)</x:f>
        <x:v>23828.99834497562</x:v>
      </x:c>
      <x:c r="X53" s="86" t="n">
        <x:f>MAX(0,R53+(AV53/100)*J53*'Régions'!$O$2)</x:f>
        <x:v>9168.802662715101</x:v>
      </x:c>
      <x:c r="Y53" s="86" t="n">
        <x:f>MAX(0,S53+(AW53/100)*J53*'Régions'!$O$2)</x:f>
        <x:v>6495.69009154823</x:v>
      </x:c>
      <x:c r="Z53" s="86" t="n">
        <x:f>MAX(0,T53+(AX53/100)*J53*'Régions'!$O$2)</x:f>
        <x:v>39146.55747002533</x:v>
      </x:c>
      <x:c r="AA53" s="86" t="n">
        <x:f>U53</x:f>
        <x:v>8066.119408099263</x:v>
      </x:c>
      <x:c r="AB53" s="86" t="n">
        <x:f>V53</x:f>
        <x:v>0</x:v>
      </x:c>
      <x:c r="AC53" s="86" t="n">
        <x:f>D53*INDEX('Régions'!$Z$2:$AE$6,MATCH($B53,'Régions'!$A$2:$A$6,0),1)</x:f>
        <x:v>24390.35416314472</x:v>
      </x:c>
      <x:c r="AD53" s="86" t="n">
        <x:f>E53*INDEX('Régions'!$Z$2:$AE$6,MATCH($B53,'Régions'!$A$2:$A$6,0),2)</x:f>
        <x:v>6704.536470787306</x:v>
      </x:c>
      <x:c r="AE53" s="86" t="n">
        <x:f>F53*INDEX('Régions'!$Z$2:$AE$6,MATCH($B53,'Régions'!$A$2:$A$6,0),3)</x:f>
        <x:v>7829.055643468129</x:v>
      </x:c>
      <x:c r="AF53" s="86" t="n">
        <x:f>G53*INDEX('Régions'!$Z$2:$AE$6,MATCH($B53,'Régions'!$A$2:$A$6,0),4)</x:f>
        <x:v>48860.48401157058</x:v>
      </x:c>
      <x:c r="AG53" s="86" t="n">
        <x:f>H53*INDEX('Régions'!$Z$2:$AE$6,MATCH($B53,'Régions'!$A$2:$A$6,0),5)</x:f>
        <x:v>9631.895528495003</x:v>
      </x:c>
      <x:c r="AH53" s="86" t="n">
        <x:f>I53*INDEX('Régions'!$Z$2:$AE$6,MATCH($B53,'Régions'!$A$2:$A$6,0),6)</x:f>
        <x:v>0</x:v>
      </x:c>
      <x:c r="AI53" s="86" t="n">
        <x:f>D53*INDEX('Régions'!$AF$2:$AK$6,MATCH($B53,'Régions'!$A$2:$A$6,0),1)</x:f>
        <x:v>19247.340186251582</x:v>
      </x:c>
      <x:c r="AJ53" s="86" t="n">
        <x:f>E53*INDEX('Régions'!$AF$2:$AK$6,MATCH($B53,'Régions'!$A$2:$A$6,0),2)</x:f>
        <x:v>4411.793428963668</x:v>
      </x:c>
      <x:c r="AK53" s="86" t="n">
        <x:f>F53*INDEX('Régions'!$AF$2:$AK$6,MATCH($B53,'Régions'!$A$2:$A$6,0),3)</x:f>
        <x:v>3256.332878256655</x:v>
      </x:c>
      <x:c r="AL53" s="86" t="n">
        <x:f>G53*INDEX('Régions'!$AF$2:$AK$6,MATCH($B53,'Régions'!$A$2:$A$6,0),4)</x:f>
        <x:v>38876.60802159022</x:v>
      </x:c>
      <x:c r="AM53" s="86" t="n">
        <x:f>H53*INDEX('Régions'!$AF$2:$AK$6,MATCH($B53,'Régions'!$A$2:$A$6,0),5)</x:f>
        <x:v>6500.343287703523</x:v>
      </x:c>
      <x:c r="AN53" s="86" t="n">
        <x:f>I53*INDEX('Régions'!$AF$2:$AK$6,MATCH($B53,'Régions'!$A$2:$A$6,0),6)</x:f>
        <x:v>0</x:v>
      </x:c>
      <x:c r="AO53" s="84" t="str">
        <x:f>IF(MAX(Q53:V53)=Q53,"CAQ",IF(MAX(Q53:V53)=R53,"PLQ",IF(MAX(Q53:V53)=S53,"QS",IF(MAX(Q53:V53)=T53,"PQ",IF(MAX(Q53:V53)=U53,"PCQ","Autre")))))</x:f>
        <x:v>PQ</x:v>
      </x:c>
      <x:c r="AP53" s="84" t="str">
        <x:f>IF(MAX(W53:AB53)=W53,"CAQ",IF(MAX(W53:AB53)=X53,"PLQ",IF(MAX(W53:AB53)=Y53,"QS",IF(MAX(W53:AB53)=Z53,"PQ",IF(MAX(W53:AB53)=AA53,"PCQ","Autre")))))</x:f>
        <x:v>PQ</x:v>
      </x:c>
      <x:c r="AQ53" s="84" t="str">
        <x:f>IF(MAX(AC53:AH53)=AC53,"CAQ",IF(MAX(AC53:AH53)=AD53,"PLQ",IF(MAX(AC53:AH53)=AE53,"QS",IF(MAX(AC53:AH53)=AF53,"PQ",IF(MAX(AC53:AH53)=AG53,"PCQ","Autre")))))</x:f>
        <x:v>PQ</x:v>
      </x:c>
      <x:c r="AR53" s="84" t="str">
        <x:f>IF(MAX(AI53:AN53)=AI53,"CAQ",IF(MAX(AI53:AN53)=AJ53,"PLQ",IF(MAX(AI53:AN53)=AK53,"QS",IF(MAX(AI53:AN53)=AL53,"PQ",IF(MAX(AI53:AN53)=AM53,"PCQ","Autre")))))</x:f>
        <x:v>PQ</x:v>
      </x:c>
      <x:c r="AS53" s="88" t="n">
        <x:f>(MAX(K53:P53)-LARGE(K53:P53,2))*100</x:f>
        <x:v>14.35124104511658</x:v>
      </x:c>
      <x:c r="AT53" s="84" t="str">
        <x:f>IF(AS53&lt;5,"Oui","Non")</x:f>
        <x:v>Non</x:v>
      </x:c>
      <x:c r="AU53" s="89" t="n">
        <x:v>4.957155078920033</x:v>
      </x:c>
      <x:c r="AV53" s="89" t="n">
        <x:v>8.90405226283181</x:v>
      </x:c>
      <x:c r="AW53" s="89" t="n">
        <x:v>2.35014569656561</x:v>
      </x:c>
      <x:c r="AX53" s="90" t="n">
        <x:v>-11.644711030825944</x:v>
      </x:c>
    </x:row>
    <x:row r="54">
      <x:c r="A54" s="83" t="str">
        <x:v>Jonquière</x:v>
      </x:c>
      <x:c r="B54" s="84" t="str">
        <x:v>Reste du Québec</x:v>
      </x:c>
      <x:c r="C54" s="84" t="str">
        <x:f>IF(MAX(D54:I54)=D54,"CAQ",IF(MAX(D54:I54)=E54,"PLQ",IF(MAX(D54:I54)=F54,"QS",IF(MAX(D54:I54)=G54,"PQ",IF(MAX(D54:I54)=H54,"PCQ","Autre")))))</x:f>
        <x:v>CAQ</x:v>
      </x:c>
      <x:c r="D54" s="85" t="n">
        <x:v>36305</x:v>
      </x:c>
      <x:c r="E54" s="85" t="n">
        <x:v>1293</x:v>
      </x:c>
      <x:c r="F54" s="85" t="n">
        <x:v>5543</x:v>
      </x:c>
      <x:c r="G54" s="85" t="n">
        <x:v>11796</x:v>
      </x:c>
      <x:c r="H54" s="85" t="n">
        <x:v>5838</x:v>
      </x:c>
      <x:c r="I54" s="85" t="n">
        <x:v>352</x:v>
      </x:c>
      <x:c r="J54" s="86" t="n">
        <x:f>SUM(D54:I54)</x:f>
        <x:v>61127</x:v>
      </x:c>
      <x:c r="K54" s="87" t="n">
        <x:f>IFERROR(D54/J54,0)</x:f>
        <x:v>0.593927397058583</x:v>
      </x:c>
      <x:c r="L54" s="87" t="n">
        <x:f>IFERROR(E54/J54,0)</x:f>
        <x:v>0.021152682120830404</x:v>
      </x:c>
      <x:c r="M54" s="87" t="n">
        <x:f>IFERROR(F54/J54,0)</x:f>
        <x:v>0.09068005954815385</x:v>
      </x:c>
      <x:c r="N54" s="87" t="n">
        <x:f>IFERROR(G54/J54,0)</x:f>
        <x:v>0.1929752809724017</x:v>
      </x:c>
      <x:c r="O54" s="87" t="n">
        <x:f>IFERROR(H54/J54,0)</x:f>
        <x:v>0.0955060775107563</x:v>
      </x:c>
      <x:c r="P54" s="87" t="n">
        <x:f>IFERROR(I54/J54,0)</x:f>
        <x:v>0.005758502789274788</x:v>
      </x:c>
      <x:c r="Q54" s="86" t="n">
        <x:f>D54*INDEX('Régions'!$T$2:$Y$6,MATCH($B54,'Régions'!$A$2:$A$6,0),1)</x:f>
        <x:v>21430.437104061257</x:v>
      </x:c>
      <x:c r="R54" s="86" t="n">
        <x:f>E54*INDEX('Régions'!$T$2:$Y$6,MATCH($B54,'Régions'!$A$2:$A$6,0),2)</x:f>
        <x:v>2958.710284145329</x:v>
      </x:c>
      <x:c r="S54" s="86" t="n">
        <x:f>F54*INDEX('Régions'!$T$2:$Y$6,MATCH($B54,'Régions'!$A$2:$A$6,0),3)</x:f>
        <x:v>3328.61909945398</x:v>
      </x:c>
      <x:c r="T54" s="86" t="n">
        <x:f>G54*INDEX('Régions'!$T$2:$Y$6,MATCH($B54,'Régions'!$A$2:$A$6,0),4)</x:f>
        <x:v>20434.108703663813</x:v>
      </x:c>
      <x:c r="U54" s="86" t="n">
        <x:f>H54*INDEX('Régions'!$T$2:$Y$6,MATCH($B54,'Régions'!$A$2:$A$6,0),5)</x:f>
        <x:v>6581.412313694409</x:v>
      </x:c>
      <x:c r="V54" s="86" t="n">
        <x:f>I54*INDEX('Régions'!$T$2:$Y$6,MATCH($B54,'Régions'!$A$2:$A$6,0),6)</x:f>
        <x:v>817.1892457343326</x:v>
      </x:c>
      <x:c r="W54" s="86" t="n">
        <x:f>MAX(0,Q54+(AU54/100)*J54*'Régions'!$O$2)</x:f>
        <x:v>27834.637325357726</x:v>
      </x:c>
      <x:c r="X54" s="86" t="n">
        <x:f>MAX(0,R54+(AV54/100)*J54*'Régions'!$O$2)</x:f>
        <x:v>4497.7470335806975</x:v>
      </x:c>
      <x:c r="Y54" s="86" t="n">
        <x:f>MAX(0,S54+(AW54/100)*J54*'Régions'!$O$2)</x:f>
        <x:v>4215.453626996923</x:v>
      </x:c>
      <x:c r="Z54" s="86" t="n">
        <x:f>MAX(0,T54+(AX54/100)*J54*'Régions'!$O$2)</x:f>
        <x:v>12935.713205369953</x:v>
      </x:c>
      <x:c r="AA54" s="86" t="n">
        <x:f>U54</x:f>
        <x:v>6581.412313694409</x:v>
      </x:c>
      <x:c r="AB54" s="86" t="n">
        <x:f>V54</x:f>
        <x:v>817.1892457343326</x:v>
      </x:c>
      <x:c r="AC54" s="86" t="n">
        <x:f>D54*INDEX('Régions'!$Z$2:$AE$6,MATCH($B54,'Régions'!$A$2:$A$6,0),1)</x:f>
        <x:v>23956.167191325625</x:v>
      </x:c>
      <x:c r="AD54" s="86" t="n">
        <x:f>E54*INDEX('Régions'!$Z$2:$AE$6,MATCH($B54,'Régions'!$A$2:$A$6,0),2)</x:f>
        <x:v>3568.9442802503036</x:v>
      </x:c>
      <x:c r="AE54" s="86" t="n">
        <x:f>F54*INDEX('Régions'!$Z$2:$AE$6,MATCH($B54,'Régions'!$A$2:$A$6,0),3)</x:f>
        <x:v>4701.674477978748</x:v>
      </x:c>
      <x:c r="AF54" s="86" t="n">
        <x:f>G54*INDEX('Régions'!$Z$2:$AE$6,MATCH($B54,'Régions'!$A$2:$A$6,0),4)</x:f>
        <x:v>22759.369349253142</x:v>
      </x:c>
      <x:c r="AG54" s="86" t="n">
        <x:f>H54*INDEX('Régions'!$Z$2:$AE$6,MATCH($B54,'Régions'!$A$2:$A$6,0),5)</x:f>
        <x:v>7858.980586352735</x:v>
      </x:c>
      <x:c r="AH54" s="86" t="n">
        <x:f>I54*INDEX('Régions'!$Z$2:$AE$6,MATCH($B54,'Régions'!$A$2:$A$6,0),6)</x:f>
        <x:v>3513.9137566576305</x:v>
      </x:c>
      <x:c r="AI54" s="86" t="n">
        <x:f>D54*INDEX('Régions'!$AF$2:$AK$6,MATCH($B54,'Régions'!$A$2:$A$6,0),1)</x:f>
        <x:v>18904.707016796896</x:v>
      </x:c>
      <x:c r="AJ54" s="86" t="n">
        <x:f>E54*INDEX('Régions'!$AF$2:$AK$6,MATCH($B54,'Régions'!$A$2:$A$6,0),2)</x:f>
        <x:v>2348.476288040355</x:v>
      </x:c>
      <x:c r="AK54" s="86" t="n">
        <x:f>F54*INDEX('Régions'!$AF$2:$AK$6,MATCH($B54,'Régions'!$A$2:$A$6,0),3)</x:f>
        <x:v>1955.5637209292133</x:v>
      </x:c>
      <x:c r="AL54" s="86" t="n">
        <x:f>G54*INDEX('Régions'!$AF$2:$AK$6,MATCH($B54,'Régions'!$A$2:$A$6,0),4)</x:f>
        <x:v>18108.848058074484</x:v>
      </x:c>
      <x:c r="AM54" s="86" t="n">
        <x:f>H54*INDEX('Régions'!$AF$2:$AK$6,MATCH($B54,'Régions'!$A$2:$A$6,0),5)</x:f>
        <x:v>5303.844041036083</x:v>
      </x:c>
      <x:c r="AN54" s="86" t="n">
        <x:f>I54*INDEX('Régions'!$AF$2:$AK$6,MATCH($B54,'Régions'!$A$2:$A$6,0),6)</x:f>
        <x:v>0</x:v>
      </x:c>
      <x:c r="AO54" s="84" t="str">
        <x:f>IF(MAX(Q54:V54)=Q54,"CAQ",IF(MAX(Q54:V54)=R54,"PLQ",IF(MAX(Q54:V54)=S54,"QS",IF(MAX(Q54:V54)=T54,"PQ",IF(MAX(Q54:V54)=U54,"PCQ","Autre")))))</x:f>
        <x:v>CAQ</x:v>
      </x:c>
      <x:c r="AP54" s="84" t="str">
        <x:f>IF(MAX(W54:AB54)=W54,"CAQ",IF(MAX(W54:AB54)=X54,"PLQ",IF(MAX(W54:AB54)=Y54,"QS",IF(MAX(W54:AB54)=Z54,"PQ",IF(MAX(W54:AB54)=AA54,"PCQ","Autre")))))</x:f>
        <x:v>CAQ</x:v>
      </x:c>
      <x:c r="AQ54" s="84" t="str">
        <x:f>IF(MAX(AC54:AH54)=AC54,"CAQ",IF(MAX(AC54:AH54)=AD54,"PLQ",IF(MAX(AC54:AH54)=AE54,"QS",IF(MAX(AC54:AH54)=AF54,"PQ",IF(MAX(AC54:AH54)=AG54,"PCQ","Autre")))))</x:f>
        <x:v>CAQ</x:v>
      </x:c>
      <x:c r="AR54" s="84" t="str">
        <x:f>IF(MAX(AI54:AN54)=AI54,"CAQ",IF(MAX(AI54:AN54)=AJ54,"PLQ",IF(MAX(AI54:AN54)=AK54,"QS",IF(MAX(AI54:AN54)=AL54,"PQ",IF(MAX(AI54:AN54)=AM54,"PCQ","Autre")))))</x:f>
        <x:v>CAQ</x:v>
      </x:c>
      <x:c r="AS54" s="88" t="n">
        <x:f>(MAX(K54:P54)-LARGE(K54:P54,2))*100</x:f>
        <x:v>40.09521160861813</x:v>
      </x:c>
      <x:c r="AT54" s="84" t="str">
        <x:f>IF(AS54&lt;5,"Oui","Non")</x:f>
        <x:v>Non</x:v>
      </x:c>
      <x:c r="AU54" s="89" t="n">
        <x:v>20.953752748528366</x:v>
      </x:c>
      <x:c r="AV54" s="89" t="n">
        <x:v>5.035538303647711</x:v>
      </x:c>
      <x:c r="AW54" s="89" t="n">
        <x:v>2.901613125273424</x:v>
      </x:c>
      <x:c r="AX54" s="90" t="n">
        <x:v>-24.533824654551537</x:v>
      </x:c>
    </x:row>
    <x:row r="55">
      <x:c r="A55" s="83" t="str">
        <x:v>Labelle</x:v>
      </x:c>
      <x:c r="B55" s="84" t="str">
        <x:v>Reste du Québec</x:v>
      </x:c>
      <x:c r="C55" s="84" t="str">
        <x:f>IF(MAX(D55:I55)=D55,"CAQ",IF(MAX(D55:I55)=E55,"PLQ",IF(MAX(D55:I55)=F55,"QS",IF(MAX(D55:I55)=G55,"PQ",IF(MAX(D55:I55)=H55,"PCQ","Autre")))))</x:f>
        <x:v>CAQ</x:v>
      </x:c>
      <x:c r="D55" s="85" t="n">
        <x:v>36782</x:v>
      </x:c>
      <x:c r="E55" s="85" t="n">
        <x:v>3497</x:v>
      </x:c>
      <x:c r="F55" s="85" t="n">
        <x:v>8495</x:v>
      </x:c>
      <x:c r="G55" s="85" t="n">
        <x:v>13257</x:v>
      </x:c>
      <x:c r="H55" s="85" t="n">
        <x:v>6608</x:v>
      </x:c>
      <x:c r="I55" s="85" t="n">
        <x:v>652</x:v>
      </x:c>
      <x:c r="J55" s="86" t="n">
        <x:f>SUM(D55:I55)</x:f>
        <x:v>69291</x:v>
      </x:c>
      <x:c r="K55" s="87" t="n">
        <x:f>IFERROR(D55/J55,0)</x:f>
        <x:v>0.5308337302102726</x:v>
      </x:c>
      <x:c r="L55" s="87" t="n">
        <x:f>IFERROR(E55/J55,0)</x:f>
        <x:v>0.05046831478835635</x:v>
      </x:c>
      <x:c r="M55" s="87" t="n">
        <x:f>IFERROR(F55/J55,0)</x:f>
        <x:v>0.12259889451732549</x:v>
      </x:c>
      <x:c r="N55" s="87" t="n">
        <x:f>IFERROR(G55/J55,0)</x:f>
        <x:v>0.19132354851279387</x:v>
      </x:c>
      <x:c r="O55" s="87" t="n">
        <x:f>IFERROR(H55/J55,0)</x:f>
        <x:v>0.09536592053802082</x:v>
      </x:c>
      <x:c r="P55" s="87" t="n">
        <x:f>IFERROR(I55/J55,0)</x:f>
        <x:v>0.009409591433230866</x:v>
      </x:c>
      <x:c r="Q55" s="86" t="n">
        <x:f>D55*INDEX('Régions'!$T$2:$Y$6,MATCH($B55,'Régions'!$A$2:$A$6,0),1)</x:f>
        <x:v>21712.004890829947</x:v>
      </x:c>
      <x:c r="R55" s="86" t="n">
        <x:f>E55*INDEX('Régions'!$T$2:$Y$6,MATCH($B55,'Régions'!$A$2:$A$6,0),2)</x:f>
        <x:v>8002.01845603729</x:v>
      </x:c>
      <x:c r="S55" s="86" t="n">
        <x:f>F55*INDEX('Régions'!$T$2:$Y$6,MATCH($B55,'Régions'!$A$2:$A$6,0),3)</x:f>
        <x:v>5101.320449190252</x:v>
      </x:c>
      <x:c r="T55" s="86" t="n">
        <x:f>G55*INDEX('Régions'!$T$2:$Y$6,MATCH($B55,'Régions'!$A$2:$A$6,0),4)</x:f>
        <x:v>22964.98635846653</x:v>
      </x:c>
      <x:c r="U55" s="86" t="n">
        <x:f>H55*INDEX('Régions'!$T$2:$Y$6,MATCH($B55,'Régions'!$A$2:$A$6,0),5)</x:f>
        <x:v>7449.464297515015</x:v>
      </x:c>
      <x:c r="V55" s="86" t="n">
        <x:f>I55*INDEX('Régions'!$T$2:$Y$6,MATCH($B55,'Régions'!$A$2:$A$6,0),6)</x:f>
        <x:v>1513.6573528942752</x:v>
      </x:c>
      <x:c r="W55" s="86" t="n">
        <x:f>MAX(0,Q55+(AU55/100)*J55*'Régions'!$O$2)</x:f>
        <x:v>25390.45008560377</x:v>
      </x:c>
      <x:c r="X55" s="86" t="n">
        <x:f>MAX(0,R55+(AV55/100)*J55*'Régions'!$O$2)</x:f>
        <x:v>10389.037441055154</x:v>
      </x:c>
      <x:c r="Y55" s="86" t="n">
        <x:f>MAX(0,S55+(AW55/100)*J55*'Régions'!$O$2)</x:f>
        <x:v>4419.652761258407</x:v>
      </x:c>
      <x:c r="Z55" s="86" t="n">
        <x:f>MAX(0,T55+(AX55/100)*J55*'Régions'!$O$2)</x:f>
        <x:v>18874.252494002358</x:v>
      </x:c>
      <x:c r="AA55" s="86" t="n">
        <x:f>U55</x:f>
        <x:v>7449.464297515015</x:v>
      </x:c>
      <x:c r="AB55" s="86" t="n">
        <x:f>V55</x:f>
        <x:v>1513.6573528942752</x:v>
      </x:c>
      <x:c r="AC55" s="86" t="n">
        <x:f>D55*INDEX('Régions'!$Z$2:$AE$6,MATCH($B55,'Régions'!$A$2:$A$6,0),1)</x:f>
        <x:v>24270.91975296348</x:v>
      </x:c>
      <x:c r="AD55" s="86" t="n">
        <x:f>E55*INDEX('Régions'!$Z$2:$AE$6,MATCH($B55,'Régions'!$A$2:$A$6,0),2)</x:f>
        <x:v>9652.434762594981</x:v>
      </x:c>
      <x:c r="AE55" s="86" t="n">
        <x:f>F55*INDEX('Régions'!$Z$2:$AE$6,MATCH($B55,'Régions'!$A$2:$A$6,0),3)</x:f>
        <x:v>7205.615134481231</x:v>
      </x:c>
      <x:c r="AF55" s="86" t="n">
        <x:f>G55*INDEX('Régions'!$Z$2:$AE$6,MATCH($B55,'Régions'!$A$2:$A$6,0),4)</x:f>
        <x:v>25578.243426843754</x:v>
      </x:c>
      <x:c r="AG55" s="86" t="n">
        <x:f>H55*INDEX('Régions'!$Z$2:$AE$6,MATCH($B55,'Régions'!$A$2:$A$6,0),5)</x:f>
        <x:v>8895.536778797341</x:v>
      </x:c>
      <x:c r="AH55" s="86" t="n">
        <x:f>I55*INDEX('Régions'!$Z$2:$AE$6,MATCH($B55,'Régions'!$A$2:$A$6,0),6)</x:f>
        <x:v>6508.726617445383</x:v>
      </x:c>
      <x:c r="AI55" s="86" t="n">
        <x:f>D55*INDEX('Régions'!$AF$2:$AK$6,MATCH($B55,'Régions'!$A$2:$A$6,0),1)</x:f>
        <x:v>19153.090028696417</x:v>
      </x:c>
      <x:c r="AJ55" s="86" t="n">
        <x:f>E55*INDEX('Régions'!$AF$2:$AK$6,MATCH($B55,'Régions'!$A$2:$A$6,0),2)</x:f>
        <x:v>6351.602149479599</x:v>
      </x:c>
      <x:c r="AK55" s="86" t="n">
        <x:f>F55*INDEX('Régions'!$AF$2:$AK$6,MATCH($B55,'Régions'!$A$2:$A$6,0),3)</x:f>
        <x:v>2997.0257638992725</x:v>
      </x:c>
      <x:c r="AL55" s="86" t="n">
        <x:f>G55*INDEX('Régions'!$AF$2:$AK$6,MATCH($B55,'Régions'!$A$2:$A$6,0),4)</x:f>
        <x:v>20351.729290089304</x:v>
      </x:c>
      <x:c r="AM55" s="86" t="n">
        <x:f>H55*INDEX('Régions'!$AF$2:$AK$6,MATCH($B55,'Régions'!$A$2:$A$6,0),5)</x:f>
        <x:v>6003.391816232688</x:v>
      </x:c>
      <x:c r="AN55" s="86" t="n">
        <x:f>I55*INDEX('Régions'!$AF$2:$AK$6,MATCH($B55,'Régions'!$A$2:$A$6,0),6)</x:f>
        <x:v>0</x:v>
      </x:c>
      <x:c r="AO55" s="84" t="str">
        <x:f>IF(MAX(Q55:V55)=Q55,"CAQ",IF(MAX(Q55:V55)=R55,"PLQ",IF(MAX(Q55:V55)=S55,"QS",IF(MAX(Q55:V55)=T55,"PQ",IF(MAX(Q55:V55)=U55,"PCQ","Autre")))))</x:f>
        <x:v>PQ</x:v>
      </x:c>
      <x:c r="AP55" s="84" t="str">
        <x:f>IF(MAX(W55:AB55)=W55,"CAQ",IF(MAX(W55:AB55)=X55,"PLQ",IF(MAX(W55:AB55)=Y55,"QS",IF(MAX(W55:AB55)=Z55,"PQ",IF(MAX(W55:AB55)=AA55,"PCQ","Autre")))))</x:f>
        <x:v>CAQ</x:v>
      </x:c>
      <x:c r="AQ55" s="84" t="str">
        <x:f>IF(MAX(AC55:AH55)=AC55,"CAQ",IF(MAX(AC55:AH55)=AD55,"PLQ",IF(MAX(AC55:AH55)=AE55,"QS",IF(MAX(AC55:AH55)=AF55,"PQ",IF(MAX(AC55:AH55)=AG55,"PCQ","Autre")))))</x:f>
        <x:v>PQ</x:v>
      </x:c>
      <x:c r="AR55" s="84" t="str">
        <x:f>IF(MAX(AI55:AN55)=AI55,"CAQ",IF(MAX(AI55:AN55)=AJ55,"PLQ",IF(MAX(AI55:AN55)=AK55,"QS",IF(MAX(AI55:AN55)=AL55,"PQ",IF(MAX(AI55:AN55)=AM55,"PCQ","Autre")))))</x:f>
        <x:v>PQ</x:v>
      </x:c>
      <x:c r="AS55" s="88" t="n">
        <x:f>(MAX(K55:P55)-LARGE(K55:P55,2))*100</x:f>
        <x:v>33.95101816974787</x:v>
      </x:c>
      <x:c r="AT55" s="84" t="str">
        <x:f>IF(AS55&lt;5,"Oui","Non")</x:f>
        <x:v>Non</x:v>
      </x:c>
      <x:c r="AU55" s="89" t="n">
        <x:v>10.617382328942648</x:v>
      </x:c>
      <x:c r="AV55" s="89" t="n">
        <x:v>6.88983846392133</x:v>
      </x:c>
      <x:c r="AW55" s="89" t="n">
        <x:v>-1.9675504406974784</x:v>
      </x:c>
      <x:c r="AX55" s="90" t="n">
        <x:v>-11.807403167696156</x:v>
      </x:c>
    </x:row>
    <x:row r="56">
      <x:c r="A56" s="83" t="str">
        <x:v>Lac-Saint-Jean</x:v>
      </x:c>
      <x:c r="B56" s="84" t="str">
        <x:v>Reste du Québec</x:v>
      </x:c>
      <x:c r="C56" s="84" t="str">
        <x:f>IF(MAX(D56:I56)=D56,"CAQ",IF(MAX(D56:I56)=E56,"PLQ",IF(MAX(D56:I56)=F56,"QS",IF(MAX(D56:I56)=G56,"PQ",IF(MAX(D56:I56)=H56,"PCQ","Autre")))))</x:f>
        <x:v>CAQ</x:v>
      </x:c>
      <x:c r="D56" s="85" t="n">
        <x:v>30190</x:v>
      </x:c>
      <x:c r="E56" s="85" t="n">
        <x:v>1769</x:v>
      </x:c>
      <x:c r="F56" s="85" t="n">
        <x:v>4443</x:v>
      </x:c>
      <x:c r="G56" s="85" t="n">
        <x:v>15030</x:v>
      </x:c>
      <x:c r="H56" s="85" t="n">
        <x:v>6671</x:v>
      </x:c>
      <x:c r="I56" s="85" t="n">
        <x:v>555</x:v>
      </x:c>
      <x:c r="J56" s="86" t="n">
        <x:f>SUM(D56:I56)</x:f>
        <x:v>58658</x:v>
      </x:c>
      <x:c r="K56" s="87" t="n">
        <x:f>IFERROR(D56/J56,0)</x:f>
        <x:v>0.5146783047495653</x:v>
      </x:c>
      <x:c r="L56" s="87" t="n">
        <x:f>IFERROR(E56/J56,0)</x:f>
        <x:v>0.03015786422994306</x:v>
      </x:c>
      <x:c r="M56" s="87" t="n">
        <x:f>IFERROR(F56/J56,0)</x:f>
        <x:v>0.07574414402127587</x:v>
      </x:c>
      <x:c r="N56" s="87" t="n">
        <x:f>IFERROR(G56/J56,0)</x:f>
        <x:v>0.25623103413004195</x:v>
      </x:c>
      <x:c r="O56" s="87" t="n">
        <x:f>IFERROR(H56/J56,0)</x:f>
        <x:v>0.11372702785638787</x:v>
      </x:c>
      <x:c r="P56" s="87" t="n">
        <x:f>IFERROR(I56/J56,0)</x:f>
        <x:v>0.00946162501278598</x:v>
      </x:c>
      <x:c r="Q56" s="86" t="n">
        <x:f>D56*INDEX('Régions'!$T$2:$Y$6,MATCH($B56,'Régions'!$A$2:$A$6,0),1)</x:f>
        <x:v>17820.820718127237</x:v>
      </x:c>
      <x:c r="R56" s="86" t="n">
        <x:f>E56*INDEX('Régions'!$T$2:$Y$6,MATCH($B56,'Régions'!$A$2:$A$6,0),2)</x:f>
        <x:v>4047.9184011238103</x:v>
      </x:c>
      <x:c r="S56" s="86" t="n">
        <x:f>F56*INDEX('Régions'!$T$2:$Y$6,MATCH($B56,'Régions'!$A$2:$A$6,0),3)</x:f>
        <x:v>2668.059653414042</x:v>
      </x:c>
      <x:c r="T56" s="86" t="n">
        <x:f>G56*INDEX('Régions'!$T$2:$Y$6,MATCH($B56,'Régions'!$A$2:$A$6,0),4)</x:f>
        <x:v>26036.338912857504</x:v>
      </x:c>
      <x:c r="U56" s="86" t="n">
        <x:f>H56*INDEX('Régions'!$T$2:$Y$6,MATCH($B56,'Régions'!$A$2:$A$6,0),5)</x:f>
        <x:v>7520.486732554882</x:v>
      </x:c>
      <x:c r="V56" s="86" t="n">
        <x:f>I56*INDEX('Régions'!$T$2:$Y$6,MATCH($B56,'Régions'!$A$2:$A$6,0),6)</x:f>
        <x:v>1288.4659982458938</x:v>
      </x:c>
      <x:c r="W56" s="86" t="n">
        <x:f>MAX(0,Q56+(AU56/100)*J56*'Régions'!$O$2)</x:f>
        <x:v>19590.972492252844</x:v>
      </x:c>
      <x:c r="X56" s="86" t="n">
        <x:f>MAX(0,R56+(AV56/100)*J56*'Régions'!$O$2)</x:f>
        <x:v>5000.775810028252</x:v>
      </x:c>
      <x:c r="Y56" s="86" t="n">
        <x:f>MAX(0,S56+(AW56/100)*J56*'Régions'!$O$2)</x:f>
        <x:v>860.0792066516437</x:v>
      </x:c>
      <x:c r="Z56" s="86" t="n">
        <x:f>MAX(0,T56+(AX56/100)*J56*'Régions'!$O$2)</x:f>
        <x:v>25911.81256677554</x:v>
      </x:c>
      <x:c r="AA56" s="86" t="n">
        <x:f>U56</x:f>
        <x:v>7520.486732554882</x:v>
      </x:c>
      <x:c r="AB56" s="86" t="n">
        <x:f>V56</x:f>
        <x:v>1288.4659982458938</x:v>
      </x:c>
      <x:c r="AC56" s="86" t="n">
        <x:f>D56*INDEX('Régions'!$Z$2:$AE$6,MATCH($B56,'Régions'!$A$2:$A$6,0),1)</x:f>
        <x:v>19921.131731335096</x:v>
      </x:c>
      <x:c r="AD56" s="86" t="n">
        <x:f>E56*INDEX('Régions'!$Z$2:$AE$6,MATCH($B56,'Régions'!$A$2:$A$6,0),2)</x:f>
        <x:v>4882.801571355597</x:v>
      </x:c>
      <x:c r="AE56" s="86" t="n">
        <x:f>F56*INDEX('Régions'!$Z$2:$AE$6,MATCH($B56,'Régions'!$A$2:$A$6,0),3)</x:f>
        <x:v>3768.6342604473343</x:v>
      </x:c>
      <x:c r="AF56" s="86" t="n">
        <x:f>G56*INDEX('Régions'!$Z$2:$AE$6,MATCH($B56,'Régions'!$A$2:$A$6,0),4)</x:f>
        <x:v>28999.094720182668</x:v>
      </x:c>
      <x:c r="AG56" s="86" t="n">
        <x:f>H56*INDEX('Régions'!$Z$2:$AE$6,MATCH($B56,'Régions'!$A$2:$A$6,0),5)</x:f>
        <x:v>8980.345921815537</x:v>
      </x:c>
      <x:c r="AH56" s="86" t="n">
        <x:f>I56*INDEX('Régions'!$Z$2:$AE$6,MATCH($B56,'Régions'!$A$2:$A$6,0),6)</x:f>
        <x:v>5540.403792457343</x:v>
      </x:c>
      <x:c r="AI56" s="86" t="n">
        <x:f>D56*INDEX('Régions'!$AF$2:$AK$6,MATCH($B56,'Régions'!$A$2:$A$6,0),1)</x:f>
        <x:v>15720.509704919386</x:v>
      </x:c>
      <x:c r="AJ56" s="86" t="n">
        <x:f>E56*INDEX('Régions'!$AF$2:$AK$6,MATCH($B56,'Régions'!$A$2:$A$6,0),2)</x:f>
        <x:v>3213.0352308920246</x:v>
      </x:c>
      <x:c r="AK56" s="86" t="n">
        <x:f>F56*INDEX('Régions'!$AF$2:$AK$6,MATCH($B56,'Régions'!$A$2:$A$6,0),3)</x:f>
        <x:v>1567.4850463807495</x:v>
      </x:c>
      <x:c r="AL56" s="86" t="n">
        <x:f>G56*INDEX('Régions'!$AF$2:$AK$6,MATCH($B56,'Régions'!$A$2:$A$6,0),4)</x:f>
        <x:v>23073.58310553234</x:v>
      </x:c>
      <x:c r="AM56" s="86" t="n">
        <x:f>H56*INDEX('Régions'!$AF$2:$AK$6,MATCH($B56,'Régions'!$A$2:$A$6,0),5)</x:f>
        <x:v>6060.627543294228</x:v>
      </x:c>
      <x:c r="AN56" s="86" t="n">
        <x:f>I56*INDEX('Régions'!$AF$2:$AK$6,MATCH($B56,'Régions'!$A$2:$A$6,0),6)</x:f>
        <x:v>0</x:v>
      </x:c>
      <x:c r="AO56" s="84" t="str">
        <x:f>IF(MAX(Q56:V56)=Q56,"CAQ",IF(MAX(Q56:V56)=R56,"PLQ",IF(MAX(Q56:V56)=S56,"QS",IF(MAX(Q56:V56)=T56,"PQ",IF(MAX(Q56:V56)=U56,"PCQ","Autre")))))</x:f>
        <x:v>PQ</x:v>
      </x:c>
      <x:c r="AP56" s="84" t="str">
        <x:f>IF(MAX(W56:AB56)=W56,"CAQ",IF(MAX(W56:AB56)=X56,"PLQ",IF(MAX(W56:AB56)=Y56,"QS",IF(MAX(W56:AB56)=Z56,"PQ",IF(MAX(W56:AB56)=AA56,"PCQ","Autre")))))</x:f>
        <x:v>PQ</x:v>
      </x:c>
      <x:c r="AQ56" s="84" t="str">
        <x:f>IF(MAX(AC56:AH56)=AC56,"CAQ",IF(MAX(AC56:AH56)=AD56,"PLQ",IF(MAX(AC56:AH56)=AE56,"QS",IF(MAX(AC56:AH56)=AF56,"PQ",IF(MAX(AC56:AH56)=AG56,"PCQ","Autre")))))</x:f>
        <x:v>PQ</x:v>
      </x:c>
      <x:c r="AR56" s="84" t="str">
        <x:f>IF(MAX(AI56:AN56)=AI56,"CAQ",IF(MAX(AI56:AN56)=AJ56,"PLQ",IF(MAX(AI56:AN56)=AK56,"QS",IF(MAX(AI56:AN56)=AL56,"PQ",IF(MAX(AI56:AN56)=AM56,"PCQ","Autre")))))</x:f>
        <x:v>PQ</x:v>
      </x:c>
      <x:c r="AS56" s="88" t="n">
        <x:f>(MAX(K56:P56)-LARGE(K56:P56,2))*100</x:f>
        <x:v>25.844727061952337</x:v>
      </x:c>
      <x:c r="AT56" s="84" t="str">
        <x:f>IF(AS56&lt;5,"Oui","Non")</x:f>
        <x:v>Non</x:v>
      </x:c>
      <x:c r="AU56" s="89" t="n">
        <x:v>6.035499928826776</x:v>
      </x:c>
      <x:c r="AV56" s="89" t="n">
        <x:v>3.2488574752103414</x:v>
      </x:c>
      <x:c r="AW56" s="89" t="n">
        <x:v>-6.164480366744172</x:v>
      </x:c>
      <x:c r="AX56" s="90" t="n">
        <x:v>-0.42458435705943764</x:v>
      </x:c>
    </x:row>
    <x:row r="57">
      <x:c r="A57" s="83" t="str">
        <x:v>LaFontaine</x:v>
      </x:c>
      <x:c r="B57" s="84" t="str">
        <x:v>Île de Montréal</x:v>
      </x:c>
      <x:c r="C57" s="84" t="str">
        <x:f>IF(MAX(D57:I57)=D57,"CAQ",IF(MAX(D57:I57)=E57,"PLQ",IF(MAX(D57:I57)=F57,"QS",IF(MAX(D57:I57)=G57,"PQ",IF(MAX(D57:I57)=H57,"PCQ","Autre")))))</x:f>
        <x:v>PLQ</x:v>
      </x:c>
      <x:c r="D57" s="85" t="n">
        <x:v>10401</x:v>
      </x:c>
      <x:c r="E57" s="85" t="n">
        <x:v>26856</x:v>
      </x:c>
      <x:c r="F57" s="85" t="n">
        <x:v>4612</x:v>
      </x:c>
      <x:c r="G57" s="85" t="n">
        <x:v>3277</x:v>
      </x:c>
      <x:c r="H57" s="85" t="n">
        <x:v>6827</x:v>
      </x:c>
      <x:c r="I57" s="85" t="n">
        <x:v>2</x:v>
      </x:c>
      <x:c r="J57" s="86" t="n">
        <x:f>SUM(D57:I57)</x:f>
        <x:v>51975</x:v>
      </x:c>
      <x:c r="K57" s="87" t="n">
        <x:f>IFERROR(D57/J57,0)</x:f>
        <x:v>0.2001154401154401</x:v>
      </x:c>
      <x:c r="L57" s="87" t="n">
        <x:f>IFERROR(E57/J57,0)</x:f>
        <x:v>0.5167099567099567</x:v>
      </x:c>
      <x:c r="M57" s="87" t="n">
        <x:f>IFERROR(F57/J57,0)</x:f>
        <x:v>0.08873496873496874</x:v>
      </x:c>
      <x:c r="N57" s="87" t="n">
        <x:f>IFERROR(G57/J57,0)</x:f>
        <x:v>0.06304954304954305</x:v>
      </x:c>
      <x:c r="O57" s="87" t="n">
        <x:f>IFERROR(H57/J57,0)</x:f>
        <x:v>0.13135161135161136</x:v>
      </x:c>
      <x:c r="P57" s="87" t="n">
        <x:f>IFERROR(I57/J57,0)</x:f>
        <x:v>0.00003848003848003848</x:v>
      </x:c>
      <x:c r="Q57" s="86" t="n">
        <x:f>D57*INDEX('Régions'!$T$2:$Y$6,MATCH($B57,'Régions'!$A$2:$A$6,0),1)</x:f>
        <x:v>7790.21964162865</x:v>
      </x:c>
      <x:c r="R57" s="86" t="n">
        <x:f>E57*INDEX('Régions'!$T$2:$Y$6,MATCH($B57,'Régions'!$A$2:$A$6,0),2)</x:f>
        <x:v>26759.508229379288</x:v>
      </x:c>
      <x:c r="S57" s="86" t="n">
        <x:f>F57*INDEX('Régions'!$T$2:$Y$6,MATCH($B57,'Régions'!$A$2:$A$6,0),3)</x:f>
        <x:v>3554.8650855849887</x:v>
      </x:c>
      <x:c r="T57" s="86" t="n">
        <x:f>G57*INDEX('Régions'!$T$2:$Y$6,MATCH($B57,'Régions'!$A$2:$A$6,0),4)</x:f>
        <x:v>6339.748187606198</x:v>
      </x:c>
      <x:c r="U57" s="86" t="n">
        <x:f>H57*INDEX('Régions'!$T$2:$Y$6,MATCH($B57,'Régions'!$A$2:$A$6,0),5)</x:f>
        <x:v>5441.547541829821</x:v>
      </x:c>
      <x:c r="V57" s="86" t="n">
        <x:f>I57*INDEX('Régions'!$T$2:$Y$6,MATCH($B57,'Régions'!$A$2:$A$6,0),6)</x:f>
        <x:v>2.9573412195465427</x:v>
      </x:c>
      <x:c r="W57" s="86" t="n">
        <x:f>MAX(0,Q57+(AU57/100)*J57*'Régions'!$O$2)</x:f>
        <x:v>6817.681464887305</x:v>
      </x:c>
      <x:c r="X57" s="86" t="n">
        <x:f>MAX(0,R57+(AV57/100)*J57*'Régions'!$O$2)</x:f>
        <x:v>27014.69639701725</x:v>
      </x:c>
      <x:c r="Y57" s="86" t="n">
        <x:f>MAX(0,S57+(AW57/100)*J57*'Régions'!$O$2)</x:f>
        <x:v>3433.9336259769525</x:v>
      </x:c>
      <x:c r="Z57" s="86" t="n">
        <x:f>MAX(0,T57+(AX57/100)*J57*'Régions'!$O$2)</x:f>
        <x:v>6446.52164904318</x:v>
      </x:c>
      <x:c r="AA57" s="86" t="n">
        <x:f>U57</x:f>
        <x:v>5441.547541829821</x:v>
      </x:c>
      <x:c r="AB57" s="86" t="n">
        <x:f>V57</x:f>
        <x:v>2.9573412195465427</x:v>
      </x:c>
      <x:c r="AC57" s="86" t="n">
        <x:f>D57*INDEX('Régions'!$Z$2:$AE$6,MATCH($B57,'Régions'!$A$2:$A$6,0),1)</x:f>
        <x:v>9504.067962786952</x:v>
      </x:c>
      <x:c r="AD57" s="86" t="n">
        <x:f>E57*INDEX('Régions'!$Z$2:$AE$6,MATCH($B57,'Régions'!$A$2:$A$6,0),2)</x:f>
        <x:v>29356.754616348455</x:v>
      </x:c>
      <x:c r="AE57" s="86" t="n">
        <x:f>F57*INDEX('Régions'!$Z$2:$AE$6,MATCH($B57,'Régions'!$A$2:$A$6,0),3)</x:f>
        <x:v>4244.92713161031</x:v>
      </x:c>
      <x:c r="AF57" s="86" t="n">
        <x:f>G57*INDEX('Régions'!$Z$2:$AE$6,MATCH($B57,'Régions'!$A$2:$A$6,0),4)</x:f>
        <x:v>7211.4635634020515</x:v>
      </x:c>
      <x:c r="AG57" s="86" t="n">
        <x:f>H57*INDEX('Régions'!$Z$2:$AE$6,MATCH($B57,'Régions'!$A$2:$A$6,0),5)</x:f>
        <x:v>7686.185902834623</x:v>
      </x:c>
      <x:c r="AH57" s="86" t="n">
        <x:f>I57*INDEX('Régions'!$Z$2:$AE$6,MATCH($B57,'Régions'!$A$2:$A$6,0),6)</x:f>
        <x:v>7.836954231798338</x:v>
      </x:c>
      <x:c r="AI57" s="86" t="n">
        <x:f>D57*INDEX('Régions'!$AF$2:$AK$6,MATCH($B57,'Régions'!$A$2:$A$6,0),1)</x:f>
        <x:v>6076.371320470347</x:v>
      </x:c>
      <x:c r="AJ57" s="86" t="n">
        <x:f>E57*INDEX('Régions'!$AF$2:$AK$6,MATCH($B57,'Régions'!$A$2:$A$6,0),2)</x:f>
        <x:v>24162.261842410124</x:v>
      </x:c>
      <x:c r="AK57" s="86" t="n">
        <x:f>F57*INDEX('Régions'!$AF$2:$AK$6,MATCH($B57,'Régions'!$A$2:$A$6,0),3)</x:f>
        <x:v>2864.803039559667</x:v>
      </x:c>
      <x:c r="AL57" s="86" t="n">
        <x:f>G57*INDEX('Régions'!$AF$2:$AK$6,MATCH($B57,'Régions'!$A$2:$A$6,0),4)</x:f>
        <x:v>5468.032811810346</x:v>
      </x:c>
      <x:c r="AM57" s="86" t="n">
        <x:f>H57*INDEX('Régions'!$AF$2:$AK$6,MATCH($B57,'Régions'!$A$2:$A$6,0),5)</x:f>
        <x:v>3196.9091808250205</x:v>
      </x:c>
      <x:c r="AN57" s="86" t="n">
        <x:f>I57*INDEX('Régions'!$AF$2:$AK$6,MATCH($B57,'Régions'!$A$2:$A$6,0),6)</x:f>
        <x:v>0</x:v>
      </x:c>
      <x:c r="AO57" s="84" t="str">
        <x:f>IF(MAX(Q57:V57)=Q57,"CAQ",IF(MAX(Q57:V57)=R57,"PLQ",IF(MAX(Q57:V57)=S57,"QS",IF(MAX(Q57:V57)=T57,"PQ",IF(MAX(Q57:V57)=U57,"PCQ","Autre")))))</x:f>
        <x:v>PLQ</x:v>
      </x:c>
      <x:c r="AP57" s="84" t="str">
        <x:f>IF(MAX(W57:AB57)=W57,"CAQ",IF(MAX(W57:AB57)=X57,"PLQ",IF(MAX(W57:AB57)=Y57,"QS",IF(MAX(W57:AB57)=Z57,"PQ",IF(MAX(W57:AB57)=AA57,"PCQ","Autre")))))</x:f>
        <x:v>PLQ</x:v>
      </x:c>
      <x:c r="AQ57" s="84" t="str">
        <x:f>IF(MAX(AC57:AH57)=AC57,"CAQ",IF(MAX(AC57:AH57)=AD57,"PLQ",IF(MAX(AC57:AH57)=AE57,"QS",IF(MAX(AC57:AH57)=AF57,"PQ",IF(MAX(AC57:AH57)=AG57,"PCQ","Autre")))))</x:f>
        <x:v>PLQ</x:v>
      </x:c>
      <x:c r="AR57" s="84" t="str">
        <x:f>IF(MAX(AI57:AN57)=AI57,"CAQ",IF(MAX(AI57:AN57)=AJ57,"PLQ",IF(MAX(AI57:AN57)=AK57,"QS",IF(MAX(AI57:AN57)=AL57,"PQ",IF(MAX(AI57:AN57)=AM57,"PCQ","Autre")))))</x:f>
        <x:v>PLQ</x:v>
      </x:c>
      <x:c r="AS57" s="88" t="n">
        <x:f>(MAX(K57:P57)-LARGE(K57:P57,2))*100</x:f>
        <x:v>31.659451659451655</x:v>
      </x:c>
      <x:c r="AT57" s="84" t="str">
        <x:f>IF(AS57&lt;5,"Oui","Non")</x:f>
        <x:v>Non</x:v>
      </x:c>
      <x:c r="AU57" s="89" t="n">
        <x:v>-3.7423306464313413</x:v>
      </x:c>
      <x:c r="AV57" s="89" t="n">
        <x:v>0.9819650510359323</x:v>
      </x:c>
      <x:c r="AW57" s="89" t="n">
        <x:v>-0.46534472191644555</x:v>
      </x:c>
      <x:c r="AX57" s="90" t="n">
        <x:v>0.4108646904741983</x:v>
      </x:c>
    </x:row>
    <x:row r="58">
      <x:c r="A58" s="83" t="str">
        <x:v>La Peltrie</x:v>
      </x:c>
      <x:c r="B58" s="84" t="str">
        <x:v>Québec RMR</x:v>
      </x:c>
      <x:c r="C58" s="84" t="str">
        <x:f>IF(MAX(D58:I58)=D58,"CAQ",IF(MAX(D58:I58)=E58,"PLQ",IF(MAX(D58:I58)=F58,"QS",IF(MAX(D58:I58)=G58,"PQ",IF(MAX(D58:I58)=H58,"PCQ","Autre")))))</x:f>
        <x:v>CAQ</x:v>
      </x:c>
      <x:c r="D58" s="85" t="n">
        <x:v>38422</x:v>
      </x:c>
      <x:c r="E58" s="85" t="n">
        <x:v>4922</x:v>
      </x:c>
      <x:c r="F58" s="85" t="n">
        <x:v>7888</x:v>
      </x:c>
      <x:c r="G58" s="85" t="n">
        <x:v>9330</x:v>
      </x:c>
      <x:c r="H58" s="85" t="n">
        <x:v>25052</x:v>
      </x:c>
      <x:c r="I58" s="85" t="n">
        <x:v>545</x:v>
      </x:c>
      <x:c r="J58" s="86" t="n">
        <x:f>SUM(D58:I58)</x:f>
        <x:v>86159</x:v>
      </x:c>
      <x:c r="K58" s="87" t="n">
        <x:f>IFERROR(D58/J58,0)</x:f>
        <x:v>0.4459429659118606</x:v>
      </x:c>
      <x:c r="L58" s="87" t="n">
        <x:f>IFERROR(E58/J58,0)</x:f>
        <x:v>0.05712693972771272</x:v>
      </x:c>
      <x:c r="M58" s="87" t="n">
        <x:f>IFERROR(F58/J58,0)</x:f>
        <x:v>0.09155166610568832</x:v>
      </x:c>
      <x:c r="N58" s="87" t="n">
        <x:f>IFERROR(G58/J58,0)</x:f>
        <x:v>0.10828816490442089</x:v>
      </x:c>
      <x:c r="O58" s="87" t="n">
        <x:f>IFERROR(H58/J58,0)</x:f>
        <x:v>0.2907647488944858</x:v>
      </x:c>
      <x:c r="P58" s="87" t="n">
        <x:f>IFERROR(I58/J58,0)</x:f>
        <x:v>0.00632551445583166</x:v>
      </x:c>
      <x:c r="Q58" s="86" t="n">
        <x:f>D58*INDEX('Régions'!$T$2:$Y$6,MATCH($B58,'Régions'!$A$2:$A$6,0),1)</x:f>
        <x:v>31974.92550082314</x:v>
      </x:c>
      <x:c r="R58" s="86" t="n">
        <x:f>E58*INDEX('Régions'!$T$2:$Y$6,MATCH($B58,'Régions'!$A$2:$A$6,0),2)</x:f>
        <x:v>5907.16628867344</x:v>
      </x:c>
      <x:c r="S58" s="86" t="n">
        <x:f>F58*INDEX('Régions'!$T$2:$Y$6,MATCH($B58,'Régions'!$A$2:$A$6,0),3)</x:f>
        <x:v>3129.2598033573445</x:v>
      </x:c>
      <x:c r="T58" s="86" t="n">
        <x:f>G58*INDEX('Régions'!$T$2:$Y$6,MATCH($B58,'Régions'!$A$2:$A$6,0),4)</x:f>
        <x:v>19047.518498817964</x:v>
      </x:c>
      <x:c r="U58" s="86" t="n">
        <x:f>H58*INDEX('Régions'!$T$2:$Y$6,MATCH($B58,'Régions'!$A$2:$A$6,0),5)</x:f>
        <x:v>25654.04603794603</x:v>
      </x:c>
      <x:c r="V58" s="86" t="n">
        <x:f>I58*INDEX('Régions'!$T$2:$Y$6,MATCH($B58,'Régions'!$A$2:$A$6,0),6)</x:f>
        <x:v>930.7419825313117</x:v>
      </x:c>
      <x:c r="W58" s="86" t="n">
        <x:f>MAX(0,Q58+(AU58/100)*J58*'Régions'!$O$2)</x:f>
        <x:v>28019.956801870965</x:v>
      </x:c>
      <x:c r="X58" s="86" t="n">
        <x:f>MAX(0,R58+(AV58/100)*J58*'Régions'!$O$2)</x:f>
        <x:v>7329.792084386752</x:v>
      </x:c>
      <x:c r="Y58" s="86" t="n">
        <x:f>MAX(0,S58+(AW58/100)*J58*'Régions'!$O$2)</x:f>
        <x:v>2991.4553691927094</x:v>
      </x:c>
      <x:c r="Z58" s="86" t="n">
        <x:f>MAX(0,T58+(AX58/100)*J58*'Régions'!$O$2)</x:f>
        <x:v>18994.231927577846</x:v>
      </x:c>
      <x:c r="AA58" s="86" t="n">
        <x:f>U58</x:f>
        <x:v>25654.04603794603</x:v>
      </x:c>
      <x:c r="AB58" s="86" t="n">
        <x:f>V58</x:f>
        <x:v>930.7419825313117</x:v>
      </x:c>
      <x:c r="AC58" s="86" t="n">
        <x:f>D58*INDEX('Régions'!$Z$2:$AE$6,MATCH($B58,'Régions'!$A$2:$A$6,0),1)</x:f>
        <x:v>34905.960338398596</x:v>
      </x:c>
      <x:c r="AD58" s="86" t="n">
        <x:f>E58*INDEX('Régions'!$Z$2:$AE$6,MATCH($B58,'Régions'!$A$2:$A$6,0),2)</x:f>
        <x:v>8691.973253333776</x:v>
      </x:c>
      <x:c r="AE58" s="86" t="n">
        <x:f>F58*INDEX('Régions'!$Z$2:$AE$6,MATCH($B58,'Régions'!$A$2:$A$6,0),3)</x:f>
        <x:v>4850.352695203885</x:v>
      </x:c>
      <x:c r="AF58" s="86" t="n">
        <x:f>G58*INDEX('Régions'!$Z$2:$AE$6,MATCH($B58,'Régions'!$A$2:$A$6,0),4)</x:f>
        <x:v>21292.40460760723</x:v>
      </x:c>
      <x:c r="AG58" s="86" t="n">
        <x:f>H58*INDEX('Régions'!$Z$2:$AE$6,MATCH($B58,'Régions'!$A$2:$A$6,0),5)</x:f>
        <x:v>29502.152943637935</x:v>
      </x:c>
      <x:c r="AH58" s="86" t="n">
        <x:f>I58*INDEX('Régions'!$Z$2:$AE$6,MATCH($B58,'Régions'!$A$2:$A$6,0),6)</x:f>
        <x:v>4002.19052488464</x:v>
      </x:c>
      <x:c r="AI58" s="86" t="n">
        <x:f>D58*INDEX('Régions'!$AF$2:$AK$6,MATCH($B58,'Régions'!$A$2:$A$6,0),1)</x:f>
        <x:v>29043.89066324769</x:v>
      </x:c>
      <x:c r="AJ58" s="86" t="n">
        <x:f>E58*INDEX('Régions'!$AF$2:$AK$6,MATCH($B58,'Régions'!$A$2:$A$6,0),2)</x:f>
        <x:v>3122.359324013104</x:v>
      </x:c>
      <x:c r="AK58" s="86" t="n">
        <x:f>F58*INDEX('Régions'!$AF$2:$AK$6,MATCH($B58,'Régions'!$A$2:$A$6,0),3)</x:f>
        <x:v>1408.1669115108052</x:v>
      </x:c>
      <x:c r="AL58" s="86" t="n">
        <x:f>G58*INDEX('Régions'!$AF$2:$AK$6,MATCH($B58,'Régions'!$A$2:$A$6,0),4)</x:f>
        <x:v>16802.632390028706</x:v>
      </x:c>
      <x:c r="AM58" s="86" t="n">
        <x:f>H58*INDEX('Régions'!$AF$2:$AK$6,MATCH($B58,'Régions'!$A$2:$A$6,0),5)</x:f>
        <x:v>21805.939132254127</x:v>
      </x:c>
      <x:c r="AN58" s="86" t="n">
        <x:f>I58*INDEX('Régions'!$AF$2:$AK$6,MATCH($B58,'Régions'!$A$2:$A$6,0),6)</x:f>
        <x:v>0</x:v>
      </x:c>
      <x:c r="AO58" s="84" t="str">
        <x:f>IF(MAX(Q58:V58)=Q58,"CAQ",IF(MAX(Q58:V58)=R58,"PLQ",IF(MAX(Q58:V58)=S58,"QS",IF(MAX(Q58:V58)=T58,"PQ",IF(MAX(Q58:V58)=U58,"PCQ","Autre")))))</x:f>
        <x:v>CAQ</x:v>
      </x:c>
      <x:c r="AP58" s="84" t="str">
        <x:f>IF(MAX(W58:AB58)=W58,"CAQ",IF(MAX(W58:AB58)=X58,"PLQ",IF(MAX(W58:AB58)=Y58,"QS",IF(MAX(W58:AB58)=Z58,"PQ",IF(MAX(W58:AB58)=AA58,"PCQ","Autre")))))</x:f>
        <x:v>CAQ</x:v>
      </x:c>
      <x:c r="AQ58" s="84" t="str">
        <x:f>IF(MAX(AC58:AH58)=AC58,"CAQ",IF(MAX(AC58:AH58)=AD58,"PLQ",IF(MAX(AC58:AH58)=AE58,"QS",IF(MAX(AC58:AH58)=AF58,"PQ",IF(MAX(AC58:AH58)=AG58,"PCQ","Autre")))))</x:f>
        <x:v>CAQ</x:v>
      </x:c>
      <x:c r="AR58" s="84" t="str">
        <x:f>IF(MAX(AI58:AN58)=AI58,"CAQ",IF(MAX(AI58:AN58)=AJ58,"PLQ",IF(MAX(AI58:AN58)=AK58,"QS",IF(MAX(AI58:AN58)=AL58,"PQ",IF(MAX(AI58:AN58)=AM58,"PCQ","Autre")))))</x:f>
        <x:v>CAQ</x:v>
      </x:c>
      <x:c r="AS58" s="88" t="n">
        <x:f>(MAX(K58:P58)-LARGE(K58:P58,2))*100</x:f>
        <x:v>15.517821701737484</x:v>
      </x:c>
      <x:c r="AT58" s="84" t="str">
        <x:f>IF(AS58&lt;5,"Oui","Non")</x:f>
        <x:v>Non</x:v>
      </x:c>
      <x:c r="AU58" s="89" t="n">
        <x:v>-9.180628138562835</x:v>
      </x:c>
      <x:c r="AV58" s="89" t="n">
        <x:v>3.302326618724247</x:v>
      </x:c>
      <x:c r="AW58" s="89" t="n">
        <x:v>-0.31988401482058726</x:v>
      </x:c>
      <x:c r="AX58" s="90" t="n">
        <x:v>-0.12369356942424636</x:v>
      </x:c>
    </x:row>
    <x:row r="59">
      <x:c r="A59" s="83" t="str">
        <x:v>La Pinière</x:v>
      </x:c>
      <x:c r="B59" s="84" t="str">
        <x:v>Banlieue de Montréal</x:v>
      </x:c>
      <x:c r="C59" s="84" t="str">
        <x:f>IF(MAX(D59:I59)=D59,"CAQ",IF(MAX(D59:I59)=E59,"PLQ",IF(MAX(D59:I59)=F59,"QS",IF(MAX(D59:I59)=G59,"PQ",IF(MAX(D59:I59)=H59,"PCQ","Autre")))))</x:f>
        <x:v>PLQ</x:v>
      </x:c>
      <x:c r="D59" s="85" t="n">
        <x:v>21580</x:v>
      </x:c>
      <x:c r="E59" s="85" t="n">
        <x:v>26656</x:v>
      </x:c>
      <x:c r="F59" s="85" t="n">
        <x:v>6935</x:v>
      </x:c>
      <x:c r="G59" s="85" t="n">
        <x:v>6246</x:v>
      </x:c>
      <x:c r="H59" s="85" t="n">
        <x:v>7807</x:v>
      </x:c>
      <x:c r="I59" s="85" t="n">
        <x:v>0</x:v>
      </x:c>
      <x:c r="J59" s="86" t="n">
        <x:f>SUM(D59:I59)</x:f>
        <x:v>69224</x:v>
      </x:c>
      <x:c r="K59" s="87" t="n">
        <x:f>IFERROR(D59/J59,0)</x:f>
        <x:v>0.31174159251126776</x:v>
      </x:c>
      <x:c r="L59" s="87" t="n">
        <x:f>IFERROR(E59/J59,0)</x:f>
        <x:v>0.3850687622789784</x:v>
      </x:c>
      <x:c r="M59" s="87" t="n">
        <x:f>IFERROR(F59/J59,0)</x:f>
        <x:v>0.10018201779729574</x:v>
      </x:c>
      <x:c r="N59" s="87" t="n">
        <x:f>IFERROR(G59/J59,0)</x:f>
        <x:v>0.09022882237374322</x:v>
      </x:c>
      <x:c r="O59" s="87" t="n">
        <x:f>IFERROR(H59/J59,0)</x:f>
        <x:v>0.1127788050387149</x:v>
      </x:c>
      <x:c r="P59" s="87" t="n">
        <x:f>IFERROR(I59/J59,0)</x:f>
        <x:v>0</x:v>
      </x:c>
      <x:c r="Q59" s="86" t="n">
        <x:f>D59*INDEX('Régions'!$T$2:$Y$6,MATCH($B59,'Régions'!$A$2:$A$6,0),1)</x:f>
        <x:v>15256.828812727632</x:v>
      </x:c>
      <x:c r="R59" s="86" t="n">
        <x:f>E59*INDEX('Régions'!$T$2:$Y$6,MATCH($B59,'Régions'!$A$2:$A$6,0),2)</x:f>
        <x:v>34099.94362293194</x:v>
      </x:c>
      <x:c r="S59" s="86" t="n">
        <x:f>F59*INDEX('Régions'!$T$2:$Y$6,MATCH($B59,'Régions'!$A$2:$A$6,0),3)</x:f>
        <x:v>3502.8943181365726</x:v>
      </x:c>
      <x:c r="T59" s="86" t="n">
        <x:f>G59*INDEX('Régions'!$T$2:$Y$6,MATCH($B59,'Régions'!$A$2:$A$6,0),4)</x:f>
        <x:v>11646.293519905856</x:v>
      </x:c>
      <x:c r="U59" s="86" t="n">
        <x:f>H59*INDEX('Régions'!$T$2:$Y$6,MATCH($B59,'Régions'!$A$2:$A$6,0),5)</x:f>
        <x:v>9136.808543866966</x:v>
      </x:c>
      <x:c r="V59" s="86" t="n">
        <x:f>I59*INDEX('Régions'!$T$2:$Y$6,MATCH($B59,'Régions'!$A$2:$A$6,0),6)</x:f>
        <x:v>0</x:v>
      </x:c>
      <x:c r="W59" s="86" t="n">
        <x:f>MAX(0,Q59+(AU59/100)*J59*'Régions'!$O$2)</x:f>
        <x:v>15032.374706331428</x:v>
      </x:c>
      <x:c r="X59" s="86" t="n">
        <x:f>MAX(0,R59+(AV59/100)*J59*'Régions'!$O$2)</x:f>
        <x:v>33368.27201526702</x:v>
      </x:c>
      <x:c r="Y59" s="86" t="n">
        <x:f>MAX(0,S59+(AW59/100)*J59*'Régions'!$O$2)</x:f>
        <x:v>3740.077269440506</x:v>
      </x:c>
      <x:c r="Z59" s="86" t="n">
        <x:f>MAX(0,T59+(AX59/100)*J59*'Régions'!$O$2)</x:f>
        <x:v>12677.34269764383</x:v>
      </x:c>
      <x:c r="AA59" s="86" t="n">
        <x:f>U59</x:f>
        <x:v>9136.808543866966</x:v>
      </x:c>
      <x:c r="AB59" s="86" t="n">
        <x:f>V59</x:f>
        <x:v>0</x:v>
      </x:c>
      <x:c r="AC59" s="86" t="n">
        <x:f>D59*INDEX('Régions'!$Z$2:$AE$6,MATCH($B59,'Régions'!$A$2:$A$6,0),1)</x:f>
        <x:v>16830.18928404017</x:v>
      </x:c>
      <x:c r="AD59" s="86" t="n">
        <x:f>E59*INDEX('Régions'!$Z$2:$AE$6,MATCH($B59,'Régions'!$A$2:$A$6,0),2)</x:f>
        <x:v>40351.59995380279</x:v>
      </x:c>
      <x:c r="AE59" s="86" t="n">
        <x:f>F59*INDEX('Régions'!$Z$2:$AE$6,MATCH($B59,'Régions'!$A$2:$A$6,0),3)</x:f>
        <x:v>5154.258782400957</x:v>
      </x:c>
      <x:c r="AF59" s="86" t="n">
        <x:f>G59*INDEX('Régions'!$Z$2:$AE$6,MATCH($B59,'Régions'!$A$2:$A$6,0),4)</x:f>
        <x:v>12927.385807095498</x:v>
      </x:c>
      <x:c r="AG59" s="86" t="n">
        <x:f>H59*INDEX('Régions'!$Z$2:$AE$6,MATCH($B59,'Régions'!$A$2:$A$6,0),5)</x:f>
        <x:v>11649.430893430383</x:v>
      </x:c>
      <x:c r="AH59" s="86" t="n">
        <x:f>I59*INDEX('Régions'!$Z$2:$AE$6,MATCH($B59,'Régions'!$A$2:$A$6,0),6)</x:f>
        <x:v>0</x:v>
      </x:c>
      <x:c r="AI59" s="86" t="n">
        <x:f>D59*INDEX('Régions'!$AF$2:$AK$6,MATCH($B59,'Régions'!$A$2:$A$6,0),1)</x:f>
        <x:v>13683.468341415095</x:v>
      </x:c>
      <x:c r="AJ59" s="86" t="n">
        <x:f>E59*INDEX('Régions'!$AF$2:$AK$6,MATCH($B59,'Régions'!$A$2:$A$6,0),2)</x:f>
        <x:v>27848.287292061083</x:v>
      </x:c>
      <x:c r="AK59" s="86" t="n">
        <x:f>F59*INDEX('Régions'!$AF$2:$AK$6,MATCH($B59,'Régions'!$A$2:$A$6,0),3)</x:f>
        <x:v>1851.5298538721884</x:v>
      </x:c>
      <x:c r="AL59" s="86" t="n">
        <x:f>G59*INDEX('Régions'!$AF$2:$AK$6,MATCH($B59,'Régions'!$A$2:$A$6,0),4)</x:f>
        <x:v>10365.201232716212</x:v>
      </x:c>
      <x:c r="AM59" s="86" t="n">
        <x:f>H59*INDEX('Régions'!$AF$2:$AK$6,MATCH($B59,'Régions'!$A$2:$A$6,0),5)</x:f>
        <x:v>6624.18619430355</x:v>
      </x:c>
      <x:c r="AN59" s="86" t="n">
        <x:f>I59*INDEX('Régions'!$AF$2:$AK$6,MATCH($B59,'Régions'!$A$2:$A$6,0),6)</x:f>
        <x:v>0</x:v>
      </x:c>
      <x:c r="AO59" s="84" t="str">
        <x:f>IF(MAX(Q59:V59)=Q59,"CAQ",IF(MAX(Q59:V59)=R59,"PLQ",IF(MAX(Q59:V59)=S59,"QS",IF(MAX(Q59:V59)=T59,"PQ",IF(MAX(Q59:V59)=U59,"PCQ","Autre")))))</x:f>
        <x:v>PLQ</x:v>
      </x:c>
      <x:c r="AP59" s="84" t="str">
        <x:f>IF(MAX(W59:AB59)=W59,"CAQ",IF(MAX(W59:AB59)=X59,"PLQ",IF(MAX(W59:AB59)=Y59,"QS",IF(MAX(W59:AB59)=Z59,"PQ",IF(MAX(W59:AB59)=AA59,"PCQ","Autre")))))</x:f>
        <x:v>PLQ</x:v>
      </x:c>
      <x:c r="AQ59" s="84" t="str">
        <x:f>IF(MAX(AC59:AH59)=AC59,"CAQ",IF(MAX(AC59:AH59)=AD59,"PLQ",IF(MAX(AC59:AH59)=AE59,"QS",IF(MAX(AC59:AH59)=AF59,"PQ",IF(MAX(AC59:AH59)=AG59,"PCQ","Autre")))))</x:f>
        <x:v>PLQ</x:v>
      </x:c>
      <x:c r="AR59" s="84" t="str">
        <x:f>IF(MAX(AI59:AN59)=AI59,"CAQ",IF(MAX(AI59:AN59)=AJ59,"PLQ",IF(MAX(AI59:AN59)=AK59,"QS",IF(MAX(AI59:AN59)=AL59,"PQ",IF(MAX(AI59:AN59)=AM59,"PCQ","Autre")))))</x:f>
        <x:v>PLQ</x:v>
      </x:c>
      <x:c r="AS59" s="88" t="n">
        <x:f>(MAX(K59:P59)-LARGE(K59:P59,2))*100</x:f>
        <x:v>7.3327169767710645</x:v>
      </x:c>
      <x:c r="AT59" s="84" t="str">
        <x:f>IF(AS59&lt;5,"Oui","Non")</x:f>
        <x:v>Non</x:v>
      </x:c>
      <x:c r="AU59" s="89" t="n">
        <x:v>-0.6484863815907904</x:v>
      </x:c>
      <x:c r="AV59" s="89" t="n">
        <x:v>-2.113924672555531</x:v>
      </x:c>
      <x:c r="AW59" s="89" t="n">
        <x:v>0.6852621960705338</x:v>
      </x:c>
      <x:c r="AX59" s="90" t="n">
        <x:v>2.9788777815150045</x:v>
      </x:c>
    </x:row>
    <x:row r="60">
      <x:c r="A60" s="83" t="str">
        <x:v>La Prairie</x:v>
      </x:c>
      <x:c r="B60" s="84" t="str">
        <x:v>Banlieue de Montréal</x:v>
      </x:c>
      <x:c r="C60" s="84" t="str">
        <x:f>IF(MAX(D60:I60)=D60,"CAQ",IF(MAX(D60:I60)=E60,"PLQ",IF(MAX(D60:I60)=F60,"QS",IF(MAX(D60:I60)=G60,"PQ",IF(MAX(D60:I60)=H60,"PCQ","Autre")))))</x:f>
        <x:v>CAQ</x:v>
      </x:c>
      <x:c r="D60" s="85" t="n">
        <x:v>38515</x:v>
      </x:c>
      <x:c r="E60" s="85" t="n">
        <x:v>10121</x:v>
      </x:c>
      <x:c r="F60" s="85" t="n">
        <x:v>9574</x:v>
      </x:c>
      <x:c r="G60" s="85" t="n">
        <x:v>8349</x:v>
      </x:c>
      <x:c r="H60" s="85" t="n">
        <x:v>5814</x:v>
      </x:c>
      <x:c r="I60" s="85" t="n">
        <x:v>699</x:v>
      </x:c>
      <x:c r="J60" s="86" t="n">
        <x:f>SUM(D60:I60)</x:f>
        <x:v>73072</x:v>
      </x:c>
      <x:c r="K60" s="87" t="n">
        <x:f>IFERROR(D60/J60,0)</x:f>
        <x:v>0.5270828771622509</x:v>
      </x:c>
      <x:c r="L60" s="87" t="n">
        <x:f>IFERROR(E60/J60,0)</x:f>
        <x:v>0.13850722574994526</x:v>
      </x:c>
      <x:c r="M60" s="87" t="n">
        <x:f>IFERROR(F60/J60,0)</x:f>
        <x:v>0.13102145828771622</x:v>
      </x:c>
      <x:c r="N60" s="87" t="n">
        <x:f>IFERROR(G60/J60,0)</x:f>
        <x:v>0.11425717100941538</x:v>
      </x:c>
      <x:c r="O60" s="87" t="n">
        <x:f>IFERROR(H60/J60,0)</x:f>
        <x:v>0.07956536019268666</x:v>
      </x:c>
      <x:c r="P60" s="87" t="n">
        <x:f>IFERROR(I60/J60,0)</x:f>
        <x:v>0.009565907597985548</x:v>
      </x:c>
      <x:c r="Q60" s="86" t="n">
        <x:f>D60*INDEX('Régions'!$T$2:$Y$6,MATCH($B60,'Régions'!$A$2:$A$6,0),1)</x:f>
        <x:v>27229.692387497904</x:v>
      </x:c>
      <x:c r="R60" s="86" t="n">
        <x:f>E60*INDEX('Régions'!$T$2:$Y$6,MATCH($B60,'Régions'!$A$2:$A$6,0),2)</x:f>
        <x:v>12947.386307311455</x:v>
      </x:c>
      <x:c r="S60" s="86" t="n">
        <x:f>F60*INDEX('Régions'!$T$2:$Y$6,MATCH($B60,'Régions'!$A$2:$A$6,0),3)</x:f>
        <x:v>4835.8630428031065</x:v>
      </x:c>
      <x:c r="T60" s="86" t="n">
        <x:f>G60*INDEX('Régions'!$T$2:$Y$6,MATCH($B60,'Régions'!$A$2:$A$6,0),4)</x:f>
        <x:v>15567.54796632949</x:v>
      </x:c>
      <x:c r="U60" s="86" t="n">
        <x:f>H60*INDEX('Régions'!$T$2:$Y$6,MATCH($B60,'Régions'!$A$2:$A$6,0),5)</x:f>
        <x:v>6804.330072248308</x:v>
      </x:c>
      <x:c r="V60" s="86" t="n">
        <x:f>I60*INDEX('Régions'!$T$2:$Y$6,MATCH($B60,'Régions'!$A$2:$A$6,0),6)</x:f>
        <x:v>1500.7843139577933</x:v>
      </x:c>
      <x:c r="W60" s="86" t="n">
        <x:f>MAX(0,Q60+(AU60/100)*J60*'Régions'!$O$2)</x:f>
        <x:v>29631.44892851055</x:v>
      </x:c>
      <x:c r="X60" s="86" t="n">
        <x:f>MAX(0,R60+(AV60/100)*J60*'Régions'!$O$2)</x:f>
        <x:v>11600.913667997684</x:v>
      </x:c>
      <x:c r="Y60" s="86" t="n">
        <x:f>MAX(0,S60+(AW60/100)*J60*'Régions'!$O$2)</x:f>
        <x:v>5141.087288963215</x:v>
      </x:c>
      <x:c r="Z60" s="86" t="n">
        <x:f>MAX(0,T60+(AX60/100)*J60*'Régions'!$O$2)</x:f>
        <x:v>14927.083926335292</x:v>
      </x:c>
      <x:c r="AA60" s="86" t="n">
        <x:f>U60</x:f>
        <x:v>6804.330072248308</x:v>
      </x:c>
      <x:c r="AB60" s="86" t="n">
        <x:f>V60</x:f>
        <x:v>1500.7843139577933</x:v>
      </x:c>
      <x:c r="AC60" s="86" t="n">
        <x:f>D60*INDEX('Régions'!$Z$2:$AE$6,MATCH($B60,'Régions'!$A$2:$A$6,0),1)</x:f>
        <x:v>30037.754414958625</x:v>
      </x:c>
      <x:c r="AD60" s="86" t="n">
        <x:f>E60*INDEX('Régions'!$Z$2:$AE$6,MATCH($B60,'Régions'!$A$2:$A$6,0),2)</x:f>
        <x:v>15321.073796985222</x:v>
      </x:c>
      <x:c r="AE60" s="86" t="n">
        <x:f>F60*INDEX('Régions'!$Z$2:$AE$6,MATCH($B60,'Régions'!$A$2:$A$6,0),3)</x:f>
        <x:v>7115.627048696</x:v>
      </x:c>
      <x:c r="AF60" s="86" t="n">
        <x:f>G60*INDEX('Régions'!$Z$2:$AE$6,MATCH($B60,'Régions'!$A$2:$A$6,0),4)</x:f>
        <x:v>17279.97824262573</x:v>
      </x:c>
      <x:c r="AG60" s="86" t="n">
        <x:f>H60*INDEX('Régions'!$Z$2:$AE$6,MATCH($B60,'Régions'!$A$2:$A$6,0),5)</x:f>
        <x:v>8675.520842116593</x:v>
      </x:c>
      <x:c r="AH60" s="86" t="n">
        <x:f>I60*INDEX('Régions'!$Z$2:$AE$6,MATCH($B60,'Régions'!$A$2:$A$6,0),6)</x:f>
        <x:v>6453.372550018511</x:v>
      </x:c>
      <x:c r="AI60" s="86" t="n">
        <x:f>D60*INDEX('Régions'!$AF$2:$AK$6,MATCH($B60,'Régions'!$A$2:$A$6,0),1)</x:f>
        <x:v>24421.630360037183</x:v>
      </x:c>
      <x:c r="AJ60" s="86" t="n">
        <x:f>E60*INDEX('Régions'!$AF$2:$AK$6,MATCH($B60,'Régions'!$A$2:$A$6,0),2)</x:f>
        <x:v>10573.698817637689</x:v>
      </x:c>
      <x:c r="AK60" s="86" t="n">
        <x:f>F60*INDEX('Régions'!$AF$2:$AK$6,MATCH($B60,'Régions'!$A$2:$A$6,0),3)</x:f>
        <x:v>2556.0990369102137</x:v>
      </x:c>
      <x:c r="AL60" s="86" t="n">
        <x:f>G60*INDEX('Régions'!$AF$2:$AK$6,MATCH($B60,'Régions'!$A$2:$A$6,0),4)</x:f>
        <x:v>13855.117690033247</x:v>
      </x:c>
      <x:c r="AM60" s="86" t="n">
        <x:f>H60*INDEX('Régions'!$AF$2:$AK$6,MATCH($B60,'Régions'!$A$2:$A$6,0),5)</x:f>
        <x:v>4933.139302380023</x:v>
      </x:c>
      <x:c r="AN60" s="86" t="n">
        <x:f>I60*INDEX('Régions'!$AF$2:$AK$6,MATCH($B60,'Régions'!$A$2:$A$6,0),6)</x:f>
        <x:v>0</x:v>
      </x:c>
      <x:c r="AO60" s="84" t="str">
        <x:f>IF(MAX(Q60:V60)=Q60,"CAQ",IF(MAX(Q60:V60)=R60,"PLQ",IF(MAX(Q60:V60)=S60,"QS",IF(MAX(Q60:V60)=T60,"PQ",IF(MAX(Q60:V60)=U60,"PCQ","Autre")))))</x:f>
        <x:v>CAQ</x:v>
      </x:c>
      <x:c r="AP60" s="84" t="str">
        <x:f>IF(MAX(W60:AB60)=W60,"CAQ",IF(MAX(W60:AB60)=X60,"PLQ",IF(MAX(W60:AB60)=Y60,"QS",IF(MAX(W60:AB60)=Z60,"PQ",IF(MAX(W60:AB60)=AA60,"PCQ","Autre")))))</x:f>
        <x:v>CAQ</x:v>
      </x:c>
      <x:c r="AQ60" s="84" t="str">
        <x:f>IF(MAX(AC60:AH60)=AC60,"CAQ",IF(MAX(AC60:AH60)=AD60,"PLQ",IF(MAX(AC60:AH60)=AE60,"QS",IF(MAX(AC60:AH60)=AF60,"PQ",IF(MAX(AC60:AH60)=AG60,"PCQ","Autre")))))</x:f>
        <x:v>CAQ</x:v>
      </x:c>
      <x:c r="AR60" s="84" t="str">
        <x:f>IF(MAX(AI60:AN60)=AI60,"CAQ",IF(MAX(AI60:AN60)=AJ60,"PLQ",IF(MAX(AI60:AN60)=AK60,"QS",IF(MAX(AI60:AN60)=AL60,"PQ",IF(MAX(AI60:AN60)=AM60,"PCQ","Autre")))))</x:f>
        <x:v>CAQ</x:v>
      </x:c>
      <x:c r="AS60" s="88" t="n">
        <x:f>(MAX(K60:P60)-LARGE(K60:P60,2))*100</x:f>
        <x:v>38.857565141230566</x:v>
      </x:c>
      <x:c r="AT60" s="84" t="str">
        <x:f>IF(AS60&lt;5,"Oui","Non")</x:f>
        <x:v>Non</x:v>
      </x:c>
      <x:c r="AU60" s="89" t="n">
        <x:v>6.5736712858896595</x:v>
      </x:c>
      <x:c r="AV60" s="89" t="n">
        <x:v>-3.6853312878086575</x:v>
      </x:c>
      <x:c r="AW60" s="89" t="n">
        <x:v>0.8354068484785093</x:v>
      </x:c>
      <x:c r="AX60" s="90" t="n">
        <x:v>-1.7529670461851277</x:v>
      </x:c>
    </x:row>
    <x:row r="61">
      <x:c r="A61" s="83" t="str">
        <x:v>L'Assomption</x:v>
      </x:c>
      <x:c r="B61" s="84" t="str">
        <x:v>Banlieue de Montréal</x:v>
      </x:c>
      <x:c r="C61" s="84" t="str">
        <x:f>IF(MAX(D61:I61)=D61,"CAQ",IF(MAX(D61:I61)=E61,"PLQ",IF(MAX(D61:I61)=F61,"QS",IF(MAX(D61:I61)=G61,"PQ",IF(MAX(D61:I61)=H61,"PCQ","Autre")))))</x:f>
        <x:v>CAQ</x:v>
      </x:c>
      <x:c r="D61" s="85" t="n">
        <x:v>44594</x:v>
      </x:c>
      <x:c r="E61" s="85" t="n">
        <x:v>4117</x:v>
      </x:c>
      <x:c r="F61" s="85" t="n">
        <x:v>11168</x:v>
      </x:c>
      <x:c r="G61" s="85" t="n">
        <x:v>12184</x:v>
      </x:c>
      <x:c r="H61" s="85" t="n">
        <x:v>6524</x:v>
      </x:c>
      <x:c r="I61" s="85" t="n">
        <x:v>134</x:v>
      </x:c>
      <x:c r="J61" s="86" t="n">
        <x:f>SUM(D61:I61)</x:f>
        <x:v>78721</x:v>
      </x:c>
      <x:c r="K61" s="87" t="n">
        <x:f>IFERROR(D61/J61,0)</x:f>
        <x:v>0.5664816249793575</x:v>
      </x:c>
      <x:c r="L61" s="87" t="n">
        <x:f>IFERROR(E61/J61,0)</x:f>
        <x:v>0.05229862425528131</x:v>
      </x:c>
      <x:c r="M61" s="87" t="n">
        <x:f>IFERROR(F61/J61,0)</x:f>
        <x:v>0.14186811651274756</x:v>
      </x:c>
      <x:c r="N61" s="87" t="n">
        <x:f>IFERROR(G61/J61,0)</x:f>
        <x:v>0.15477445662529693</x:v>
      </x:c>
      <x:c r="O61" s="87" t="n">
        <x:f>IFERROR(H61/J61,0)</x:f>
        <x:v>0.08287496347861435</x:v>
      </x:c>
      <x:c r="P61" s="87" t="n">
        <x:f>IFERROR(I61/J61,0)</x:f>
        <x:v>0.0017022141487023793</x:v>
      </x:c>
      <x:c r="Q61" s="86" t="n">
        <x:f>D61*INDEX('Régions'!$T$2:$Y$6,MATCH($B61,'Régions'!$A$2:$A$6,0),1)</x:f>
        <x:v>31527.4802629646</x:v>
      </x:c>
      <x:c r="R61" s="86" t="n">
        <x:f>E61*INDEX('Régions'!$T$2:$Y$6,MATCH($B61,'Régions'!$A$2:$A$6,0),2)</x:f>
        <x:v>5266.711730777716</x:v>
      </x:c>
      <x:c r="S61" s="86" t="n">
        <x:f>F61*INDEX('Régions'!$T$2:$Y$6,MATCH($B61,'Régions'!$A$2:$A$6,0),3)</x:f>
        <x:v>5640.9983770655</x:v>
      </x:c>
      <x:c r="T61" s="86" t="n">
        <x:f>G61*INDEX('Régions'!$T$2:$Y$6,MATCH($B61,'Régions'!$A$2:$A$6,0),4)</x:f>
        <x:v>22718.290145138162</x:v>
      </x:c>
      <x:c r="U61" s="86" t="n">
        <x:f>H61*INDEX('Régions'!$T$2:$Y$6,MATCH($B61,'Régions'!$A$2:$A$6,0),5)</x:f>
        <x:v>7635.268213166144</x:v>
      </x:c>
      <x:c r="V61" s="86" t="n">
        <x:f>I61*INDEX('Régions'!$T$2:$Y$6,MATCH($B61,'Régions'!$A$2:$A$6,0),6)</x:f>
        <x:v>287.70400296186597</x:v>
      </x:c>
      <x:c r="W61" s="86" t="n">
        <x:f>MAX(0,Q61+(AU61/100)*J61*'Régions'!$O$2)</x:f>
        <x:v>31360.620315629014</x:v>
      </x:c>
      <x:c r="X61" s="86" t="n">
        <x:f>MAX(0,R61+(AV61/100)*J61*'Régions'!$O$2)</x:f>
        <x:v>6628.184976286402</x:v>
      </x:c>
      <x:c r="Y61" s="86" t="n">
        <x:f>MAX(0,S61+(AW61/100)*J61*'Régions'!$O$2)</x:f>
        <x:v>4998.48022532708</x:v>
      </x:c>
      <x:c r="Z61" s="86" t="n">
        <x:f>MAX(0,T61+(AX61/100)*J61*'Régions'!$O$2)</x:f>
        <x:v>22467.40723333184</x:v>
      </x:c>
      <x:c r="AA61" s="86" t="n">
        <x:f>U61</x:f>
        <x:v>7635.268213166144</x:v>
      </x:c>
      <x:c r="AB61" s="86" t="n">
        <x:f>V61</x:f>
        <x:v>287.70400296186597</x:v>
      </x:c>
      <x:c r="AC61" s="86" t="n">
        <x:f>D61*INDEX('Régions'!$Z$2:$AE$6,MATCH($B61,'Régions'!$A$2:$A$6,0),1)</x:f>
        <x:v>34778.751665082826</x:v>
      </x:c>
      <x:c r="AD61" s="86" t="n">
        <x:f>E61*INDEX('Régions'!$Z$2:$AE$6,MATCH($B61,'Régions'!$A$2:$A$6,0),2)</x:f>
        <x:v>6232.275548086964</x:v>
      </x:c>
      <x:c r="AE61" s="86" t="n">
        <x:f>F61*INDEX('Régions'!$Z$2:$AE$6,MATCH($B61,'Régions'!$A$2:$A$6,0),3)</x:f>
        <x:v>8300.326183396379</x:v>
      </x:c>
      <x:c r="AF61" s="86" t="n">
        <x:f>G61*INDEX('Régions'!$Z$2:$AE$6,MATCH($B61,'Régions'!$A$2:$A$6,0),4)</x:f>
        <x:v>25217.302061103353</x:v>
      </x:c>
      <x:c r="AG61" s="86" t="n">
        <x:f>H61*INDEX('Régions'!$Z$2:$AE$6,MATCH($B61,'Régions'!$A$2:$A$6,0),5)</x:f>
        <x:v>9734.966971786835</x:v>
      </x:c>
      <x:c r="AH61" s="86" t="n">
        <x:f>I61*INDEX('Régions'!$Z$2:$AE$6,MATCH($B61,'Régions'!$A$2:$A$6,0),6)</x:f>
        <x:v>1237.1272127360237</x:v>
      </x:c>
      <x:c r="AI61" s="86" t="n">
        <x:f>D61*INDEX('Régions'!$AF$2:$AK$6,MATCH($B61,'Régions'!$A$2:$A$6,0),1)</x:f>
        <x:v>28276.208860846375</x:v>
      </x:c>
      <x:c r="AJ61" s="86" t="n">
        <x:f>E61*INDEX('Régions'!$AF$2:$AK$6,MATCH($B61,'Régions'!$A$2:$A$6,0),2)</x:f>
        <x:v>4301.147913468468</x:v>
      </x:c>
      <x:c r="AK61" s="86" t="n">
        <x:f>F61*INDEX('Régions'!$AF$2:$AK$6,MATCH($B61,'Régions'!$A$2:$A$6,0),3)</x:f>
        <x:v>2981.6705707346214</x:v>
      </x:c>
      <x:c r="AL61" s="86" t="n">
        <x:f>G61*INDEX('Régions'!$AF$2:$AK$6,MATCH($B61,'Régions'!$A$2:$A$6,0),4)</x:f>
        <x:v>20219.278229172964</x:v>
      </x:c>
      <x:c r="AM61" s="86" t="n">
        <x:f>H61*INDEX('Régions'!$AF$2:$AK$6,MATCH($B61,'Régions'!$A$2:$A$6,0),5)</x:f>
        <x:v>5535.569454545454</x:v>
      </x:c>
      <x:c r="AN61" s="86" t="n">
        <x:f>I61*INDEX('Régions'!$AF$2:$AK$6,MATCH($B61,'Régions'!$A$2:$A$6,0),6)</x:f>
        <x:v>0</x:v>
      </x:c>
      <x:c r="AO61" s="84" t="str">
        <x:f>IF(MAX(Q61:V61)=Q61,"CAQ",IF(MAX(Q61:V61)=R61,"PLQ",IF(MAX(Q61:V61)=S61,"QS",IF(MAX(Q61:V61)=T61,"PQ",IF(MAX(Q61:V61)=U61,"PCQ","Autre")))))</x:f>
        <x:v>CAQ</x:v>
      </x:c>
      <x:c r="AP61" s="84" t="str">
        <x:f>IF(MAX(W61:AB61)=W61,"CAQ",IF(MAX(W61:AB61)=X61,"PLQ",IF(MAX(W61:AB61)=Y61,"QS",IF(MAX(W61:AB61)=Z61,"PQ",IF(MAX(W61:AB61)=AA61,"PCQ","Autre")))))</x:f>
        <x:v>CAQ</x:v>
      </x:c>
      <x:c r="AQ61" s="84" t="str">
        <x:f>IF(MAX(AC61:AH61)=AC61,"CAQ",IF(MAX(AC61:AH61)=AD61,"PLQ",IF(MAX(AC61:AH61)=AE61,"QS",IF(MAX(AC61:AH61)=AF61,"PQ",IF(MAX(AC61:AH61)=AG61,"PCQ","Autre")))))</x:f>
        <x:v>CAQ</x:v>
      </x:c>
      <x:c r="AR61" s="84" t="str">
        <x:f>IF(MAX(AI61:AN61)=AI61,"CAQ",IF(MAX(AI61:AN61)=AJ61,"PLQ",IF(MAX(AI61:AN61)=AK61,"QS",IF(MAX(AI61:AN61)=AL61,"PQ",IF(MAX(AI61:AN61)=AM61,"PCQ","Autre")))))</x:f>
        <x:v>CAQ</x:v>
      </x:c>
      <x:c r="AS61" s="88" t="n">
        <x:f>(MAX(K61:P61)-LARGE(K61:P61,2))*100</x:f>
        <x:v>41.170716835406054</x:v>
      </x:c>
      <x:c r="AT61" s="84" t="str">
        <x:f>IF(AS61&lt;5,"Oui","Non")</x:f>
        <x:v>Non</x:v>
      </x:c>
      <x:c r="AU61" s="89" t="n">
        <x:v>-0.4239274077706967</x:v>
      </x:c>
      <x:c r="AV61" s="89" t="n">
        <x:v>3.4589836143054233</x:v>
      </x:c>
      <x:c r="AW61" s="89" t="n">
        <x:v>-1.632393266697374</x:v>
      </x:c>
      <x:c r="AX61" s="90" t="n">
        <x:v>-0.6373976748423493</x:v>
      </x:c>
    </x:row>
    <x:row r="62">
      <x:c r="A62" s="83" t="str">
        <x:v>Laurier-Dorion</x:v>
      </x:c>
      <x:c r="B62" s="84" t="str">
        <x:v>Île de Montréal</x:v>
      </x:c>
      <x:c r="C62" s="84" t="str">
        <x:f>IF(MAX(D62:I62)=D62,"CAQ",IF(MAX(D62:I62)=E62,"PLQ",IF(MAX(D62:I62)=F62,"QS",IF(MAX(D62:I62)=G62,"PQ",IF(MAX(D62:I62)=H62,"PCQ","Autre")))))</x:f>
        <x:v>QS</x:v>
      </x:c>
      <x:c r="D62" s="85" t="n">
        <x:v>6263</x:v>
      </x:c>
      <x:c r="E62" s="85" t="n">
        <x:v>10450</x:v>
      </x:c>
      <x:c r="F62" s="85" t="n">
        <x:v>26051</x:v>
      </x:c>
      <x:c r="G62" s="85" t="n">
        <x:v>6124</x:v>
      </x:c>
      <x:c r="H62" s="85" t="n">
        <x:v>2956</x:v>
      </x:c>
      <x:c r="I62" s="85" t="n">
        <x:v>1543</x:v>
      </x:c>
      <x:c r="J62" s="86" t="n">
        <x:f>SUM(D62:I62)</x:f>
        <x:v>53387</x:v>
      </x:c>
      <x:c r="K62" s="87" t="n">
        <x:f>IFERROR(D62/J62,0)</x:f>
        <x:v>0.11731320358888868</x:v>
      </x:c>
      <x:c r="L62" s="87" t="n">
        <x:f>IFERROR(E62/J62,0)</x:f>
        <x:v>0.1957405360855639</x:v>
      </x:c>
      <x:c r="M62" s="87" t="n">
        <x:f>IFERROR(F62/J62,0)</x:f>
        <x:v>0.48796523498229905</x:v>
      </x:c>
      <x:c r="N62" s="87" t="n">
        <x:f>IFERROR(G62/J62,0)</x:f>
        <x:v>0.114709573491674</x:v>
      </x:c>
      <x:c r="O62" s="87" t="n">
        <x:f>IFERROR(H62/J62,0)</x:f>
        <x:v>0.055369284657313576</x:v>
      </x:c>
      <x:c r="P62" s="87" t="n">
        <x:f>IFERROR(I62/J62,0)</x:f>
        <x:v>0.028902167194260774</x:v>
      </x:c>
      <x:c r="Q62" s="86" t="n">
        <x:f>D62*INDEX('Régions'!$T$2:$Y$6,MATCH($B62,'Régions'!$A$2:$A$6,0),1)</x:f>
        <x:v>4690.909106385947</x:v>
      </x:c>
      <x:c r="R62" s="86" t="n">
        <x:f>E62*INDEX('Régions'!$T$2:$Y$6,MATCH($B62,'Régions'!$A$2:$A$6,0),2)</x:f>
        <x:v>10412.453864946885</x:v>
      </x:c>
      <x:c r="S62" s="86" t="n">
        <x:f>F62*INDEX('Régions'!$T$2:$Y$6,MATCH($B62,'Régions'!$A$2:$A$6,0),3)</x:f>
        <x:v>20079.74638867618</x:v>
      </x:c>
      <x:c r="T62" s="86" t="n">
        <x:f>G62*INDEX('Régions'!$T$2:$Y$6,MATCH($B62,'Régions'!$A$2:$A$6,0),4)</x:f>
        <x:v>11847.609978913752</x:v>
      </x:c>
      <x:c r="U62" s="86" t="n">
        <x:f>H62*INDEX('Régions'!$T$2:$Y$6,MATCH($B62,'Régions'!$A$2:$A$6,0),5)</x:f>
        <x:v>2356.1175529000957</x:v>
      </x:c>
      <x:c r="V62" s="86" t="n">
        <x:f>I62*INDEX('Régions'!$T$2:$Y$6,MATCH($B62,'Régions'!$A$2:$A$6,0),6)</x:f>
        <x:v>2281.588750880158</x:v>
      </x:c>
      <x:c r="W62" s="86" t="n">
        <x:f>MAX(0,Q62+(AU62/100)*J62*'Régions'!$O$2)</x:f>
        <x:v>4967.77854199409</x:v>
      </x:c>
      <x:c r="X62" s="86" t="n">
        <x:f>MAX(0,R62+(AV62/100)*J62*'Régions'!$O$2)</x:f>
        <x:v>9886.247250552196</x:v>
      </x:c>
      <x:c r="Y62" s="86" t="n">
        <x:f>MAX(0,S62+(AW62/100)*J62*'Régions'!$O$2)</x:f>
        <x:v>20355.08212163866</x:v>
      </x:c>
      <x:c r="Z62" s="86" t="n">
        <x:f>MAX(0,T62+(AX62/100)*J62*'Régions'!$O$2)</x:f>
        <x:v>12961.701106386749</x:v>
      </x:c>
      <x:c r="AA62" s="86" t="n">
        <x:f>U62</x:f>
        <x:v>2356.1175529000957</x:v>
      </x:c>
      <x:c r="AB62" s="86" t="n">
        <x:f>V62</x:f>
        <x:v>2281.588750880158</x:v>
      </x:c>
      <x:c r="AC62" s="86" t="n">
        <x:f>D62*INDEX('Régions'!$Z$2:$AE$6,MATCH($B62,'Régions'!$A$2:$A$6,0),1)</x:f>
        <x:v>5722.909109790855</x:v>
      </x:c>
      <x:c r="AD62" s="86" t="n">
        <x:f>E62*INDEX('Régions'!$Z$2:$AE$6,MATCH($B62,'Régions'!$A$2:$A$6,0),2)</x:f>
        <x:v>11423.074387132907</x:v>
      </x:c>
      <x:c r="AE62" s="86" t="n">
        <x:f>F62*INDEX('Régions'!$Z$2:$AE$6,MATCH($B62,'Régions'!$A$2:$A$6,0),3)</x:f>
        <x:v>23977.57951118391</x:v>
      </x:c>
      <x:c r="AF62" s="86" t="n">
        <x:f>G62*INDEX('Régions'!$Z$2:$AE$6,MATCH($B62,'Régions'!$A$2:$A$6,0),4)</x:f>
        <x:v>13476.656351014391</x:v>
      </x:c>
      <x:c r="AG62" s="86" t="n">
        <x:f>H62*INDEX('Régions'!$Z$2:$AE$6,MATCH($B62,'Régions'!$A$2:$A$6,0),5)</x:f>
        <x:v>3328.0160434713853</x:v>
      </x:c>
      <x:c r="AH62" s="86" t="n">
        <x:f>I62*INDEX('Régions'!$Z$2:$AE$6,MATCH($B62,'Régions'!$A$2:$A$6,0),6)</x:f>
        <x:v>6046.210189832418</x:v>
      </x:c>
      <x:c r="AI62" s="86" t="n">
        <x:f>D62*INDEX('Régions'!$AF$2:$AK$6,MATCH($B62,'Régions'!$A$2:$A$6,0),1)</x:f>
        <x:v>3658.909102981039</x:v>
      </x:c>
      <x:c r="AJ62" s="86" t="n">
        <x:f>E62*INDEX('Régions'!$AF$2:$AK$6,MATCH($B62,'Régions'!$A$2:$A$6,0),2)</x:f>
        <x:v>9401.833342760865</x:v>
      </x:c>
      <x:c r="AK62" s="86" t="n">
        <x:f>F62*INDEX('Régions'!$AF$2:$AK$6,MATCH($B62,'Régions'!$A$2:$A$6,0),3)</x:f>
        <x:v>16181.91326616845</x:v>
      </x:c>
      <x:c r="AL62" s="86" t="n">
        <x:f>G62*INDEX('Régions'!$AF$2:$AK$6,MATCH($B62,'Régions'!$A$2:$A$6,0),4)</x:f>
        <x:v>10218.56360681311</x:v>
      </x:c>
      <x:c r="AM62" s="86" t="n">
        <x:f>H62*INDEX('Régions'!$AF$2:$AK$6,MATCH($B62,'Régions'!$A$2:$A$6,0),5)</x:f>
        <x:v>1384.2190623288063</x:v>
      </x:c>
      <x:c r="AN62" s="86" t="n">
        <x:f>I62*INDEX('Régions'!$AF$2:$AK$6,MATCH($B62,'Régions'!$A$2:$A$6,0),6)</x:f>
        <x:v>0</x:v>
      </x:c>
      <x:c r="AO62" s="84" t="str">
        <x:f>IF(MAX(Q62:V62)=Q62,"CAQ",IF(MAX(Q62:V62)=R62,"PLQ",IF(MAX(Q62:V62)=S62,"QS",IF(MAX(Q62:V62)=T62,"PQ",IF(MAX(Q62:V62)=U62,"PCQ","Autre")))))</x:f>
        <x:v>QS</x:v>
      </x:c>
      <x:c r="AP62" s="84" t="str">
        <x:f>IF(MAX(W62:AB62)=W62,"CAQ",IF(MAX(W62:AB62)=X62,"PLQ",IF(MAX(W62:AB62)=Y62,"QS",IF(MAX(W62:AB62)=Z62,"PQ",IF(MAX(W62:AB62)=AA62,"PCQ","Autre")))))</x:f>
        <x:v>QS</x:v>
      </x:c>
      <x:c r="AQ62" s="84" t="str">
        <x:f>IF(MAX(AC62:AH62)=AC62,"CAQ",IF(MAX(AC62:AH62)=AD62,"PLQ",IF(MAX(AC62:AH62)=AE62,"QS",IF(MAX(AC62:AH62)=AF62,"PQ",IF(MAX(AC62:AH62)=AG62,"PCQ","Autre")))))</x:f>
        <x:v>QS</x:v>
      </x:c>
      <x:c r="AR62" s="84" t="str">
        <x:f>IF(MAX(AI62:AN62)=AI62,"CAQ",IF(MAX(AI62:AN62)=AJ62,"PLQ",IF(MAX(AI62:AN62)=AK62,"QS",IF(MAX(AI62:AN62)=AL62,"PQ",IF(MAX(AI62:AN62)=AM62,"PCQ","Autre")))))</x:f>
        <x:v>QS</x:v>
      </x:c>
      <x:c r="AS62" s="88" t="n">
        <x:f>(MAX(K62:P62)-LARGE(K62:P62,2))*100</x:f>
        <x:v>29.222469889673512</x:v>
      </x:c>
      <x:c r="AT62" s="84" t="str">
        <x:f>IF(AS62&lt;5,"Oui","Non")</x:f>
        <x:v>Non</x:v>
      </x:c>
      <x:c r="AU62" s="89" t="n">
        <x:v>1.0372166842420176</x:v>
      </x:c>
      <x:c r="AV62" s="89" t="n">
        <x:v>-1.971291192217911</x:v>
      </x:c>
      <x:c r="AW62" s="89" t="n">
        <x:v>1.0314710808342205</x:v>
      </x:c>
      <x:c r="AX62" s="90" t="n">
        <x:v>4.173642000760471</x:v>
      </x:c>
    </x:row>
    <x:row r="63">
      <x:c r="A63" s="83" t="str">
        <x:v>Laval-des-Rapides</x:v>
      </x:c>
      <x:c r="B63" s="84" t="str">
        <x:v>Banlieue de Montréal</x:v>
      </x:c>
      <x:c r="C63" s="84" t="str">
        <x:f>IF(MAX(D63:I63)=D63,"CAQ",IF(MAX(D63:I63)=E63,"PLQ",IF(MAX(D63:I63)=F63,"QS",IF(MAX(D63:I63)=G63,"PQ",IF(MAX(D63:I63)=H63,"PCQ","Autre")))))</x:f>
        <x:v>CAQ</x:v>
      </x:c>
      <x:c r="D63" s="85" t="n">
        <x:v>21068</x:v>
      </x:c>
      <x:c r="E63" s="85" t="n">
        <x:v>19950</x:v>
      </x:c>
      <x:c r="F63" s="85" t="n">
        <x:v>10541</x:v>
      </x:c>
      <x:c r="G63" s="85" t="n">
        <x:v>9037</x:v>
      </x:c>
      <x:c r="H63" s="85" t="n">
        <x:v>6660</x:v>
      </x:c>
      <x:c r="I63" s="85" t="n">
        <x:v>70</x:v>
      </x:c>
      <x:c r="J63" s="86" t="n">
        <x:f>SUM(D63:I63)</x:f>
        <x:v>67326</x:v>
      </x:c>
      <x:c r="K63" s="87" t="n">
        <x:f>IFERROR(D63/J63,0)</x:f>
        <x:v>0.3129251700680272</x:v>
      </x:c>
      <x:c r="L63" s="87" t="n">
        <x:f>IFERROR(E63/J63,0)</x:f>
        <x:v>0.29631940112289457</x:v>
      </x:c>
      <x:c r="M63" s="87" t="n">
        <x:f>IFERROR(F63/J63,0)</x:f>
        <x:v>0.15656655675370584</x:v>
      </x:c>
      <x:c r="N63" s="87" t="n">
        <x:f>IFERROR(G63/J63,0)</x:f>
        <x:v>0.13422749012268662</x:v>
      </x:c>
      <x:c r="O63" s="87" t="n">
        <x:f>IFERROR(H63/J63,0)</x:f>
        <x:v>0.0989216647357633</x:v>
      </x:c>
      <x:c r="P63" s="87" t="n">
        <x:f>IFERROR(I63/J63,0)</x:f>
        <x:v>0.001039717196922437</x:v>
      </x:c>
      <x:c r="Q63" s="86" t="n">
        <x:f>D63*INDEX('Régions'!$T$2:$Y$6,MATCH($B63,'Régions'!$A$2:$A$6,0),1)</x:f>
        <x:v>14894.850297801007</x:v>
      </x:c>
      <x:c r="R63" s="86" t="n">
        <x:f>E63*INDEX('Régions'!$T$2:$Y$6,MATCH($B63,'Régions'!$A$2:$A$6,0),2)</x:f>
        <x:v>25521.22881443173</x:v>
      </x:c>
      <x:c r="S63" s="86" t="n">
        <x:f>F63*INDEX('Régions'!$T$2:$Y$6,MATCH($B63,'Régions'!$A$2:$A$6,0),3)</x:f>
        <x:v>5324.298342823015</x:v>
      </x:c>
      <x:c r="T63" s="86" t="n">
        <x:f>G63*INDEX('Régions'!$T$2:$Y$6,MATCH($B63,'Régions'!$A$2:$A$6,0),4)</x:f>
        <x:v>16850.392977808075</x:v>
      </x:c>
      <x:c r="U63" s="86" t="n">
        <x:f>H63*INDEX('Régions'!$T$2:$Y$6,MATCH($B63,'Régions'!$A$2:$A$6,0),5)</x:f>
        <x:v>7794.433828891251</x:v>
      </x:c>
      <x:c r="V63" s="86" t="n">
        <x:f>I63*INDEX('Régions'!$T$2:$Y$6,MATCH($B63,'Régions'!$A$2:$A$6,0),6)</x:f>
        <x:v>150.29313587560162</x:v>
      </x:c>
      <x:c r="W63" s="86" t="n">
        <x:f>MAX(0,Q63+(AU63/100)*J63*'Régions'!$O$2)</x:f>
        <x:v>14245.575415065317</x:v>
      </x:c>
      <x:c r="X63" s="86" t="n">
        <x:f>MAX(0,R63+(AV63/100)*J63*'Régions'!$O$2)</x:f>
        <x:v>26223.936248440266</x:v>
      </x:c>
      <x:c r="Y63" s="86" t="n">
        <x:f>MAX(0,S63+(AW63/100)*J63*'Régions'!$O$2)</x:f>
        <x:v>5508.925423674486</x:v>
      </x:c>
      <x:c r="Z63" s="86" t="n">
        <x:f>MAX(0,T63+(AX63/100)*J63*'Régions'!$O$2)</x:f>
        <x:v>17085.454619821707</x:v>
      </x:c>
      <x:c r="AA63" s="86" t="n">
        <x:f>U63</x:f>
        <x:v>7794.433828891251</x:v>
      </x:c>
      <x:c r="AB63" s="86" t="n">
        <x:f>V63</x:f>
        <x:v>150.29313587560162</x:v>
      </x:c>
      <x:c r="AC63" s="86" t="n">
        <x:f>D63*INDEX('Régions'!$Z$2:$AE$6,MATCH($B63,'Régions'!$A$2:$A$6,0),1)</x:f>
        <x:v>16430.881734761737</x:v>
      </x:c>
      <x:c r="AD63" s="86" t="n">
        <x:f>E63*INDEX('Régions'!$Z$2:$AE$6,MATCH($B63,'Régions'!$A$2:$A$6,0),2)</x:f>
        <x:v>30200.120763744213</x:v>
      </x:c>
      <x:c r="AE63" s="86" t="n">
        <x:f>F63*INDEX('Régions'!$Z$2:$AE$6,MATCH($B63,'Régions'!$A$2:$A$6,0),3)</x:f>
        <x:v>7834.324704439579</x:v>
      </x:c>
      <x:c r="AF63" s="86" t="n">
        <x:f>G63*INDEX('Régions'!$Z$2:$AE$6,MATCH($B63,'Régions'!$A$2:$A$6,0),4)</x:f>
        <x:v>18703.936205366957</x:v>
      </x:c>
      <x:c r="AG63" s="86" t="n">
        <x:f>H63*INDEX('Régions'!$Z$2:$AE$6,MATCH($B63,'Régions'!$A$2:$A$6,0),5)</x:f>
        <x:v>9937.903131836345</x:v>
      </x:c>
      <x:c r="AH63" s="86" t="n">
        <x:f>I63*INDEX('Régions'!$Z$2:$AE$6,MATCH($B63,'Régions'!$A$2:$A$6,0),6)</x:f>
        <x:v>646.260484265087</x:v>
      </x:c>
      <x:c r="AI63" s="86" t="n">
        <x:f>D63*INDEX('Régions'!$AF$2:$AK$6,MATCH($B63,'Régions'!$A$2:$A$6,0),1)</x:f>
        <x:v>13358.81886084028</x:v>
      </x:c>
      <x:c r="AJ63" s="86" t="n">
        <x:f>E63*INDEX('Régions'!$AF$2:$AK$6,MATCH($B63,'Régions'!$A$2:$A$6,0),2)</x:f>
        <x:v>20842.336865119243</x:v>
      </x:c>
      <x:c r="AK63" s="86" t="n">
        <x:f>F63*INDEX('Régions'!$AF$2:$AK$6,MATCH($B63,'Régions'!$A$2:$A$6,0),3)</x:f>
        <x:v>2814.271981206451</x:v>
      </x:c>
      <x:c r="AL63" s="86" t="n">
        <x:f>G63*INDEX('Régions'!$AF$2:$AK$6,MATCH($B63,'Régions'!$A$2:$A$6,0),4)</x:f>
        <x:v>14996.849750249185</x:v>
      </x:c>
      <x:c r="AM63" s="86" t="n">
        <x:f>H63*INDEX('Régions'!$AF$2:$AK$6,MATCH($B63,'Régions'!$A$2:$A$6,0),5)</x:f>
        <x:v>5650.964525946157</x:v>
      </x:c>
      <x:c r="AN63" s="86" t="n">
        <x:f>I63*INDEX('Régions'!$AF$2:$AK$6,MATCH($B63,'Régions'!$A$2:$A$6,0),6)</x:f>
        <x:v>0</x:v>
      </x:c>
      <x:c r="AO63" s="84" t="str">
        <x:f>IF(MAX(Q63:V63)=Q63,"CAQ",IF(MAX(Q63:V63)=R63,"PLQ",IF(MAX(Q63:V63)=S63,"QS",IF(MAX(Q63:V63)=T63,"PQ",IF(MAX(Q63:V63)=U63,"PCQ","Autre")))))</x:f>
        <x:v>PLQ</x:v>
      </x:c>
      <x:c r="AP63" s="84" t="str">
        <x:f>IF(MAX(W63:AB63)=W63,"CAQ",IF(MAX(W63:AB63)=X63,"PLQ",IF(MAX(W63:AB63)=Y63,"QS",IF(MAX(W63:AB63)=Z63,"PQ",IF(MAX(W63:AB63)=AA63,"PCQ","Autre")))))</x:f>
        <x:v>PLQ</x:v>
      </x:c>
      <x:c r="AQ63" s="84" t="str">
        <x:f>IF(MAX(AC63:AH63)=AC63,"CAQ",IF(MAX(AC63:AH63)=AD63,"PLQ",IF(MAX(AC63:AH63)=AE63,"QS",IF(MAX(AC63:AH63)=AF63,"PQ",IF(MAX(AC63:AH63)=AG63,"PCQ","Autre")))))</x:f>
        <x:v>PLQ</x:v>
      </x:c>
      <x:c r="AR63" s="84" t="str">
        <x:f>IF(MAX(AI63:AN63)=AI63,"CAQ",IF(MAX(AI63:AN63)=AJ63,"PLQ",IF(MAX(AI63:AN63)=AK63,"QS",IF(MAX(AI63:AN63)=AL63,"PQ",IF(MAX(AI63:AN63)=AM63,"PCQ","Autre")))))</x:f>
        <x:v>PLQ</x:v>
      </x:c>
      <x:c r="AS63" s="88" t="n">
        <x:f>(MAX(K63:P63)-LARGE(K63:P63,2))*100</x:f>
        <x:v>1.660576894513266</x:v>
      </x:c>
      <x:c r="AT63" s="84" t="str">
        <x:f>IF(AS63&lt;5,"Oui","Non")</x:f>
        <x:v>Oui</x:v>
      </x:c>
      <x:c r="AU63" s="89" t="n">
        <x:v>-1.9287493174574177</x:v>
      </x:c>
      <x:c r="AV63" s="89" t="n">
        <x:v>2.0874771529826113</x:v>
      </x:c>
      <x:c r="AW63" s="89" t="n">
        <x:v>0.5484570027967539</x:v>
      </x:c>
      <x:c r="AX63" s="90" t="n">
        <x:v>0.6982789472525675</x:v>
      </x:c>
    </x:row>
    <x:row r="64">
      <x:c r="A64" s="83" t="str">
        <x:v>Laviolette-Saint-Maurice</x:v>
      </x:c>
      <x:c r="B64" s="84" t="str">
        <x:v>Reste du Québec</x:v>
      </x:c>
      <x:c r="C64" s="84" t="str">
        <x:f>IF(MAX(D64:I64)=D64,"CAQ",IF(MAX(D64:I64)=E64,"PLQ",IF(MAX(D64:I64)=F64,"QS",IF(MAX(D64:I64)=G64,"PQ",IF(MAX(D64:I64)=H64,"PCQ","Autre")))))</x:f>
        <x:v>CAQ</x:v>
      </x:c>
      <x:c r="D64" s="85" t="n">
        <x:v>39664</x:v>
      </x:c>
      <x:c r="E64" s="85" t="n">
        <x:v>3830</x:v>
      </x:c>
      <x:c r="F64" s="85" t="n">
        <x:v>7288</x:v>
      </x:c>
      <x:c r="G64" s="85" t="n">
        <x:v>12276</x:v>
      </x:c>
      <x:c r="H64" s="85" t="n">
        <x:v>12842</x:v>
      </x:c>
      <x:c r="I64" s="85" t="n">
        <x:v>786</x:v>
      </x:c>
      <x:c r="J64" s="86" t="n">
        <x:f>SUM(D64:I64)</x:f>
        <x:v>76686</x:v>
      </x:c>
      <x:c r="K64" s="87" t="n">
        <x:f>IFERROR(D64/J64,0)</x:f>
        <x:v>0.5172260908118822</x:v>
      </x:c>
      <x:c r="L64" s="87" t="n">
        <x:f>IFERROR(E64/J64,0)</x:f>
        <x:v>0.049943927183579796</x:v>
      </x:c>
      <x:c r="M64" s="87" t="n">
        <x:f>IFERROR(F64/J64,0)</x:f>
        <x:v>0.09503690373731842</x:v>
      </x:c>
      <x:c r="N64" s="87" t="n">
        <x:f>IFERROR(G64/J64,0)</x:f>
        <x:v>0.16008137078475862</x:v>
      </x:c>
      <x:c r="O64" s="87" t="n">
        <x:f>IFERROR(H64/J64,0)</x:f>
        <x:v>0.1674621182484417</x:v>
      </x:c>
      <x:c r="P64" s="87" t="n">
        <x:f>IFERROR(I64/J64,0)</x:f>
        <x:v>0.010249589234019247</x:v>
      </x:c>
      <x:c r="Q64" s="86" t="n">
        <x:f>D64*INDEX('Régions'!$T$2:$Y$6,MATCH($B64,'Régions'!$A$2:$A$6,0),1)</x:f>
        <x:v>23413.21738866508</x:v>
      </x:c>
      <x:c r="R64" s="86" t="n">
        <x:f>E64*INDEX('Régions'!$T$2:$Y$6,MATCH($B64,'Régions'!$A$2:$A$6,0),2)</x:f>
        <x:v>8764.006487452907</x:v>
      </x:c>
      <x:c r="S64" s="86" t="n">
        <x:f>F64*INDEX('Régions'!$T$2:$Y$6,MATCH($B64,'Régions'!$A$2:$A$6,0),3)</x:f>
        <x:v>4376.506584308247</x:v>
      </x:c>
      <x:c r="T64" s="86" t="n">
        <x:f>G64*INDEX('Régions'!$T$2:$Y$6,MATCH($B64,'Régions'!$A$2:$A$6,0),4)</x:f>
        <x:v>21265.608549184213</x:v>
      </x:c>
      <x:c r="U64" s="86" t="n">
        <x:f>H64*INDEX('Régions'!$T$2:$Y$6,MATCH($B64,'Régions'!$A$2:$A$6,0),5)</x:f>
        <x:v>14477.303345745735</x:v>
      </x:c>
      <x:c r="V64" s="86" t="n">
        <x:f>I64*INDEX('Régions'!$T$2:$Y$6,MATCH($B64,'Régions'!$A$2:$A$6,0),6)</x:f>
        <x:v>1824.7464407590496</x:v>
      </x:c>
      <x:c r="W64" s="86" t="n">
        <x:f>MAX(0,Q64+(AU64/100)*J64*'Régions'!$O$2)</x:f>
        <x:v>23545.57961871476</x:v>
      </x:c>
      <x:c r="X64" s="86" t="n">
        <x:f>MAX(0,R64+(AV64/100)*J64*'Régions'!$O$2)</x:f>
        <x:v>7604.297763247528</x:v>
      </x:c>
      <x:c r="Y64" s="86" t="n">
        <x:f>MAX(0,S64+(AW64/100)*J64*'Régions'!$O$2)</x:f>
        <x:v>2651.0076397177554</x:v>
      </x:c>
      <x:c r="Z64" s="86" t="n">
        <x:f>MAX(0,T64+(AX64/100)*J64*'Régions'!$O$2)</x:f>
        <x:v>23022.419141932187</x:v>
      </x:c>
      <x:c r="AA64" s="86" t="n">
        <x:f>U64</x:f>
        <x:v>14477.303345745735</x:v>
      </x:c>
      <x:c r="AB64" s="86" t="n">
        <x:f>V64</x:f>
        <x:v>1824.7464407590496</x:v>
      </x:c>
      <x:c r="AC64" s="86" t="n">
        <x:f>D64*INDEX('Régions'!$Z$2:$AE$6,MATCH($B64,'Régions'!$A$2:$A$6,0),1)</x:f>
        <x:v>26172.632295186326</x:v>
      </x:c>
      <x:c r="AD64" s="86" t="n">
        <x:f>E64*INDEX('Régions'!$Z$2:$AE$6,MATCH($B64,'Régions'!$A$2:$A$6,0),2)</x:f>
        <x:v>10571.582825490072</x:v>
      </x:c>
      <x:c r="AE64" s="86" t="n">
        <x:f>F64*INDEX('Régions'!$Z$2:$AE$6,MATCH($B64,'Régions'!$A$2:$A$6,0),3)</x:f>
        <x:v>6181.815550335398</x:v>
      </x:c>
      <x:c r="AF64" s="86" t="n">
        <x:f>G64*INDEX('Régions'!$Z$2:$AE$6,MATCH($B64,'Régions'!$A$2:$A$6,0),4)</x:f>
        <x:v>23685.48814271207</x:v>
      </x:c>
      <x:c r="AG64" s="86" t="n">
        <x:f>H64*INDEX('Régions'!$Z$2:$AE$6,MATCH($B64,'Régions'!$A$2:$A$6,0),5)</x:f>
        <x:v>17287.60340697873</x:v>
      </x:c>
      <x:c r="AH64" s="86" t="n">
        <x:f>I64*INDEX('Régions'!$Z$2:$AE$6,MATCH($B64,'Régions'!$A$2:$A$6,0),6)</x:f>
        <x:v>7846.409695263914</x:v>
      </x:c>
      <x:c r="AI64" s="86" t="n">
        <x:f>D64*INDEX('Régions'!$AF$2:$AK$6,MATCH($B64,'Régions'!$A$2:$A$6,0),1)</x:f>
        <x:v>20653.80248214384</x:v>
      </x:c>
      <x:c r="AJ64" s="86" t="n">
        <x:f>E64*INDEX('Régions'!$AF$2:$AK$6,MATCH($B64,'Régions'!$A$2:$A$6,0),2)</x:f>
        <x:v>6956.430149415746</x:v>
      </x:c>
      <x:c r="AK64" s="86" t="n">
        <x:f>F64*INDEX('Régions'!$AF$2:$AK$6,MATCH($B64,'Régions'!$A$2:$A$6,0),3)</x:f>
        <x:v>2571.1976182810945</x:v>
      </x:c>
      <x:c r="AL64" s="86" t="n">
        <x:f>G64*INDEX('Régions'!$AF$2:$AK$6,MATCH($B64,'Régions'!$A$2:$A$6,0),4)</x:f>
        <x:v>18845.728955656356</x:v>
      </x:c>
      <x:c r="AM64" s="86" t="n">
        <x:f>H64*INDEX('Régions'!$AF$2:$AK$6,MATCH($B64,'Régions'!$A$2:$A$6,0),5)</x:f>
        <x:v>11667.003284512739</x:v>
      </x:c>
      <x:c r="AN64" s="86" t="n">
        <x:f>I64*INDEX('Régions'!$AF$2:$AK$6,MATCH($B64,'Régions'!$A$2:$A$6,0),6)</x:f>
        <x:v>0</x:v>
      </x:c>
      <x:c r="AO64" s="84" t="str">
        <x:f>IF(MAX(Q64:V64)=Q64,"CAQ",IF(MAX(Q64:V64)=R64,"PLQ",IF(MAX(Q64:V64)=S64,"QS",IF(MAX(Q64:V64)=T64,"PQ",IF(MAX(Q64:V64)=U64,"PCQ","Autre")))))</x:f>
        <x:v>CAQ</x:v>
      </x:c>
      <x:c r="AP64" s="84" t="str">
        <x:f>IF(MAX(W64:AB64)=W64,"CAQ",IF(MAX(W64:AB64)=X64,"PLQ",IF(MAX(W64:AB64)=Y64,"QS",IF(MAX(W64:AB64)=Z64,"PQ",IF(MAX(W64:AB64)=AA64,"PCQ","Autre")))))</x:f>
        <x:v>CAQ</x:v>
      </x:c>
      <x:c r="AQ64" s="84" t="str">
        <x:f>IF(MAX(AC64:AH64)=AC64,"CAQ",IF(MAX(AC64:AH64)=AD64,"PLQ",IF(MAX(AC64:AH64)=AE64,"QS",IF(MAX(AC64:AH64)=AF64,"PQ",IF(MAX(AC64:AH64)=AG64,"PCQ","Autre")))))</x:f>
        <x:v>CAQ</x:v>
      </x:c>
      <x:c r="AR64" s="84" t="str">
        <x:f>IF(MAX(AI64:AN64)=AI64,"CAQ",IF(MAX(AI64:AN64)=AJ64,"PLQ",IF(MAX(AI64:AN64)=AK64,"QS",IF(MAX(AI64:AN64)=AL64,"PQ",IF(MAX(AI64:AN64)=AM64,"PCQ","Autre")))))</x:f>
        <x:v>CAQ</x:v>
      </x:c>
      <x:c r="AS64" s="88" t="n">
        <x:f>(MAX(K64:P64)-LARGE(K64:P64,2))*100</x:f>
        <x:v>34.97639725634405</x:v>
      </x:c>
      <x:c r="AT64" s="84" t="str">
        <x:f>IF(AS64&lt;5,"Oui","Non")</x:f>
        <x:v>Non</x:v>
      </x:c>
      <x:c r="AU64" s="89" t="n">
        <x:v>0.3452057221648763</x:v>
      </x:c>
      <x:c r="AV64" s="89" t="n">
        <x:v>-3.024564390385154</x:v>
      </x:c>
      <x:c r="AW64" s="89" t="n">
        <x:v>-4.50016676992017</x:v>
      </x:c>
      <x:c r="AX64" s="90" t="n">
        <x:v>4.581828737313135</x:v>
      </x:c>
    </x:row>
    <x:row r="65">
      <x:c r="A65" s="83" t="str">
        <x:v>Les Plaines</x:v>
      </x:c>
      <x:c r="B65" s="84" t="str">
        <x:v>Banlieue de Montréal</x:v>
      </x:c>
      <x:c r="C65" s="84" t="str">
        <x:f>IF(MAX(D65:I65)=D65,"CAQ",IF(MAX(D65:I65)=E65,"PLQ",IF(MAX(D65:I65)=F65,"QS",IF(MAX(D65:I65)=G65,"PQ",IF(MAX(D65:I65)=H65,"PCQ","Autre")))))</x:f>
        <x:v>CAQ</x:v>
      </x:c>
      <x:c r="D65" s="85" t="n">
        <x:v>33423</x:v>
      </x:c>
      <x:c r="E65" s="85" t="n">
        <x:v>4873</x:v>
      </x:c>
      <x:c r="F65" s="85" t="n">
        <x:v>8771</x:v>
      </x:c>
      <x:c r="G65" s="85" t="n">
        <x:v>11612</x:v>
      </x:c>
      <x:c r="H65" s="85" t="n">
        <x:v>7635</x:v>
      </x:c>
      <x:c r="I65" s="85" t="n">
        <x:v>17</x:v>
      </x:c>
      <x:c r="J65" s="86" t="n">
        <x:f>SUM(D65:I65)</x:f>
        <x:v>66331</x:v>
      </x:c>
      <x:c r="K65" s="87" t="n">
        <x:f>IFERROR(D65/J65,0)</x:f>
        <x:v>0.5038820461021242</x:v>
      </x:c>
      <x:c r="L65" s="87" t="n">
        <x:f>IFERROR(E65/J65,0)</x:f>
        <x:v>0.07346489575010176</x:v>
      </x:c>
      <x:c r="M65" s="87" t="n">
        <x:f>IFERROR(F65/J65,0)</x:f>
        <x:v>0.1322307819873061</x:v>
      </x:c>
      <x:c r="N65" s="87" t="n">
        <x:f>IFERROR(G65/J65,0)</x:f>
        <x:v>0.17506143432181032</x:v>
      </x:c>
      <x:c r="O65" s="87" t="n">
        <x:f>IFERROR(H65/J65,0)</x:f>
        <x:v>0.11510455141638148</x:v>
      </x:c>
      <x:c r="P65" s="87" t="n">
        <x:f>IFERROR(I65/J65,0)</x:f>
        <x:v>0.0002562904222761605</x:v>
      </x:c>
      <x:c r="Q65" s="86" t="n">
        <x:f>D65*INDEX('Régions'!$T$2:$Y$6,MATCH($B65,'Régions'!$A$2:$A$6,0),1)</x:f>
        <x:v>23629.702938266713</x:v>
      </x:c>
      <x:c r="R65" s="86" t="n">
        <x:f>E65*INDEX('Régions'!$T$2:$Y$6,MATCH($B65,'Régions'!$A$2:$A$6,0),2)</x:f>
        <x:v>6233.831980587761</x:v>
      </x:c>
      <x:c r="S65" s="86" t="n">
        <x:f>F65*INDEX('Régions'!$T$2:$Y$6,MATCH($B65,'Régions'!$A$2:$A$6,0),3)</x:f>
        <x:v>4430.264753334662</x:v>
      </x:c>
      <x:c r="T65" s="86" t="n">
        <x:f>G65*INDEX('Régions'!$T$2:$Y$6,MATCH($B65,'Régions'!$A$2:$A$6,0),4)</x:f>
        <x:v>21651.73876931585</x:v>
      </x:c>
      <x:c r="U65" s="86" t="n">
        <x:f>H65*INDEX('Régions'!$T$2:$Y$6,MATCH($B65,'Régions'!$A$2:$A$6,0),5)</x:f>
        <x:v>8935.510853391097</x:v>
      </x:c>
      <x:c r="V65" s="86" t="n">
        <x:f>I65*INDEX('Régions'!$T$2:$Y$6,MATCH($B65,'Régions'!$A$2:$A$6,0),6)</x:f>
        <x:v>36.499761569788966</x:v>
      </x:c>
      <x:c r="W65" s="86" t="n">
        <x:f>MAX(0,Q65+(AU65/100)*J65*'Régions'!$O$2)</x:f>
        <x:v>22751.555902049804</x:v>
      </x:c>
      <x:c r="X65" s="86" t="n">
        <x:f>MAX(0,R65+(AV65/100)*J65*'Régions'!$O$2)</x:f>
        <x:v>7959.839342085717</x:v>
      </x:c>
      <x:c r="Y65" s="86" t="n">
        <x:f>MAX(0,S65+(AW65/100)*J65*'Régions'!$O$2)</x:f>
        <x:v>4500.954887657827</x:v>
      </x:c>
      <x:c r="Z65" s="86" t="n">
        <x:f>MAX(0,T65+(AX65/100)*J65*'Régions'!$O$2)</x:f>
        <x:v>20308.56324628023</x:v>
      </x:c>
      <x:c r="AA65" s="86" t="n">
        <x:f>U65</x:f>
        <x:v>8935.510853391097</x:v>
      </x:c>
      <x:c r="AB65" s="86" t="n">
        <x:f>V65</x:f>
        <x:v>36.499761569788966</x:v>
      </x:c>
      <x:c r="AC65" s="86" t="n">
        <x:f>D65*INDEX('Régions'!$Z$2:$AE$6,MATCH($B65,'Régions'!$A$2:$A$6,0),1)</x:f>
        <x:v>26066.516053775467</x:v>
      </x:c>
      <x:c r="AD65" s="86" t="n">
        <x:f>E65*INDEX('Régions'!$Z$2:$AE$6,MATCH($B65,'Régions'!$A$2:$A$6,0),2)</x:f>
        <x:v>7376.701177028849</x:v>
      </x:c>
      <x:c r="AE65" s="86" t="n">
        <x:f>F65*INDEX('Régions'!$Z$2:$AE$6,MATCH($B65,'Régions'!$A$2:$A$6,0),3)</x:f>
        <x:v>6518.818137049573</x:v>
      </x:c>
      <x:c r="AF65" s="86" t="n">
        <x:f>G65*INDEX('Régions'!$Z$2:$AE$6,MATCH($B65,'Régions'!$A$2:$A$6,0),4)</x:f>
        <x:v>24033.43003394059</x:v>
      </x:c>
      <x:c r="AG65" s="86" t="n">
        <x:f>H65*INDEX('Régions'!$Z$2:$AE$6,MATCH($B65,'Régions'!$A$2:$A$6,0),5)</x:f>
        <x:v>11392.776338073649</x:v>
      </x:c>
      <x:c r="AH65" s="86" t="n">
        <x:f>I65*INDEX('Régions'!$Z$2:$AE$6,MATCH($B65,'Régions'!$A$2:$A$6,0),6)</x:f>
        <x:v>156.94897475009256</x:v>
      </x:c>
      <x:c r="AI65" s="86" t="n">
        <x:f>D65*INDEX('Régions'!$AF$2:$AK$6,MATCH($B65,'Régions'!$A$2:$A$6,0),1)</x:f>
        <x:v>21192.88982275796</x:v>
      </x:c>
      <x:c r="AJ65" s="86" t="n">
        <x:f>E65*INDEX('Régions'!$AF$2:$AK$6,MATCH($B65,'Régions'!$A$2:$A$6,0),2)</x:f>
        <x:v>5090.962784146671</x:v>
      </x:c>
      <x:c r="AK65" s="86" t="n">
        <x:f>F65*INDEX('Régions'!$AF$2:$AK$6,MATCH($B65,'Régions'!$A$2:$A$6,0),3)</x:f>
        <x:v>2341.71136961975</x:v>
      </x:c>
      <x:c r="AL65" s="86" t="n">
        <x:f>G65*INDEX('Régions'!$AF$2:$AK$6,MATCH($B65,'Régions'!$A$2:$A$6,0),4)</x:f>
        <x:v>19270.047504691105</x:v>
      </x:c>
      <x:c r="AM65" s="86" t="n">
        <x:f>H65*INDEX('Régions'!$AF$2:$AK$6,MATCH($B65,'Régions'!$A$2:$A$6,0),5)</x:f>
        <x:v>6478.245368708544</x:v>
      </x:c>
      <x:c r="AN65" s="86" t="n">
        <x:f>I65*INDEX('Régions'!$AF$2:$AK$6,MATCH($B65,'Régions'!$A$2:$A$6,0),6)</x:f>
        <x:v>0</x:v>
      </x:c>
      <x:c r="AO65" s="84" t="str">
        <x:f>IF(MAX(Q65:V65)=Q65,"CAQ",IF(MAX(Q65:V65)=R65,"PLQ",IF(MAX(Q65:V65)=S65,"QS",IF(MAX(Q65:V65)=T65,"PQ",IF(MAX(Q65:V65)=U65,"PCQ","Autre")))))</x:f>
        <x:v>CAQ</x:v>
      </x:c>
      <x:c r="AP65" s="84" t="str">
        <x:f>IF(MAX(W65:AB65)=W65,"CAQ",IF(MAX(W65:AB65)=X65,"PLQ",IF(MAX(W65:AB65)=Y65,"QS",IF(MAX(W65:AB65)=Z65,"PQ",IF(MAX(W65:AB65)=AA65,"PCQ","Autre")))))</x:f>
        <x:v>CAQ</x:v>
      </x:c>
      <x:c r="AQ65" s="84" t="str">
        <x:f>IF(MAX(AC65:AH65)=AC65,"CAQ",IF(MAX(AC65:AH65)=AD65,"PLQ",IF(MAX(AC65:AH65)=AE65,"QS",IF(MAX(AC65:AH65)=AF65,"PQ",IF(MAX(AC65:AH65)=AG65,"PCQ","Autre")))))</x:f>
        <x:v>CAQ</x:v>
      </x:c>
      <x:c r="AR65" s="84" t="str">
        <x:f>IF(MAX(AI65:AN65)=AI65,"CAQ",IF(MAX(AI65:AN65)=AJ65,"PLQ",IF(MAX(AI65:AN65)=AK65,"QS",IF(MAX(AI65:AN65)=AL65,"PQ",IF(MAX(AI65:AN65)=AM65,"PCQ","Autre")))))</x:f>
        <x:v>CAQ</x:v>
      </x:c>
      <x:c r="AS65" s="88" t="n">
        <x:f>(MAX(K65:P65)-LARGE(K65:P65,2))*100</x:f>
        <x:v>32.882061178031385</x:v>
      </x:c>
      <x:c r="AT65" s="84" t="str">
        <x:f>IF(AS65&lt;5,"Oui","Non")</x:f>
        <x:v>Non</x:v>
      </x:c>
      <x:c r="AU65" s="89" t="n">
        <x:v>-2.647772643912827</x:v>
      </x:c>
      <x:c r="AV65" s="89" t="n">
        <x:v>5.204225359177328</x:v>
      </x:c>
      <x:c r="AW65" s="89" t="n">
        <x:v>0.21314358089932484</x:v>
      </x:c>
      <x:c r="AX65" s="90" t="n">
        <x:v>-4.049917905762365</x:v>
      </x:c>
    </x:row>
    <x:row r="66">
      <x:c r="A66" s="83" t="str">
        <x:v>Lévis</x:v>
      </x:c>
      <x:c r="B66" s="84" t="str">
        <x:v>Québec RMR</x:v>
      </x:c>
      <x:c r="C66" s="84" t="str">
        <x:f>IF(MAX(D66:I66)=D66,"CAQ",IF(MAX(D66:I66)=E66,"PLQ",IF(MAX(D66:I66)=F66,"QS",IF(MAX(D66:I66)=G66,"PQ",IF(MAX(D66:I66)=H66,"PCQ","Autre")))))</x:f>
        <x:v>CAQ</x:v>
      </x:c>
      <x:c r="D66" s="85" t="n">
        <x:v>37901</x:v>
      </x:c>
      <x:c r="E66" s="85" t="n">
        <x:v>3987</x:v>
      </x:c>
      <x:c r="F66" s="85" t="n">
        <x:v>8911</x:v>
      </x:c>
      <x:c r="G66" s="85" t="n">
        <x:v>10473</x:v>
      </x:c>
      <x:c r="H66" s="85" t="n">
        <x:v>16119</x:v>
      </x:c>
      <x:c r="I66" s="85" t="n">
        <x:v>291</x:v>
      </x:c>
      <x:c r="J66" s="86" t="n">
        <x:f>SUM(D66:I66)</x:f>
        <x:v>77682</x:v>
      </x:c>
      <x:c r="K66" s="87" t="n">
        <x:f>IFERROR(D66/J66,0)</x:f>
        <x:v>0.48789938467083754</x:v>
      </x:c>
      <x:c r="L66" s="87" t="n">
        <x:f>IFERROR(E66/J66,0)</x:f>
        <x:v>0.05132463118869236</x:v>
      </x:c>
      <x:c r="M66" s="87" t="n">
        <x:f>IFERROR(F66/J66,0)</x:f>
        <x:v>0.11471125872145413</x:v>
      </x:c>
      <x:c r="N66" s="87" t="n">
        <x:f>IFERROR(G66/J66,0)</x:f>
        <x:v>0.1348188769599135</x:v>
      </x:c>
      <x:c r="O66" s="87" t="n">
        <x:f>IFERROR(H66/J66,0)</x:f>
        <x:v>0.20749980690507452</x:v>
      </x:c>
      <x:c r="P66" s="87" t="n">
        <x:f>IFERROR(I66/J66,0)</x:f>
        <x:v>0.00374604155402796</x:v>
      </x:c>
      <x:c r="Q66" s="86" t="n">
        <x:f>D66*INDEX('Régions'!$T$2:$Y$6,MATCH($B66,'Régions'!$A$2:$A$6,0),1)</x:f>
        <x:v>31541.34744174426</x:v>
      </x:c>
      <x:c r="R66" s="86" t="n">
        <x:f>E66*INDEX('Régions'!$T$2:$Y$6,MATCH($B66,'Régions'!$A$2:$A$6,0),2)</x:f>
        <x:v>4785.020721849046</x:v>
      </x:c>
      <x:c r="S66" s="86" t="n">
        <x:f>F66*INDEX('Régions'!$T$2:$Y$6,MATCH($B66,'Régions'!$A$2:$A$6,0),3)</x:f>
        <x:v>3535.0956018911384</x:v>
      </x:c>
      <x:c r="T66" s="86" t="n">
        <x:f>G66*INDEX('Régions'!$T$2:$Y$6,MATCH($B66,'Régions'!$A$2:$A$6,0),4)</x:f>
        <x:v>21380.99263002364</x:v>
      </x:c>
      <x:c r="U66" s="86" t="n">
        <x:f>H66*INDEX('Régions'!$T$2:$Y$6,MATCH($B66,'Régions'!$A$2:$A$6,0),5)</x:f>
        <x:v>16506.369474918254</x:v>
      </x:c>
      <x:c r="V66" s="86" t="n">
        <x:f>I66*INDEX('Régions'!$T$2:$Y$6,MATCH($B66,'Régions'!$A$2:$A$6,0),6)</x:f>
        <x:v>496.96498516809487</x:v>
      </x:c>
      <x:c r="W66" s="86" t="n">
        <x:f>MAX(0,Q66+(AU66/100)*J66*'Régions'!$O$2)</x:f>
        <x:v>29383.927805622145</x:v>
      </x:c>
      <x:c r="X66" s="86" t="n">
        <x:f>MAX(0,R66+(AV66/100)*J66*'Régions'!$O$2)</x:f>
        <x:v>6952.478633393208</x:v>
      </x:c>
      <x:c r="Y66" s="86" t="n">
        <x:f>MAX(0,S66+(AW66/100)*J66*'Régions'!$O$2)</x:f>
        <x:v>3657.0174503325343</x:v>
      </x:c>
      <x:c r="Z66" s="86" t="n">
        <x:f>MAX(0,T66+(AX66/100)*J66*'Régions'!$O$2)</x:f>
        <x:v>21301.814702139713</x:v>
      </x:c>
      <x:c r="AA66" s="86" t="n">
        <x:f>U66</x:f>
        <x:v>16506.369474918254</x:v>
      </x:c>
      <x:c r="AB66" s="86" t="n">
        <x:f>V66</x:f>
        <x:v>496.96498516809487</x:v>
      </x:c>
      <x:c r="AC66" s="86" t="n">
        <x:f>D66*INDEX('Régions'!$Z$2:$AE$6,MATCH($B66,'Régions'!$A$2:$A$6,0),1)</x:f>
        <x:v>34432.63762390415</x:v>
      </x:c>
      <x:c r="AD66" s="86" t="n">
        <x:f>E66*INDEX('Régions'!$Z$2:$AE$6,MATCH($B66,'Régions'!$A$2:$A$6,0),2)</x:f>
        <x:v>7040.816205006454</x:v>
      </x:c>
      <x:c r="AE66" s="86" t="n">
        <x:f>F66*INDEX('Régions'!$Z$2:$AE$6,MATCH($B66,'Régions'!$A$2:$A$6,0),3)</x:f>
        <x:v>5479.398182931264</x:v>
      </x:c>
      <x:c r="AF66" s="86" t="n">
        <x:f>G66*INDEX('Régions'!$Z$2:$AE$6,MATCH($B66,'Régions'!$A$2:$A$6,0),4)</x:f>
        <x:v>23900.895332847856</x:v>
      </x:c>
      <x:c r="AG66" s="86" t="n">
        <x:f>H66*INDEX('Régions'!$Z$2:$AE$6,MATCH($B66,'Régions'!$A$2:$A$6,0),5)</x:f>
        <x:v>18982.32489615599</x:v>
      </x:c>
      <x:c r="AH66" s="86" t="n">
        <x:f>I66*INDEX('Régions'!$Z$2:$AE$6,MATCH($B66,'Régions'!$A$2:$A$6,0),6)</x:f>
        <x:v>2136.949436222808</x:v>
      </x:c>
      <x:c r="AI66" s="86" t="n">
        <x:f>D66*INDEX('Régions'!$AF$2:$AK$6,MATCH($B66,'Régions'!$A$2:$A$6,0),1)</x:f>
        <x:v>28650.05725958437</x:v>
      </x:c>
      <x:c r="AJ66" s="86" t="n">
        <x:f>E66*INDEX('Régions'!$AF$2:$AK$6,MATCH($B66,'Régions'!$A$2:$A$6,0),2)</x:f>
        <x:v>2529.2252386916384</x:v>
      </x:c>
      <x:c r="AK66" s="86" t="n">
        <x:f>F66*INDEX('Régions'!$AF$2:$AK$6,MATCH($B66,'Régions'!$A$2:$A$6,0),3)</x:f>
        <x:v>1590.7930208510124</x:v>
      </x:c>
      <x:c r="AL66" s="86" t="n">
        <x:f>G66*INDEX('Régions'!$AF$2:$AK$6,MATCH($B66,'Régions'!$A$2:$A$6,0),4)</x:f>
        <x:v>18861.089927199428</x:v>
      </x:c>
      <x:c r="AM66" s="86" t="n">
        <x:f>H66*INDEX('Régions'!$AF$2:$AK$6,MATCH($B66,'Régions'!$A$2:$A$6,0),5)</x:f>
        <x:v>14030.414053680513</x:v>
      </x:c>
      <x:c r="AN66" s="86" t="n">
        <x:f>I66*INDEX('Régions'!$AF$2:$AK$6,MATCH($B66,'Régions'!$A$2:$A$6,0),6)</x:f>
        <x:v>0</x:v>
      </x:c>
      <x:c r="AO66" s="84" t="str">
        <x:f>IF(MAX(Q66:V66)=Q66,"CAQ",IF(MAX(Q66:V66)=R66,"PLQ",IF(MAX(Q66:V66)=S66,"QS",IF(MAX(Q66:V66)=T66,"PQ",IF(MAX(Q66:V66)=U66,"PCQ","Autre")))))</x:f>
        <x:v>CAQ</x:v>
      </x:c>
      <x:c r="AP66" s="84" t="str">
        <x:f>IF(MAX(W66:AB66)=W66,"CAQ",IF(MAX(W66:AB66)=X66,"PLQ",IF(MAX(W66:AB66)=Y66,"QS",IF(MAX(W66:AB66)=Z66,"PQ",IF(MAX(W66:AB66)=AA66,"PCQ","Autre")))))</x:f>
        <x:v>CAQ</x:v>
      </x:c>
      <x:c r="AQ66" s="84" t="str">
        <x:f>IF(MAX(AC66:AH66)=AC66,"CAQ",IF(MAX(AC66:AH66)=AD66,"PLQ",IF(MAX(AC66:AH66)=AE66,"QS",IF(MAX(AC66:AH66)=AF66,"PQ",IF(MAX(AC66:AH66)=AG66,"PCQ","Autre")))))</x:f>
        <x:v>CAQ</x:v>
      </x:c>
      <x:c r="AR66" s="84" t="str">
        <x:f>IF(MAX(AI66:AN66)=AI66,"CAQ",IF(MAX(AI66:AN66)=AJ66,"PLQ",IF(MAX(AI66:AN66)=AK66,"QS",IF(MAX(AI66:AN66)=AL66,"PQ",IF(MAX(AI66:AN66)=AM66,"PCQ","Autre")))))</x:f>
        <x:v>CAQ</x:v>
      </x:c>
      <x:c r="AS66" s="88" t="n">
        <x:f>(MAX(K66:P66)-LARGE(K66:P66,2))*100</x:f>
        <x:v>28.0399577765763</x:v>
      </x:c>
      <x:c r="AT66" s="84" t="str">
        <x:f>IF(AS66&lt;5,"Oui","Non")</x:f>
        <x:v>Non</x:v>
      </x:c>
      <x:c r="AU66" s="89" t="n">
        <x:v>-5.554490451126687</x:v>
      </x:c>
      <x:c r="AV66" s="89" t="n">
        <x:v>5.5803349850522945</x:v>
      </x:c>
      <x:c r="AW66" s="89" t="n">
        <x:v>0.31389986983186846</x:v>
      </x:c>
      <x:c r="AX66" s="90" t="n">
        <x:v>-0.20385141444331234</x:v>
      </x:c>
    </x:row>
    <x:row r="67">
      <x:c r="A67" s="83" t="str">
        <x:v>Lotbinière-Frontenac</x:v>
      </x:c>
      <x:c r="B67" s="84" t="str">
        <x:v>Reste du Québec</x:v>
      </x:c>
      <x:c r="C67" s="84" t="str">
        <x:f>IF(MAX(D67:I67)=D67,"CAQ",IF(MAX(D67:I67)=E67,"PLQ",IF(MAX(D67:I67)=F67,"QS",IF(MAX(D67:I67)=G67,"PQ",IF(MAX(D67:I67)=H67,"PCQ","Autre")))))</x:f>
        <x:v>CAQ</x:v>
      </x:c>
      <x:c r="D67" s="85" t="n">
        <x:v>37871</x:v>
      </x:c>
      <x:c r="E67" s="85" t="n">
        <x:v>5130</x:v>
      </x:c>
      <x:c r="F67" s="85" t="n">
        <x:v>8109</x:v>
      </x:c>
      <x:c r="G67" s="85" t="n">
        <x:v>7620</x:v>
      </x:c>
      <x:c r="H67" s="85" t="n">
        <x:v>27897</x:v>
      </x:c>
      <x:c r="I67" s="85" t="n">
        <x:v>0</x:v>
      </x:c>
      <x:c r="J67" s="86" t="n">
        <x:f>SUM(D67:I67)</x:f>
        <x:v>86627</x:v>
      </x:c>
      <x:c r="K67" s="87" t="n">
        <x:f>IFERROR(D67/J67,0)</x:f>
        <x:v>0.43717316771907144</x:v>
      </x:c>
      <x:c r="L67" s="87" t="n">
        <x:f>IFERROR(E67/J67,0)</x:f>
        <x:v>0.05921941196162859</x:v>
      </x:c>
      <x:c r="M67" s="87" t="n">
        <x:f>IFERROR(F67/J67,0)</x:f>
        <x:v>0.09360822838145151</x:v>
      </x:c>
      <x:c r="N67" s="87" t="n">
        <x:f>IFERROR(G67/J67,0)</x:f>
        <x:v>0.08796333706581089</x:v>
      </x:c>
      <x:c r="O67" s="87" t="n">
        <x:f>IFERROR(H67/J67,0)</x:f>
        <x:v>0.32203585487203756</x:v>
      </x:c>
      <x:c r="P67" s="87" t="n">
        <x:f>IFERROR(I67/J67,0)</x:f>
        <x:v>0</x:v>
      </x:c>
      <x:c r="Q67" s="86" t="n">
        <x:f>D67*INDEX('Régions'!$T$2:$Y$6,MATCH($B67,'Régions'!$A$2:$A$6,0),1)</x:f>
        <x:v>22354.82946062261</x:v>
      </x:c>
      <x:c r="R67" s="86" t="n">
        <x:f>E67*INDEX('Régions'!$T$2:$Y$6,MATCH($B67,'Régions'!$A$2:$A$6,0),2)</x:f>
        <x:v>11738.734538024391</x:v>
      </x:c>
      <x:c r="S67" s="86" t="n">
        <x:f>F67*INDEX('Régions'!$T$2:$Y$6,MATCH($B67,'Régions'!$A$2:$A$6,0),3)</x:f>
        <x:v>4869.524134488964</x:v>
      </x:c>
      <x:c r="T67" s="86" t="n">
        <x:f>G67*INDEX('Régions'!$T$2:$Y$6,MATCH($B67,'Régions'!$A$2:$A$6,0),4)</x:f>
        <x:v>13200.06004763634</x:v>
      </x:c>
      <x:c r="U67" s="86" t="n">
        <x:f>H67*INDEX('Régions'!$T$2:$Y$6,MATCH($B67,'Régions'!$A$2:$A$6,0),5)</x:f>
        <x:v>31449.410639796664</x:v>
      </x:c>
      <x:c r="V67" s="86" t="n">
        <x:f>I67*INDEX('Régions'!$T$2:$Y$6,MATCH($B67,'Régions'!$A$2:$A$6,0),6)</x:f>
        <x:v>0</x:v>
      </x:c>
      <x:c r="W67" s="86" t="n">
        <x:f>MAX(0,Q67+(AU67/100)*J67*'Régions'!$O$2)</x:f>
        <x:v>15409.173819078525</x:v>
      </x:c>
      <x:c r="X67" s="86" t="n">
        <x:f>MAX(0,R67+(AV67/100)*J67*'Régions'!$O$2)</x:f>
        <x:v>10971.725704194325</x:v>
      </x:c>
      <x:c r="Y67" s="86" t="n">
        <x:f>MAX(0,S67+(AW67/100)*J67*'Régions'!$O$2)</x:f>
        <x:v>5296.098177710571</x:v>
      </x:c>
      <x:c r="Z67" s="86" t="n">
        <x:f>MAX(0,T67+(AX67/100)*J67*'Régions'!$O$2)</x:f>
        <x:v>14178.990484981297</x:v>
      </x:c>
      <x:c r="AA67" s="86" t="n">
        <x:f>U67</x:f>
        <x:v>31449.410639796664</x:v>
      </x:c>
      <x:c r="AB67" s="86" t="n">
        <x:f>V67</x:f>
        <x:v>0</x:v>
      </x:c>
      <x:c r="AC67" s="86" t="n">
        <x:f>D67*INDEX('Régions'!$Z$2:$AE$6,MATCH($B67,'Régions'!$A$2:$A$6,0),1)</x:f>
        <x:v>24989.50578991028</x:v>
      </x:c>
      <x:c r="AD67" s="86" t="n">
        <x:f>E67*INDEX('Régions'!$Z$2:$AE$6,MATCH($B67,'Régions'!$A$2:$A$6,0),2)</x:f>
        <x:v>14159.848536491923</x:v>
      </x:c>
      <x:c r="AE67" s="86" t="n">
        <x:f>F67*INDEX('Régions'!$Z$2:$AE$6,MATCH($B67,'Régions'!$A$2:$A$6,0),3)</x:f>
        <x:v>6878.202839965662</x:v>
      </x:c>
      <x:c r="AF67" s="86" t="n">
        <x:f>G67*INDEX('Régions'!$Z$2:$AE$6,MATCH($B67,'Régions'!$A$2:$A$6,0),4)</x:f>
        <x:v>14702.135846160474</x:v>
      </x:c>
      <x:c r="AG67" s="86" t="n">
        <x:f>H67*INDEX('Régions'!$Z$2:$AE$6,MATCH($B67,'Régions'!$A$2:$A$6,0),5)</x:f>
        <x:v>37554.296234580725</x:v>
      </x:c>
      <x:c r="AH67" s="86" t="n">
        <x:f>I67*INDEX('Régions'!$Z$2:$AE$6,MATCH($B67,'Régions'!$A$2:$A$6,0),6)</x:f>
        <x:v>0</x:v>
      </x:c>
      <x:c r="AI67" s="86" t="n">
        <x:f>D67*INDEX('Régions'!$AF$2:$AK$6,MATCH($B67,'Régions'!$A$2:$A$6,0),1)</x:f>
        <x:v>19720.153131334948</x:v>
      </x:c>
      <x:c r="AJ67" s="86" t="n">
        <x:f>E67*INDEX('Régions'!$AF$2:$AK$6,MATCH($B67,'Régions'!$A$2:$A$6,0),2)</x:f>
        <x:v>9317.620539556861</x:v>
      </x:c>
      <x:c r="AK67" s="86" t="n">
        <x:f>F67*INDEX('Régions'!$AF$2:$AK$6,MATCH($B67,'Régions'!$A$2:$A$6,0),3)</x:f>
        <x:v>2860.8454290122663</x:v>
      </x:c>
      <x:c r="AL67" s="86" t="n">
        <x:f>G67*INDEX('Régions'!$AF$2:$AK$6,MATCH($B67,'Régions'!$A$2:$A$6,0),4)</x:f>
        <x:v>11697.984249112205</x:v>
      </x:c>
      <x:c r="AM67" s="86" t="n">
        <x:f>H67*INDEX('Régions'!$AF$2:$AK$6,MATCH($B67,'Régions'!$A$2:$A$6,0),5)</x:f>
        <x:v>25344.525045012604</x:v>
      </x:c>
      <x:c r="AN67" s="86" t="n">
        <x:f>I67*INDEX('Régions'!$AF$2:$AK$6,MATCH($B67,'Régions'!$A$2:$A$6,0),6)</x:f>
        <x:v>0</x:v>
      </x:c>
      <x:c r="AO67" s="84" t="str">
        <x:f>IF(MAX(Q67:V67)=Q67,"CAQ",IF(MAX(Q67:V67)=R67,"PLQ",IF(MAX(Q67:V67)=S67,"QS",IF(MAX(Q67:V67)=T67,"PQ",IF(MAX(Q67:V67)=U67,"PCQ","Autre")))))</x:f>
        <x:v>PCQ</x:v>
      </x:c>
      <x:c r="AP67" s="84" t="str">
        <x:f>IF(MAX(W67:AB67)=W67,"CAQ",IF(MAX(W67:AB67)=X67,"PLQ",IF(MAX(W67:AB67)=Y67,"QS",IF(MAX(W67:AB67)=Z67,"PQ",IF(MAX(W67:AB67)=AA67,"PCQ","Autre")))))</x:f>
        <x:v>PCQ</x:v>
      </x:c>
      <x:c r="AQ67" s="84" t="str">
        <x:f>IF(MAX(AC67:AH67)=AC67,"CAQ",IF(MAX(AC67:AH67)=AD67,"PLQ",IF(MAX(AC67:AH67)=AE67,"QS",IF(MAX(AC67:AH67)=AF67,"PQ",IF(MAX(AC67:AH67)=AG67,"PCQ","Autre")))))</x:f>
        <x:v>PCQ</x:v>
      </x:c>
      <x:c r="AR67" s="84" t="str">
        <x:f>IF(MAX(AI67:AN67)=AI67,"CAQ",IF(MAX(AI67:AN67)=AJ67,"PLQ",IF(MAX(AI67:AN67)=AK67,"QS",IF(MAX(AI67:AN67)=AL67,"PQ",IF(MAX(AI67:AN67)=AM67,"PCQ","Autre")))))</x:f>
        <x:v>PCQ</x:v>
      </x:c>
      <x:c r="AS67" s="88" t="n">
        <x:f>(MAX(K67:P67)-LARGE(K67:P67,2))*100</x:f>
        <x:v>11.513731284703388</x:v>
      </x:c>
      <x:c r="AT67" s="84" t="str">
        <x:f>IF(AS67&lt;5,"Oui","Non")</x:f>
        <x:v>Non</x:v>
      </x:c>
      <x:c r="AU67" s="89" t="n">
        <x:v>-16.035775546986702</x:v>
      </x:c>
      <x:c r="AV67" s="89" t="n">
        <x:v>-1.7708308814343487</x:v>
      </x:c>
      <x:c r="AW67" s="89" t="n">
        <x:v>0.9848523975702892</x:v>
      </x:c>
      <x:c r="AX67" s="90" t="n">
        <x:v>2.2601046725500313</x:v>
      </x:c>
    </x:row>
    <x:row r="68">
      <x:c r="A68" s="83" t="str">
        <x:v>Louis-Hébert</x:v>
      </x:c>
      <x:c r="B68" s="84" t="str">
        <x:v>Québec RMR</x:v>
      </x:c>
      <x:c r="C68" s="84" t="str">
        <x:f>IF(MAX(D68:I68)=D68,"CAQ",IF(MAX(D68:I68)=E68,"PLQ",IF(MAX(D68:I68)=F68,"QS",IF(MAX(D68:I68)=G68,"PQ",IF(MAX(D68:I68)=H68,"PCQ","Autre")))))</x:f>
        <x:v>CAQ</x:v>
      </x:c>
      <x:c r="D68" s="85" t="n">
        <x:v>36447</x:v>
      </x:c>
      <x:c r="E68" s="85" t="n">
        <x:v>6721</x:v>
      </x:c>
      <x:c r="F68" s="85" t="n">
        <x:v>9288</x:v>
      </x:c>
      <x:c r="G68" s="85" t="n">
        <x:v>13334</x:v>
      </x:c>
      <x:c r="H68" s="85" t="n">
        <x:v>11278</x:v>
      </x:c>
      <x:c r="I68" s="85" t="n">
        <x:v>134</x:v>
      </x:c>
      <x:c r="J68" s="86" t="n">
        <x:f>SUM(D68:I68)</x:f>
        <x:v>77202</x:v>
      </x:c>
      <x:c r="K68" s="87" t="n">
        <x:f>IFERROR(D68/J68,0)</x:f>
        <x:v>0.472099168415326</x:v>
      </x:c>
      <x:c r="L68" s="87" t="n">
        <x:f>IFERROR(E68/J68,0)</x:f>
        <x:v>0.08705733012098132</x:v>
      </x:c>
      <x:c r="M68" s="87" t="n">
        <x:f>IFERROR(F68/J68,0)</x:f>
        <x:v>0.12030776404756353</x:v>
      </x:c>
      <x:c r="N68" s="87" t="n">
        <x:f>IFERROR(G68/J68,0)</x:f>
        <x:v>0.17271573275303748</x:v>
      </x:c>
      <x:c r="O68" s="87" t="n">
        <x:f>IFERROR(H68/J68,0)</x:f>
        <x:v>0.14608429833424005</x:v>
      </x:c>
      <x:c r="P68" s="87" t="n">
        <x:f>IFERROR(I68/J68,0)</x:f>
        <x:v>0.0017357063288515843</x:v>
      </x:c>
      <x:c r="Q68" s="86" t="n">
        <x:f>D68*INDEX('Régions'!$T$2:$Y$6,MATCH($B68,'Régions'!$A$2:$A$6,0),1)</x:f>
        <x:v>30331.323453451176</x:v>
      </x:c>
      <x:c r="R68" s="86" t="n">
        <x:f>E68*INDEX('Régions'!$T$2:$Y$6,MATCH($B68,'Régions'!$A$2:$A$6,0),2)</x:f>
        <x:v>8066.24636858476</x:v>
      </x:c>
      <x:c r="S68" s="86" t="n">
        <x:f>F68*INDEX('Régions'!$T$2:$Y$6,MATCH($B68,'Régions'!$A$2:$A$6,0),3)</x:f>
        <x:v>3684.6558130810113</x:v>
      </x:c>
      <x:c r="T68" s="86" t="n">
        <x:f>G68*INDEX('Régions'!$T$2:$Y$6,MATCH($B68,'Régions'!$A$2:$A$6,0),4)</x:f>
        <x:v>27221.82332939322</x:v>
      </x:c>
      <x:c r="U68" s="86" t="n">
        <x:f>H68*INDEX('Régions'!$T$2:$Y$6,MATCH($B68,'Régions'!$A$2:$A$6,0),5)</x:f>
        <x:v>11549.031263609904</x:v>
      </x:c>
      <x:c r="V68" s="86" t="n">
        <x:f>I68*INDEX('Régions'!$T$2:$Y$6,MATCH($B68,'Régions'!$A$2:$A$6,0),6)</x:f>
        <x:v>228.84298286090964</x:v>
      </x:c>
      <x:c r="W68" s="86" t="n">
        <x:f>MAX(0,Q68+(AU68/100)*J68*'Régions'!$O$2)</x:f>
        <x:v>32481.25247800332</x:v>
      </x:c>
      <x:c r="X68" s="86" t="n">
        <x:f>MAX(0,R68+(AV68/100)*J68*'Régions'!$O$2)</x:f>
        <x:v>6906.506864569161</x:v>
      </x:c>
      <x:c r="Y68" s="86" t="n">
        <x:f>MAX(0,S68+(AW68/100)*J68*'Régions'!$O$2)</x:f>
        <x:v>4284.845382385411</x:v>
      </x:c>
      <x:c r="Z68" s="86" t="n">
        <x:f>MAX(0,T68+(AX68/100)*J68*'Régions'!$O$2)</x:f>
        <x:v>28176.915526099958</x:v>
      </x:c>
      <x:c r="AA68" s="86" t="n">
        <x:f>U68</x:f>
        <x:v>11549.031263609904</x:v>
      </x:c>
      <x:c r="AB68" s="86" t="n">
        <x:f>V68</x:f>
        <x:v>228.84298286090964</x:v>
      </x:c>
      <x:c r="AC68" s="86" t="n">
        <x:f>D68*INDEX('Régions'!$Z$2:$AE$6,MATCH($B68,'Régions'!$A$2:$A$6,0),1)</x:f>
        <x:v>33111.69477001753</x:v>
      </x:c>
      <x:c r="AD68" s="86" t="n">
        <x:f>E68*INDEX('Régions'!$Z$2:$AE$6,MATCH($B68,'Régions'!$A$2:$A$6,0),2)</x:f>
        <x:v>11868.905370917575</x:v>
      </x:c>
      <x:c r="AE68" s="86" t="n">
        <x:f>F68*INDEX('Régions'!$Z$2:$AE$6,MATCH($B68,'Régions'!$A$2:$A$6,0),3)</x:f>
        <x:v>5711.216510275567</x:v>
      </x:c>
      <x:c r="AF68" s="86" t="n">
        <x:f>G68*INDEX('Régions'!$Z$2:$AE$6,MATCH($B68,'Régions'!$A$2:$A$6,0),4)</x:f>
        <x:v>30430.109650357426</x:v>
      </x:c>
      <x:c r="AG68" s="86" t="n">
        <x:f>H68*INDEX('Régions'!$Z$2:$AE$6,MATCH($B68,'Régions'!$A$2:$A$6,0),5)</x:f>
        <x:v>13281.385953151392</x:v>
      </x:c>
      <x:c r="AH68" s="86" t="n">
        <x:f>I68*INDEX('Régions'!$Z$2:$AE$6,MATCH($B68,'Régions'!$A$2:$A$6,0),6)</x:f>
        <x:v>984.0248263019115</x:v>
      </x:c>
      <x:c r="AI68" s="86" t="n">
        <x:f>D68*INDEX('Régions'!$AF$2:$AK$6,MATCH($B68,'Régions'!$A$2:$A$6,0),1)</x:f>
        <x:v>27550.95213688482</x:v>
      </x:c>
      <x:c r="AJ68" s="86" t="n">
        <x:f>E68*INDEX('Régions'!$AF$2:$AK$6,MATCH($B68,'Régions'!$A$2:$A$6,0),2)</x:f>
        <x:v>4263.587366251944</x:v>
      </x:c>
      <x:c r="AK68" s="86" t="n">
        <x:f>F68*INDEX('Régions'!$AF$2:$AK$6,MATCH($B68,'Régions'!$A$2:$A$6,0),3)</x:f>
        <x:v>1658.0951158864552</x:v>
      </x:c>
      <x:c r="AL68" s="86" t="n">
        <x:f>G68*INDEX('Régions'!$AF$2:$AK$6,MATCH($B68,'Régions'!$A$2:$A$6,0),4)</x:f>
        <x:v>24013.537008429023</x:v>
      </x:c>
      <x:c r="AM68" s="86" t="n">
        <x:f>H68*INDEX('Régions'!$AF$2:$AK$6,MATCH($B68,'Régions'!$A$2:$A$6,0),5)</x:f>
        <x:v>9816.676574068419</x:v>
      </x:c>
      <x:c r="AN68" s="86" t="n">
        <x:f>I68*INDEX('Régions'!$AF$2:$AK$6,MATCH($B68,'Régions'!$A$2:$A$6,0),6)</x:f>
        <x:v>0</x:v>
      </x:c>
      <x:c r="AO68" s="84" t="str">
        <x:f>IF(MAX(Q68:V68)=Q68,"CAQ",IF(MAX(Q68:V68)=R68,"PLQ",IF(MAX(Q68:V68)=S68,"QS",IF(MAX(Q68:V68)=T68,"PQ",IF(MAX(Q68:V68)=U68,"PCQ","Autre")))))</x:f>
        <x:v>CAQ</x:v>
      </x:c>
      <x:c r="AP68" s="84" t="str">
        <x:f>IF(MAX(W68:AB68)=W68,"CAQ",IF(MAX(W68:AB68)=X68,"PLQ",IF(MAX(W68:AB68)=Y68,"QS",IF(MAX(W68:AB68)=Z68,"PQ",IF(MAX(W68:AB68)=AA68,"PCQ","Autre")))))</x:f>
        <x:v>CAQ</x:v>
      </x:c>
      <x:c r="AQ68" s="84" t="str">
        <x:f>IF(MAX(AC68:AH68)=AC68,"CAQ",IF(MAX(AC68:AH68)=AD68,"PLQ",IF(MAX(AC68:AH68)=AE68,"QS",IF(MAX(AC68:AH68)=AF68,"PQ",IF(MAX(AC68:AH68)=AG68,"PCQ","Autre")))))</x:f>
        <x:v>CAQ</x:v>
      </x:c>
      <x:c r="AR68" s="84" t="str">
        <x:f>IF(MAX(AI68:AN68)=AI68,"CAQ",IF(MAX(AI68:AN68)=AJ68,"PLQ",IF(MAX(AI68:AN68)=AK68,"QS",IF(MAX(AI68:AN68)=AL68,"PQ",IF(MAX(AI68:AN68)=AM68,"PCQ","Autre")))))</x:f>
        <x:v>CAQ</x:v>
      </x:c>
      <x:c r="AS68" s="88" t="n">
        <x:f>(MAX(K68:P68)-LARGE(K68:P68,2))*100</x:f>
        <x:v>29.938343566228852</x:v>
      </x:c>
      <x:c r="AT68" s="84" t="str">
        <x:f>IF(AS68&lt;5,"Oui","Non")</x:f>
        <x:v>Non</x:v>
      </x:c>
      <x:c r="AU68" s="89" t="n">
        <x:v>5.569620021637123</x:v>
      </x:c>
      <x:c r="AV68" s="89" t="n">
        <x:v>-3.00442865214787</x:v>
      </x:c>
      <x:c r="AW68" s="89" t="n">
        <x:v>1.5548549760482866</x:v>
      </x:c>
      <x:c r="AX68" s="90" t="n">
        <x:v>2.4742680156129016</x:v>
      </x:c>
    </x:row>
    <x:row r="69">
      <x:c r="A69" s="83" t="str">
        <x:v>Marguerite-Bourgeoys</x:v>
      </x:c>
      <x:c r="B69" s="84" t="str">
        <x:v>Île de Montréal</x:v>
      </x:c>
      <x:c r="C69" s="84" t="str">
        <x:f>IF(MAX(D69:I69)=D69,"CAQ",IF(MAX(D69:I69)=E69,"PLQ",IF(MAX(D69:I69)=F69,"QS",IF(MAX(D69:I69)=G69,"PQ",IF(MAX(D69:I69)=H69,"PCQ","Autre")))))</x:f>
        <x:v>PLQ</x:v>
      </x:c>
      <x:c r="D69" s="85" t="n">
        <x:v>13198</x:v>
      </x:c>
      <x:c r="E69" s="85" t="n">
        <x:v>25525</x:v>
      </x:c>
      <x:c r="F69" s="85" t="n">
        <x:v>5854</x:v>
      </x:c>
      <x:c r="G69" s="85" t="n">
        <x:v>4798</x:v>
      </x:c>
      <x:c r="H69" s="85" t="n">
        <x:v>6269</x:v>
      </x:c>
      <x:c r="I69" s="85" t="n">
        <x:v>1357</x:v>
      </x:c>
      <x:c r="J69" s="86" t="n">
        <x:f>SUM(D69:I69)</x:f>
        <x:v>57001</x:v>
      </x:c>
      <x:c r="K69" s="87" t="n">
        <x:f>IFERROR(D69/J69,0)</x:f>
        <x:v>0.23153979754741144</x:v>
      </x:c>
      <x:c r="L69" s="87" t="n">
        <x:f>IFERROR(E69/J69,0)</x:f>
        <x:v>0.44779916141822074</x:v>
      </x:c>
      <x:c r="M69" s="87" t="n">
        <x:f>IFERROR(F69/J69,0)</x:f>
        <x:v>0.10269995263240995</x:v>
      </x:c>
      <x:c r="N69" s="87" t="n">
        <x:f>IFERROR(G69/J69,0)</x:f>
        <x:v>0.08417396186031824</x:v>
      </x:c>
      <x:c r="O69" s="87" t="n">
        <x:f>IFERROR(H69/J69,0)</x:f>
        <x:v>0.10998052665742707</x:v>
      </x:c>
      <x:c r="P69" s="87" t="n">
        <x:f>IFERROR(I69/J69,0)</x:f>
        <x:v>0.02380659988421256</x:v>
      </x:c>
      <x:c r="Q69" s="86" t="n">
        <x:f>D69*INDEX('Régions'!$T$2:$Y$6,MATCH($B69,'Régions'!$A$2:$A$6,0),1)</x:f>
        <x:v>9885.137855034605</x:v>
      </x:c>
      <x:c r="R69" s="86" t="n">
        <x:f>E69*INDEX('Régions'!$T$2:$Y$6,MATCH($B69,'Régions'!$A$2:$A$6,0),2)</x:f>
        <x:v>25433.290421317633</x:v>
      </x:c>
      <x:c r="S69" s="86" t="n">
        <x:f>F69*INDEX('Régions'!$T$2:$Y$6,MATCH($B69,'Régions'!$A$2:$A$6,0),3)</x:f>
        <x:v>4512.181312015291</x:v>
      </x:c>
      <x:c r="T69" s="86" t="n">
        <x:f>G69*INDEX('Régions'!$T$2:$Y$6,MATCH($B69,'Régions'!$A$2:$A$6,0),4)</x:f>
        <x:v>9282.304487071877</x:v>
      </x:c>
      <x:c r="U69" s="86" t="n">
        <x:f>H69*INDEX('Régions'!$T$2:$Y$6,MATCH($B69,'Régions'!$A$2:$A$6,0),5)</x:f>
        <x:v>4996.786515267489</x:v>
      </x:c>
      <x:c r="V69" s="86" t="n">
        <x:f>I69*INDEX('Régions'!$T$2:$Y$6,MATCH($B69,'Régions'!$A$2:$A$6,0),6)</x:f>
        <x:v>2006.5560174623292</x:v>
      </x:c>
      <x:c r="W69" s="86" t="n">
        <x:f>MAX(0,Q69+(AU69/100)*J69*'Régions'!$O$2)</x:f>
        <x:v>9267.439503356942</x:v>
      </x:c>
      <x:c r="X69" s="86" t="n">
        <x:f>MAX(0,R69+(AV69/100)*J69*'Régions'!$O$2)</x:f>
        <x:v>25292.995817705556</x:v>
      </x:c>
      <x:c r="Y69" s="86" t="n">
        <x:f>MAX(0,S69+(AW69/100)*J69*'Régions'!$O$2)</x:f>
        <x:v>4234.2800736785375</x:v>
      </x:c>
      <x:c r="Z69" s="86" t="n">
        <x:f>MAX(0,T69+(AX69/100)*J69*'Régions'!$O$2)</x:f>
        <x:v>9304.859113675813</x:v>
      </x:c>
      <x:c r="AA69" s="86" t="n">
        <x:f>U69</x:f>
        <x:v>4996.786515267489</x:v>
      </x:c>
      <x:c r="AB69" s="86" t="n">
        <x:f>V69</x:f>
        <x:v>2006.5560174623292</x:v>
      </x:c>
      <x:c r="AC69" s="86" t="n">
        <x:f>D69*INDEX('Régions'!$Z$2:$AE$6,MATCH($B69,'Régions'!$A$2:$A$6,0),1)</x:f>
        <x:v>12059.868183142218</x:v>
      </x:c>
      <x:c r="AD69" s="86" t="n">
        <x:f>E69*INDEX('Régions'!$Z$2:$AE$6,MATCH($B69,'Régions'!$A$2:$A$6,0),2)</x:f>
        <x:v>27901.81566809258</x:v>
      </x:c>
      <x:c r="AE69" s="86" t="n">
        <x:f>F69*INDEX('Régions'!$Z$2:$AE$6,MATCH($B69,'Régions'!$A$2:$A$6,0),3)</x:f>
        <x:v>5388.075331406496</x:v>
      </x:c>
      <x:c r="AF69" s="86" t="n">
        <x:f>G69*INDEX('Régions'!$Z$2:$AE$6,MATCH($B69,'Régions'!$A$2:$A$6,0),4)</x:f>
        <x:v>10558.62135404426</x:v>
      </x:c>
      <x:c r="AG69" s="86" t="n">
        <x:f>H69*INDEX('Régions'!$Z$2:$AE$6,MATCH($B69,'Régions'!$A$2:$A$6,0),5)</x:f>
        <x:v>7057.96095281533</x:v>
      </x:c>
      <x:c r="AH69" s="86" t="n">
        <x:f>I69*INDEX('Régions'!$Z$2:$AE$6,MATCH($B69,'Régions'!$A$2:$A$6,0),6)</x:f>
        <x:v>5317.373446275173</x:v>
      </x:c>
      <x:c r="AI69" s="86" t="n">
        <x:f>D69*INDEX('Régions'!$AF$2:$AK$6,MATCH($B69,'Régions'!$A$2:$A$6,0),1)</x:f>
        <x:v>7710.4075269269915</x:v>
      </x:c>
      <x:c r="AJ69" s="86" t="n">
        <x:f>E69*INDEX('Régions'!$AF$2:$AK$6,MATCH($B69,'Régions'!$A$2:$A$6,0),2)</x:f>
        <x:v>22964.765174542685</x:v>
      </x:c>
      <x:c r="AK69" s="86" t="n">
        <x:f>F69*INDEX('Régions'!$AF$2:$AK$6,MATCH($B69,'Régions'!$A$2:$A$6,0),3)</x:f>
        <x:v>3636.2872926240875</x:v>
      </x:c>
      <x:c r="AL69" s="86" t="n">
        <x:f>G69*INDEX('Régions'!$AF$2:$AK$6,MATCH($B69,'Régions'!$A$2:$A$6,0),4)</x:f>
        <x:v>8005.987620099493</x:v>
      </x:c>
      <x:c r="AM69" s="86" t="n">
        <x:f>H69*INDEX('Régions'!$AF$2:$AK$6,MATCH($B69,'Régions'!$A$2:$A$6,0),5)</x:f>
        <x:v>2935.61207771965</x:v>
      </x:c>
      <x:c r="AN69" s="86" t="n">
        <x:f>I69*INDEX('Régions'!$AF$2:$AK$6,MATCH($B69,'Régions'!$A$2:$A$6,0),6)</x:f>
        <x:v>0</x:v>
      </x:c>
      <x:c r="AO69" s="84" t="str">
        <x:f>IF(MAX(Q69:V69)=Q69,"CAQ",IF(MAX(Q69:V69)=R69,"PLQ",IF(MAX(Q69:V69)=S69,"QS",IF(MAX(Q69:V69)=T69,"PQ",IF(MAX(Q69:V69)=U69,"PCQ","Autre")))))</x:f>
        <x:v>PLQ</x:v>
      </x:c>
      <x:c r="AP69" s="84" t="str">
        <x:f>IF(MAX(W69:AB69)=W69,"CAQ",IF(MAX(W69:AB69)=X69,"PLQ",IF(MAX(W69:AB69)=Y69,"QS",IF(MAX(W69:AB69)=Z69,"PQ",IF(MAX(W69:AB69)=AA69,"PCQ","Autre")))))</x:f>
        <x:v>PLQ</x:v>
      </x:c>
      <x:c r="AQ69" s="84" t="str">
        <x:f>IF(MAX(AC69:AH69)=AC69,"CAQ",IF(MAX(AC69:AH69)=AD69,"PLQ",IF(MAX(AC69:AH69)=AE69,"QS",IF(MAX(AC69:AH69)=AF69,"PQ",IF(MAX(AC69:AH69)=AG69,"PCQ","Autre")))))</x:f>
        <x:v>PLQ</x:v>
      </x:c>
      <x:c r="AR69" s="84" t="str">
        <x:f>IF(MAX(AI69:AN69)=AI69,"CAQ",IF(MAX(AI69:AN69)=AJ69,"PLQ",IF(MAX(AI69:AN69)=AK69,"QS",IF(MAX(AI69:AN69)=AL69,"PQ",IF(MAX(AI69:AN69)=AM69,"PCQ","Autre")))))</x:f>
        <x:v>PLQ</x:v>
      </x:c>
      <x:c r="AS69" s="88" t="n">
        <x:f>(MAX(K69:P69)-LARGE(K69:P69,2))*100</x:f>
        <x:v>21.62593638708093</x:v>
      </x:c>
      <x:c r="AT69" s="84" t="str">
        <x:f>IF(AS69&lt;5,"Oui","Non")</x:f>
        <x:v>Non</x:v>
      </x:c>
      <x:c r="AU69" s="89" t="n">
        <x:v>-2.1673246142266374</x:v>
      </x:c>
      <x:c r="AV69" s="89" t="n">
        <x:v>-0.4922531310400824</x:v>
      </x:c>
      <x:c r="AW69" s="89" t="n">
        <x:v>-0.9750749577612807</x:v>
      </x:c>
      <x:c r="AX69" s="90" t="n">
        <x:v>0.07913765233570069</x:v>
      </x:c>
    </x:row>
    <x:row r="70">
      <x:c r="A70" s="83" t="str">
        <x:v>Marie-Lacoste-Gérin-Lajoie</x:v>
      </x:c>
      <x:c r="B70" s="84" t="str">
        <x:v>Reste du Québec</x:v>
      </x:c>
      <x:c r="C70" s="84" t="str">
        <x:f>IF(MAX(D70:I70)=D70,"CAQ",IF(MAX(D70:I70)=E70,"PLQ",IF(MAX(D70:I70)=F70,"QS",IF(MAX(D70:I70)=G70,"PQ",IF(MAX(D70:I70)=H70,"PCQ","Autre")))))</x:f>
        <x:v>CAQ</x:v>
      </x:c>
      <x:c r="D70" s="85" t="n">
        <x:v>32180</x:v>
      </x:c>
      <x:c r="E70" s="85" t="n">
        <x:v>2216</x:v>
      </x:c>
      <x:c r="F70" s="85" t="n">
        <x:v>8284</x:v>
      </x:c>
      <x:c r="G70" s="85" t="n">
        <x:v>9008</x:v>
      </x:c>
      <x:c r="H70" s="85" t="n">
        <x:v>9598</x:v>
      </x:c>
      <x:c r="I70" s="85" t="n">
        <x:v>372</x:v>
      </x:c>
      <x:c r="J70" s="86" t="n">
        <x:f>SUM(D70:I70)</x:f>
        <x:v>61658</x:v>
      </x:c>
      <x:c r="K70" s="87" t="n">
        <x:f>IFERROR(D70/J70,0)</x:f>
        <x:v>0.5219111875182458</x:v>
      </x:c>
      <x:c r="L70" s="87" t="n">
        <x:f>IFERROR(E70/J70,0)</x:f>
        <x:v>0.03594018618832917</x:v>
      </x:c>
      <x:c r="M70" s="87" t="n">
        <x:f>IFERROR(F70/J70,0)</x:f>
        <x:v>0.13435401732135327</x:v>
      </x:c>
      <x:c r="N70" s="87" t="n">
        <x:f>IFERROR(G70/J70,0)</x:f>
        <x:v>0.14609620811573518</x:v>
      </x:c>
      <x:c r="O70" s="87" t="n">
        <x:f>IFERROR(H70/J70,0)</x:f>
        <x:v>0.1556651205034221</x:v>
      </x:c>
      <x:c r="P70" s="87" t="n">
        <x:f>IFERROR(I70/J70,0)</x:f>
        <x:v>0.0060332803529144635</x:v>
      </x:c>
      <x:c r="Q70" s="86" t="n">
        <x:f>D70*INDEX('Régions'!$T$2:$Y$6,MATCH($B70,'Régions'!$A$2:$A$6,0),1)</x:f>
        <x:v>18995.495551816315</x:v>
      </x:c>
      <x:c r="R70" s="86" t="n">
        <x:f>E70*INDEX('Régions'!$T$2:$Y$6,MATCH($B70,'Régions'!$A$2:$A$6,0),2)</x:f>
        <x:v>5070.767200051082</x:v>
      </x:c>
      <x:c r="S70" s="86" t="n">
        <x:f>F70*INDEX('Régions'!$T$2:$Y$6,MATCH($B70,'Régions'!$A$2:$A$6,0),3)</x:f>
        <x:v>4974.613137268045</x:v>
      </x:c>
      <x:c r="T70" s="86" t="n">
        <x:f>G70*INDEX('Régions'!$T$2:$Y$6,MATCH($B70,'Régions'!$A$2:$A$6,0),4)</x:f>
        <x:v>15604.480434266161</x:v>
      </x:c>
      <x:c r="U70" s="86" t="n">
        <x:f>H70*INDEX('Régions'!$T$2:$Y$6,MATCH($B70,'Régions'!$A$2:$A$6,0),5)</x:f>
        <x:v>10820.211611311912</x:v>
      </x:c>
      <x:c r="V70" s="86" t="n">
        <x:f>I70*INDEX('Régions'!$T$2:$Y$6,MATCH($B70,'Régions'!$A$2:$A$6,0),6)</x:f>
        <x:v>863.6204528783288</x:v>
      </x:c>
      <x:c r="W70" s="86" t="n">
        <x:f>MAX(0,Q70+(AU70/100)*J70*'Régions'!$O$2)</x:f>
        <x:v>16844.717930235314</x:v>
      </x:c>
      <x:c r="X70" s="86" t="n">
        <x:f>MAX(0,R70+(AV70/100)*J70*'Régions'!$O$2)</x:f>
        <x:v>6659.263911135913</x:v>
      </x:c>
      <x:c r="Y70" s="86" t="n">
        <x:f>MAX(0,S70+(AW70/100)*J70*'Régions'!$O$2)</x:f>
        <x:v>4070.2583289244303</x:v>
      </x:c>
      <x:c r="Z70" s="86" t="n">
        <x:f>MAX(0,T70+(AX70/100)*J70*'Régions'!$O$2)</x:f>
        <x:v>16954.82338302004</x:v>
      </x:c>
      <x:c r="AA70" s="86" t="n">
        <x:f>U70</x:f>
        <x:v>10820.211611311912</x:v>
      </x:c>
      <x:c r="AB70" s="86" t="n">
        <x:f>V70</x:f>
        <x:v>863.6204528783288</x:v>
      </x:c>
      <x:c r="AC70" s="86" t="n">
        <x:f>D70*INDEX('Régions'!$Z$2:$AE$6,MATCH($B70,'Régions'!$A$2:$A$6,0),1)</x:f>
        <x:v>21234.250384708954</x:v>
      </x:c>
      <x:c r="AD70" s="86" t="n">
        <x:f>E70*INDEX('Régions'!$Z$2:$AE$6,MATCH($B70,'Régions'!$A$2:$A$6,0),2)</x:f>
        <x:v>6116.612935061618</x:v>
      </x:c>
      <x:c r="AE70" s="86" t="n">
        <x:f>F70*INDEX('Régions'!$Z$2:$AE$6,MATCH($B70,'Régions'!$A$2:$A$6,0),3)</x:f>
        <x:v>7026.641056391114</x:v>
      </x:c>
      <x:c r="AF70" s="86" t="n">
        <x:f>G70*INDEX('Régions'!$Z$2:$AE$6,MATCH($B70,'Régions'!$A$2:$A$6,0),4)</x:f>
        <x:v>17380.162690579204</x:v>
      </x:c>
      <x:c r="AG70" s="86" t="n">
        <x:f>H70*INDEX('Régions'!$Z$2:$AE$6,MATCH($B70,'Régions'!$A$2:$A$6,0),5)</x:f>
        <x:v>12920.605629978341</x:v>
      </x:c>
      <x:c r="AH70" s="86" t="n">
        <x:f>I70*INDEX('Régions'!$Z$2:$AE$6,MATCH($B70,'Régions'!$A$2:$A$6,0),6)</x:f>
        <x:v>3713.567947376814</x:v>
      </x:c>
      <x:c r="AI70" s="86" t="n">
        <x:f>D70*INDEX('Régions'!$AF$2:$AK$6,MATCH($B70,'Régions'!$A$2:$A$6,0),1)</x:f>
        <x:v>16756.740718923676</x:v>
      </x:c>
      <x:c r="AJ70" s="86" t="n">
        <x:f>E70*INDEX('Régions'!$AF$2:$AK$6,MATCH($B70,'Régions'!$A$2:$A$6,0),2)</x:f>
        <x:v>4024.9214650405465</x:v>
      </x:c>
      <x:c r="AK70" s="86" t="n">
        <x:f>F70*INDEX('Régions'!$AF$2:$AK$6,MATCH($B70,'Régions'!$A$2:$A$6,0),3)</x:f>
        <x:v>2922.5852181449764</x:v>
      </x:c>
      <x:c r="AL70" s="86" t="n">
        <x:f>G70*INDEX('Régions'!$AF$2:$AK$6,MATCH($B70,'Régions'!$A$2:$A$6,0),4)</x:f>
        <x:v>13828.798177953116</x:v>
      </x:c>
      <x:c r="AM70" s="86" t="n">
        <x:f>H70*INDEX('Régions'!$AF$2:$AK$6,MATCH($B70,'Régions'!$A$2:$A$6,0),5)</x:f>
        <x:v>8719.81759264548</x:v>
      </x:c>
      <x:c r="AN70" s="86" t="n">
        <x:f>I70*INDEX('Régions'!$AF$2:$AK$6,MATCH($B70,'Régions'!$A$2:$A$6,0),6)</x:f>
        <x:v>0</x:v>
      </x:c>
      <x:c r="AO70" s="84" t="str">
        <x:f>IF(MAX(Q70:V70)=Q70,"CAQ",IF(MAX(Q70:V70)=R70,"PLQ",IF(MAX(Q70:V70)=S70,"QS",IF(MAX(Q70:V70)=T70,"PQ",IF(MAX(Q70:V70)=U70,"PCQ","Autre")))))</x:f>
        <x:v>CAQ</x:v>
      </x:c>
      <x:c r="AP70" s="84" t="str">
        <x:f>IF(MAX(W70:AB70)=W70,"CAQ",IF(MAX(W70:AB70)=X70,"PLQ",IF(MAX(W70:AB70)=Y70,"QS",IF(MAX(W70:AB70)=Z70,"PQ",IF(MAX(W70:AB70)=AA70,"PCQ","Autre")))))</x:f>
        <x:v>PQ</x:v>
      </x:c>
      <x:c r="AQ70" s="84" t="str">
        <x:f>IF(MAX(AC70:AH70)=AC70,"CAQ",IF(MAX(AC70:AH70)=AD70,"PLQ",IF(MAX(AC70:AH70)=AE70,"QS",IF(MAX(AC70:AH70)=AF70,"PQ",IF(MAX(AC70:AH70)=AG70,"PCQ","Autre")))))</x:f>
        <x:v>CAQ</x:v>
      </x:c>
      <x:c r="AR70" s="84" t="str">
        <x:f>IF(MAX(AI70:AN70)=AI70,"CAQ",IF(MAX(AI70:AN70)=AJ70,"PLQ",IF(MAX(AI70:AN70)=AK70,"QS",IF(MAX(AI70:AN70)=AL70,"PQ",IF(MAX(AI70:AN70)=AM70,"PCQ","Autre")))))</x:f>
        <x:v>CAQ</x:v>
      </x:c>
      <x:c r="AS70" s="88" t="n">
        <x:f>(MAX(K70:P70)-LARGE(K70:P70,2))*100</x:f>
        <x:v>36.62460670148238</x:v>
      </x:c>
      <x:c r="AT70" s="84" t="str">
        <x:f>IF(AS70&lt;5,"Oui","Non")</x:f>
        <x:v>Non</x:v>
      </x:c>
      <x:c r="AU70" s="89" t="n">
        <x:v>-6.976475466544491</x:v>
      </x:c>
      <x:c r="AV70" s="89" t="n">
        <x:v>5.1526053750845975</x:v>
      </x:c>
      <x:c r="AW70" s="89" t="n">
        <x:v>-2.9334548909909968</x:v>
      </x:c>
      <x:c r="AX70" s="90" t="n">
        <x:v>4.380106227103956</x:v>
      </x:c>
    </x:row>
    <x:row r="71">
      <x:c r="A71" s="83" t="str">
        <x:v>Marie-Victorin</x:v>
      </x:c>
      <x:c r="B71" s="84" t="str">
        <x:v>Banlieue de Montréal</x:v>
      </x:c>
      <x:c r="C71" s="84" t="str">
        <x:f>IF(MAX(D71:I71)=D71,"CAQ",IF(MAX(D71:I71)=E71,"PLQ",IF(MAX(D71:I71)=F71,"QS",IF(MAX(D71:I71)=G71,"PQ",IF(MAX(D71:I71)=H71,"PCQ","Autre")))))</x:f>
        <x:v>CAQ</x:v>
      </x:c>
      <x:c r="D71" s="85" t="n">
        <x:v>17826</x:v>
      </x:c>
      <x:c r="E71" s="85" t="n">
        <x:v>5405</x:v>
      </x:c>
      <x:c r="F71" s="85" t="n">
        <x:v>12204</x:v>
      </x:c>
      <x:c r="G71" s="85" t="n">
        <x:v>13973</x:v>
      </x:c>
      <x:c r="H71" s="85" t="n">
        <x:v>3777</x:v>
      </x:c>
      <x:c r="I71" s="85" t="n">
        <x:v>648</x:v>
      </x:c>
      <x:c r="J71" s="86" t="n">
        <x:f>SUM(D71:I71)</x:f>
        <x:v>53833</x:v>
      </x:c>
      <x:c r="K71" s="87" t="n">
        <x:f>IFERROR(D71/J71,0)</x:f>
        <x:v>0.33113517730759945</x:v>
      </x:c>
      <x:c r="L71" s="87" t="n">
        <x:f>IFERROR(E71/J71,0)</x:f>
        <x:v>0.10040309847119797</x:v>
      </x:c>
      <x:c r="M71" s="87" t="n">
        <x:f>IFERROR(F71/J71,0)</x:f>
        <x:v>0.22670109412442183</x:v>
      </x:c>
      <x:c r="N71" s="87" t="n">
        <x:f>IFERROR(G71/J71,0)</x:f>
        <x:v>0.2595619787119425</x:v>
      </x:c>
      <x:c r="O71" s="87" t="n">
        <x:f>IFERROR(H71/J71,0)</x:f>
        <x:v>0.07016142514814333</x:v>
      </x:c>
      <x:c r="P71" s="87" t="n">
        <x:f>IFERROR(I71/J71,0)</x:f>
        <x:v>0.012037226236694964</x:v>
      </x:c>
      <x:c r="Q71" s="86" t="n">
        <x:f>D71*INDEX('Régions'!$T$2:$Y$6,MATCH($B71,'Régions'!$A$2:$A$6,0),1)</x:f>
        <x:v>12602.791029457034</x:v>
      </x:c>
      <x:c r="R71" s="86" t="n">
        <x:f>E71*INDEX('Régions'!$T$2:$Y$6,MATCH($B71,'Régions'!$A$2:$A$6,0),2)</x:f>
        <x:v>6914.39808230594</x:v>
      </x:c>
      <x:c r="S71" s="86" t="n">
        <x:f>F71*INDEX('Régions'!$T$2:$Y$6,MATCH($B71,'Régions'!$A$2:$A$6,0),3)</x:f>
        <x:v>6164.285833963768</x:v>
      </x:c>
      <x:c r="T71" s="86" t="n">
        <x:f>G71*INDEX('Régions'!$T$2:$Y$6,MATCH($B71,'Régions'!$A$2:$A$6,0),4)</x:f>
        <x:v>26054.06009504395</x:v>
      </x:c>
      <x:c r="U71" s="86" t="n">
        <x:f>H71*INDEX('Régions'!$T$2:$Y$6,MATCH($B71,'Régions'!$A$2:$A$6,0),5)</x:f>
        <x:v>4420.35684260094</x:v>
      </x:c>
      <x:c r="V71" s="86" t="n">
        <x:f>I71*INDEX('Régions'!$T$2:$Y$6,MATCH($B71,'Régions'!$A$2:$A$6,0),6)</x:f>
        <x:v>1391.2850292484266</x:v>
      </x:c>
      <x:c r="W71" s="86" t="n">
        <x:f>MAX(0,Q71+(AU71/100)*J71*'Régions'!$O$2)</x:f>
        <x:v>13069.524315227667</x:v>
      </x:c>
      <x:c r="X71" s="86" t="n">
        <x:f>MAX(0,R71+(AV71/100)*J71*'Régions'!$O$2)</x:f>
        <x:v>7258.760743824532</x:v>
      </x:c>
      <x:c r="Y71" s="86" t="n">
        <x:f>MAX(0,S71+(AW71/100)*J71*'Régions'!$O$2)</x:f>
        <x:v>6622.978228095708</x:v>
      </x:c>
      <x:c r="Z71" s="86" t="n">
        <x:f>MAX(0,T71+(AX71/100)*J71*'Régions'!$O$2)</x:f>
        <x:v>25410.193913966676</x:v>
      </x:c>
      <x:c r="AA71" s="86" t="n">
        <x:f>U71</x:f>
        <x:v>4420.35684260094</x:v>
      </x:c>
      <x:c r="AB71" s="86" t="n">
        <x:f>V71</x:f>
        <x:v>1391.2850292484266</x:v>
      </x:c>
      <x:c r="AC71" s="86" t="n">
        <x:f>D71*INDEX('Régions'!$Z$2:$AE$6,MATCH($B71,'Régions'!$A$2:$A$6,0),1)</x:f>
        <x:v>13902.453854369789</x:v>
      </x:c>
      <x:c r="AD71" s="86" t="n">
        <x:f>E71*INDEX('Régions'!$Z$2:$AE$6,MATCH($B71,'Régions'!$A$2:$A$6,0),2)</x:f>
        <x:v>8182.037730728695</x:v>
      </x:c>
      <x:c r="AE71" s="86" t="n">
        <x:f>F71*INDEX('Régions'!$Z$2:$AE$6,MATCH($B71,'Régions'!$A$2:$A$6,0),3)</x:f>
        <x:v>9070.306298546688</x:v>
      </x:c>
      <x:c r="AF71" s="86" t="n">
        <x:f>G71*INDEX('Régions'!$Z$2:$AE$6,MATCH($B71,'Régions'!$A$2:$A$6,0),4)</x:f>
        <x:v>28920.00670549878</x:v>
      </x:c>
      <x:c r="AG71" s="86" t="n">
        <x:f>H71*INDEX('Régions'!$Z$2:$AE$6,MATCH($B71,'Régions'!$A$2:$A$6,0),5)</x:f>
        <x:v>5635.954974316198</x:v>
      </x:c>
      <x:c r="AH71" s="86" t="n">
        <x:f>I71*INDEX('Régions'!$Z$2:$AE$6,MATCH($B71,'Régions'!$A$2:$A$6,0),6)</x:f>
        <x:v>5982.525625768234</x:v>
      </x:c>
      <x:c r="AI71" s="86" t="n">
        <x:f>D71*INDEX('Régions'!$AF$2:$AK$6,MATCH($B71,'Régions'!$A$2:$A$6,0),1)</x:f>
        <x:v>11303.128204544277</x:v>
      </x:c>
      <x:c r="AJ71" s="86" t="n">
        <x:f>E71*INDEX('Régions'!$AF$2:$AK$6,MATCH($B71,'Régions'!$A$2:$A$6,0),2)</x:f>
        <x:v>5646.758433883184</x:v>
      </x:c>
      <x:c r="AK71" s="86" t="n">
        <x:f>F71*INDEX('Régions'!$AF$2:$AK$6,MATCH($B71,'Régions'!$A$2:$A$6,0),3)</x:f>
        <x:v>3258.265369380849</x:v>
      </x:c>
      <x:c r="AL71" s="86" t="n">
        <x:f>G71*INDEX('Régions'!$AF$2:$AK$6,MATCH($B71,'Régions'!$A$2:$A$6,0),4)</x:f>
        <x:v>23188.113484589117</x:v>
      </x:c>
      <x:c r="AM71" s="86" t="n">
        <x:f>H71*INDEX('Régions'!$AF$2:$AK$6,MATCH($B71,'Régions'!$A$2:$A$6,0),5)</x:f>
        <x:v>3204.7587108856806</x:v>
      </x:c>
      <x:c r="AN71" s="86" t="n">
        <x:f>I71*INDEX('Régions'!$AF$2:$AK$6,MATCH($B71,'Régions'!$A$2:$A$6,0),6)</x:f>
        <x:v>0</x:v>
      </x:c>
      <x:c r="AO71" s="84" t="str">
        <x:f>IF(MAX(Q71:V71)=Q71,"CAQ",IF(MAX(Q71:V71)=R71,"PLQ",IF(MAX(Q71:V71)=S71,"QS",IF(MAX(Q71:V71)=T71,"PQ",IF(MAX(Q71:V71)=U71,"PCQ","Autre")))))</x:f>
        <x:v>PQ</x:v>
      </x:c>
      <x:c r="AP71" s="84" t="str">
        <x:f>IF(MAX(W71:AB71)=W71,"CAQ",IF(MAX(W71:AB71)=X71,"PLQ",IF(MAX(W71:AB71)=Y71,"QS",IF(MAX(W71:AB71)=Z71,"PQ",IF(MAX(W71:AB71)=AA71,"PCQ","Autre")))))</x:f>
        <x:v>PQ</x:v>
      </x:c>
      <x:c r="AQ71" s="84" t="str">
        <x:f>IF(MAX(AC71:AH71)=AC71,"CAQ",IF(MAX(AC71:AH71)=AD71,"PLQ",IF(MAX(AC71:AH71)=AE71,"QS",IF(MAX(AC71:AH71)=AF71,"PQ",IF(MAX(AC71:AH71)=AG71,"PCQ","Autre")))))</x:f>
        <x:v>PQ</x:v>
      </x:c>
      <x:c r="AR71" s="84" t="str">
        <x:f>IF(MAX(AI71:AN71)=AI71,"CAQ",IF(MAX(AI71:AN71)=AJ71,"PLQ",IF(MAX(AI71:AN71)=AK71,"QS",IF(MAX(AI71:AN71)=AL71,"PQ",IF(MAX(AI71:AN71)=AM71,"PCQ","Autre")))))</x:f>
        <x:v>PQ</x:v>
      </x:c>
      <x:c r="AS71" s="88" t="n">
        <x:f>(MAX(K71:P71)-LARGE(K71:P71,2))*100</x:f>
        <x:v>7.157319859565697</x:v>
      </x:c>
      <x:c r="AT71" s="84" t="str">
        <x:f>IF(AS71&lt;5,"Oui","Non")</x:f>
        <x:v>Non</x:v>
      </x:c>
      <x:c r="AU71" s="89" t="n">
        <x:v>1.7340043682151585</x:v>
      </x:c>
      <x:c r="AV71" s="89" t="n">
        <x:v>1.2793738469659588</x:v>
      </x:c>
      <x:c r="AW71" s="89" t="n">
        <x:v>1.704130901610315</x:v>
      </x:c>
      <x:c r="AX71" s="90" t="n">
        <x:v>-2.3920873110444414</x:v>
      </x:c>
    </x:row>
    <x:row r="72">
      <x:c r="A72" s="83" t="str">
        <x:v>Marquette</x:v>
      </x:c>
      <x:c r="B72" s="84" t="str">
        <x:v>Île de Montréal</x:v>
      </x:c>
      <x:c r="C72" s="84" t="str">
        <x:f>IF(MAX(D72:I72)=D72,"CAQ",IF(MAX(D72:I72)=E72,"PLQ",IF(MAX(D72:I72)=F72,"QS",IF(MAX(D72:I72)=G72,"PQ",IF(MAX(D72:I72)=H72,"PCQ","Autre")))))</x:f>
        <x:v>PLQ</x:v>
      </x:c>
      <x:c r="D72" s="85" t="n">
        <x:v>11403</x:v>
      </x:c>
      <x:c r="E72" s="85" t="n">
        <x:v>24423</x:v>
      </x:c>
      <x:c r="F72" s="85" t="n">
        <x:v>5891</x:v>
      </x:c>
      <x:c r="G72" s="85" t="n">
        <x:v>5572</x:v>
      </x:c>
      <x:c r="H72" s="85" t="n">
        <x:v>4773</x:v>
      </x:c>
      <x:c r="I72" s="85" t="n">
        <x:v>199</x:v>
      </x:c>
      <x:c r="J72" s="86" t="n">
        <x:f>SUM(D72:I72)</x:f>
        <x:v>52261</x:v>
      </x:c>
      <x:c r="K72" s="87" t="n">
        <x:f>IFERROR(D72/J72,0)</x:f>
        <x:v>0.21819329901838846</x:v>
      </x:c>
      <x:c r="L72" s="87" t="n">
        <x:f>IFERROR(E72/J72,0)</x:f>
        <x:v>0.46732745259371233</x:v>
      </x:c>
      <x:c r="M72" s="87" t="n">
        <x:f>IFERROR(F72/J72,0)</x:f>
        <x:v>0.11272268039264462</x:v>
      </x:c>
      <x:c r="N72" s="87" t="n">
        <x:f>IFERROR(G72/J72,0)</x:f>
        <x:v>0.10661870228277301</x:v>
      </x:c>
      <x:c r="O72" s="87" t="n">
        <x:f>IFERROR(H72/J72,0)</x:f>
        <x:v>0.09133005491666826</x:v>
      </x:c>
      <x:c r="P72" s="87" t="n">
        <x:f>IFERROR(I72/J72,0)</x:f>
        <x:v>0.0038078107958133215</x:v>
      </x:c>
      <x:c r="Q72" s="86" t="n">
        <x:f>D72*INDEX('Régions'!$T$2:$Y$6,MATCH($B72,'Régions'!$A$2:$A$6,0),1)</x:f>
        <x:v>8540.70517964537</x:v>
      </x:c>
      <x:c r="R72" s="86" t="n">
        <x:f>E72*INDEX('Régions'!$T$2:$Y$6,MATCH($B72,'Régions'!$A$2:$A$6,0),2)</x:f>
        <x:v>24335.249831923233</x:v>
      </x:c>
      <x:c r="S72" s="86" t="n">
        <x:f>F72*INDEX('Régions'!$T$2:$Y$6,MATCH($B72,'Régions'!$A$2:$A$6,0),3)</x:f>
        <x:v>4540.70039444518</x:v>
      </x:c>
      <x:c r="T72" s="86" t="n">
        <x:f>G72*INDEX('Régions'!$T$2:$Y$6,MATCH($B72,'Régions'!$A$2:$A$6,0),4)</x:f>
        <x:v>10779.70000040944</x:v>
      </x:c>
      <x:c r="U72" s="86" t="n">
        <x:f>H72*INDEX('Régions'!$T$2:$Y$6,MATCH($B72,'Régions'!$A$2:$A$6,0),5)</x:f>
        <x:v>3804.3806089283344</x:v>
      </x:c>
      <x:c r="V72" s="86" t="n">
        <x:f>I72*INDEX('Régions'!$T$2:$Y$6,MATCH($B72,'Régions'!$A$2:$A$6,0),6)</x:f>
        <x:v>294.255451344881</x:v>
      </x:c>
      <x:c r="W72" s="86" t="n">
        <x:f>MAX(0,Q72+(AU72/100)*J72*'Régions'!$O$2)</x:f>
        <x:v>6354.629028148973</x:v>
      </x:c>
      <x:c r="X72" s="86" t="n">
        <x:f>MAX(0,R72+(AV72/100)*J72*'Régions'!$O$2)</x:f>
        <x:v>27434.293367705457</x:v>
      </x:c>
      <x:c r="Y72" s="86" t="n">
        <x:f>MAX(0,S72+(AW72/100)*J72*'Régions'!$O$2)</x:f>
        <x:v>4361.929434365893</x:v>
      </x:c>
      <x:c r="Z72" s="86" t="n">
        <x:f>MAX(0,T72+(AX72/100)*J72*'Régions'!$O$2)</x:f>
        <x:v>10975.324454330555</x:v>
      </x:c>
      <x:c r="AA72" s="86" t="n">
        <x:f>U72</x:f>
        <x:v>3804.3806089283344</x:v>
      </x:c>
      <x:c r="AB72" s="86" t="n">
        <x:f>V72</x:f>
        <x:v>294.255451344881</x:v>
      </x:c>
      <x:c r="AC72" s="86" t="n">
        <x:f>D72*INDEX('Régions'!$Z$2:$AE$6,MATCH($B72,'Régions'!$A$2:$A$6,0),1)</x:f>
        <x:v>10419.660319167351</x:v>
      </x:c>
      <x:c r="AD72" s="86" t="n">
        <x:f>E72*INDEX('Régions'!$Z$2:$AE$6,MATCH($B72,'Régions'!$A$2:$A$6,0),2)</x:f>
        <x:v>26697.200550904017</x:v>
      </x:c>
      <x:c r="AE72" s="86" t="n">
        <x:f>F72*INDEX('Régions'!$Z$2:$AE$6,MATCH($B72,'Régions'!$A$2:$A$6,0),3)</x:f>
        <x:v>5422.13047101395</x:v>
      </x:c>
      <x:c r="AF72" s="86" t="n">
        <x:f>G72*INDEX('Régions'!$Z$2:$AE$6,MATCH($B72,'Régions'!$A$2:$A$6,0),4)</x:f>
        <x:v>12261.90875046574</x:v>
      </x:c>
      <x:c r="AG72" s="86" t="n">
        <x:f>H72*INDEX('Régions'!$Z$2:$AE$6,MATCH($B72,'Régions'!$A$2:$A$6,0),5)</x:f>
        <x:v>5373.687610111272</x:v>
      </x:c>
      <x:c r="AH72" s="86" t="n">
        <x:f>I72*INDEX('Régions'!$Z$2:$AE$6,MATCH($B72,'Régions'!$A$2:$A$6,0),6)</x:f>
        <x:v>779.7769460639347</x:v>
      </x:c>
      <x:c r="AI72" s="86" t="n">
        <x:f>D72*INDEX('Régions'!$AF$2:$AK$6,MATCH($B72,'Régions'!$A$2:$A$6,0),1)</x:f>
        <x:v>6661.750040123389</x:v>
      </x:c>
      <x:c r="AJ72" s="86" t="n">
        <x:f>E72*INDEX('Régions'!$AF$2:$AK$6,MATCH($B72,'Régions'!$A$2:$A$6,0),2)</x:f>
        <x:v>21973.299112942448</x:v>
      </x:c>
      <x:c r="AK72" s="86" t="n">
        <x:f>F72*INDEX('Régions'!$AF$2:$AK$6,MATCH($B72,'Régions'!$A$2:$A$6,0),3)</x:f>
        <x:v>3659.270317876409</x:v>
      </x:c>
      <x:c r="AL72" s="86" t="n">
        <x:f>G72*INDEX('Régions'!$AF$2:$AK$6,MATCH($B72,'Régions'!$A$2:$A$6,0),4)</x:f>
        <x:v>9297.491250353143</x:v>
      </x:c>
      <x:c r="AM72" s="86" t="n">
        <x:f>H72*INDEX('Régions'!$AF$2:$AK$6,MATCH($B72,'Régions'!$A$2:$A$6,0),5)</x:f>
        <x:v>2235.0736077453967</x:v>
      </x:c>
      <x:c r="AN72" s="86" t="n">
        <x:f>I72*INDEX('Régions'!$AF$2:$AK$6,MATCH($B72,'Régions'!$A$2:$A$6,0),6)</x:f>
        <x:v>0</x:v>
      </x:c>
      <x:c r="AO72" s="84" t="str">
        <x:f>IF(MAX(Q72:V72)=Q72,"CAQ",IF(MAX(Q72:V72)=R72,"PLQ",IF(MAX(Q72:V72)=S72,"QS",IF(MAX(Q72:V72)=T72,"PQ",IF(MAX(Q72:V72)=U72,"PCQ","Autre")))))</x:f>
        <x:v>PLQ</x:v>
      </x:c>
      <x:c r="AP72" s="84" t="str">
        <x:f>IF(MAX(W72:AB72)=W72,"CAQ",IF(MAX(W72:AB72)=X72,"PLQ",IF(MAX(W72:AB72)=Y72,"QS",IF(MAX(W72:AB72)=Z72,"PQ",IF(MAX(W72:AB72)=AA72,"PCQ","Autre")))))</x:f>
        <x:v>PLQ</x:v>
      </x:c>
      <x:c r="AQ72" s="84" t="str">
        <x:f>IF(MAX(AC72:AH72)=AC72,"CAQ",IF(MAX(AC72:AH72)=AD72,"PLQ",IF(MAX(AC72:AH72)=AE72,"QS",IF(MAX(AC72:AH72)=AF72,"PQ",IF(MAX(AC72:AH72)=AG72,"PCQ","Autre")))))</x:f>
        <x:v>PLQ</x:v>
      </x:c>
      <x:c r="AR72" s="84" t="str">
        <x:f>IF(MAX(AI72:AN72)=AI72,"CAQ",IF(MAX(AI72:AN72)=AJ72,"PLQ",IF(MAX(AI72:AN72)=AK72,"QS",IF(MAX(AI72:AN72)=AL72,"PQ",IF(MAX(AI72:AN72)=AM72,"PCQ","Autre")))))</x:f>
        <x:v>PLQ</x:v>
      </x:c>
      <x:c r="AS72" s="88" t="n">
        <x:f>(MAX(K72:P72)-LARGE(K72:P72,2))*100</x:f>
        <x:v>24.913415357532386</x:v>
      </x:c>
      <x:c r="AT72" s="84" t="str">
        <x:f>IF(AS72&lt;5,"Oui","Non")</x:f>
        <x:v>Non</x:v>
      </x:c>
      <x:c r="AU72" s="89" t="n">
        <x:v>-8.365994341847257</x:v>
      </x:c>
      <x:c r="AV72" s="89" t="n">
        <x:v>11.859870786177929</x:v>
      </x:c>
      <x:c r="AW72" s="89" t="n">
        <x:v>-0.6841467253947964</x:v>
      </x:c>
      <x:c r="AX72" s="90" t="n">
        <x:v>0.7486441282069406</x:v>
      </x:c>
    </x:row>
    <x:row r="73">
      <x:c r="A73" s="83" t="str">
        <x:v>Maskinongé</x:v>
      </x:c>
      <x:c r="B73" s="84" t="str">
        <x:v>Reste du Québec</x:v>
      </x:c>
      <x:c r="C73" s="84" t="str">
        <x:f>IF(MAX(D73:I73)=D73,"CAQ",IF(MAX(D73:I73)=E73,"PLQ",IF(MAX(D73:I73)=F73,"QS",IF(MAX(D73:I73)=G73,"PQ",IF(MAX(D73:I73)=H73,"PCQ","Autre")))))</x:f>
        <x:v>CAQ</x:v>
      </x:c>
      <x:c r="D73" s="85" t="n">
        <x:v>35735</x:v>
      </x:c>
      <x:c r="E73" s="85" t="n">
        <x:v>3384</x:v>
      </x:c>
      <x:c r="F73" s="85" t="n">
        <x:v>6609</x:v>
      </x:c>
      <x:c r="G73" s="85" t="n">
        <x:v>9920</x:v>
      </x:c>
      <x:c r="H73" s="85" t="n">
        <x:v>10725</x:v>
      </x:c>
      <x:c r="I73" s="85" t="n">
        <x:v>417</x:v>
      </x:c>
      <x:c r="J73" s="86" t="n">
        <x:f>SUM(D73:I73)</x:f>
        <x:v>66790</x:v>
      </x:c>
      <x:c r="K73" s="87" t="n">
        <x:f>IFERROR(D73/J73,0)</x:f>
        <x:v>0.5350351849079203</x:v>
      </x:c>
      <x:c r="L73" s="87" t="n">
        <x:f>IFERROR(E73/J73,0)</x:f>
        <x:v>0.0506662674053002</x:v>
      </x:c>
      <x:c r="M73" s="87" t="n">
        <x:f>IFERROR(F73/J73,0)</x:f>
        <x:v>0.09895193891301093</x:v>
      </x:c>
      <x:c r="N73" s="87" t="n">
        <x:f>IFERROR(G73/J73,0)</x:f>
        <x:v>0.14852522832759396</x:v>
      </x:c>
      <x:c r="O73" s="87" t="n">
        <x:f>IFERROR(H73/J73,0)</x:f>
        <x:v>0.16057793082796826</x:v>
      </x:c>
      <x:c r="P73" s="87" t="n">
        <x:f>IFERROR(I73/J73,0)</x:f>
        <x:v>0.0062434496182063185</x:v>
      </x:c>
      <x:c r="Q73" s="86" t="n">
        <x:f>D73*INDEX('Régions'!$T$2:$Y$6,MATCH($B73,'Régions'!$A$2:$A$6,0),1)</x:f>
        <x:v>21093.97245320559</x:v>
      </x:c>
      <x:c r="R73" s="86" t="n">
        <x:f>E73*INDEX('Régions'!$T$2:$Y$6,MATCH($B73,'Régions'!$A$2:$A$6,0),2)</x:f>
        <x:v>7743.44594087223</x:v>
      </x:c>
      <x:c r="S73" s="86" t="n">
        <x:f>F73*INDEX('Régions'!$T$2:$Y$6,MATCH($B73,'Régions'!$A$2:$A$6,0),3)</x:f>
        <x:v>3968.7612535254116</x:v>
      </x:c>
      <x:c r="T73" s="86" t="n">
        <x:f>G73*INDEX('Régions'!$T$2:$Y$6,MATCH($B73,'Régions'!$A$2:$A$6,0),4)</x:f>
        <x:v>17184.33014075492</x:v>
      </x:c>
      <x:c r="U73" s="86" t="n">
        <x:f>H73*INDEX('Régions'!$T$2:$Y$6,MATCH($B73,'Régions'!$A$2:$A$6,0),5)</x:f>
        <x:v>12090.724060358434</x:v>
      </x:c>
      <x:c r="V73" s="86" t="n">
        <x:f>I73*INDEX('Régions'!$T$2:$Y$6,MATCH($B73,'Régions'!$A$2:$A$6,0),6)</x:f>
        <x:v>968.0906689523202</x:v>
      </x:c>
      <x:c r="W73" s="86" t="n">
        <x:f>MAX(0,Q73+(AU73/100)*J73*'Régions'!$O$2)</x:f>
        <x:v>22801.642365687556</x:v>
      </x:c>
      <x:c r="X73" s="86" t="n">
        <x:f>MAX(0,R73+(AV73/100)*J73*'Régions'!$O$2)</x:f>
        <x:v>4377.683938706293</x:v>
      </x:c>
      <x:c r="Y73" s="86" t="n">
        <x:f>MAX(0,S73+(AW73/100)*J73*'Régions'!$O$2)</x:f>
        <x:v>3605.892004649648</x:v>
      </x:c>
      <x:c r="Z73" s="86" t="n">
        <x:f>MAX(0,T73+(AX73/100)*J73*'Régions'!$O$2)</x:f>
        <x:v>18821.429736597976</x:v>
      </x:c>
      <x:c r="AA73" s="86" t="n">
        <x:f>U73</x:f>
        <x:v>12090.724060358434</x:v>
      </x:c>
      <x:c r="AB73" s="86" t="n">
        <x:f>V73</x:f>
        <x:v>968.0906689523202</x:v>
      </x:c>
      <x:c r="AC73" s="86" t="n">
        <x:f>D73*INDEX('Régions'!$Z$2:$AE$6,MATCH($B73,'Régions'!$A$2:$A$6,0),1)</x:f>
        <x:v>23580.047778047683</x:v>
      </x:c>
      <x:c r="AD73" s="86" t="n">
        <x:f>E73*INDEX('Régions'!$Z$2:$AE$6,MATCH($B73,'Régions'!$A$2:$A$6,0),2)</x:f>
        <x:v>9340.531666177128</x:v>
      </x:c>
      <x:c r="AE73" s="86" t="n">
        <x:f>F73*INDEX('Régions'!$Z$2:$AE$6,MATCH($B73,'Régions'!$A$2:$A$6,0),3)</x:f>
        <x:v>5605.875270604644</x:v>
      </x:c>
      <x:c r="AF73" s="86" t="n">
        <x:f>G73*INDEX('Régions'!$Z$2:$AE$6,MATCH($B73,'Régions'!$A$2:$A$6,0),4)</x:f>
        <x:v>19139.788398151166</x:v>
      </x:c>
      <x:c r="AG73" s="86" t="n">
        <x:f>H73*INDEX('Régions'!$Z$2:$AE$6,MATCH($B73,'Régions'!$A$2:$A$6,0),5)</x:f>
        <x:v>14437.746966192719</x:v>
      </x:c>
      <x:c r="AH73" s="86" t="n">
        <x:f>I73*INDEX('Régions'!$Z$2:$AE$6,MATCH($B73,'Régions'!$A$2:$A$6,0),6)</x:f>
        <x:v>4162.789876494977</x:v>
      </x:c>
      <x:c r="AI73" s="86" t="n">
        <x:f>D73*INDEX('Régions'!$AF$2:$AK$6,MATCH($B73,'Régions'!$A$2:$A$6,0),1)</x:f>
        <x:v>18607.897128363507</x:v>
      </x:c>
      <x:c r="AJ73" s="86" t="n">
        <x:f>E73*INDEX('Régions'!$AF$2:$AK$6,MATCH($B73,'Régions'!$A$2:$A$6,0),2)</x:f>
        <x:v>6146.3602155673325</x:v>
      </x:c>
      <x:c r="AK73" s="86" t="n">
        <x:f>F73*INDEX('Régions'!$AF$2:$AK$6,MATCH($B73,'Régions'!$A$2:$A$6,0),3)</x:f>
        <x:v>2331.6472364461792</x:v>
      </x:c>
      <x:c r="AL73" s="86" t="n">
        <x:f>G73*INDEX('Régions'!$AF$2:$AK$6,MATCH($B73,'Régions'!$A$2:$A$6,0),4)</x:f>
        <x:v>15228.871883358672</x:v>
      </x:c>
      <x:c r="AM73" s="86" t="n">
        <x:f>H73*INDEX('Régions'!$AF$2:$AK$6,MATCH($B73,'Régions'!$A$2:$A$6,0),5)</x:f>
        <x:v>9743.70115452415</x:v>
      </x:c>
      <x:c r="AN73" s="86" t="n">
        <x:f>I73*INDEX('Régions'!$AF$2:$AK$6,MATCH($B73,'Régions'!$A$2:$A$6,0),6)</x:f>
        <x:v>0</x:v>
      </x:c>
      <x:c r="AO73" s="84" t="str">
        <x:f>IF(MAX(Q73:V73)=Q73,"CAQ",IF(MAX(Q73:V73)=R73,"PLQ",IF(MAX(Q73:V73)=S73,"QS",IF(MAX(Q73:V73)=T73,"PQ",IF(MAX(Q73:V73)=U73,"PCQ","Autre")))))</x:f>
        <x:v>CAQ</x:v>
      </x:c>
      <x:c r="AP73" s="84" t="str">
        <x:f>IF(MAX(W73:AB73)=W73,"CAQ",IF(MAX(W73:AB73)=X73,"PLQ",IF(MAX(W73:AB73)=Y73,"QS",IF(MAX(W73:AB73)=Z73,"PQ",IF(MAX(W73:AB73)=AA73,"PCQ","Autre")))))</x:f>
        <x:v>CAQ</x:v>
      </x:c>
      <x:c r="AQ73" s="84" t="str">
        <x:f>IF(MAX(AC73:AH73)=AC73,"CAQ",IF(MAX(AC73:AH73)=AD73,"PLQ",IF(MAX(AC73:AH73)=AE73,"QS",IF(MAX(AC73:AH73)=AF73,"PQ",IF(MAX(AC73:AH73)=AG73,"PCQ","Autre")))))</x:f>
        <x:v>CAQ</x:v>
      </x:c>
      <x:c r="AR73" s="84" t="str">
        <x:f>IF(MAX(AI73:AN73)=AI73,"CAQ",IF(MAX(AI73:AN73)=AJ73,"PLQ",IF(MAX(AI73:AN73)=AK73,"QS",IF(MAX(AI73:AN73)=AL73,"PQ",IF(MAX(AI73:AN73)=AM73,"PCQ","Autre")))))</x:f>
        <x:v>CAQ</x:v>
      </x:c>
      <x:c r="AS73" s="88" t="n">
        <x:f>(MAX(K73:P73)-LARGE(K73:P73,2))*100</x:f>
        <x:v>37.44572540799521</x:v>
      </x:c>
      <x:c r="AT73" s="84" t="str">
        <x:f>IF(AS73&lt;5,"Oui","Non")</x:f>
        <x:v>Non</x:v>
      </x:c>
      <x:c r="AU73" s="89" t="n">
        <x:v>5.113549670555361</x:v>
      </x:c>
      <x:c r="AV73" s="89" t="n">
        <x:v>-10.078640521532975</x:v>
      </x:c>
      <x:c r="AW73" s="89" t="n">
        <x:v>-1.0865975411761153</x:v>
      </x:c>
      <x:c r="AX73" s="90" t="n">
        <x:v>4.902229662653265</x:v>
      </x:c>
    </x:row>
    <x:row r="74">
      <x:c r="A74" s="83" t="str">
        <x:v>Masson</x:v>
      </x:c>
      <x:c r="B74" s="84" t="str">
        <x:v>Banlieue de Montréal</x:v>
      </x:c>
      <x:c r="C74" s="84" t="str">
        <x:f>IF(MAX(D74:I74)=D74,"CAQ",IF(MAX(D74:I74)=E74,"PLQ",IF(MAX(D74:I74)=F74,"QS",IF(MAX(D74:I74)=G74,"PQ",IF(MAX(D74:I74)=H74,"PCQ","Autre")))))</x:f>
        <x:v>CAQ</x:v>
      </x:c>
      <x:c r="D74" s="85" t="n">
        <x:v>39887</x:v>
      </x:c>
      <x:c r="E74" s="85" t="n">
        <x:v>5969</x:v>
      </x:c>
      <x:c r="F74" s="85" t="n">
        <x:v>10106</x:v>
      </x:c>
      <x:c r="G74" s="85" t="n">
        <x:v>14828</x:v>
      </x:c>
      <x:c r="H74" s="85" t="n">
        <x:v>6515</x:v>
      </x:c>
      <x:c r="I74" s="85" t="n">
        <x:v>0</x:v>
      </x:c>
      <x:c r="J74" s="86" t="n">
        <x:f>SUM(D74:I74)</x:f>
        <x:v>77305</x:v>
      </x:c>
      <x:c r="K74" s="87" t="n">
        <x:f>IFERROR(D74/J74,0)</x:f>
        <x:v>0.5159692128581592</x:v>
      </x:c>
      <x:c r="L74" s="87" t="n">
        <x:f>IFERROR(E74/J74,0)</x:f>
        <x:v>0.07721363430567234</x:v>
      </x:c>
      <x:c r="M74" s="87" t="n">
        <x:f>IFERROR(F74/J74,0)</x:f>
        <x:v>0.1307289308582886</x:v>
      </x:c>
      <x:c r="N74" s="87" t="n">
        <x:f>IFERROR(G74/J74,0)</x:f>
        <x:v>0.19181165513226828</x:v>
      </x:c>
      <x:c r="O74" s="87" t="n">
        <x:f>IFERROR(H74/J74,0)</x:f>
        <x:v>0.08427656684561154</x:v>
      </x:c>
      <x:c r="P74" s="87" t="n">
        <x:f>IFERROR(I74/J74,0)</x:f>
        <x:v>0</x:v>
      </x:c>
      <x:c r="Q74" s="86" t="n">
        <x:f>D74*INDEX('Régions'!$T$2:$Y$6,MATCH($B74,'Régions'!$A$2:$A$6,0),1)</x:f>
        <x:v>28199.68168921534</x:v>
      </x:c>
      <x:c r="R74" s="86" t="n">
        <x:f>E74*INDEX('Régions'!$T$2:$Y$6,MATCH($B74,'Régions'!$A$2:$A$6,0),2)</x:f>
        <x:v>7635.900490894386</x:v>
      </x:c>
      <x:c r="S74" s="86" t="n">
        <x:f>F74*INDEX('Régions'!$T$2:$Y$6,MATCH($B74,'Régions'!$A$2:$A$6,0),3)</x:f>
        <x:v>5104.578223372488</x:v>
      </x:c>
      <x:c r="T74" s="86" t="n">
        <x:f>G74*INDEX('Régions'!$T$2:$Y$6,MATCH($B74,'Régions'!$A$2:$A$6,0),4)</x:f>
        <x:v>27648.293357855273</x:v>
      </x:c>
      <x:c r="U74" s="86" t="n">
        <x:f>H74*INDEX('Régions'!$T$2:$Y$6,MATCH($B74,'Régions'!$A$2:$A$6,0),5)</x:f>
        <x:v>7624.735194478453</x:v>
      </x:c>
      <x:c r="V74" s="86" t="n">
        <x:f>I74*INDEX('Régions'!$T$2:$Y$6,MATCH($B74,'Régions'!$A$2:$A$6,0),6)</x:f>
        <x:v>0</x:v>
      </x:c>
      <x:c r="W74" s="86" t="n">
        <x:f>MAX(0,Q74+(AU74/100)*J74*'Régions'!$O$2)</x:f>
        <x:v>26482.57758739292</x:v>
      </x:c>
      <x:c r="X74" s="86" t="n">
        <x:f>MAX(0,R74+(AV74/100)*J74*'Régions'!$O$2)</x:f>
        <x:v>8902.955588193152</x:v>
      </x:c>
      <x:c r="Y74" s="86" t="n">
        <x:f>MAX(0,S74+(AW74/100)*J74*'Régions'!$O$2)</x:f>
        <x:v>5233.59498470234</x:v>
      </x:c>
      <x:c r="Z74" s="86" t="n">
        <x:f>MAX(0,T74+(AX74/100)*J74*'Régions'!$O$2)</x:f>
        <x:v>28412.286134205813</x:v>
      </x:c>
      <x:c r="AA74" s="86" t="n">
        <x:f>U74</x:f>
        <x:v>7624.735194478453</x:v>
      </x:c>
      <x:c r="AB74" s="86" t="n">
        <x:f>V74</x:f>
        <x:v>0</x:v>
      </x:c>
      <x:c r="AC74" s="86" t="n">
        <x:f>D74*INDEX('Régions'!$Z$2:$AE$6,MATCH($B74,'Régions'!$A$2:$A$6,0),1)</x:f>
        <x:v>31107.773863415674</x:v>
      </x:c>
      <x:c r="AD74" s="86" t="n">
        <x:f>E74*INDEX('Régions'!$Z$2:$AE$6,MATCH($B74,'Régions'!$A$2:$A$6,0),2)</x:f>
        <x:v>9035.815580891689</x:v>
      </x:c>
      <x:c r="AE74" s="86" t="n">
        <x:f>F74*INDEX('Régions'!$Z$2:$AE$6,MATCH($B74,'Régions'!$A$2:$A$6,0),3)</x:f>
        <x:v>7511.022242962375</x:v>
      </x:c>
      <x:c r="AF74" s="86" t="n">
        <x:f>G74*INDEX('Régions'!$Z$2:$AE$6,MATCH($B74,'Régions'!$A$2:$A$6,0),4)</x:f>
        <x:v>30689.60562721935</x:v>
      </x:c>
      <x:c r="AG74" s="86" t="n">
        <x:f>H74*INDEX('Régions'!$Z$2:$AE$6,MATCH($B74,'Régions'!$A$2:$A$6,0),5)</x:f>
        <x:v>9721.537372960029</x:v>
      </x:c>
      <x:c r="AH74" s="86" t="n">
        <x:f>I74*INDEX('Régions'!$Z$2:$AE$6,MATCH($B74,'Régions'!$A$2:$A$6,0),6)</x:f>
        <x:v>0</x:v>
      </x:c>
      <x:c r="AI74" s="86" t="n">
        <x:f>D74*INDEX('Régions'!$AF$2:$AK$6,MATCH($B74,'Régions'!$A$2:$A$6,0),1)</x:f>
        <x:v>25291.58951501501</x:v>
      </x:c>
      <x:c r="AJ74" s="86" t="n">
        <x:f>E74*INDEX('Régions'!$AF$2:$AK$6,MATCH($B74,'Régions'!$A$2:$A$6,0),2)</x:f>
        <x:v>6235.9854008970815</x:v>
      </x:c>
      <x:c r="AK74" s="86" t="n">
        <x:f>F74*INDEX('Régions'!$AF$2:$AK$6,MATCH($B74,'Régions'!$A$2:$A$6,0),3)</x:f>
        <x:v>2698.1342037826007</x:v>
      </x:c>
      <x:c r="AL74" s="86" t="n">
        <x:f>G74*INDEX('Régions'!$AF$2:$AK$6,MATCH($B74,'Régions'!$A$2:$A$6,0),4)</x:f>
        <x:v>24606.981088491193</x:v>
      </x:c>
      <x:c r="AM74" s="86" t="n">
        <x:f>H74*INDEX('Régions'!$AF$2:$AK$6,MATCH($B74,'Régions'!$A$2:$A$6,0),5)</x:f>
        <x:v>5527.933015996879</x:v>
      </x:c>
      <x:c r="AN74" s="86" t="n">
        <x:f>I74*INDEX('Régions'!$AF$2:$AK$6,MATCH($B74,'Régions'!$A$2:$A$6,0),6)</x:f>
        <x:v>0</x:v>
      </x:c>
      <x:c r="AO74" s="84" t="str">
        <x:f>IF(MAX(Q74:V74)=Q74,"CAQ",IF(MAX(Q74:V74)=R74,"PLQ",IF(MAX(Q74:V74)=S74,"QS",IF(MAX(Q74:V74)=T74,"PQ",IF(MAX(Q74:V74)=U74,"PCQ","Autre")))))</x:f>
        <x:v>CAQ</x:v>
      </x:c>
      <x:c r="AP74" s="84" t="str">
        <x:f>IF(MAX(W74:AB74)=W74,"CAQ",IF(MAX(W74:AB74)=X74,"PLQ",IF(MAX(W74:AB74)=Y74,"QS",IF(MAX(W74:AB74)=Z74,"PQ",IF(MAX(W74:AB74)=AA74,"PCQ","Autre")))))</x:f>
        <x:v>PQ</x:v>
      </x:c>
      <x:c r="AQ74" s="84" t="str">
        <x:f>IF(MAX(AC74:AH74)=AC74,"CAQ",IF(MAX(AC74:AH74)=AD74,"PLQ",IF(MAX(AC74:AH74)=AE74,"QS",IF(MAX(AC74:AH74)=AF74,"PQ",IF(MAX(AC74:AH74)=AG74,"PCQ","Autre")))))</x:f>
        <x:v>CAQ</x:v>
      </x:c>
      <x:c r="AR74" s="84" t="str">
        <x:f>IF(MAX(AI74:AN74)=AI74,"CAQ",IF(MAX(AI74:AN74)=AJ74,"PLQ",IF(MAX(AI74:AN74)=AK74,"QS",IF(MAX(AI74:AN74)=AL74,"PQ",IF(MAX(AI74:AN74)=AM74,"PCQ","Autre")))))</x:f>
        <x:v>CAQ</x:v>
      </x:c>
      <x:c r="AS74" s="88" t="n">
        <x:f>(MAX(K74:P74)-LARGE(K74:P74,2))*100</x:f>
        <x:v>32.415755772589094</x:v>
      </x:c>
      <x:c r="AT74" s="84" t="str">
        <x:f>IF(AS74&lt;5,"Oui","Non")</x:f>
        <x:v>Non</x:v>
      </x:c>
      <x:c r="AU74" s="89" t="n">
        <x:v>-4.442414078836865</x:v>
      </x:c>
      <x:c r="AV74" s="89" t="n">
        <x:v>3.2780676471088968</x:v>
      </x:c>
      <x:c r="AW74" s="89" t="n">
        <x:v>0.3337863303275401</x:v>
      </x:c>
      <x:c r="AX74" s="90" t="n">
        <x:v>1.9765675605731614</x:v>
      </x:c>
    </x:row>
    <x:row r="75">
      <x:c r="A75" s="83" t="str">
        <x:v>Matane-Matapédia-Mitis</x:v>
      </x:c>
      <x:c r="B75" s="84" t="str">
        <x:v>Reste du Québec</x:v>
      </x:c>
      <x:c r="C75" s="84" t="str">
        <x:f>IF(MAX(D75:I75)=D75,"CAQ",IF(MAX(D75:I75)=E75,"PLQ",IF(MAX(D75:I75)=F75,"QS",IF(MAX(D75:I75)=G75,"PQ",IF(MAX(D75:I75)=H75,"PCQ","Autre")))))</x:f>
        <x:v>PQ</x:v>
      </x:c>
      <x:c r="D75" s="85" t="n">
        <x:v>10356</x:v>
      </x:c>
      <x:c r="E75" s="85" t="n">
        <x:v>1278</x:v>
      </x:c>
      <x:c r="F75" s="85" t="n">
        <x:v>2909</x:v>
      </x:c>
      <x:c r="G75" s="85" t="n">
        <x:v>40232</x:v>
      </x:c>
      <x:c r="H75" s="85" t="n">
        <x:v>4646</x:v>
      </x:c>
      <x:c r="I75" s="85" t="n">
        <x:v>246</x:v>
      </x:c>
      <x:c r="J75" s="86" t="n">
        <x:f>SUM(D75:I75)</x:f>
        <x:v>59667</x:v>
      </x:c>
      <x:c r="K75" s="87" t="n">
        <x:f>IFERROR(D75/J75,0)</x:f>
        <x:v>0.1735632761828146</x:v>
      </x:c>
      <x:c r="L75" s="87" t="n">
        <x:f>IFERROR(E75/J75,0)</x:f>
        <x:v>0.021418874754889638</x:v>
      </x:c>
      <x:c r="M75" s="87" t="n">
        <x:f>IFERROR(F75/J75,0)</x:f>
        <x:v>0.04875391757587946</x:v>
      </x:c>
      <x:c r="N75" s="87" t="n">
        <x:f>IFERROR(G75/J75,0)</x:f>
        <x:v>0.6742755627063536</x:v>
      </x:c>
      <x:c r="O75" s="87" t="n">
        <x:f>IFERROR(H75/J75,0)</x:f>
        <x:v>0.07786548678499003</x:v>
      </x:c>
      <x:c r="P75" s="87" t="n">
        <x:f>IFERROR(I75/J75,0)</x:f>
        <x:v>0.004122881995072653</x:v>
      </x:c>
      <x:c r="Q75" s="86" t="n">
        <x:f>D75*INDEX('Régions'!$T$2:$Y$6,MATCH($B75,'Régions'!$A$2:$A$6,0),1)</x:f>
        <x:v>6113.031446072398</x:v>
      </x:c>
      <x:c r="R75" s="86" t="n">
        <x:f>E75*INDEX('Régions'!$T$2:$Y$6,MATCH($B75,'Régions'!$A$2:$A$6,0),2)</x:f>
        <x:v>2924.3864989464273</x:v>
      </x:c>
      <x:c r="S75" s="86" t="n">
        <x:f>F75*INDEX('Régions'!$T$2:$Y$6,MATCH($B75,'Régions'!$A$2:$A$6,0),3)</x:f>
        <x:v>1746.8794804819825</x:v>
      </x:c>
      <x:c r="T75" s="86" t="n">
        <x:f>G75*INDEX('Régions'!$T$2:$Y$6,MATCH($B75,'Régions'!$A$2:$A$6,0),4)</x:f>
        <x:v>69693.54538536814</x:v>
      </x:c>
      <x:c r="U75" s="86" t="n">
        <x:f>H75*INDEX('Régions'!$T$2:$Y$6,MATCH($B75,'Régions'!$A$2:$A$6,0),5)</x:f>
        <x:v>5237.622749130563</x:v>
      </x:c>
      <x:c r="V75" s="86" t="n">
        <x:f>I75*INDEX('Régions'!$T$2:$Y$6,MATCH($B75,'Régions'!$A$2:$A$6,0),6)</x:f>
        <x:v>571.103847871153</x:v>
      </x:c>
      <x:c r="W75" s="86" t="n">
        <x:f>MAX(0,Q75+(AU75/100)*J75*'Régions'!$O$2)</x:f>
        <x:v>6120.8830642612875</x:v>
      </x:c>
      <x:c r="X75" s="86" t="n">
        <x:f>MAX(0,R75+(AV75/100)*J75*'Régions'!$O$2)</x:f>
        <x:v>4008.2757217316394</x:v>
      </x:c>
      <x:c r="Y75" s="86" t="n">
        <x:f>MAX(0,S75+(AW75/100)*J75*'Régions'!$O$2)</x:f>
        <x:v>1810.866443167298</x:v>
      </x:c>
      <x:c r="Z75" s="86" t="n">
        <x:f>MAX(0,T75+(AX75/100)*J75*'Régions'!$O$2)</x:f>
        <x:v>70245.7062778992</x:v>
      </x:c>
      <x:c r="AA75" s="86" t="n">
        <x:f>U75</x:f>
        <x:v>5237.622749130563</x:v>
      </x:c>
      <x:c r="AB75" s="86" t="n">
        <x:f>V75</x:f>
        <x:v>571.103847871153</x:v>
      </x:c>
      <x:c r="AC75" s="86" t="n">
        <x:f>D75*INDEX('Régions'!$Z$2:$AE$6,MATCH($B75,'Régions'!$A$2:$A$6,0),1)</x:f>
        <x:v>6833.49586650236</x:v>
      </x:c>
      <x:c r="AD75" s="86" t="n">
        <x:f>E75*INDEX('Régions'!$Z$2:$AE$6,MATCH($B75,'Régions'!$A$2:$A$6,0),2)</x:f>
        <x:v>3527.541214354128</x:v>
      </x:c>
      <x:c r="AE75" s="86" t="n">
        <x:f>F75*INDEX('Régions'!$Z$2:$AE$6,MATCH($B75,'Régions'!$A$2:$A$6,0),3)</x:f>
        <x:v>2467.4672661808004</x:v>
      </x:c>
      <x:c r="AF75" s="86" t="n">
        <x:f>G75*INDEX('Régions'!$Z$2:$AE$6,MATCH($B75,'Régions'!$A$2:$A$6,0),4)</x:f>
        <x:v>77624.19020508244</x:v>
      </x:c>
      <x:c r="AG75" s="86" t="n">
        <x:f>H75*INDEX('Régions'!$Z$2:$AE$6,MATCH($B75,'Régions'!$A$2:$A$6,0),5)</x:f>
        <x:v>6254.337753373555</x:v>
      </x:c>
      <x:c r="AH75" s="86" t="n">
        <x:f>I75*INDEX('Régions'!$Z$2:$AE$6,MATCH($B75,'Régions'!$A$2:$A$6,0),6)</x:f>
        <x:v>2455.746545845958</x:v>
      </x:c>
      <x:c r="AI75" s="86" t="n">
        <x:f>D75*INDEX('Régions'!$AF$2:$AK$6,MATCH($B75,'Régions'!$A$2:$A$6,0),1)</x:f>
        <x:v>5392.567025642436</x:v>
      </x:c>
      <x:c r="AJ75" s="86" t="n">
        <x:f>E75*INDEX('Régions'!$AF$2:$AK$6,MATCH($B75,'Régions'!$A$2:$A$6,0),2)</x:f>
        <x:v>2321.2317835387266</x:v>
      </x:c>
      <x:c r="AK75" s="86" t="n">
        <x:f>F75*INDEX('Régions'!$AF$2:$AK$6,MATCH($B75,'Régions'!$A$2:$A$6,0),3)</x:f>
        <x:v>1026.2916947831648</x:v>
      </x:c>
      <x:c r="AL75" s="86" t="n">
        <x:f>G75*INDEX('Régions'!$AF$2:$AK$6,MATCH($B75,'Régions'!$A$2:$A$6,0),4)</x:f>
        <x:v>61762.900565653836</x:v>
      </x:c>
      <x:c r="AM75" s="86" t="n">
        <x:f>H75*INDEX('Régions'!$AF$2:$AK$6,MATCH($B75,'Régions'!$A$2:$A$6,0),5)</x:f>
        <x:v>4220.9077448875705</x:v>
      </x:c>
      <x:c r="AN75" s="86" t="n">
        <x:f>I75*INDEX('Régions'!$AF$2:$AK$6,MATCH($B75,'Régions'!$A$2:$A$6,0),6)</x:f>
        <x:v>0</x:v>
      </x:c>
      <x:c r="AO75" s="84" t="str">
        <x:f>IF(MAX(Q75:V75)=Q75,"CAQ",IF(MAX(Q75:V75)=R75,"PLQ",IF(MAX(Q75:V75)=S75,"QS",IF(MAX(Q75:V75)=T75,"PQ",IF(MAX(Q75:V75)=U75,"PCQ","Autre")))))</x:f>
        <x:v>PQ</x:v>
      </x:c>
      <x:c r="AP75" s="84" t="str">
        <x:f>IF(MAX(W75:AB75)=W75,"CAQ",IF(MAX(W75:AB75)=X75,"PLQ",IF(MAX(W75:AB75)=Y75,"QS",IF(MAX(W75:AB75)=Z75,"PQ",IF(MAX(W75:AB75)=AA75,"PCQ","Autre")))))</x:f>
        <x:v>PQ</x:v>
      </x:c>
      <x:c r="AQ75" s="84" t="str">
        <x:f>IF(MAX(AC75:AH75)=AC75,"CAQ",IF(MAX(AC75:AH75)=AD75,"PLQ",IF(MAX(AC75:AH75)=AE75,"QS",IF(MAX(AC75:AH75)=AF75,"PQ",IF(MAX(AC75:AH75)=AG75,"PCQ","Autre")))))</x:f>
        <x:v>PQ</x:v>
      </x:c>
      <x:c r="AR75" s="84" t="str">
        <x:f>IF(MAX(AI75:AN75)=AI75,"CAQ",IF(MAX(AI75:AN75)=AJ75,"PLQ",IF(MAX(AI75:AN75)=AK75,"QS",IF(MAX(AI75:AN75)=AL75,"PQ",IF(MAX(AI75:AN75)=AM75,"PCQ","Autre")))))</x:f>
        <x:v>PQ</x:v>
      </x:c>
      <x:c r="AS75" s="88" t="n">
        <x:f>(MAX(K75:P75)-LARGE(K75:P75,2))*100</x:f>
        <x:v>50.071228652353895</x:v>
      </x:c>
      <x:c r="AT75" s="84" t="str">
        <x:f>IF(AS75&lt;5,"Oui","Non")</x:f>
        <x:v>Non</x:v>
      </x:c>
      <x:c r="AU75" s="89" t="n">
        <x:v>0.026318126230209793</x:v>
      </x:c>
      <x:c r="AV75" s="89" t="n">
        <x:v>3.6331279359954824</x:v>
      </x:c>
      <x:c r="AW75" s="89" t="n">
        <x:v>0.21448024095501866</x:v>
      </x:c>
      <x:c r="AX75" s="90" t="n">
        <x:v>1.8508082944711957</x:v>
      </x:c>
    </x:row>
    <x:row r="76">
      <x:c r="A76" s="83" t="str">
        <x:v>Maurice-Richard</x:v>
      </x:c>
      <x:c r="B76" s="84" t="str">
        <x:v>Île de Montréal</x:v>
      </x:c>
      <x:c r="C76" s="84" t="str">
        <x:f>IF(MAX(D76:I76)=D76,"CAQ",IF(MAX(D76:I76)=E76,"PLQ",IF(MAX(D76:I76)=F76,"QS",IF(MAX(D76:I76)=G76,"PQ",IF(MAX(D76:I76)=H76,"PCQ","Autre")))))</x:f>
        <x:v>QS</x:v>
      </x:c>
      <x:c r="D76" s="85" t="n">
        <x:v>16734</x:v>
      </x:c>
      <x:c r="E76" s="85" t="n">
        <x:v>10606</x:v>
      </x:c>
      <x:c r="F76" s="85" t="n">
        <x:v>21359</x:v>
      </x:c>
      <x:c r="G76" s="85" t="n">
        <x:v>9644</x:v>
      </x:c>
      <x:c r="H76" s="85" t="n">
        <x:v>2590</x:v>
      </x:c>
      <x:c r="I76" s="85" t="n">
        <x:v>671</x:v>
      </x:c>
      <x:c r="J76" s="86" t="n">
        <x:f>SUM(D76:I76)</x:f>
        <x:v>61604</x:v>
      </x:c>
      <x:c r="K76" s="87" t="n">
        <x:f>IFERROR(D76/J76,0)</x:f>
        <x:v>0.2716382053113434</x:v>
      </x:c>
      <x:c r="L76" s="87" t="n">
        <x:f>IFERROR(E76/J76,0)</x:f>
        <x:v>0.17216414518537757</x:v>
      </x:c>
      <x:c r="M76" s="87" t="n">
        <x:f>IFERROR(F76/J76,0)</x:f>
        <x:v>0.3467144990585027</x:v>
      </x:c>
      <x:c r="N76" s="87" t="n">
        <x:f>IFERROR(G76/J76,0)</x:f>
        <x:v>0.15654827608596844</x:v>
      </x:c>
      <x:c r="O76" s="87" t="n">
        <x:f>IFERROR(H76/J76,0)</x:f>
        <x:v>0.04204272449840919</x:v>
      </x:c>
      <x:c r="P76" s="87" t="n">
        <x:f>IFERROR(I76/J76,0)</x:f>
        <x:v>0.010892149860398676</x:v>
      </x:c>
      <x:c r="Q76" s="86" t="n">
        <x:f>D76*INDEX('Régions'!$T$2:$Y$6,MATCH($B76,'Régions'!$A$2:$A$6,0),1)</x:f>
        <x:v>12533.557877416963</x:v>
      </x:c>
      <x:c r="R76" s="86" t="n">
        <x:f>E76*INDEX('Régions'!$T$2:$Y$6,MATCH($B76,'Régions'!$A$2:$A$6,0),2)</x:f>
        <x:v>10567.893367619778</x:v>
      </x:c>
      <x:c r="S76" s="86" t="n">
        <x:f>F76*INDEX('Régions'!$T$2:$Y$6,MATCH($B76,'Régions'!$A$2:$A$6,0),3)</x:f>
        <x:v>16463.218422161703</x:v>
      </x:c>
      <x:c r="T76" s="86" t="n">
        <x:f>G76*INDEX('Régions'!$T$2:$Y$6,MATCH($B76,'Régions'!$A$2:$A$6,0),4)</x:f>
        <x:v>18657.470711405</x:v>
      </x:c>
      <x:c r="U76" s="86" t="n">
        <x:f>H76*INDEX('Régions'!$T$2:$Y$6,MATCH($B76,'Régions'!$A$2:$A$6,0),5)</x:f>
        <x:v>2064.3925784882435</x:v>
      </x:c>
      <x:c r="V76" s="86" t="n">
        <x:f>I76*INDEX('Régions'!$T$2:$Y$6,MATCH($B76,'Régions'!$A$2:$A$6,0),6)</x:f>
        <x:v>992.1879791578651</x:v>
      </x:c>
      <x:c r="W76" s="86" t="n">
        <x:f>MAX(0,Q76+(AU76/100)*J76*'Régions'!$O$2)</x:f>
        <x:v>14249.611146404803</x:v>
      </x:c>
      <x:c r="X76" s="86" t="n">
        <x:f>MAX(0,R76+(AV76/100)*J76*'Régions'!$O$2)</x:f>
        <x:v>9279.137266243963</x:v>
      </x:c>
      <x:c r="Y76" s="86" t="n">
        <x:f>MAX(0,S76+(AW76/100)*J76*'Régions'!$O$2)</x:f>
        <x:v>18410.4157614191</x:v>
      </x:c>
      <x:c r="Z76" s="86" t="n">
        <x:f>MAX(0,T76+(AX76/100)*J76*'Régions'!$O$2)</x:f>
        <x:v>17689.84437655402</x:v>
      </x:c>
      <x:c r="AA76" s="86" t="n">
        <x:f>U76</x:f>
        <x:v>2064.3925784882435</x:v>
      </x:c>
      <x:c r="AB76" s="86" t="n">
        <x:f>V76</x:f>
        <x:v>992.1879791578651</x:v>
      </x:c>
      <x:c r="AC76" s="86" t="n">
        <x:f>D76*INDEX('Régions'!$Z$2:$AE$6,MATCH($B76,'Régions'!$A$2:$A$6,0),1)</x:f>
        <x:v>15290.940610448695</x:v>
      </x:c>
      <x:c r="AD76" s="86" t="n">
        <x:f>E76*INDEX('Régions'!$Z$2:$AE$6,MATCH($B76,'Régions'!$A$2:$A$6,0),2)</x:f>
        <x:v>11593.600665065225</x:v>
      </x:c>
      <x:c r="AE76" s="86" t="n">
        <x:f>F76*INDEX('Régions'!$Z$2:$AE$6,MATCH($B76,'Régions'!$A$2:$A$6,0),3)</x:f>
        <x:v>19659.01964528721</x:v>
      </x:c>
      <x:c r="AF76" s="86" t="n">
        <x:f>G76*INDEX('Régions'!$Z$2:$AE$6,MATCH($B76,'Régions'!$A$2:$A$6,0),4)</x:f>
        <x:v>21222.872934223185</x:v>
      </x:c>
      <x:c r="AG76" s="86" t="n">
        <x:f>H76*INDEX('Régions'!$Z$2:$AE$6,MATCH($B76,'Régions'!$A$2:$A$6,0),5)</x:f>
        <x:v>2915.954517114644</x:v>
      </x:c>
      <x:c r="AH76" s="86" t="n">
        <x:f>I76*INDEX('Régions'!$Z$2:$AE$6,MATCH($B76,'Régions'!$A$2:$A$6,0),6)</x:f>
        <x:v>2629.2981447683424</x:v>
      </x:c>
      <x:c r="AI76" s="86" t="n">
        <x:f>D76*INDEX('Régions'!$AF$2:$AK$6,MATCH($B76,'Régions'!$A$2:$A$6,0),1)</x:f>
        <x:v>9776.175144385232</x:v>
      </x:c>
      <x:c r="AJ76" s="86" t="n">
        <x:f>E76*INDEX('Régions'!$AF$2:$AK$6,MATCH($B76,'Régions'!$A$2:$A$6,0),2)</x:f>
        <x:v>9542.186070174328</x:v>
      </x:c>
      <x:c r="AK76" s="86" t="n">
        <x:f>F76*INDEX('Régions'!$AF$2:$AK$6,MATCH($B76,'Régions'!$A$2:$A$6,0),3)</x:f>
        <x:v>13267.417199036196</x:v>
      </x:c>
      <x:c r="AL76" s="86" t="n">
        <x:f>G76*INDEX('Régions'!$AF$2:$AK$6,MATCH($B76,'Régions'!$A$2:$A$6,0),4)</x:f>
        <x:v>16092.06848858681</x:v>
      </x:c>
      <x:c r="AM76" s="86" t="n">
        <x:f>H76*INDEX('Régions'!$AF$2:$AK$6,MATCH($B76,'Régions'!$A$2:$A$6,0),5)</x:f>
        <x:v>1212.830639861843</x:v>
      </x:c>
      <x:c r="AN76" s="86" t="n">
        <x:f>I76*INDEX('Régions'!$AF$2:$AK$6,MATCH($B76,'Régions'!$A$2:$A$6,0),6)</x:f>
        <x:v>0</x:v>
      </x:c>
      <x:c r="AO76" s="84" t="str">
        <x:f>IF(MAX(Q76:V76)=Q76,"CAQ",IF(MAX(Q76:V76)=R76,"PLQ",IF(MAX(Q76:V76)=S76,"QS",IF(MAX(Q76:V76)=T76,"PQ",IF(MAX(Q76:V76)=U76,"PCQ","Autre")))))</x:f>
        <x:v>PQ</x:v>
      </x:c>
      <x:c r="AP76" s="84" t="str">
        <x:f>IF(MAX(W76:AB76)=W76,"CAQ",IF(MAX(W76:AB76)=X76,"PLQ",IF(MAX(W76:AB76)=Y76,"QS",IF(MAX(W76:AB76)=Z76,"PQ",IF(MAX(W76:AB76)=AA76,"PCQ","Autre")))))</x:f>
        <x:v>QS</x:v>
      </x:c>
      <x:c r="AQ76" s="84" t="str">
        <x:f>IF(MAX(AC76:AH76)=AC76,"CAQ",IF(MAX(AC76:AH76)=AD76,"PLQ",IF(MAX(AC76:AH76)=AE76,"QS",IF(MAX(AC76:AH76)=AF76,"PQ",IF(MAX(AC76:AH76)=AG76,"PCQ","Autre")))))</x:f>
        <x:v>PQ</x:v>
      </x:c>
      <x:c r="AR76" s="84" t="str">
        <x:f>IF(MAX(AI76:AN76)=AI76,"CAQ",IF(MAX(AI76:AN76)=AJ76,"PLQ",IF(MAX(AI76:AN76)=AK76,"QS",IF(MAX(AI76:AN76)=AL76,"PQ",IF(MAX(AI76:AN76)=AM76,"PCQ","Autre")))))</x:f>
        <x:v>PQ</x:v>
      </x:c>
      <x:c r="AS76" s="88" t="n">
        <x:f>(MAX(K76:P76)-LARGE(K76:P76,2))*100</x:f>
        <x:v>7.507629374715929</x:v>
      </x:c>
      <x:c r="AT76" s="84" t="str">
        <x:f>IF(AS76&lt;5,"Oui","Non")</x:f>
        <x:v>Non</x:v>
      </x:c>
      <x:c r="AU76" s="89" t="n">
        <x:v>5.571239753872606</x:v>
      </x:c>
      <x:c r="AV76" s="89" t="n">
        <x:v>-4.1840013680144645</x:v>
      </x:c>
      <x:c r="AW76" s="89" t="n">
        <x:v>6.32165878597947</x:v>
      </x:c>
      <x:c r="AX76" s="90" t="n">
        <x:v>-3.1414399547139054</x:v>
      </x:c>
    </x:row>
    <x:row r="77">
      <x:c r="A77" s="83" t="str">
        <x:v>Mégantic</x:v>
      </x:c>
      <x:c r="B77" s="84" t="str">
        <x:v>Reste du Québec</x:v>
      </x:c>
      <x:c r="C77" s="84" t="str">
        <x:f>IF(MAX(D77:I77)=D77,"CAQ",IF(MAX(D77:I77)=E77,"PLQ",IF(MAX(D77:I77)=F77,"QS",IF(MAX(D77:I77)=G77,"PQ",IF(MAX(D77:I77)=H77,"PCQ","Autre")))))</x:f>
        <x:v>CAQ</x:v>
      </x:c>
      <x:c r="D77" s="85" t="n">
        <x:v>33435</x:v>
      </x:c>
      <x:c r="E77" s="85" t="n">
        <x:v>4078</x:v>
      </x:c>
      <x:c r="F77" s="85" t="n">
        <x:v>10415</x:v>
      </x:c>
      <x:c r="G77" s="85" t="n">
        <x:v>9219</x:v>
      </x:c>
      <x:c r="H77" s="85" t="n">
        <x:v>14803</x:v>
      </x:c>
      <x:c r="I77" s="85" t="n">
        <x:v>256</x:v>
      </x:c>
      <x:c r="J77" s="86" t="n">
        <x:f>SUM(D77:I77)</x:f>
        <x:v>72206</x:v>
      </x:c>
      <x:c r="K77" s="87" t="n">
        <x:f>IFERROR(D77/J77,0)</x:f>
        <x:v>0.4630501620363959</x:v>
      </x:c>
      <x:c r="L77" s="87" t="n">
        <x:f>IFERROR(E77/J77,0)</x:f>
        <x:v>0.05647730105531396</x:v>
      </x:c>
      <x:c r="M77" s="87" t="n">
        <x:f>IFERROR(F77/J77,0)</x:f>
        <x:v>0.1442400908511758</x:v>
      </x:c>
      <x:c r="N77" s="87" t="n">
        <x:f>IFERROR(G77/J77,0)</x:f>
        <x:v>0.12767637038473256</x:v>
      </x:c>
      <x:c r="O77" s="87" t="n">
        <x:f>IFERROR(H77/J77,0)</x:f>
        <x:v>0.20501066393374512</x:v>
      </x:c>
      <x:c r="P77" s="87" t="n">
        <x:f>IFERROR(I77/J77,0)</x:f>
        <x:v>0.0035454117386366783</x:v>
      </x:c>
      <x:c r="Q77" s="86" t="n">
        <x:f>D77*INDEX('Régions'!$T$2:$Y$6,MATCH($B77,'Régions'!$A$2:$A$6,0),1)</x:f>
        <x:v>19736.30807255993</x:v>
      </x:c>
      <x:c r="R77" s="86" t="n">
        <x:f>E77*INDEX('Régions'!$T$2:$Y$6,MATCH($B77,'Régions'!$A$2:$A$6,0),2)</x:f>
        <x:v>9331.493069408083</x:v>
      </x:c>
      <x:c r="S77" s="86" t="n">
        <x:f>F77*INDEX('Régions'!$T$2:$Y$6,MATCH($B77,'Régions'!$A$2:$A$6,0),3)</x:f>
        <x:v>6254.296936823598</x:v>
      </x:c>
      <x:c r="T77" s="86" t="n">
        <x:f>G77*INDEX('Régions'!$T$2:$Y$6,MATCH($B77,'Régions'!$A$2:$A$6,0),4)</x:f>
        <x:v>15969.99390802617</x:v>
      </x:c>
      <x:c r="U77" s="86" t="n">
        <x:f>H77*INDEX('Régions'!$T$2:$Y$6,MATCH($B77,'Régions'!$A$2:$A$6,0),5)</x:f>
        <x:v>16688.01755389146</x:v>
      </x:c>
      <x:c r="V77" s="86" t="n">
        <x:f>I77*INDEX('Régions'!$T$2:$Y$6,MATCH($B77,'Régions'!$A$2:$A$6,0),6)</x:f>
        <x:v>594.319451443151</x:v>
      </x:c>
      <x:c r="W77" s="86" t="n">
        <x:f>MAX(0,Q77+(AU77/100)*J77*'Régions'!$O$2)</x:f>
        <x:v>17797.819043314703</x:v>
      </x:c>
      <x:c r="X77" s="86" t="n">
        <x:f>MAX(0,R77+(AV77/100)*J77*'Régions'!$O$2)</x:f>
        <x:v>8815.313009003437</x:v>
      </x:c>
      <x:c r="Y77" s="86" t="n">
        <x:f>MAX(0,S77+(AW77/100)*J77*'Régions'!$O$2)</x:f>
        <x:v>5856.959616549839</x:v>
      </x:c>
      <x:c r="Z77" s="86" t="n">
        <x:f>MAX(0,T77+(AX77/100)*J77*'Régions'!$O$2)</x:f>
        <x:v>16243.287721283514</x:v>
      </x:c>
      <x:c r="AA77" s="86" t="n">
        <x:f>U77</x:f>
        <x:v>16688.01755389146</x:v>
      </x:c>
      <x:c r="AB77" s="86" t="n">
        <x:f>V77</x:f>
        <x:v>594.319451443151</x:v>
      </x:c>
      <x:c r="AC77" s="86" t="n">
        <x:f>D77*INDEX('Régions'!$Z$2:$AE$6,MATCH($B77,'Régions'!$A$2:$A$6,0),1)</x:f>
        <x:v>22062.37295254021</x:v>
      </x:c>
      <x:c r="AD77" s="86" t="n">
        <x:f>E77*INDEX('Régions'!$Z$2:$AE$6,MATCH($B77,'Régions'!$A$2:$A$6,0),2)</x:f>
        <x:v>11256.113514973502</x:v>
      </x:c>
      <x:c r="AE77" s="86" t="n">
        <x:f>F77*INDEX('Régions'!$Z$2:$AE$6,MATCH($B77,'Régions'!$A$2:$A$6,0),3)</x:f>
        <x:v>8834.194423263332</x:v>
      </x:c>
      <x:c r="AF77" s="86" t="n">
        <x:f>G77*INDEX('Régions'!$Z$2:$AE$6,MATCH($B77,'Régions'!$A$2:$A$6,0),4)</x:f>
        <x:v>17787.269076870525</x:v>
      </x:c>
      <x:c r="AG77" s="86" t="n">
        <x:f>H77*INDEX('Régions'!$Z$2:$AE$6,MATCH($B77,'Régions'!$A$2:$A$6,0),5)</x:f>
        <x:v>19927.456255529214</x:v>
      </x:c>
      <x:c r="AH77" s="86" t="n">
        <x:f>I77*INDEX('Régions'!$Z$2:$AE$6,MATCH($B77,'Régions'!$A$2:$A$6,0),6)</x:f>
        <x:v>2555.5736412055494</x:v>
      </x:c>
      <x:c r="AI77" s="86" t="n">
        <x:f>D77*INDEX('Régions'!$AF$2:$AK$6,MATCH($B77,'Régions'!$A$2:$A$6,0),1)</x:f>
        <x:v>17410.24319257965</x:v>
      </x:c>
      <x:c r="AJ77" s="86" t="n">
        <x:f>E77*INDEX('Régions'!$AF$2:$AK$6,MATCH($B77,'Régions'!$A$2:$A$6,0),2)</x:f>
        <x:v>7406.872623842666</x:v>
      </x:c>
      <x:c r="AK77" s="86" t="n">
        <x:f>F77*INDEX('Régions'!$AF$2:$AK$6,MATCH($B77,'Régions'!$A$2:$A$6,0),3)</x:f>
        <x:v>3674.399450383864</x:v>
      </x:c>
      <x:c r="AL77" s="86" t="n">
        <x:f>G77*INDEX('Régions'!$AF$2:$AK$6,MATCH($B77,'Régions'!$A$2:$A$6,0),4)</x:f>
        <x:v>14152.718739181813</x:v>
      </x:c>
      <x:c r="AM77" s="86" t="n">
        <x:f>H77*INDEX('Régions'!$AF$2:$AK$6,MATCH($B77,'Régions'!$A$2:$A$6,0),5)</x:f>
        <x:v>13448.578852253704</x:v>
      </x:c>
      <x:c r="AN77" s="86" t="n">
        <x:f>I77*INDEX('Régions'!$AF$2:$AK$6,MATCH($B77,'Régions'!$A$2:$A$6,0),6)</x:f>
        <x:v>0</x:v>
      </x:c>
      <x:c r="AO77" s="84" t="str">
        <x:f>IF(MAX(Q77:V77)=Q77,"CAQ",IF(MAX(Q77:V77)=R77,"PLQ",IF(MAX(Q77:V77)=S77,"QS",IF(MAX(Q77:V77)=T77,"PQ",IF(MAX(Q77:V77)=U77,"PCQ","Autre")))))</x:f>
        <x:v>CAQ</x:v>
      </x:c>
      <x:c r="AP77" s="84" t="str">
        <x:f>IF(MAX(W77:AB77)=W77,"CAQ",IF(MAX(W77:AB77)=X77,"PLQ",IF(MAX(W77:AB77)=Y77,"QS",IF(MAX(W77:AB77)=Z77,"PQ",IF(MAX(W77:AB77)=AA77,"PCQ","Autre")))))</x:f>
        <x:v>CAQ</x:v>
      </x:c>
      <x:c r="AQ77" s="84" t="str">
        <x:f>IF(MAX(AC77:AH77)=AC77,"CAQ",IF(MAX(AC77:AH77)=AD77,"PLQ",IF(MAX(AC77:AH77)=AE77,"QS",IF(MAX(AC77:AH77)=AF77,"PQ",IF(MAX(AC77:AH77)=AG77,"PCQ","Autre")))))</x:f>
        <x:v>CAQ</x:v>
      </x:c>
      <x:c r="AR77" s="84" t="str">
        <x:f>IF(MAX(AI77:AN77)=AI77,"CAQ",IF(MAX(AI77:AN77)=AJ77,"PLQ",IF(MAX(AI77:AN77)=AK77,"QS",IF(MAX(AI77:AN77)=AL77,"PQ",IF(MAX(AI77:AN77)=AM77,"PCQ","Autre")))))</x:f>
        <x:v>CAQ</x:v>
      </x:c>
      <x:c r="AS77" s="88" t="n">
        <x:f>(MAX(K77:P77)-LARGE(K77:P77,2))*100</x:f>
        <x:v>25.803949810265074</x:v>
      </x:c>
      <x:c r="AT77" s="84" t="str">
        <x:f>IF(AS77&lt;5,"Oui","Non")</x:f>
        <x:v>Non</x:v>
      </x:c>
      <x:c r="AU77" s="89" t="n">
        <x:v>-5.369329499612846</x:v>
      </x:c>
      <x:c r="AV77" s="89" t="n">
        <x:v>-1.4297428479756402</x:v>
      </x:c>
      <x:c r="AW77" s="89" t="n">
        <x:v>-1.1005659371070537</x:v>
      </x:c>
      <x:c r="AX77" s="90" t="n">
        <x:v>0.7569836668901292</x:v>
      </x:c>
    </x:row>
    <x:row r="78">
      <x:c r="A78" s="83" t="str">
        <x:v>Mercier</x:v>
      </x:c>
      <x:c r="B78" s="84" t="str">
        <x:v>Île de Montréal</x:v>
      </x:c>
      <x:c r="C78" s="84" t="str">
        <x:f>IF(MAX(D78:I78)=D78,"CAQ",IF(MAX(D78:I78)=E78,"PLQ",IF(MAX(D78:I78)=F78,"QS",IF(MAX(D78:I78)=G78,"PQ",IF(MAX(D78:I78)=H78,"PCQ","Autre")))))</x:f>
        <x:v>QS</x:v>
      </x:c>
      <x:c r="D78" s="85" t="n">
        <x:v>5805</x:v>
      </x:c>
      <x:c r="E78" s="85" t="n">
        <x:v>7915</x:v>
      </x:c>
      <x:c r="F78" s="85" t="n">
        <x:v>30436</x:v>
      </x:c>
      <x:c r="G78" s="85" t="n">
        <x:v>9909</x:v>
      </x:c>
      <x:c r="H78" s="85" t="n">
        <x:v>2168</x:v>
      </x:c>
      <x:c r="I78" s="85" t="n">
        <x:v>210</x:v>
      </x:c>
      <x:c r="J78" s="86" t="n">
        <x:f>SUM(D78:I78)</x:f>
        <x:v>56443</x:v>
      </x:c>
      <x:c r="K78" s="87" t="n">
        <x:f>IFERROR(D78/J78,0)</x:f>
        <x:v>0.10284712010346722</x:v>
      </x:c>
      <x:c r="L78" s="87" t="n">
        <x:f>IFERROR(E78/J78,0)</x:f>
        <x:v>0.14022996651489114</x:v>
      </x:c>
      <x:c r="M78" s="87" t="n">
        <x:f>IFERROR(F78/J78,0)</x:f>
        <x:v>0.5392342717431745</x:v>
      </x:c>
      <x:c r="N78" s="87" t="n">
        <x:f>IFERROR(G78/J78,0)</x:f>
        <x:v>0.17555764222312775</x:v>
      </x:c>
      <x:c r="O78" s="87" t="n">
        <x:f>IFERROR(H78/J78,0)</x:f>
        <x:v>0.03841043176301756</x:v>
      </x:c>
      <x:c r="P78" s="87" t="n">
        <x:f>IFERROR(I78/J78,0)</x:f>
        <x:v>0.0037205676523218113</x:v>
      </x:c>
      <x:c r="Q78" s="86" t="n">
        <x:f>D78*INDEX('Régions'!$T$2:$Y$6,MATCH($B78,'Régions'!$A$2:$A$6,0),1)</x:f>
        <x:v>4347.872802581897</x:v>
      </x:c>
      <x:c r="R78" s="86" t="n">
        <x:f>E78*INDEX('Régions'!$T$2:$Y$6,MATCH($B78,'Régions'!$A$2:$A$6,0),2)</x:f>
        <x:v>7886.561946512402</x:v>
      </x:c>
      <x:c r="S78" s="86" t="n">
        <x:f>F78*INDEX('Régions'!$T$2:$Y$6,MATCH($B78,'Régions'!$A$2:$A$6,0),3)</x:f>
        <x:v>23459.643049623744</x:v>
      </x:c>
      <x:c r="T78" s="86" t="n">
        <x:f>G78*INDEX('Régions'!$T$2:$Y$6,MATCH($B78,'Régions'!$A$2:$A$6,0),4)</x:f>
        <x:v>19170.144885868118</x:v>
      </x:c>
      <x:c r="U78" s="86" t="n">
        <x:f>H78*INDEX('Régions'!$T$2:$Y$6,MATCH($B78,'Régions'!$A$2:$A$6,0),5)</x:f>
        <x:v>1728.0320888658346</x:v>
      </x:c>
      <x:c r="V78" s="86" t="n">
        <x:f>I78*INDEX('Régions'!$T$2:$Y$6,MATCH($B78,'Régions'!$A$2:$A$6,0),6)</x:f>
        <x:v>310.520828052387</x:v>
      </x:c>
      <x:c r="W78" s="86" t="n">
        <x:f>MAX(0,Q78+(AU78/100)*J78*'Régions'!$O$2)</x:f>
        <x:v>4462.240923058472</x:v>
      </x:c>
      <x:c r="X78" s="86" t="n">
        <x:f>MAX(0,R78+(AV78/100)*J78*'Régions'!$O$2)</x:f>
        <x:v>9137.242662036384</x:v>
      </x:c>
      <x:c r="Y78" s="86" t="n">
        <x:f>MAX(0,S78+(AW78/100)*J78*'Régions'!$O$2)</x:f>
        <x:v>23159.551384306607</x:v>
      </x:c>
      <x:c r="Z78" s="86" t="n">
        <x:f>MAX(0,T78+(AX78/100)*J78*'Régions'!$O$2)</x:f>
        <x:v>20330.03198595584</x:v>
      </x:c>
      <x:c r="AA78" s="86" t="n">
        <x:f>U78</x:f>
        <x:v>1728.0320888658346</x:v>
      </x:c>
      <x:c r="AB78" s="86" t="n">
        <x:f>V78</x:f>
        <x:v>310.520828052387</x:v>
      </x:c>
      <x:c r="AC78" s="86" t="n">
        <x:f>D78*INDEX('Régions'!$Z$2:$AE$6,MATCH($B78,'Régions'!$A$2:$A$6,0),1)</x:f>
        <x:v>5304.404819149915</x:v>
      </x:c>
      <x:c r="AD78" s="86" t="n">
        <x:f>E78*INDEX('Régions'!$Z$2:$AE$6,MATCH($B78,'Régions'!$A$2:$A$6,0),2)</x:f>
        <x:v>8652.022370732724</x:v>
      </x:c>
      <x:c r="AE78" s="86" t="n">
        <x:f>F78*INDEX('Régions'!$Z$2:$AE$6,MATCH($B78,'Régions'!$A$2:$A$6,0),3)</x:f>
        <x:v>28013.573759256593</x:v>
      </x:c>
      <x:c r="AF78" s="86" t="n">
        <x:f>G78*INDEX('Régions'!$Z$2:$AE$6,MATCH($B78,'Régions'!$A$2:$A$6,0),4)</x:f>
        <x:v>21806.039807674984</x:v>
      </x:c>
      <x:c r="AG78" s="86" t="n">
        <x:f>H78*INDEX('Régions'!$Z$2:$AE$6,MATCH($B78,'Régions'!$A$2:$A$6,0),5)</x:f>
        <x:v>2440.8453255229915</x:v>
      </x:c>
      <x:c r="AH78" s="86" t="n">
        <x:f>I78*INDEX('Régions'!$Z$2:$AE$6,MATCH($B78,'Régions'!$A$2:$A$6,0),6)</x:f>
        <x:v>822.8801943388255</x:v>
      </x:c>
      <x:c r="AI78" s="86" t="n">
        <x:f>D78*INDEX('Régions'!$AF$2:$AK$6,MATCH($B78,'Régions'!$A$2:$A$6,0),1)</x:f>
        <x:v>3391.34078601388</x:v>
      </x:c>
      <x:c r="AJ78" s="86" t="n">
        <x:f>E78*INDEX('Régions'!$AF$2:$AK$6,MATCH($B78,'Régions'!$A$2:$A$6,0),2)</x:f>
        <x:v>7121.1015222920805</x:v>
      </x:c>
      <x:c r="AK78" s="86" t="n">
        <x:f>F78*INDEX('Régions'!$AF$2:$AK$6,MATCH($B78,'Régions'!$A$2:$A$6,0),3)</x:f>
        <x:v>18905.7123399909</x:v>
      </x:c>
      <x:c r="AL78" s="86" t="n">
        <x:f>G78*INDEX('Régions'!$AF$2:$AK$6,MATCH($B78,'Régions'!$A$2:$A$6,0),4)</x:f>
        <x:v>16534.24996406125</x:v>
      </x:c>
      <x:c r="AM78" s="86" t="n">
        <x:f>H78*INDEX('Régions'!$AF$2:$AK$6,MATCH($B78,'Régions'!$A$2:$A$6,0),5)</x:f>
        <x:v>1015.218852208678</x:v>
      </x:c>
      <x:c r="AN78" s="86" t="n">
        <x:f>I78*INDEX('Régions'!$AF$2:$AK$6,MATCH($B78,'Régions'!$A$2:$A$6,0),6)</x:f>
        <x:v>0</x:v>
      </x:c>
      <x:c r="AO78" s="84" t="str">
        <x:f>IF(MAX(Q78:V78)=Q78,"CAQ",IF(MAX(Q78:V78)=R78,"PLQ",IF(MAX(Q78:V78)=S78,"QS",IF(MAX(Q78:V78)=T78,"PQ",IF(MAX(Q78:V78)=U78,"PCQ","Autre")))))</x:f>
        <x:v>QS</x:v>
      </x:c>
      <x:c r="AP78" s="84" t="str">
        <x:f>IF(MAX(W78:AB78)=W78,"CAQ",IF(MAX(W78:AB78)=X78,"PLQ",IF(MAX(W78:AB78)=Y78,"QS",IF(MAX(W78:AB78)=Z78,"PQ",IF(MAX(W78:AB78)=AA78,"PCQ","Autre")))))</x:f>
        <x:v>QS</x:v>
      </x:c>
      <x:c r="AQ78" s="84" t="str">
        <x:f>IF(MAX(AC78:AH78)=AC78,"CAQ",IF(MAX(AC78:AH78)=AD78,"PLQ",IF(MAX(AC78:AH78)=AE78,"QS",IF(MAX(AC78:AH78)=AF78,"PQ",IF(MAX(AC78:AH78)=AG78,"PCQ","Autre")))))</x:f>
        <x:v>QS</x:v>
      </x:c>
      <x:c r="AR78" s="84" t="str">
        <x:f>IF(MAX(AI78:AN78)=AI78,"CAQ",IF(MAX(AI78:AN78)=AJ78,"PLQ",IF(MAX(AI78:AN78)=AK78,"QS",IF(MAX(AI78:AN78)=AL78,"PQ",IF(MAX(AI78:AN78)=AM78,"PCQ","Autre")))))</x:f>
        <x:v>QS</x:v>
      </x:c>
      <x:c r="AS78" s="88" t="n">
        <x:f>(MAX(K78:P78)-LARGE(K78:P78,2))*100</x:f>
        <x:v>36.36766295200468</x:v>
      </x:c>
      <x:c r="AT78" s="84" t="str">
        <x:f>IF(AS78&lt;5,"Oui","Non")</x:f>
        <x:v>Non</x:v>
      </x:c>
      <x:c r="AU78" s="89" t="n">
        <x:v>0.4052517423828436</x:v>
      </x:c>
      <x:c r="AV78" s="89" t="n">
        <x:v>4.431659251010695</x:v>
      </x:c>
      <x:c r="AW78" s="89" t="n">
        <x:v>-1.0633441359145985</x:v>
      </x:c>
      <x:c r="AX78" s="90" t="n">
        <x:v>4.109941357077836</x:v>
      </x:c>
    </x:row>
    <x:row r="79">
      <x:c r="A79" s="83" t="str">
        <x:v>Mille-Îles</x:v>
      </x:c>
      <x:c r="B79" s="84" t="str">
        <x:v>Banlieue de Montréal</x:v>
      </x:c>
      <x:c r="C79" s="84" t="str">
        <x:f>IF(MAX(D79:I79)=D79,"CAQ",IF(MAX(D79:I79)=E79,"PLQ",IF(MAX(D79:I79)=F79,"QS",IF(MAX(D79:I79)=G79,"PQ",IF(MAX(D79:I79)=H79,"PCQ","Autre")))))</x:f>
        <x:v>PLQ</x:v>
      </x:c>
      <x:c r="D79" s="85" t="n">
        <x:v>20256</x:v>
      </x:c>
      <x:c r="E79" s="85" t="n">
        <x:v>20930</x:v>
      </x:c>
      <x:c r="F79" s="85" t="n">
        <x:v>8635</x:v>
      </x:c>
      <x:c r="G79" s="85" t="n">
        <x:v>8704</x:v>
      </x:c>
      <x:c r="H79" s="85" t="n">
        <x:v>6779</x:v>
      </x:c>
      <x:c r="I79" s="85" t="n">
        <x:v>-1</x:v>
      </x:c>
      <x:c r="J79" s="86" t="n">
        <x:f>SUM(D79:I79)</x:f>
        <x:v>65303</x:v>
      </x:c>
      <x:c r="K79" s="87" t="n">
        <x:f>IFERROR(D79/J79,0)</x:f>
        <x:v>0.3101848307122184</x:v>
      </x:c>
      <x:c r="L79" s="87" t="n">
        <x:f>IFERROR(E79/J79,0)</x:f>
        <x:v>0.3205059491906957</x:v>
      </x:c>
      <x:c r="M79" s="87" t="n">
        <x:f>IFERROR(F79/J79,0)</x:f>
        <x:v>0.13222975973538734</x:v>
      </x:c>
      <x:c r="N79" s="87" t="n">
        <x:f>IFERROR(G79/J79,0)</x:f>
        <x:v>0.13328637275469735</x:v>
      </x:c>
      <x:c r="O79" s="87" t="n">
        <x:f>IFERROR(H79/J79,0)</x:f>
        <x:v>0.10380840083916512</x:v>
      </x:c>
      <x:c r="P79" s="87" t="n">
        <x:f>IFERROR(I79/J79,0)</x:f>
        <x:v>-0.000015313232163912837</x:v>
      </x:c>
      <x:c r="Q79" s="86" t="n">
        <x:f>D79*INDEX('Régions'!$T$2:$Y$6,MATCH($B79,'Régions'!$A$2:$A$6,0),1)</x:f>
        <x:v>14320.774996784565</x:v>
      </x:c>
      <x:c r="R79" s="86" t="n">
        <x:f>E79*INDEX('Régions'!$T$2:$Y$6,MATCH($B79,'Régions'!$A$2:$A$6,0),2)</x:f>
        <x:v>26774.90321233364</x:v>
      </x:c>
      <x:c r="S79" s="86" t="n">
        <x:f>F79*INDEX('Régions'!$T$2:$Y$6,MATCH($B79,'Régions'!$A$2:$A$6,0),3)</x:f>
        <x:v>4361.570647023692</x:v>
      </x:c>
      <x:c r="T79" s="86" t="n">
        <x:f>G79*INDEX('Régions'!$T$2:$Y$6,MATCH($B79,'Régions'!$A$2:$A$6,0),4)</x:f>
        <x:v>16229.48107544998</x:v>
      </x:c>
      <x:c r="U79" s="86" t="n">
        <x:f>H79*INDEX('Régions'!$T$2:$Y$6,MATCH($B79,'Régions'!$A$2:$A$6,0),5)</x:f>
        <x:v>7933.7037426507195</x:v>
      </x:c>
      <x:c r="V79" s="86" t="n">
        <x:f>I79*INDEX('Régions'!$T$2:$Y$6,MATCH($B79,'Régions'!$A$2:$A$6,0),6)</x:f>
        <x:v>-2.1470447982228804</x:v>
      </x:c>
      <x:c r="W79" s="86" t="n">
        <x:f>MAX(0,Q79+(AU79/100)*J79*'Régions'!$O$2)</x:f>
        <x:v>13159.669202468767</x:v>
      </x:c>
      <x:c r="X79" s="86" t="n">
        <x:f>MAX(0,R79+(AV79/100)*J79*'Régions'!$O$2)</x:f>
        <x:v>27775.026538122387</x:v>
      </x:c>
      <x:c r="Y79" s="86" t="n">
        <x:f>MAX(0,S79+(AW79/100)*J79*'Régions'!$O$2)</x:f>
        <x:v>4616.462598779292</x:v>
      </x:c>
      <x:c r="Z79" s="86" t="n">
        <x:f>MAX(0,T79+(AX79/100)*J79*'Régions'!$O$2)</x:f>
        <x:v>16232.048256648903</x:v>
      </x:c>
      <x:c r="AA79" s="86" t="n">
        <x:f>U79</x:f>
        <x:v>7933.7037426507195</x:v>
      </x:c>
      <x:c r="AB79" s="86" t="n">
        <x:f>V79</x:f>
        <x:v>-2.1470447982228804</x:v>
      </x:c>
      <x:c r="AC79" s="86" t="n">
        <x:f>D79*INDEX('Régions'!$Z$2:$AE$6,MATCH($B79,'Régions'!$A$2:$A$6,0),1)</x:f>
        <x:v>15797.604918327974</x:v>
      </x:c>
      <x:c r="AD79" s="86" t="n">
        <x:f>E79*INDEX('Régions'!$Z$2:$AE$6,MATCH($B79,'Régions'!$A$2:$A$6,0),2)</x:f>
        <x:v>31683.63546792814</x:v>
      </x:c>
      <x:c r="AE79" s="86" t="n">
        <x:f>F79*INDEX('Régions'!$Z$2:$AE$6,MATCH($B79,'Régions'!$A$2:$A$6,0),3)</x:f>
        <x:v>6417.739666334861</x:v>
      </x:c>
      <x:c r="AF79" s="86" t="n">
        <x:f>G79*INDEX('Régions'!$Z$2:$AE$6,MATCH($B79,'Régions'!$A$2:$A$6,0),4)</x:f>
        <x:v>18014.723993749474</x:v>
      </x:c>
      <x:c r="AG79" s="86" t="n">
        <x:f>H79*INDEX('Régions'!$Z$2:$AE$6,MATCH($B79,'Régions'!$A$2:$A$6,0),5)</x:f>
        <x:v>10115.472271879667</x:v>
      </x:c>
      <x:c r="AH79" s="86" t="n">
        <x:f>I79*INDEX('Régions'!$Z$2:$AE$6,MATCH($B79,'Régions'!$A$2:$A$6,0),6)</x:f>
        <x:v>-9.232292632358385</x:v>
      </x:c>
      <x:c r="AI79" s="86" t="n">
        <x:f>D79*INDEX('Régions'!$AF$2:$AK$6,MATCH($B79,'Régions'!$A$2:$A$6,0),1)</x:f>
        <x:v>12843.945075241158</x:v>
      </x:c>
      <x:c r="AJ79" s="86" t="n">
        <x:f>E79*INDEX('Régions'!$AF$2:$AK$6,MATCH($B79,'Régions'!$A$2:$A$6,0),2)</x:f>
        <x:v>21866.170956739137</x:v>
      </x:c>
      <x:c r="AK79" s="86" t="n">
        <x:f>F79*INDEX('Régions'!$AF$2:$AK$6,MATCH($B79,'Régions'!$A$2:$A$6,0),3)</x:f>
        <x:v>2305.401627712523</x:v>
      </x:c>
      <x:c r="AL79" s="86" t="n">
        <x:f>G79*INDEX('Régions'!$AF$2:$AK$6,MATCH($B79,'Régions'!$A$2:$A$6,0),4)</x:f>
        <x:v>14444.238157150481</x:v>
      </x:c>
      <x:c r="AM79" s="86" t="n">
        <x:f>H79*INDEX('Régions'!$AF$2:$AK$6,MATCH($B79,'Régions'!$A$2:$A$6,0),5)</x:f>
        <x:v>5751.935213421771</x:v>
      </x:c>
      <x:c r="AN79" s="86" t="n">
        <x:f>I79*INDEX('Régions'!$AF$2:$AK$6,MATCH($B79,'Régions'!$A$2:$A$6,0),6)</x:f>
        <x:v>0</x:v>
      </x:c>
      <x:c r="AO79" s="84" t="str">
        <x:f>IF(MAX(Q79:V79)=Q79,"CAQ",IF(MAX(Q79:V79)=R79,"PLQ",IF(MAX(Q79:V79)=S79,"QS",IF(MAX(Q79:V79)=T79,"PQ",IF(MAX(Q79:V79)=U79,"PCQ","Autre")))))</x:f>
        <x:v>PLQ</x:v>
      </x:c>
      <x:c r="AP79" s="84" t="str">
        <x:f>IF(MAX(W79:AB79)=W79,"CAQ",IF(MAX(W79:AB79)=X79,"PLQ",IF(MAX(W79:AB79)=Y79,"QS",IF(MAX(W79:AB79)=Z79,"PQ",IF(MAX(W79:AB79)=AA79,"PCQ","Autre")))))</x:f>
        <x:v>PLQ</x:v>
      </x:c>
      <x:c r="AQ79" s="84" t="str">
        <x:f>IF(MAX(AC79:AH79)=AC79,"CAQ",IF(MAX(AC79:AH79)=AD79,"PLQ",IF(MAX(AC79:AH79)=AE79,"QS",IF(MAX(AC79:AH79)=AF79,"PQ",IF(MAX(AC79:AH79)=AG79,"PCQ","Autre")))))</x:f>
        <x:v>PLQ</x:v>
      </x:c>
      <x:c r="AR79" s="84" t="str">
        <x:f>IF(MAX(AI79:AN79)=AI79,"CAQ",IF(MAX(AI79:AN79)=AJ79,"PLQ",IF(MAX(AI79:AN79)=AK79,"QS",IF(MAX(AI79:AN79)=AL79,"PQ",IF(MAX(AI79:AN79)=AM79,"PCQ","Autre")))))</x:f>
        <x:v>PLQ</x:v>
      </x:c>
      <x:c r="AS79" s="88" t="n">
        <x:f>(MAX(K79:P79)-LARGE(K79:P79,2))*100</x:f>
        <x:v>1.0321118478477276</x:v>
      </x:c>
      <x:c r="AT79" s="84" t="str">
        <x:f>IF(AS79&lt;5,"Oui","Non")</x:f>
        <x:v>Oui</x:v>
      </x:c>
      <x:c r="AU79" s="89" t="n">
        <x:v>-3.556056519044448</x:v>
      </x:c>
      <x:c r="AV79" s="89" t="n">
        <x:v>3.063024136069539</x:v>
      </x:c>
      <x:c r="AW79" s="89" t="n">
        <x:v>0.7806439267892762</x:v>
      </x:c>
      <x:c r="AX79" s="90" t="n">
        <x:v>0.007862368341188253</x:v>
      </x:c>
    </x:row>
    <x:row r="80">
      <x:c r="A80" s="83" t="str">
        <x:v>Mirabel</x:v>
      </x:c>
      <x:c r="B80" s="84" t="str">
        <x:v>Banlieue de Montréal</x:v>
      </x:c>
      <x:c r="C80" s="84" t="str">
        <x:f>IF(MAX(D80:I80)=D80,"CAQ",IF(MAX(D80:I80)=E80,"PLQ",IF(MAX(D80:I80)=F80,"QS",IF(MAX(D80:I80)=G80,"PQ",IF(MAX(D80:I80)=H80,"PCQ","Autre")))))</x:f>
        <x:v>CAQ</x:v>
      </x:c>
      <x:c r="D80" s="85" t="n">
        <x:v>37451</x:v>
      </x:c>
      <x:c r="E80" s="85" t="n">
        <x:v>5050</x:v>
      </x:c>
      <x:c r="F80" s="85" t="n">
        <x:v>10768</x:v>
      </x:c>
      <x:c r="G80" s="85" t="n">
        <x:v>12541</x:v>
      </x:c>
      <x:c r="H80" s="85" t="n">
        <x:v>8543</x:v>
      </x:c>
      <x:c r="I80" s="85" t="n">
        <x:v>386</x:v>
      </x:c>
      <x:c r="J80" s="86" t="n">
        <x:f>SUM(D80:I80)</x:f>
        <x:v>74739</x:v>
      </x:c>
      <x:c r="K80" s="87" t="n">
        <x:f>IFERROR(D80/J80,0)</x:f>
        <x:v>0.5010904614725913</x:v>
      </x:c>
      <x:c r="L80" s="87" t="n">
        <x:f>IFERROR(E80/J80,0)</x:f>
        <x:v>0.06756847161455197</x:v>
      </x:c>
      <x:c r="M80" s="87" t="n">
        <x:f>IFERROR(F80/J80,0)</x:f>
        <x:v>0.1440747133357417</x:v>
      </x:c>
      <x:c r="N80" s="87" t="n">
        <x:f>IFERROR(G80/J80,0)</x:f>
        <x:v>0.1677972678253656</x:v>
      </x:c>
      <x:c r="O80" s="87" t="n">
        <x:f>IFERROR(H80/J80,0)</x:f>
        <x:v>0.11430444613923119</x:v>
      </x:c>
      <x:c r="P80" s="87" t="n">
        <x:f>IFERROR(I80/J80,0)</x:f>
        <x:v>0.00516463961251823</x:v>
      </x:c>
      <x:c r="Q80" s="86" t="n">
        <x:f>D80*INDEX('Régions'!$T$2:$Y$6,MATCH($B80,'Régions'!$A$2:$A$6,0),1)</x:f>
        <x:v>26477.455786166014</x:v>
      </x:c>
      <x:c r="R80" s="86" t="n">
        <x:f>E80*INDEX('Régions'!$T$2:$Y$6,MATCH($B80,'Régions'!$A$2:$A$6,0),2)</x:f>
        <x:v>6460.260927963922</x:v>
      </x:c>
      <x:c r="S80" s="86" t="n">
        <x:f>F80*INDEX('Régions'!$T$2:$Y$6,MATCH($B80,'Régions'!$A$2:$A$6,0),3)</x:f>
        <x:v>5438.9568879155895</x:v>
      </x:c>
      <x:c r="T80" s="86" t="n">
        <x:f>G80*INDEX('Régions'!$T$2:$Y$6,MATCH($B80,'Régions'!$A$2:$A$6,0),4)</x:f>
        <x:v>23383.952454873415</x:v>
      </x:c>
      <x:c r="U80" s="86" t="n">
        <x:f>H80*INDEX('Régions'!$T$2:$Y$6,MATCH($B80,'Régions'!$A$2:$A$6,0),5)</x:f>
        <x:v>9998.175405438133</x:v>
      </x:c>
      <x:c r="V80" s="86" t="n">
        <x:f>I80*INDEX('Régions'!$T$2:$Y$6,MATCH($B80,'Régions'!$A$2:$A$6,0),6)</x:f>
        <x:v>828.7592921140318</x:v>
      </x:c>
      <x:c r="W80" s="86" t="n">
        <x:f>MAX(0,Q80+(AU80/100)*J80*'Régions'!$O$2)</x:f>
        <x:v>23670.915538625595</x:v>
      </x:c>
      <x:c r="X80" s="86" t="n">
        <x:f>MAX(0,R80+(AV80/100)*J80*'Régions'!$O$2)</x:f>
        <x:v>8062.314951223596</x:v>
      </x:c>
      <x:c r="Y80" s="86" t="n">
        <x:f>MAX(0,S80+(AW80/100)*J80*'Régions'!$O$2)</x:f>
        <x:v>5495.056777963377</x:v>
      </x:c>
      <x:c r="Z80" s="86" t="n">
        <x:f>MAX(0,T80+(AX80/100)*J80*'Régions'!$O$2)</x:f>
        <x:v>23961.987103088388</x:v>
      </x:c>
      <x:c r="AA80" s="86" t="n">
        <x:f>U80</x:f>
        <x:v>9998.175405438133</x:v>
      </x:c>
      <x:c r="AB80" s="86" t="n">
        <x:f>V80</x:f>
        <x:v>828.7592921140318</x:v>
      </x:c>
      <x:c r="AC80" s="86" t="n">
        <x:f>D80*INDEX('Régions'!$Z$2:$AE$6,MATCH($B80,'Régions'!$A$2:$A$6,0),1)</x:f>
        <x:v>29207.943414114383</x:v>
      </x:c>
      <x:c r="AD80" s="86" t="n">
        <x:f>E80*INDEX('Régions'!$Z$2:$AE$6,MATCH($B80,'Régions'!$A$2:$A$6,0),2)</x:f>
        <x:v>7644.6420980906405</x:v>
      </x:c>
      <x:c r="AE80" s="86" t="n">
        <x:f>F80*INDEX('Régions'!$Z$2:$AE$6,MATCH($B80,'Régions'!$A$2:$A$6,0),3)</x:f>
        <x:v>8003.036563647224</x:v>
      </x:c>
      <x:c r="AF80" s="86" t="n">
        <x:f>G80*INDEX('Régions'!$Z$2:$AE$6,MATCH($B80,'Régions'!$A$2:$A$6,0),4)</x:f>
        <x:v>25956.187224909485</x:v>
      </x:c>
      <x:c r="AG80" s="86" t="n">
        <x:f>H80*INDEX('Régions'!$Z$2:$AE$6,MATCH($B80,'Régions'!$A$2:$A$6,0),5)</x:f>
        <x:v>12747.67364193362</x:v>
      </x:c>
      <x:c r="AH80" s="86" t="n">
        <x:f>I80*INDEX('Régions'!$Z$2:$AE$6,MATCH($B80,'Régions'!$A$2:$A$6,0),6)</x:f>
        <x:v>3563.6649560903365</x:v>
      </x:c>
      <x:c r="AI80" s="86" t="n">
        <x:f>D80*INDEX('Régions'!$AF$2:$AK$6,MATCH($B80,'Régions'!$A$2:$A$6,0),1)</x:f>
        <x:v>23746.96815821764</x:v>
      </x:c>
      <x:c r="AJ80" s="86" t="n">
        <x:f>E80*INDEX('Régions'!$AF$2:$AK$6,MATCH($B80,'Régions'!$A$2:$A$6,0),2)</x:f>
        <x:v>5275.879757837202</x:v>
      </x:c>
      <x:c r="AK80" s="86" t="n">
        <x:f>F80*INDEX('Régions'!$AF$2:$AK$6,MATCH($B80,'Régions'!$A$2:$A$6,0),3)</x:f>
        <x:v>2874.8772121839547</x:v>
      </x:c>
      <x:c r="AL80" s="86" t="n">
        <x:f>G80*INDEX('Régions'!$AF$2:$AK$6,MATCH($B80,'Régions'!$A$2:$A$6,0),4)</x:f>
        <x:v>20811.71768483734</x:v>
      </x:c>
      <x:c r="AM80" s="86" t="n">
        <x:f>H80*INDEX('Régions'!$AF$2:$AK$6,MATCH($B80,'Régions'!$A$2:$A$6,0),5)</x:f>
        <x:v>7248.677168942645</x:v>
      </x:c>
      <x:c r="AN80" s="86" t="n">
        <x:f>I80*INDEX('Régions'!$AF$2:$AK$6,MATCH($B80,'Régions'!$A$2:$A$6,0),6)</x:f>
        <x:v>0</x:v>
      </x:c>
      <x:c r="AO80" s="84" t="str">
        <x:f>IF(MAX(Q80:V80)=Q80,"CAQ",IF(MAX(Q80:V80)=R80,"PLQ",IF(MAX(Q80:V80)=S80,"QS",IF(MAX(Q80:V80)=T80,"PQ",IF(MAX(Q80:V80)=U80,"PCQ","Autre")))))</x:f>
        <x:v>CAQ</x:v>
      </x:c>
      <x:c r="AP80" s="84" t="str">
        <x:f>IF(MAX(W80:AB80)=W80,"CAQ",IF(MAX(W80:AB80)=X80,"PLQ",IF(MAX(W80:AB80)=Y80,"QS",IF(MAX(W80:AB80)=Z80,"PQ",IF(MAX(W80:AB80)=AA80,"PCQ","Autre")))))</x:f>
        <x:v>PQ</x:v>
      </x:c>
      <x:c r="AQ80" s="84" t="str">
        <x:f>IF(MAX(AC80:AH80)=AC80,"CAQ",IF(MAX(AC80:AH80)=AD80,"PLQ",IF(MAX(AC80:AH80)=AE80,"QS",IF(MAX(AC80:AH80)=AF80,"PQ",IF(MAX(AC80:AH80)=AG80,"PCQ","Autre")))))</x:f>
        <x:v>CAQ</x:v>
      </x:c>
      <x:c r="AR80" s="84" t="str">
        <x:f>IF(MAX(AI80:AN80)=AI80,"CAQ",IF(MAX(AI80:AN80)=AJ80,"PLQ",IF(MAX(AI80:AN80)=AK80,"QS",IF(MAX(AI80:AN80)=AL80,"PQ",IF(MAX(AI80:AN80)=AM80,"PCQ","Autre")))))</x:f>
        <x:v>CAQ</x:v>
      </x:c>
      <x:c r="AS80" s="88" t="n">
        <x:f>(MAX(K80:P80)-LARGE(K80:P80,2))*100</x:f>
        <x:v>33.329319364722565</x:v>
      </x:c>
      <x:c r="AT80" s="84" t="str">
        <x:f>IF(AS80&lt;5,"Oui","Non")</x:f>
        <x:v>Non</x:v>
      </x:c>
      <x:c r="AU80" s="89" t="n">
        <x:v>-7.510242972318116</x:v>
      </x:c>
      <x:c r="AV80" s="89" t="n">
        <x:v>4.287063041409904</x:v>
      </x:c>
      <x:c r="AW80" s="89" t="n">
        <x:v>0.15012213181280765</x:v>
      </x:c>
      <x:c r="AX80" s="90" t="n">
        <x:v>1.5468086225798428</x:v>
      </x:c>
    </x:row>
    <x:row r="81">
      <x:c r="A81" s="83" t="str">
        <x:v>Montarville</x:v>
      </x:c>
      <x:c r="B81" s="84" t="str">
        <x:v>Banlieue de Montréal</x:v>
      </x:c>
      <x:c r="C81" s="84" t="str">
        <x:f>IF(MAX(D81:I81)=D81,"CAQ",IF(MAX(D81:I81)=E81,"PLQ",IF(MAX(D81:I81)=F81,"QS",IF(MAX(D81:I81)=G81,"PQ",IF(MAX(D81:I81)=H81,"PCQ","Autre")))))</x:f>
        <x:v>CAQ</x:v>
      </x:c>
      <x:c r="D81" s="85" t="n">
        <x:v>38323</x:v>
      </x:c>
      <x:c r="E81" s="85" t="n">
        <x:v>10242</x:v>
      </x:c>
      <x:c r="F81" s="85" t="n">
        <x:v>13565</x:v>
      </x:c>
      <x:c r="G81" s="85" t="n">
        <x:v>16810</x:v>
      </x:c>
      <x:c r="H81" s="85" t="n">
        <x:v>4274</x:v>
      </x:c>
      <x:c r="I81" s="85" t="n">
        <x:v>270</x:v>
      </x:c>
      <x:c r="J81" s="86" t="n">
        <x:f>SUM(D81:I81)</x:f>
        <x:v>83484</x:v>
      </x:c>
      <x:c r="K81" s="87" t="n">
        <x:f>IFERROR(D81/J81,0)</x:f>
        <x:v>0.45904604475109</x:v>
      </x:c>
      <x:c r="L81" s="87" t="n">
        <x:f>IFERROR(E81/J81,0)</x:f>
        <x:v>0.12268219059939629</x:v>
      </x:c>
      <x:c r="M81" s="87" t="n">
        <x:f>IFERROR(F81/J81,0)</x:f>
        <x:v>0.1624862249053711</x:v>
      </x:c>
      <x:c r="N81" s="87" t="n">
        <x:f>IFERROR(G81/J81,0)</x:f>
        <x:v>0.20135594844521107</x:v>
      </x:c>
      <x:c r="O81" s="87" t="n">
        <x:f>IFERROR(H81/J81,0)</x:f>
        <x:v>0.051195438646926356</x:v>
      </x:c>
      <x:c r="P81" s="87" t="n">
        <x:f>IFERROR(I81/J81,0)</x:f>
        <x:v>0.003234152652005175</x:v>
      </x:c>
      <x:c r="Q81" s="86" t="n">
        <x:f>D81*INDEX('Régions'!$T$2:$Y$6,MATCH($B81,'Régions'!$A$2:$A$6,0),1)</x:f>
        <x:v>27093.95044440042</x:v>
      </x:c>
      <x:c r="R81" s="86" t="n">
        <x:f>E81*INDEX('Régions'!$T$2:$Y$6,MATCH($B81,'Régions'!$A$2:$A$6,0),2)</x:f>
        <x:v>13102.176717664652</x:v>
      </x:c>
      <x:c r="S81" s="86" t="n">
        <x:f>F81*INDEX('Régions'!$T$2:$Y$6,MATCH($B81,'Régions'!$A$2:$A$6,0),3)</x:f>
        <x:v>6851.732000796338</x:v>
      </x:c>
      <x:c r="T81" s="86" t="n">
        <x:f>G81*INDEX('Régions'!$T$2:$Y$6,MATCH($B81,'Régions'!$A$2:$A$6,0),4)</x:f>
        <x:v>31343.931167085724</x:v>
      </x:c>
      <x:c r="U81" s="86" t="n">
        <x:f>H81*INDEX('Régions'!$T$2:$Y$6,MATCH($B81,'Régions'!$A$2:$A$6,0),5)</x:f>
        <x:v>5002.013541243425</x:v>
      </x:c>
      <x:c r="V81" s="86" t="n">
        <x:f>I81*INDEX('Régions'!$T$2:$Y$6,MATCH($B81,'Régions'!$A$2:$A$6,0),6)</x:f>
        <x:v>579.7020955201777</x:v>
      </x:c>
      <x:c r="W81" s="86" t="n">
        <x:f>MAX(0,Q81+(AU81/100)*J81*'Régions'!$O$2)</x:f>
        <x:v>27847.436548262125</x:v>
      </x:c>
      <x:c r="X81" s="86" t="n">
        <x:f>MAX(0,R81+(AV81/100)*J81*'Régions'!$O$2)</x:f>
        <x:v>10743.239812970176</x:v>
      </x:c>
      <x:c r="Y81" s="86" t="n">
        <x:f>MAX(0,S81+(AW81/100)*J81*'Régions'!$O$2)</x:f>
        <x:v>7292.93626190168</x:v>
      </x:c>
      <x:c r="Z81" s="86" t="n">
        <x:f>MAX(0,T81+(AX81/100)*J81*'Régions'!$O$2)</x:f>
        <x:v>34938.067551541266</x:v>
      </x:c>
      <x:c r="AA81" s="86" t="n">
        <x:f>U81</x:f>
        <x:v>5002.013541243425</x:v>
      </x:c>
      <x:c r="AB81" s="86" t="n">
        <x:f>V81</x:f>
        <x:v>579.7020955201777</x:v>
      </x:c>
      <x:c r="AC81" s="86" t="n">
        <x:f>D81*INDEX('Régions'!$Z$2:$AE$6,MATCH($B81,'Régions'!$A$2:$A$6,0),1)</x:f>
        <x:v>29888.01408397921</x:v>
      </x:c>
      <x:c r="AD81" s="86" t="n">
        <x:f>E81*INDEX('Régions'!$Z$2:$AE$6,MATCH($B81,'Régions'!$A$2:$A$6,0),2)</x:f>
        <x:v>15504.242449236503</x:v>
      </x:c>
      <x:c r="AE81" s="86" t="n">
        <x:f>F81*INDEX('Régions'!$Z$2:$AE$6,MATCH($B81,'Régions'!$A$2:$A$6,0),3)</x:f>
        <x:v>10081.834229743183</x:v>
      </x:c>
      <x:c r="AF81" s="86" t="n">
        <x:f>G81*INDEX('Régions'!$Z$2:$AE$6,MATCH($B81,'Régions'!$A$2:$A$6,0),4)</x:f>
        <x:v>34791.76359546515</x:v>
      </x:c>
      <x:c r="AG81" s="86" t="n">
        <x:f>H81*INDEX('Régions'!$Z$2:$AE$6,MATCH($B81,'Régions'!$A$2:$A$6,0),5)</x:f>
        <x:v>6377.567265085367</x:v>
      </x:c>
      <x:c r="AH81" s="86" t="n">
        <x:f>I81*INDEX('Régions'!$Z$2:$AE$6,MATCH($B81,'Régions'!$A$2:$A$6,0),6)</x:f>
        <x:v>2492.719010736764</x:v>
      </x:c>
      <x:c r="AI81" s="86" t="n">
        <x:f>D81*INDEX('Régions'!$AF$2:$AK$6,MATCH($B81,'Régions'!$A$2:$A$6,0),1)</x:f>
        <x:v>24299.886804821628</x:v>
      </x:c>
      <x:c r="AJ81" s="86" t="n">
        <x:f>E81*INDEX('Régions'!$AF$2:$AK$6,MATCH($B81,'Régions'!$A$2:$A$6,0),2)</x:f>
        <x:v>10700.110986092797</x:v>
      </x:c>
      <x:c r="AK81" s="86" t="n">
        <x:f>F81*INDEX('Régions'!$AF$2:$AK$6,MATCH($B81,'Régions'!$A$2:$A$6,0),3)</x:f>
        <x:v>3621.6297718494934</x:v>
      </x:c>
      <x:c r="AL81" s="86" t="n">
        <x:f>G81*INDEX('Régions'!$AF$2:$AK$6,MATCH($B81,'Régions'!$A$2:$A$6,0),4)</x:f>
        <x:v>27896.098738706296</x:v>
      </x:c>
      <x:c r="AM81" s="86" t="n">
        <x:f>H81*INDEX('Régions'!$AF$2:$AK$6,MATCH($B81,'Régions'!$A$2:$A$6,0),5)</x:f>
        <x:v>3626.4598174014823</x:v>
      </x:c>
      <x:c r="AN81" s="86" t="n">
        <x:f>I81*INDEX('Régions'!$AF$2:$AK$6,MATCH($B81,'Régions'!$A$2:$A$6,0),6)</x:f>
        <x:v>0</x:v>
      </x:c>
      <x:c r="AO81" s="84" t="str">
        <x:f>IF(MAX(Q81:V81)=Q81,"CAQ",IF(MAX(Q81:V81)=R81,"PLQ",IF(MAX(Q81:V81)=S81,"QS",IF(MAX(Q81:V81)=T81,"PQ",IF(MAX(Q81:V81)=U81,"PCQ","Autre")))))</x:f>
        <x:v>PQ</x:v>
      </x:c>
      <x:c r="AP81" s="84" t="str">
        <x:f>IF(MAX(W81:AB81)=W81,"CAQ",IF(MAX(W81:AB81)=X81,"PLQ",IF(MAX(W81:AB81)=Y81,"QS",IF(MAX(W81:AB81)=Z81,"PQ",IF(MAX(W81:AB81)=AA81,"PCQ","Autre")))))</x:f>
        <x:v>PQ</x:v>
      </x:c>
      <x:c r="AQ81" s="84" t="str">
        <x:f>IF(MAX(AC81:AH81)=AC81,"CAQ",IF(MAX(AC81:AH81)=AD81,"PLQ",IF(MAX(AC81:AH81)=AE81,"QS",IF(MAX(AC81:AH81)=AF81,"PQ",IF(MAX(AC81:AH81)=AG81,"PCQ","Autre")))))</x:f>
        <x:v>PQ</x:v>
      </x:c>
      <x:c r="AR81" s="84" t="str">
        <x:f>IF(MAX(AI81:AN81)=AI81,"CAQ",IF(MAX(AI81:AN81)=AJ81,"PLQ",IF(MAX(AI81:AN81)=AK81,"QS",IF(MAX(AI81:AN81)=AL81,"PQ",IF(MAX(AI81:AN81)=AM81,"PCQ","Autre")))))</x:f>
        <x:v>PQ</x:v>
      </x:c>
      <x:c r="AS81" s="88" t="n">
        <x:f>(MAX(K81:P81)-LARGE(K81:P81,2))*100</x:f>
        <x:v>25.76900963058789</x:v>
      </x:c>
      <x:c r="AT81" s="84" t="str">
        <x:f>IF(AS81&lt;5,"Oui","Non")</x:f>
        <x:v>Non</x:v>
      </x:c>
      <x:c r="AU81" s="89" t="n">
        <x:v>1.8051030230025022</x:v>
      </x:c>
      <x:c r="AV81" s="89" t="n">
        <x:v>-5.651231145355938</x:v>
      </x:c>
      <x:c r="AW81" s="89" t="n">
        <x:v>1.0569792082443157</x:v>
      </x:c>
      <x:c r="AX81" s="90" t="n">
        <x:v>8.61035979218903</x:v>
      </x:c>
    </x:row>
    <x:row r="82">
      <x:c r="A82" s="83" t="str">
        <x:v>Montmorency</x:v>
      </x:c>
      <x:c r="B82" s="84" t="str">
        <x:v>Québec RMR</x:v>
      </x:c>
      <x:c r="C82" s="84" t="str">
        <x:f>IF(MAX(D82:I82)=D82,"CAQ",IF(MAX(D82:I82)=E82,"PLQ",IF(MAX(D82:I82)=F82,"QS",IF(MAX(D82:I82)=G82,"PQ",IF(MAX(D82:I82)=H82,"PCQ","Autre")))))</x:f>
        <x:v>CAQ</x:v>
      </x:c>
      <x:c r="D82" s="85" t="n">
        <x:v>38317</x:v>
      </x:c>
      <x:c r="E82" s="85" t="n">
        <x:v>3945</x:v>
      </x:c>
      <x:c r="F82" s="85" t="n">
        <x:v>10219</x:v>
      </x:c>
      <x:c r="G82" s="85" t="n">
        <x:v>10112</x:v>
      </x:c>
      <x:c r="H82" s="85" t="n">
        <x:v>22102</x:v>
      </x:c>
      <x:c r="I82" s="85" t="n">
        <x:v>110</x:v>
      </x:c>
      <x:c r="J82" s="86" t="n">
        <x:f>SUM(D82:I82)</x:f>
        <x:v>84805</x:v>
      </x:c>
      <x:c r="K82" s="87" t="n">
        <x:f>IFERROR(D82/J82,0)</x:f>
        <x:v>0.45182477448263664</x:v>
      </x:c>
      <x:c r="L82" s="87" t="n">
        <x:f>IFERROR(E82/J82,0)</x:f>
        <x:v>0.04651848357997759</x:v>
      </x:c>
      <x:c r="M82" s="87" t="n">
        <x:f>IFERROR(F82/J82,0)</x:f>
        <x:v>0.1204999705206061</x:v>
      </x:c>
      <x:c r="N82" s="87" t="n">
        <x:f>IFERROR(G82/J82,0)</x:f>
        <x:v>0.11923825246152939</x:v>
      </x:c>
      <x:c r="O82" s="87" t="n">
        <x:f>IFERROR(H82/J82,0)</x:f>
        <x:v>0.26062142562348917</x:v>
      </x:c>
      <x:c r="P82" s="87" t="n">
        <x:f>IFERROR(I82/J82,0)</x:f>
        <x:v>0.001297093331761099</x:v>
      </x:c>
      <x:c r="Q82" s="86" t="n">
        <x:f>D82*INDEX('Régions'!$T$2:$Y$6,MATCH($B82,'Régions'!$A$2:$A$6,0),1)</x:f>
        <x:v>31887.544126152734</x:v>
      </x:c>
      <x:c r="R82" s="86" t="n">
        <x:f>E82*INDEX('Régions'!$T$2:$Y$6,MATCH($B82,'Régions'!$A$2:$A$6,0),2)</x:f>
        <x:v>4734.6141830184315</x:v>
      </x:c>
      <x:c r="S82" s="86" t="n">
        <x:f>F82*INDEX('Régions'!$T$2:$Y$6,MATCH($B82,'Régions'!$A$2:$A$6,0),3)</x:f>
        <x:v>4053.9941595472496</x:v>
      </x:c>
      <x:c r="T82" s="86" t="n">
        <x:f>G82*INDEX('Régions'!$T$2:$Y$6,MATCH($B82,'Régions'!$A$2:$A$6,0),4)</x:f>
        <x:v>20643.998613081163</x:v>
      </x:c>
      <x:c r="U82" s="86" t="n">
        <x:f>H82*INDEX('Régions'!$T$2:$Y$6,MATCH($B82,'Régions'!$A$2:$A$6,0),5)</x:f>
        <x:v>22633.152064932267</x:v>
      </x:c>
      <x:c r="V82" s="86" t="n">
        <x:f>I82*INDEX('Régions'!$T$2:$Y$6,MATCH($B82,'Régions'!$A$2:$A$6,0),6)</x:f>
        <x:v>187.85617996044823</x:v>
      </x:c>
      <x:c r="W82" s="86" t="n">
        <x:f>MAX(0,Q82+(AU82/100)*J82*'Régions'!$O$2)</x:f>
        <x:v>30724.51510027245</x:v>
      </x:c>
      <x:c r="X82" s="86" t="n">
        <x:f>MAX(0,R82+(AV82/100)*J82*'Régions'!$O$2)</x:f>
        <x:v>5142.424374490636</x:v>
      </x:c>
      <x:c r="Y82" s="86" t="n">
        <x:f>MAX(0,S82+(AW82/100)*J82*'Régions'!$O$2)</x:f>
        <x:v>3839.987140462978</x:v>
      </x:c>
      <x:c r="Z82" s="86" t="n">
        <x:f>MAX(0,T82+(AX82/100)*J82*'Régions'!$O$2)</x:f>
        <x:v>20240.384189257886</x:v>
      </x:c>
      <x:c r="AA82" s="86" t="n">
        <x:f>U82</x:f>
        <x:v>22633.152064932267</x:v>
      </x:c>
      <x:c r="AB82" s="86" t="n">
        <x:f>V82</x:f>
        <x:v>187.85617996044823</x:v>
      </x:c>
      <x:c r="AC82" s="86" t="n">
        <x:f>D82*INDEX('Régions'!$Z$2:$AE$6,MATCH($B82,'Régions'!$A$2:$A$6,0),1)</x:f>
        <x:v>34810.5690043834</x:v>
      </x:c>
      <x:c r="AD82" s="86" t="n">
        <x:f>E82*INDEX('Régions'!$Z$2:$AE$6,MATCH($B82,'Régions'!$A$2:$A$6,0),2)</x:f>
        <x:v>6966.646583584264</x:v>
      </x:c>
      <x:c r="AE82" s="86" t="n">
        <x:f>F82*INDEX('Régions'!$Z$2:$AE$6,MATCH($B82,'Régions'!$A$2:$A$6,0),3)</x:f>
        <x:v>6283.690947298237</x:v>
      </x:c>
      <x:c r="AF82" s="86" t="n">
        <x:f>G82*INDEX('Régions'!$Z$2:$AE$6,MATCH($B82,'Régions'!$A$2:$A$6,0),4)</x:f>
        <x:v>23077.041306765732</x:v>
      </x:c>
      <x:c r="AG82" s="86" t="n">
        <x:f>H82*INDEX('Régions'!$Z$2:$AE$6,MATCH($B82,'Régions'!$A$2:$A$6,0),5)</x:f>
        <x:v>26028.12487467211</x:v>
      </x:c>
      <x:c r="AH82" s="86" t="n">
        <x:f>I82*INDEX('Régions'!$Z$2:$AE$6,MATCH($B82,'Régions'!$A$2:$A$6,0),6)</x:f>
        <x:v>807.7815738299273</x:v>
      </x:c>
      <x:c r="AI82" s="86" t="n">
        <x:f>D82*INDEX('Régions'!$AF$2:$AK$6,MATCH($B82,'Régions'!$A$2:$A$6,0),1)</x:f>
        <x:v>28964.519247922068</x:v>
      </x:c>
      <x:c r="AJ82" s="86" t="n">
        <x:f>E82*INDEX('Régions'!$AF$2:$AK$6,MATCH($B82,'Régions'!$A$2:$A$6,0),2)</x:f>
        <x:v>2502.5817824525993</x:v>
      </x:c>
      <x:c r="AK82" s="86" t="n">
        <x:f>F82*INDEX('Régions'!$AF$2:$AK$6,MATCH($B82,'Régions'!$A$2:$A$6,0),3)</x:f>
        <x:v>1824.2973717962625</x:v>
      </x:c>
      <x:c r="AL82" s="86" t="n">
        <x:f>G82*INDEX('Régions'!$AF$2:$AK$6,MATCH($B82,'Régions'!$A$2:$A$6,0),4)</x:f>
        <x:v>18210.9559193966</x:v>
      </x:c>
      <x:c r="AM82" s="86" t="n">
        <x:f>H82*INDEX('Régions'!$AF$2:$AK$6,MATCH($B82,'Régions'!$A$2:$A$6,0),5)</x:f>
        <x:v>19238.179255192426</x:v>
      </x:c>
      <x:c r="AN82" s="86" t="n">
        <x:f>I82*INDEX('Régions'!$AF$2:$AK$6,MATCH($B82,'Régions'!$A$2:$A$6,0),6)</x:f>
        <x:v>0</x:v>
      </x:c>
      <x:c r="AO82" s="84" t="str">
        <x:f>IF(MAX(Q82:V82)=Q82,"CAQ",IF(MAX(Q82:V82)=R82,"PLQ",IF(MAX(Q82:V82)=S82,"QS",IF(MAX(Q82:V82)=T82,"PQ",IF(MAX(Q82:V82)=U82,"PCQ","Autre")))))</x:f>
        <x:v>CAQ</x:v>
      </x:c>
      <x:c r="AP82" s="84" t="str">
        <x:f>IF(MAX(W82:AB82)=W82,"CAQ",IF(MAX(W82:AB82)=X82,"PLQ",IF(MAX(W82:AB82)=Y82,"QS",IF(MAX(W82:AB82)=Z82,"PQ",IF(MAX(W82:AB82)=AA82,"PCQ","Autre")))))</x:f>
        <x:v>CAQ</x:v>
      </x:c>
      <x:c r="AQ82" s="84" t="str">
        <x:f>IF(MAX(AC82:AH82)=AC82,"CAQ",IF(MAX(AC82:AH82)=AD82,"PLQ",IF(MAX(AC82:AH82)=AE82,"QS",IF(MAX(AC82:AH82)=AF82,"PQ",IF(MAX(AC82:AH82)=AG82,"PCQ","Autre")))))</x:f>
        <x:v>CAQ</x:v>
      </x:c>
      <x:c r="AR82" s="84" t="str">
        <x:f>IF(MAX(AI82:AN82)=AI82,"CAQ",IF(MAX(AI82:AN82)=AJ82,"PLQ",IF(MAX(AI82:AN82)=AK82,"QS",IF(MAX(AI82:AN82)=AL82,"PQ",IF(MAX(AI82:AN82)=AM82,"PCQ","Autre")))))</x:f>
        <x:v>CAQ</x:v>
      </x:c>
      <x:c r="AS82" s="88" t="n">
        <x:f>(MAX(K82:P82)-LARGE(K82:P82,2))*100</x:f>
        <x:v>19.120334885914748</x:v>
      </x:c>
      <x:c r="AT82" s="84" t="str">
        <x:f>IF(AS82&lt;5,"Oui","Non")</x:f>
        <x:v>Non</x:v>
      </x:c>
      <x:c r="AU82" s="89" t="n">
        <x:v>-2.7428312620253195</x:v>
      </x:c>
      <x:c r="AV82" s="89" t="n">
        <x:v>0.9617597817869333</x:v>
      </x:c>
      <x:c r="AW82" s="89" t="n">
        <x:v>-0.504703777098689</x:v>
      </x:c>
      <x:c r="AX82" s="90" t="n">
        <x:v>-0.9518646868068539</x:v>
      </x:c>
    </x:row>
    <x:row r="83">
      <x:c r="A83" s="83" t="str">
        <x:v>Mont-Royal-Outremont</x:v>
      </x:c>
      <x:c r="B83" s="84" t="str">
        <x:v>Île de Montréal</x:v>
      </x:c>
      <x:c r="C83" s="84" t="str">
        <x:f>IF(MAX(D83:I83)=D83,"CAQ",IF(MAX(D83:I83)=E83,"PLQ",IF(MAX(D83:I83)=F83,"QS",IF(MAX(D83:I83)=G83,"PQ",IF(MAX(D83:I83)=H83,"PCQ","Autre")))))</x:f>
        <x:v>PLQ</x:v>
      </x:c>
      <x:c r="D83" s="85" t="n">
        <x:v>9759</x:v>
      </x:c>
      <x:c r="E83" s="85" t="n">
        <x:v>24325</x:v>
      </x:c>
      <x:c r="F83" s="85" t="n">
        <x:v>12536</x:v>
      </x:c>
      <x:c r="G83" s="85" t="n">
        <x:v>8701</x:v>
      </x:c>
      <x:c r="H83" s="85" t="n">
        <x:v>6320</x:v>
      </x:c>
      <x:c r="I83" s="85" t="n">
        <x:v>182</x:v>
      </x:c>
      <x:c r="J83" s="86" t="n">
        <x:f>SUM(D83:I83)</x:f>
        <x:v>61823</x:v>
      </x:c>
      <x:c r="K83" s="87" t="n">
        <x:f>IFERROR(D83/J83,0)</x:f>
        <x:v>0.15785387315400418</x:v>
      </x:c>
      <x:c r="L83" s="87" t="n">
        <x:f>IFERROR(E83/J83,0)</x:f>
        <x:v>0.3934619801691927</x:v>
      </x:c>
      <x:c r="M83" s="87" t="n">
        <x:f>IFERROR(F83/J83,0)</x:f>
        <x:v>0.20277243097229186</x:v>
      </x:c>
      <x:c r="N83" s="87" t="n">
        <x:f>IFERROR(G83/J83,0)</x:f>
        <x:v>0.14074050110800188</x:v>
      </x:c>
      <x:c r="O83" s="87" t="n">
        <x:f>IFERROR(H83/J83,0)</x:f>
        <x:v>0.10222732639956003</x:v>
      </x:c>
      <x:c r="P83" s="87" t="n">
        <x:f>IFERROR(I83/J83,0)</x:f>
        <x:v>0.0029438881969493552</x:v>
      </x:c>
      <x:c r="Q83" s="86" t="n">
        <x:f>D83*INDEX('Régions'!$T$2:$Y$6,MATCH($B83,'Régions'!$A$2:$A$6,0),1)</x:f>
        <x:v>7309.369626252667</x:v>
      </x:c>
      <x:c r="R83" s="86" t="n">
        <x:f>E83*INDEX('Régions'!$T$2:$Y$6,MATCH($B83,'Régions'!$A$2:$A$6,0),2)</x:f>
        <x:v>24237.601939218468</x:v>
      </x:c>
      <x:c r="S83" s="86" t="n">
        <x:f>F83*INDEX('Régions'!$T$2:$Y$6,MATCH($B83,'Régions'!$A$2:$A$6,0),3)</x:f>
        <x:v>9662.573441650784</x:v>
      </x:c>
      <x:c r="T83" s="86" t="n">
        <x:f>G83*INDEX('Régions'!$T$2:$Y$6,MATCH($B83,'Régions'!$A$2:$A$6,0),4)</x:f>
        <x:v>16833.124498126803</x:v>
      </x:c>
      <x:c r="U83" s="86" t="n">
        <x:f>H83*INDEX('Régions'!$T$2:$Y$6,MATCH($B83,'Régions'!$A$2:$A$6,0),5)</x:f>
        <x:v>5037.436716619961</x:v>
      </x:c>
      <x:c r="V83" s="86" t="n">
        <x:f>I83*INDEX('Régions'!$T$2:$Y$6,MATCH($B83,'Régions'!$A$2:$A$6,0),6)</x:f>
        <x:v>269.11805097873537</x:v>
      </x:c>
      <x:c r="W83" s="86" t="n">
        <x:f>MAX(0,Q83+(AU83/100)*J83*'Régions'!$O$2)</x:f>
        <x:v>7442.9468161732875</x:v>
      </x:c>
      <x:c r="X83" s="86" t="n">
        <x:f>MAX(0,R83+(AV83/100)*J83*'Régions'!$O$2)</x:f>
        <x:v>23038.800732580683</x:v>
      </x:c>
      <x:c r="Y83" s="86" t="n">
        <x:f>MAX(0,S83+(AW83/100)*J83*'Régions'!$O$2)</x:f>
        <x:v>11006.600841258713</x:v>
      </x:c>
      <x:c r="Z83" s="86" t="n">
        <x:f>MAX(0,T83+(AX83/100)*J83*'Régions'!$O$2)</x:f>
        <x:v>16974.84625095508</x:v>
      </x:c>
      <x:c r="AA83" s="86" t="n">
        <x:f>U83</x:f>
        <x:v>5037.436716619961</x:v>
      </x:c>
      <x:c r="AB83" s="86" t="n">
        <x:f>V83</x:f>
        <x:v>269.11805097873537</x:v>
      </x:c>
      <x:c r="AC83" s="86" t="n">
        <x:f>D83*INDEX('Régions'!$Z$2:$AE$6,MATCH($B83,'Régions'!$A$2:$A$6,0),1)</x:f>
        <x:v>8917.430944028254</x:v>
      </x:c>
      <x:c r="AD83" s="86" t="n">
        <x:f>E83*INDEX('Régions'!$Z$2:$AE$6,MATCH($B83,'Régions'!$A$2:$A$6,0),2)</x:f>
        <x:v>26590.0750686132</x:v>
      </x:c>
      <x:c r="AE83" s="86" t="n">
        <x:f>F83*INDEX('Régions'!$Z$2:$AE$6,MATCH($B83,'Régions'!$A$2:$A$6,0),3)</x:f>
        <x:v>11538.249462677115</x:v>
      </x:c>
      <x:c r="AF83" s="86" t="n">
        <x:f>G83*INDEX('Régions'!$Z$2:$AE$6,MATCH($B83,'Régions'!$A$2:$A$6,0),4)</x:f>
        <x:v>19147.67911661924</x:v>
      </x:c>
      <x:c r="AG83" s="86" t="n">
        <x:f>H83*INDEX('Régions'!$Z$2:$AE$6,MATCH($B83,'Régions'!$A$2:$A$6,0),5)</x:f>
        <x:v>7115.379362225695</x:v>
      </x:c>
      <x:c r="AH83" s="86" t="n">
        <x:f>I83*INDEX('Régions'!$Z$2:$AE$6,MATCH($B83,'Régions'!$A$2:$A$6,0),6)</x:f>
        <x:v>713.1628350936488</x:v>
      </x:c>
      <x:c r="AI83" s="86" t="n">
        <x:f>D83*INDEX('Régions'!$AF$2:$AK$6,MATCH($B83,'Régions'!$A$2:$A$6,0),1)</x:f>
        <x:v>5701.308308477081</x:v>
      </x:c>
      <x:c r="AJ83" s="86" t="n">
        <x:f>E83*INDEX('Régions'!$AF$2:$AK$6,MATCH($B83,'Régions'!$A$2:$A$6,0),2)</x:f>
        <x:v>21885.128809823735</x:v>
      </x:c>
      <x:c r="AK83" s="86" t="n">
        <x:f>F83*INDEX('Régions'!$AF$2:$AK$6,MATCH($B83,'Régions'!$A$2:$A$6,0),3)</x:f>
        <x:v>7786.897420624456</x:v>
      </x:c>
      <x:c r="AL83" s="86" t="n">
        <x:f>G83*INDEX('Régions'!$AF$2:$AK$6,MATCH($B83,'Régions'!$A$2:$A$6,0),4)</x:f>
        <x:v>14518.569879634368</x:v>
      </x:c>
      <x:c r="AM83" s="86" t="n">
        <x:f>H83*INDEX('Régions'!$AF$2:$AK$6,MATCH($B83,'Régions'!$A$2:$A$6,0),5)</x:f>
        <x:v>2959.4940710142273</x:v>
      </x:c>
      <x:c r="AN83" s="86" t="n">
        <x:f>I83*INDEX('Régions'!$AF$2:$AK$6,MATCH($B83,'Régions'!$A$2:$A$6,0),6)</x:f>
        <x:v>0</x:v>
      </x:c>
      <x:c r="AO83" s="84" t="str">
        <x:f>IF(MAX(Q83:V83)=Q83,"CAQ",IF(MAX(Q83:V83)=R83,"PLQ",IF(MAX(Q83:V83)=S83,"QS",IF(MAX(Q83:V83)=T83,"PQ",IF(MAX(Q83:V83)=U83,"PCQ","Autre")))))</x:f>
        <x:v>PLQ</x:v>
      </x:c>
      <x:c r="AP83" s="84" t="str">
        <x:f>IF(MAX(W83:AB83)=W83,"CAQ",IF(MAX(W83:AB83)=X83,"PLQ",IF(MAX(W83:AB83)=Y83,"QS",IF(MAX(W83:AB83)=Z83,"PQ",IF(MAX(W83:AB83)=AA83,"PCQ","Autre")))))</x:f>
        <x:v>PLQ</x:v>
      </x:c>
      <x:c r="AQ83" s="84" t="str">
        <x:f>IF(MAX(AC83:AH83)=AC83,"CAQ",IF(MAX(AC83:AH83)=AD83,"PLQ",IF(MAX(AC83:AH83)=AE83,"QS",IF(MAX(AC83:AH83)=AF83,"PQ",IF(MAX(AC83:AH83)=AG83,"PCQ","Autre")))))</x:f>
        <x:v>PLQ</x:v>
      </x:c>
      <x:c r="AR83" s="84" t="str">
        <x:f>IF(MAX(AI83:AN83)=AI83,"CAQ",IF(MAX(AI83:AN83)=AJ83,"PLQ",IF(MAX(AI83:AN83)=AK83,"QS",IF(MAX(AI83:AN83)=AL83,"PQ",IF(MAX(AI83:AN83)=AM83,"PCQ","Autre")))))</x:f>
        <x:v>PLQ</x:v>
      </x:c>
      <x:c r="AS83" s="88" t="n">
        <x:f>(MAX(K83:P83)-LARGE(K83:P83,2))*100</x:f>
        <x:v>19.068954919690086</x:v>
      </x:c>
      <x:c r="AT83" s="84" t="str">
        <x:f>IF(AS83&lt;5,"Oui","Non")</x:f>
        <x:v>Non</x:v>
      </x:c>
      <x:c r="AU83" s="89" t="n">
        <x:v>0.43212781625162344</x:v>
      </x:c>
      <x:c r="AV83" s="89" t="n">
        <x:v>-3.8781722227578252</x:v>
      </x:c>
      <x:c r="AW83" s="89" t="n">
        <x:v>4.347985052837708</x:v>
      </x:c>
      <x:c r="AX83" s="90" t="n">
        <x:v>0.4584758191232316</x:v>
      </x:c>
    </x:row>
    <x:row r="84">
      <x:c r="A84" s="83" t="str">
        <x:v>Nelligan</x:v>
      </x:c>
      <x:c r="B84" s="84" t="str">
        <x:v>Île de Montréal</x:v>
      </x:c>
      <x:c r="C84" s="84" t="str">
        <x:f>IF(MAX(D84:I84)=D84,"CAQ",IF(MAX(D84:I84)=E84,"PLQ",IF(MAX(D84:I84)=F84,"QS",IF(MAX(D84:I84)=G84,"PQ",IF(MAX(D84:I84)=H84,"PCQ","Autre")))))</x:f>
        <x:v>PLQ</x:v>
      </x:c>
      <x:c r="D84" s="85" t="n">
        <x:v>11248</x:v>
      </x:c>
      <x:c r="E84" s="85" t="n">
        <x:v>35158</x:v>
      </x:c>
      <x:c r="F84" s="85" t="n">
        <x:v>3557</x:v>
      </x:c>
      <x:c r="G84" s="85" t="n">
        <x:v>3942</x:v>
      </x:c>
      <x:c r="H84" s="85" t="n">
        <x:v>12237</x:v>
      </x:c>
      <x:c r="I84" s="85" t="n">
        <x:v>1430</x:v>
      </x:c>
      <x:c r="J84" s="86" t="n">
        <x:f>SUM(D84:I84)</x:f>
        <x:v>67572</x:v>
      </x:c>
      <x:c r="K84" s="87" t="n">
        <x:f>IFERROR(D84/J84,0)</x:f>
        <x:v>0.16645948025809507</x:v>
      </x:c>
      <x:c r="L84" s="87" t="n">
        <x:f>IFERROR(E84/J84,0)</x:f>
        <x:v>0.5203042680400166</x:v>
      </x:c>
      <x:c r="M84" s="87" t="n">
        <x:f>IFERROR(F84/J84,0)</x:f>
        <x:v>0.052640146806369505</x:v>
      </x:c>
      <x:c r="N84" s="87" t="n">
        <x:f>IFERROR(G84/J84,0)</x:f>
        <x:v>0.05833777304208844</x:v>
      </x:c>
      <x:c r="O84" s="87" t="n">
        <x:f>IFERROR(H84/J84,0)</x:f>
        <x:v>0.18109572012076008</x:v>
      </x:c>
      <x:c r="P84" s="87" t="n">
        <x:f>IFERROR(I84/J84,0)</x:f>
        <x:v>0.021162611732670335</x:v>
      </x:c>
      <x:c r="Q84" s="86" t="n">
        <x:f>D84*INDEX('Régions'!$T$2:$Y$6,MATCH($B84,'Régions'!$A$2:$A$6,0),1)</x:f>
        <x:v>8424.612107397275</x:v>
      </x:c>
      <x:c r="R84" s="86" t="n">
        <x:f>E84*INDEX('Régions'!$T$2:$Y$6,MATCH($B84,'Régions'!$A$2:$A$6,0),2)</x:f>
        <x:v>35031.67971136867</x:v>
      </x:c>
      <x:c r="S84" s="86" t="n">
        <x:f>F84*INDEX('Régions'!$T$2:$Y$6,MATCH($B84,'Régions'!$A$2:$A$6,0),3)</x:f>
        <x:v>2741.685843327364</x:v>
      </x:c>
      <x:c r="T84" s="86" t="n">
        <x:f>G84*INDEX('Régions'!$T$2:$Y$6,MATCH($B84,'Régions'!$A$2:$A$6,0),4)</x:f>
        <x:v>7626.270172579687</x:v>
      </x:c>
      <x:c r="U84" s="86" t="n">
        <x:f>H84*INDEX('Régions'!$T$2:$Y$6,MATCH($B84,'Régions'!$A$2:$A$6,0),5)</x:f>
        <x:v>9753.657136278238</x:v>
      </x:c>
      <x:c r="V84" s="86" t="n">
        <x:f>I84*INDEX('Régions'!$T$2:$Y$6,MATCH($B84,'Régions'!$A$2:$A$6,0),6)</x:f>
        <x:v>2114.498971975778</x:v>
      </x:c>
      <x:c r="W84" s="86" t="n">
        <x:f>MAX(0,Q84+(AU84/100)*J84*'Régions'!$O$2)</x:f>
        <x:v>7626.153607483034</x:v>
      </x:c>
      <x:c r="X84" s="86" t="n">
        <x:f>MAX(0,R84+(AV84/100)*J84*'Régions'!$O$2)</x:f>
        <x:v>33349.84604720826</x:v>
      </x:c>
      <x:c r="Y84" s="86" t="n">
        <x:f>MAX(0,S84+(AW84/100)*J84*'Régions'!$O$2)</x:f>
        <x:v>2488.7043872481345</x:v>
      </x:c>
      <x:c r="Z84" s="86" t="n">
        <x:f>MAX(0,T84+(AX84/100)*J84*'Régions'!$O$2)</x:f>
        <x:v>7855.048963884422</x:v>
      </x:c>
      <x:c r="AA84" s="86" t="n">
        <x:f>U84</x:f>
        <x:v>9753.657136278238</x:v>
      </x:c>
      <x:c r="AB84" s="86" t="n">
        <x:f>V84</x:f>
        <x:v>2114.498971975778</x:v>
      </x:c>
      <x:c r="AC84" s="86" t="n">
        <x:f>D84*INDEX('Régions'!$Z$2:$AE$6,MATCH($B84,'Régions'!$A$2:$A$6,0),1)</x:f>
        <x:v>10278.026771024675</x:v>
      </x:c>
      <x:c r="AD84" s="86" t="n">
        <x:f>E84*INDEX('Régions'!$Z$2:$AE$6,MATCH($B84,'Régions'!$A$2:$A$6,0),2)</x:f>
        <x:v>38431.81333041328</x:v>
      </x:c>
      <x:c r="AE84" s="86" t="n">
        <x:f>F84*INDEX('Régions'!$Z$2:$AE$6,MATCH($B84,'Régions'!$A$2:$A$6,0),3)</x:f>
        <x:v>3273.895448208559</x:v>
      </x:c>
      <x:c r="AF84" s="86" t="n">
        <x:f>G84*INDEX('Régions'!$Z$2:$AE$6,MATCH($B84,'Régions'!$A$2:$A$6,0),4)</x:f>
        <x:v>8674.882321309395</x:v>
      </x:c>
      <x:c r="AG84" s="86" t="n">
        <x:f>H84*INDEX('Régions'!$Z$2:$AE$6,MATCH($B84,'Régions'!$A$2:$A$6,0),5)</x:f>
        <x:v>13777.04070499301</x:v>
      </x:c>
      <x:c r="AH84" s="86" t="n">
        <x:f>I84*INDEX('Régions'!$Z$2:$AE$6,MATCH($B84,'Régions'!$A$2:$A$6,0),6)</x:f>
        <x:v>5603.422275735812</x:v>
      </x:c>
      <x:c r="AI84" s="86" t="n">
        <x:f>D84*INDEX('Régions'!$AF$2:$AK$6,MATCH($B84,'Régions'!$A$2:$A$6,0),1)</x:f>
        <x:v>6571.197443769875</x:v>
      </x:c>
      <x:c r="AJ84" s="86" t="n">
        <x:f>E84*INDEX('Régions'!$AF$2:$AK$6,MATCH($B84,'Régions'!$A$2:$A$6,0),2)</x:f>
        <x:v>31631.546092324064</x:v>
      </x:c>
      <x:c r="AK84" s="86" t="n">
        <x:f>F84*INDEX('Régions'!$AF$2:$AK$6,MATCH($B84,'Régions'!$A$2:$A$6,0),3)</x:f>
        <x:v>2209.47623844617</x:v>
      </x:c>
      <x:c r="AL84" s="86" t="n">
        <x:f>G84*INDEX('Régions'!$AF$2:$AK$6,MATCH($B84,'Régions'!$A$2:$A$6,0),4)</x:f>
        <x:v>6577.65802384998</x:v>
      </x:c>
      <x:c r="AM84" s="86" t="n">
        <x:f>H84*INDEX('Régions'!$AF$2:$AK$6,MATCH($B84,'Régions'!$A$2:$A$6,0),5)</x:f>
        <x:v>5730.273567563465</x:v>
      </x:c>
      <x:c r="AN84" s="86" t="n">
        <x:f>I84*INDEX('Régions'!$AF$2:$AK$6,MATCH($B84,'Régions'!$A$2:$A$6,0),6)</x:f>
        <x:v>0</x:v>
      </x:c>
      <x:c r="AO84" s="84" t="str">
        <x:f>IF(MAX(Q84:V84)=Q84,"CAQ",IF(MAX(Q84:V84)=R84,"PLQ",IF(MAX(Q84:V84)=S84,"QS",IF(MAX(Q84:V84)=T84,"PQ",IF(MAX(Q84:V84)=U84,"PCQ","Autre")))))</x:f>
        <x:v>PLQ</x:v>
      </x:c>
      <x:c r="AP84" s="84" t="str">
        <x:f>IF(MAX(W84:AB84)=W84,"CAQ",IF(MAX(W84:AB84)=X84,"PLQ",IF(MAX(W84:AB84)=Y84,"QS",IF(MAX(W84:AB84)=Z84,"PQ",IF(MAX(W84:AB84)=AA84,"PCQ","Autre")))))</x:f>
        <x:v>PLQ</x:v>
      </x:c>
      <x:c r="AQ84" s="84" t="str">
        <x:f>IF(MAX(AC84:AH84)=AC84,"CAQ",IF(MAX(AC84:AH84)=AD84,"PLQ",IF(MAX(AC84:AH84)=AE84,"QS",IF(MAX(AC84:AH84)=AF84,"PQ",IF(MAX(AC84:AH84)=AG84,"PCQ","Autre")))))</x:f>
        <x:v>PLQ</x:v>
      </x:c>
      <x:c r="AR84" s="84" t="str">
        <x:f>IF(MAX(AI84:AN84)=AI84,"CAQ",IF(MAX(AI84:AN84)=AJ84,"PLQ",IF(MAX(AI84:AN84)=AK84,"QS",IF(MAX(AI84:AN84)=AL84,"PQ",IF(MAX(AI84:AN84)=AM84,"PCQ","Autre")))))</x:f>
        <x:v>PLQ</x:v>
      </x:c>
      <x:c r="AS84" s="88" t="n">
        <x:f>(MAX(K84:P84)-LARGE(K84:P84,2))*100</x:f>
        <x:v>33.920854791925656</x:v>
      </x:c>
      <x:c r="AT84" s="84" t="str">
        <x:f>IF(AS84&lt;5,"Oui","Non")</x:f>
        <x:v>Non</x:v>
      </x:c>
      <x:c r="AU84" s="89" t="n">
        <x:v>-2.363282128438529</x:v>
      </x:c>
      <x:c r="AV84" s="89" t="n">
        <x:v>-4.977901095602949</x:v>
      </x:c>
      <x:c r="AW84" s="89" t="n">
        <x:v>-0.7487759902895574</x:v>
      </x:c>
      <x:c r="AX84" s="90" t="n">
        <x:v>0.6771408018254168</x:v>
      </x:c>
    </x:row>
    <x:row r="85">
      <x:c r="A85" s="83" t="str">
        <x:v>Nicolet-Bécancour</x:v>
      </x:c>
      <x:c r="B85" s="84" t="str">
        <x:v>Reste du Québec</x:v>
      </x:c>
      <x:c r="C85" s="84" t="str">
        <x:f>IF(MAX(D85:I85)=D85,"CAQ",IF(MAX(D85:I85)=E85,"PLQ",IF(MAX(D85:I85)=F85,"QS",IF(MAX(D85:I85)=G85,"PQ",IF(MAX(D85:I85)=H85,"PCQ","Autre")))))</x:f>
        <x:v>CAQ</x:v>
      </x:c>
      <x:c r="D85" s="85" t="n">
        <x:v>27671</x:v>
      </x:c>
      <x:c r="E85" s="85" t="n">
        <x:v>2755</x:v>
      </x:c>
      <x:c r="F85" s="85" t="n">
        <x:v>5165</x:v>
      </x:c>
      <x:c r="G85" s="85" t="n">
        <x:v>9906</x:v>
      </x:c>
      <x:c r="H85" s="85" t="n">
        <x:v>13079</x:v>
      </x:c>
      <x:c r="I85" s="85" t="n">
        <x:v>14</x:v>
      </x:c>
      <x:c r="J85" s="86" t="n">
        <x:f>SUM(D85:I85)</x:f>
        <x:v>58590</x:v>
      </x:c>
      <x:c r="K85" s="87" t="n">
        <x:f>IFERROR(D85/J85,0)</x:f>
        <x:v>0.4722819593787336</x:v>
      </x:c>
      <x:c r="L85" s="87" t="n">
        <x:f>IFERROR(E85/J85,0)</x:f>
        <x:v>0.04702167605393412</x:v>
      </x:c>
      <x:c r="M85" s="87" t="n">
        <x:f>IFERROR(F85/J85,0)</x:f>
        <x:v>0.08815497525174945</x:v>
      </x:c>
      <x:c r="N85" s="87" t="n">
        <x:f>IFERROR(G85/J85,0)</x:f>
        <x:v>0.1690732206861239</x:v>
      </x:c>
      <x:c r="O85" s="87" t="n">
        <x:f>IFERROR(H85/J85,0)</x:f>
        <x:v>0.22322922000341355</x:v>
      </x:c>
      <x:c r="P85" s="87" t="n">
        <x:f>IFERROR(I85/J85,0)</x:f>
        <x:v>0.00023894862604540023</x:v>
      </x:c>
      <x:c r="Q85" s="86" t="n">
        <x:f>D85*INDEX('Régions'!$T$2:$Y$6,MATCH($B85,'Régions'!$A$2:$A$6,0),1)</x:f>
        <x:v>16333.883076889659</x:v>
      </x:c>
      <x:c r="R85" s="86" t="n">
        <x:f>E85*INDEX('Régions'!$T$2:$Y$6,MATCH($B85,'Régions'!$A$2:$A$6,0),2)</x:f>
        <x:v>6304.135214864951</x:v>
      </x:c>
      <x:c r="S85" s="86" t="n">
        <x:f>F85*INDEX('Régions'!$T$2:$Y$6,MATCH($B85,'Régions'!$A$2:$A$6,0),3)</x:f>
        <x:v>3101.626853451165</x:v>
      </x:c>
      <x:c r="T85" s="86" t="n">
        <x:f>G85*INDEX('Régions'!$T$2:$Y$6,MATCH($B85,'Régions'!$A$2:$A$6,0),4)</x:f>
        <x:v>17160.07806192724</x:v>
      </x:c>
      <x:c r="U85" s="86" t="n">
        <x:f>H85*INDEX('Régions'!$T$2:$Y$6,MATCH($B85,'Régions'!$A$2:$A$6,0),5)</x:f>
        <x:v>14744.482982324285</x:v>
      </x:c>
      <x:c r="V85" s="86" t="n">
        <x:f>I85*INDEX('Régions'!$T$2:$Y$6,MATCH($B85,'Régions'!$A$2:$A$6,0),6)</x:f>
        <x:v>32.501845000797324</x:v>
      </x:c>
      <x:c r="W85" s="86" t="n">
        <x:f>MAX(0,Q85+(AU85/100)*J85*'Régions'!$O$2)</x:f>
        <x:v>12152.312008505181</x:v>
      </x:c>
      <x:c r="X85" s="86" t="n">
        <x:f>MAX(0,R85+(AV85/100)*J85*'Régions'!$O$2)</x:f>
        <x:v>7749.413788191458</x:v>
      </x:c>
      <x:c r="Y85" s="86" t="n">
        <x:f>MAX(0,S85+(AW85/100)*J85*'Régions'!$O$2)</x:f>
        <x:v>2392.5377708800215</x:v>
      </x:c>
      <x:c r="Z85" s="86" t="n">
        <x:f>MAX(0,T85+(AX85/100)*J85*'Régions'!$O$2)</x:f>
        <x:v>18754.139365039093</x:v>
      </x:c>
      <x:c r="AA85" s="86" t="n">
        <x:f>U85</x:f>
        <x:v>14744.482982324285</x:v>
      </x:c>
      <x:c r="AB85" s="86" t="n">
        <x:f>V85</x:f>
        <x:v>32.501845000797324</x:v>
      </x:c>
      <x:c r="AC85" s="86" t="n">
        <x:f>D85*INDEX('Régions'!$Z$2:$AE$6,MATCH($B85,'Régions'!$A$2:$A$6,0),1)</x:f>
        <x:v>18258.947868094514</x:v>
      </x:c>
      <x:c r="AD85" s="86" t="n">
        <x:f>E85*INDEX('Régions'!$Z$2:$AE$6,MATCH($B85,'Régions'!$A$2:$A$6,0),2)</x:f>
        <x:v>7604.363102930847</x:v>
      </x:c>
      <x:c r="AE85" s="86" t="n">
        <x:f>F85*INDEX('Régions'!$Z$2:$AE$6,MATCH($B85,'Régions'!$A$2:$A$6,0),3)</x:f>
        <x:v>4381.047930499771</x:v>
      </x:c>
      <x:c r="AF85" s="86" t="n">
        <x:f>G85*INDEX('Régions'!$Z$2:$AE$6,MATCH($B85,'Régions'!$A$2:$A$6,0),4)</x:f>
        <x:v>19112.776600008616</x:v>
      </x:c>
      <x:c r="AG85" s="86" t="n">
        <x:f>H85*INDEX('Régions'!$Z$2:$AE$6,MATCH($B85,'Régions'!$A$2:$A$6,0),5)</x:f>
        <x:v>17606.64732595194</x:v>
      </x:c>
      <x:c r="AH85" s="86" t="n">
        <x:f>I85*INDEX('Régions'!$Z$2:$AE$6,MATCH($B85,'Régions'!$A$2:$A$6,0),6)</x:f>
        <x:v>139.7579335034285</x:v>
      </x:c>
      <x:c r="AI85" s="86" t="n">
        <x:f>D85*INDEX('Régions'!$AF$2:$AK$6,MATCH($B85,'Régions'!$A$2:$A$6,0),1)</x:f>
        <x:v>14408.818285684807</x:v>
      </x:c>
      <x:c r="AJ85" s="86" t="n">
        <x:f>E85*INDEX('Régions'!$AF$2:$AK$6,MATCH($B85,'Régions'!$A$2:$A$6,0),2)</x:f>
        <x:v>5003.907326799054</x:v>
      </x:c>
      <x:c r="AK85" s="86" t="n">
        <x:f>F85*INDEX('Régions'!$AF$2:$AK$6,MATCH($B85,'Régions'!$A$2:$A$6,0),3)</x:f>
        <x:v>1822.2057764025594</x:v>
      </x:c>
      <x:c r="AL85" s="86" t="n">
        <x:f>G85*INDEX('Régions'!$AF$2:$AK$6,MATCH($B85,'Régions'!$A$2:$A$6,0),4)</x:f>
        <x:v>15207.379523845866</x:v>
      </x:c>
      <x:c r="AM85" s="86" t="n">
        <x:f>H85*INDEX('Régions'!$AF$2:$AK$6,MATCH($B85,'Régions'!$A$2:$A$6,0),5)</x:f>
        <x:v>11882.31863869663</x:v>
      </x:c>
      <x:c r="AN85" s="86" t="n">
        <x:f>I85*INDEX('Régions'!$AF$2:$AK$6,MATCH($B85,'Régions'!$A$2:$A$6,0),6)</x:f>
        <x:v>0</x:v>
      </x:c>
      <x:c r="AO85" s="84" t="str">
        <x:f>IF(MAX(Q85:V85)=Q85,"CAQ",IF(MAX(Q85:V85)=R85,"PLQ",IF(MAX(Q85:V85)=S85,"QS",IF(MAX(Q85:V85)=T85,"PQ",IF(MAX(Q85:V85)=U85,"PCQ","Autre")))))</x:f>
        <x:v>PQ</x:v>
      </x:c>
      <x:c r="AP85" s="84" t="str">
        <x:f>IF(MAX(W85:AB85)=W85,"CAQ",IF(MAX(W85:AB85)=X85,"PLQ",IF(MAX(W85:AB85)=Y85,"QS",IF(MAX(W85:AB85)=Z85,"PQ",IF(MAX(W85:AB85)=AA85,"PCQ","Autre")))))</x:f>
        <x:v>PQ</x:v>
      </x:c>
      <x:c r="AQ85" s="84" t="str">
        <x:f>IF(MAX(AC85:AH85)=AC85,"CAQ",IF(MAX(AC85:AH85)=AD85,"PLQ",IF(MAX(AC85:AH85)=AE85,"QS",IF(MAX(AC85:AH85)=AF85,"PQ",IF(MAX(AC85:AH85)=AG85,"PCQ","Autre")))))</x:f>
        <x:v>PQ</x:v>
      </x:c>
      <x:c r="AR85" s="84" t="str">
        <x:f>IF(MAX(AI85:AN85)=AI85,"CAQ",IF(MAX(AI85:AN85)=AJ85,"PLQ",IF(MAX(AI85:AN85)=AK85,"QS",IF(MAX(AI85:AN85)=AL85,"PQ",IF(MAX(AI85:AN85)=AM85,"PCQ","Autre")))))</x:f>
        <x:v>PQ</x:v>
      </x:c>
      <x:c r="AS85" s="88" t="n">
        <x:f>(MAX(K85:P85)-LARGE(K85:P85,2))*100</x:f>
        <x:v>24.905273937532</x:v>
      </x:c>
      <x:c r="AT85" s="84" t="str">
        <x:f>IF(AS85&lt;5,"Oui","Non")</x:f>
        <x:v>Non</x:v>
      </x:c>
      <x:c r="AU85" s="89" t="n">
        <x:v>-14.274009450023817</x:v>
      </x:c>
      <x:c r="AV85" s="89" t="n">
        <x:v>4.933533276417501</x:v>
      </x:c>
      <x:c r="AW85" s="89" t="n">
        <x:v>-2.4205123146309724</x:v>
      </x:c>
      <x:c r="AX85" s="90" t="n">
        <x:v>5.441410831581675</x:v>
      </x:c>
    </x:row>
    <x:row r="86">
      <x:c r="A86" s="83" t="str">
        <x:v>Notre-Dame-de-Grâce</x:v>
      </x:c>
      <x:c r="B86" s="84" t="str">
        <x:v>Île de Montréal</x:v>
      </x:c>
      <x:c r="C86" s="84" t="str">
        <x:f>IF(MAX(D86:I86)=D86,"CAQ",IF(MAX(D86:I86)=E86,"PLQ",IF(MAX(D86:I86)=F86,"QS",IF(MAX(D86:I86)=G86,"PQ",IF(MAX(D86:I86)=H86,"PCQ","Autre")))))</x:f>
        <x:v>PLQ</x:v>
      </x:c>
      <x:c r="D86" s="85" t="n">
        <x:v>3790</x:v>
      </x:c>
      <x:c r="E86" s="85" t="n">
        <x:v>26086</x:v>
      </x:c>
      <x:c r="F86" s="85" t="n">
        <x:v>8011</x:v>
      </x:c>
      <x:c r="G86" s="85" t="n">
        <x:v>4560</x:v>
      </x:c>
      <x:c r="H86" s="85" t="n">
        <x:v>5674</x:v>
      </x:c>
      <x:c r="I86" s="85" t="n">
        <x:v>3578</x:v>
      </x:c>
      <x:c r="J86" s="86" t="n">
        <x:f>SUM(D86:I86)</x:f>
        <x:v>51699</x:v>
      </x:c>
      <x:c r="K86" s="87" t="n">
        <x:f>IFERROR(D86/J86,0)</x:f>
        <x:v>0.0733089614886168</x:v>
      </x:c>
      <x:c r="L86" s="87" t="n">
        <x:f>IFERROR(E86/J86,0)</x:f>
        <x:v>0.5045745565678253</x:v>
      </x:c>
      <x:c r="M86" s="87" t="n">
        <x:f>IFERROR(F86/J86,0)</x:f>
        <x:v>0.1549546412889998</x:v>
      </x:c>
      <x:c r="N86" s="87" t="n">
        <x:f>IFERROR(G86/J86,0)</x:f>
        <x:v>0.08820286659316427</x:v>
      </x:c>
      <x:c r="O86" s="87" t="n">
        <x:f>IFERROR(H86/J86,0)</x:f>
        <x:v>0.1097506721600031</x:v>
      </x:c>
      <x:c r="P86" s="87" t="n">
        <x:f>IFERROR(I86/J86,0)</x:f>
        <x:v>0.06920830190139074</x:v>
      </x:c>
      <x:c r="Q86" s="86" t="n">
        <x:f>D86*INDEX('Régions'!$T$2:$Y$6,MATCH($B86,'Régions'!$A$2:$A$6,0),1)</x:f>
        <x:v>2838.6628633566565</x:v>
      </x:c>
      <x:c r="R86" s="86" t="n">
        <x:f>E86*INDEX('Régions'!$T$2:$Y$6,MATCH($B86,'Régions'!$A$2:$A$6,0),2)</x:f>
        <x:v>25992.274786698992</x:v>
      </x:c>
      <x:c r="S86" s="86" t="n">
        <x:f>F86*INDEX('Régions'!$T$2:$Y$6,MATCH($B86,'Régions'!$A$2:$A$6,0),3)</x:f>
        <x:v>6174.766739076614</x:v>
      </x:c>
      <x:c r="T86" s="86" t="n">
        <x:f>G86*INDEX('Régions'!$T$2:$Y$6,MATCH($B86,'Régions'!$A$2:$A$6,0),4)</x:f>
        <x:v>8821.865039818207</x:v>
      </x:c>
      <x:c r="U86" s="86" t="n">
        <x:f>H86*INDEX('Régions'!$T$2:$Y$6,MATCH($B86,'Régions'!$A$2:$A$6,0),5)</x:f>
        <x:v>4522.534166155326</x:v>
      </x:c>
      <x:c r="V86" s="86" t="n">
        <x:f>I86*INDEX('Régions'!$T$2:$Y$6,MATCH($B86,'Régions'!$A$2:$A$6,0),6)</x:f>
        <x:v>5290.683441768765</x:v>
      </x:c>
      <x:c r="W86" s="86" t="n">
        <x:f>MAX(0,Q86+(AU86/100)*J86*'Régions'!$O$2)</x:f>
        <x:v>2187.2724757301485</x:v>
      </x:c>
      <x:c r="X86" s="86" t="n">
        <x:f>MAX(0,R86+(AV86/100)*J86*'Régions'!$O$2)</x:f>
        <x:v>24852.0068164163</x:v>
      </x:c>
      <x:c r="Y86" s="86" t="n">
        <x:f>MAX(0,S86+(AW86/100)*J86*'Régions'!$O$2)</x:f>
        <x:v>6993.666320506841</x:v>
      </x:c>
      <x:c r="Z86" s="86" t="n">
        <x:f>MAX(0,T86+(AX86/100)*J86*'Régions'!$O$2)</x:f>
        <x:v>8599.281434440021</x:v>
      </x:c>
      <x:c r="AA86" s="86" t="n">
        <x:f>U86</x:f>
        <x:v>4522.534166155326</x:v>
      </x:c>
      <x:c r="AB86" s="86" t="n">
        <x:f>V86</x:f>
        <x:v>5290.683441768765</x:v>
      </x:c>
      <x:c r="AC86" s="86" t="n">
        <x:f>D86*INDEX('Régions'!$Z$2:$AE$6,MATCH($B86,'Régions'!$A$2:$A$6,0),1)</x:f>
        <x:v>3463.1686932951206</x:v>
      </x:c>
      <x:c r="AD86" s="86" t="n">
        <x:f>E86*INDEX('Régions'!$Z$2:$AE$6,MATCH($B86,'Régions'!$A$2:$A$6,0),2)</x:f>
        <x:v>28515.054398349188</x:v>
      </x:c>
      <x:c r="AE86" s="86" t="n">
        <x:f>F86*INDEX('Régions'!$Z$2:$AE$6,MATCH($B86,'Régions'!$A$2:$A$6,0),3)</x:f>
        <x:v>7373.397929603252</x:v>
      </x:c>
      <x:c r="AF86" s="86" t="n">
        <x:f>G86*INDEX('Régions'!$Z$2:$AE$6,MATCH($B86,'Régions'!$A$2:$A$6,0),4)</x:f>
        <x:v>10034.87148279321</x:v>
      </x:c>
      <x:c r="AG86" s="86" t="n">
        <x:f>H86*INDEX('Régions'!$Z$2:$AE$6,MATCH($B86,'Régions'!$A$2:$A$6,0),5)</x:f>
        <x:v>6388.0795096943975</x:v>
      </x:c>
      <x:c r="AH86" s="86" t="n">
        <x:f>I86*INDEX('Régions'!$Z$2:$AE$6,MATCH($B86,'Régions'!$A$2:$A$6,0),6)</x:f>
        <x:v>14020.311120687227</x:v>
      </x:c>
      <x:c r="AI86" s="86" t="n">
        <x:f>D86*INDEX('Régions'!$AF$2:$AK$6,MATCH($B86,'Régions'!$A$2:$A$6,0),1)</x:f>
        <x:v>2214.157033418192</x:v>
      </x:c>
      <x:c r="AJ86" s="86" t="n">
        <x:f>E86*INDEX('Régions'!$AF$2:$AK$6,MATCH($B86,'Régions'!$A$2:$A$6,0),2)</x:f>
        <x:v>23469.495175048796</x:v>
      </x:c>
      <x:c r="AK86" s="86" t="n">
        <x:f>F86*INDEX('Régions'!$AF$2:$AK$6,MATCH($B86,'Régions'!$A$2:$A$6,0),3)</x:f>
        <x:v>4976.135548549977</x:v>
      </x:c>
      <x:c r="AL86" s="86" t="n">
        <x:f>G86*INDEX('Régions'!$AF$2:$AK$6,MATCH($B86,'Régions'!$A$2:$A$6,0),4)</x:f>
        <x:v>7608.8585968432035</x:v>
      </x:c>
      <x:c r="AM86" s="86" t="n">
        <x:f>H86*INDEX('Régions'!$AF$2:$AK$6,MATCH($B86,'Régions'!$A$2:$A$6,0),5)</x:f>
        <x:v>2656.988822616254</x:v>
      </x:c>
      <x:c r="AN86" s="86" t="n">
        <x:f>I86*INDEX('Régions'!$AF$2:$AK$6,MATCH($B86,'Régions'!$A$2:$A$6,0),6)</x:f>
        <x:v>0</x:v>
      </x:c>
      <x:c r="AO86" s="84" t="str">
        <x:f>IF(MAX(Q86:V86)=Q86,"CAQ",IF(MAX(Q86:V86)=R86,"PLQ",IF(MAX(Q86:V86)=S86,"QS",IF(MAX(Q86:V86)=T86,"PQ",IF(MAX(Q86:V86)=U86,"PCQ","Autre")))))</x:f>
        <x:v>PLQ</x:v>
      </x:c>
      <x:c r="AP86" s="84" t="str">
        <x:f>IF(MAX(W86:AB86)=W86,"CAQ",IF(MAX(W86:AB86)=X86,"PLQ",IF(MAX(W86:AB86)=Y86,"QS",IF(MAX(W86:AB86)=Z86,"PQ",IF(MAX(W86:AB86)=AA86,"PCQ","Autre")))))</x:f>
        <x:v>PLQ</x:v>
      </x:c>
      <x:c r="AQ86" s="84" t="str">
        <x:f>IF(MAX(AC86:AH86)=AC86,"CAQ",IF(MAX(AC86:AH86)=AD86,"PLQ",IF(MAX(AC86:AH86)=AE86,"QS",IF(MAX(AC86:AH86)=AF86,"PQ",IF(MAX(AC86:AH86)=AG86,"PCQ","Autre")))))</x:f>
        <x:v>PLQ</x:v>
      </x:c>
      <x:c r="AR86" s="84" t="str">
        <x:f>IF(MAX(AI86:AN86)=AI86,"CAQ",IF(MAX(AI86:AN86)=AJ86,"PLQ",IF(MAX(AI86:AN86)=AK86,"QS",IF(MAX(AI86:AN86)=AL86,"PQ",IF(MAX(AI86:AN86)=AM86,"PCQ","Autre")))))</x:f>
        <x:v>PLQ</x:v>
      </x:c>
      <x:c r="AS86" s="88" t="n">
        <x:f>(MAX(K86:P86)-LARGE(K86:P86,2))*100</x:f>
        <x:v>34.96199152788255</x:v>
      </x:c>
      <x:c r="AT86" s="84" t="str">
        <x:f>IF(AS86&lt;5,"Oui","Non")</x:f>
        <x:v>Non</x:v>
      </x:c>
      <x:c r="AU86" s="89" t="n">
        <x:v>-2.5199341868373013</x:v>
      </x:c>
      <x:c r="AV86" s="89" t="n">
        <x:v>-4.411179985232577</x:v>
      </x:c>
      <x:c r="AW86" s="89" t="n">
        <x:v>3.167951339214402</x:v>
      </x:c>
      <x:c r="AX86" s="90" t="n">
        <x:v>-0.8610750899560371</x:v>
      </x:c>
    </x:row>
    <x:row r="87">
      <x:c r="A87" s="83" t="str">
        <x:v>Orford</x:v>
      </x:c>
      <x:c r="B87" s="84" t="str">
        <x:v>Reste du Québec</x:v>
      </x:c>
      <x:c r="C87" s="84" t="str">
        <x:f>IF(MAX(D87:I87)=D87,"CAQ",IF(MAX(D87:I87)=E87,"PLQ",IF(MAX(D87:I87)=F87,"QS",IF(MAX(D87:I87)=G87,"PQ",IF(MAX(D87:I87)=H87,"PCQ","Autre")))))</x:f>
        <x:v>CAQ</x:v>
      </x:c>
      <x:c r="D87" s="85" t="n">
        <x:v>28838</x:v>
      </x:c>
      <x:c r="E87" s="85" t="n">
        <x:v>10068</x:v>
      </x:c>
      <x:c r="F87" s="85" t="n">
        <x:v>10848</x:v>
      </x:c>
      <x:c r="G87" s="85" t="n">
        <x:v>9138</x:v>
      </x:c>
      <x:c r="H87" s="85" t="n">
        <x:v>8029</x:v>
      </x:c>
      <x:c r="I87" s="85" t="n">
        <x:v>224</x:v>
      </x:c>
      <x:c r="J87" s="86" t="n">
        <x:f>SUM(D87:I87)</x:f>
        <x:v>67145</x:v>
      </x:c>
      <x:c r="K87" s="87" t="n">
        <x:f>IFERROR(D87/J87,0)</x:f>
        <x:v>0.42948842058232184</x:v>
      </x:c>
      <x:c r="L87" s="87" t="n">
        <x:f>IFERROR(E87/J87,0)</x:f>
        <x:v>0.1499441507185941</x:v>
      </x:c>
      <x:c r="M87" s="87" t="n">
        <x:f>IFERROR(F87/J87,0)</x:f>
        <x:v>0.1615608012510239</x:v>
      </x:c>
      <x:c r="N87" s="87" t="n">
        <x:f>IFERROR(G87/J87,0)</x:f>
        <x:v>0.13609352892992777</x:v>
      </x:c>
      <x:c r="O87" s="87" t="n">
        <x:f>IFERROR(H87/J87,0)</x:f>
        <x:v>0.11957703477548588</x:v>
      </x:c>
      <x:c r="P87" s="87" t="n">
        <x:f>IFERROR(I87/J87,0)</x:f>
        <x:v>0.0033360637426465114</x:v>
      </x:c>
      <x:c r="Q87" s="86" t="n">
        <x:f>D87*INDEX('Régions'!$T$2:$Y$6,MATCH($B87,'Régions'!$A$2:$A$6,0),1)</x:f>
        <x:v>17022.750177852045</x:v>
      </x:c>
      <x:c r="R87" s="86" t="n">
        <x:f>E87*INDEX('Régions'!$T$2:$Y$6,MATCH($B87,'Régions'!$A$2:$A$6,0),2)</x:f>
        <x:v>23038.12462550284</x:v>
      </x:c>
      <x:c r="S87" s="86" t="n">
        <x:f>F87*INDEX('Régions'!$T$2:$Y$6,MATCH($B87,'Régions'!$A$2:$A$6,0),3)</x:f>
        <x:v>6514.31715512841</x:v>
      </x:c>
      <x:c r="T87" s="86" t="n">
        <x:f>G87*INDEX('Régions'!$T$2:$Y$6,MATCH($B87,'Régions'!$A$2:$A$6,0),4)</x:f>
        <x:v>15829.678309094603</x:v>
      </x:c>
      <x:c r="U87" s="86" t="n">
        <x:f>H87*INDEX('Régions'!$T$2:$Y$6,MATCH($B87,'Régions'!$A$2:$A$6,0),5)</x:f>
        <x:v>9051.414776747586</x:v>
      </x:c>
      <x:c r="V87" s="86" t="n">
        <x:f>I87*INDEX('Régions'!$T$2:$Y$6,MATCH($B87,'Régions'!$A$2:$A$6,0),6)</x:f>
        <x:v>520.0295200127572</x:v>
      </x:c>
      <x:c r="W87" s="86" t="n">
        <x:f>MAX(0,Q87+(AU87/100)*J87*'Régions'!$O$2)</x:f>
        <x:v>15990.549448071033</x:v>
      </x:c>
      <x:c r="X87" s="86" t="n">
        <x:f>MAX(0,R87+(AV87/100)*J87*'Régions'!$O$2)</x:f>
        <x:v>23978.75729575582</x:v>
      </x:c>
      <x:c r="Y87" s="86" t="n">
        <x:f>MAX(0,S87+(AW87/100)*J87*'Régions'!$O$2)</x:f>
        <x:v>6313.246238732532</x:v>
      </x:c>
      <x:c r="Z87" s="86" t="n">
        <x:f>MAX(0,T87+(AX87/100)*J87*'Régions'!$O$2)</x:f>
        <x:v>16872.568631395054</x:v>
      </x:c>
      <x:c r="AA87" s="86" t="n">
        <x:f>U87</x:f>
        <x:v>9051.414776747586</x:v>
      </x:c>
      <x:c r="AB87" s="86" t="n">
        <x:f>V87</x:f>
        <x:v>520.0295200127572</x:v>
      </x:c>
      <x:c r="AC87" s="86" t="n">
        <x:f>D87*INDEX('Régions'!$Z$2:$AE$6,MATCH($B87,'Régions'!$A$2:$A$6,0),1)</x:f>
        <x:v>19029.002877384613</x:v>
      </x:c>
      <x:c r="AD87" s="86" t="n">
        <x:f>E87*INDEX('Régions'!$Z$2:$AE$6,MATCH($B87,'Régions'!$A$2:$A$6,0),2)</x:f>
        <x:v>27789.737829512804</x:v>
      </x:c>
      <x:c r="AE87" s="86" t="n">
        <x:f>F87*INDEX('Régions'!$Z$2:$AE$6,MATCH($B87,'Régions'!$A$2:$A$6,0),3)</x:f>
        <x:v>9201.47298161888</x:v>
      </x:c>
      <x:c r="AF87" s="86" t="n">
        <x:f>G87*INDEX('Régions'!$Z$2:$AE$6,MATCH($B87,'Régions'!$A$2:$A$6,0),4)</x:f>
        <x:v>17630.986530474333</x:v>
      </x:c>
      <x:c r="AG87" s="86" t="n">
        <x:f>H87*INDEX('Régions'!$Z$2:$AE$6,MATCH($B87,'Régions'!$A$2:$A$6,0),5)</x:f>
        <x:v>10808.454115763296</x:v>
      </x:c>
      <x:c r="AH87" s="86" t="n">
        <x:f>I87*INDEX('Régions'!$Z$2:$AE$6,MATCH($B87,'Régions'!$A$2:$A$6,0),6)</x:f>
        <x:v>2236.126936054856</x:v>
      </x:c>
      <x:c r="AI87" s="86" t="n">
        <x:f>D87*INDEX('Régions'!$AF$2:$AK$6,MATCH($B87,'Régions'!$A$2:$A$6,0),1)</x:f>
        <x:v>15016.497478319485</x:v>
      </x:c>
      <x:c r="AJ87" s="86" t="n">
        <x:f>E87*INDEX('Régions'!$AF$2:$AK$6,MATCH($B87,'Régions'!$A$2:$A$6,0),2)</x:f>
        <x:v>18286.51142149288</x:v>
      </x:c>
      <x:c r="AK87" s="86" t="n">
        <x:f>F87*INDEX('Régions'!$AF$2:$AK$6,MATCH($B87,'Régions'!$A$2:$A$6,0),3)</x:f>
        <x:v>3827.161328637941</x:v>
      </x:c>
      <x:c r="AL87" s="86" t="n">
        <x:f>G87*INDEX('Régions'!$AF$2:$AK$6,MATCH($B87,'Régions'!$A$2:$A$6,0),4)</x:f>
        <x:v>14028.370087714873</x:v>
      </x:c>
      <x:c r="AM87" s="86" t="n">
        <x:f>H87*INDEX('Régions'!$AF$2:$AK$6,MATCH($B87,'Régions'!$A$2:$A$6,0),5)</x:f>
        <x:v>7294.375437731878</x:v>
      </x:c>
      <x:c r="AN87" s="86" t="n">
        <x:f>I87*INDEX('Régions'!$AF$2:$AK$6,MATCH($B87,'Régions'!$A$2:$A$6,0),6)</x:f>
        <x:v>0</x:v>
      </x:c>
      <x:c r="AO87" s="84" t="str">
        <x:f>IF(MAX(Q87:V87)=Q87,"CAQ",IF(MAX(Q87:V87)=R87,"PLQ",IF(MAX(Q87:V87)=S87,"QS",IF(MAX(Q87:V87)=T87,"PQ",IF(MAX(Q87:V87)=U87,"PCQ","Autre")))))</x:f>
        <x:v>PLQ</x:v>
      </x:c>
      <x:c r="AP87" s="84" t="str">
        <x:f>IF(MAX(W87:AB87)=W87,"CAQ",IF(MAX(W87:AB87)=X87,"PLQ",IF(MAX(W87:AB87)=Y87,"QS",IF(MAX(W87:AB87)=Z87,"PQ",IF(MAX(W87:AB87)=AA87,"PCQ","Autre")))))</x:f>
        <x:v>PLQ</x:v>
      </x:c>
      <x:c r="AQ87" s="84" t="str">
        <x:f>IF(MAX(AC87:AH87)=AC87,"CAQ",IF(MAX(AC87:AH87)=AD87,"PLQ",IF(MAX(AC87:AH87)=AE87,"QS",IF(MAX(AC87:AH87)=AF87,"PQ",IF(MAX(AC87:AH87)=AG87,"PCQ","Autre")))))</x:f>
        <x:v>PLQ</x:v>
      </x:c>
      <x:c r="AR87" s="84" t="str">
        <x:f>IF(MAX(AI87:AN87)=AI87,"CAQ",IF(MAX(AI87:AN87)=AJ87,"PLQ",IF(MAX(AI87:AN87)=AK87,"QS",IF(MAX(AI87:AN87)=AL87,"PQ",IF(MAX(AI87:AN87)=AM87,"PCQ","Autre")))))</x:f>
        <x:v>PLQ</x:v>
      </x:c>
      <x:c r="AS87" s="88" t="n">
        <x:f>(MAX(K87:P87)-LARGE(K87:P87,2))*100</x:f>
        <x:v>26.792761933129793</x:v>
      </x:c>
      <x:c r="AT87" s="84" t="str">
        <x:f>IF(AS87&lt;5,"Oui","Non")</x:f>
        <x:v>Non</x:v>
      </x:c>
      <x:c r="AU87" s="89" t="n">
        <x:v>-3.0745423479961618</x:v>
      </x:c>
      <x:c r="AV87" s="89" t="n">
        <x:v>2.8017951306961857</x:v>
      </x:c>
      <x:c r="AW87" s="89" t="n">
        <x:v>-0.5989155302580318</x:v>
      </x:c>
      <x:c r="AX87" s="90" t="n">
        <x:v>3.1063826712352443</x:v>
      </x:c>
    </x:row>
    <x:row r="88">
      <x:c r="A88" s="83" t="str">
        <x:v>Papineau</x:v>
      </x:c>
      <x:c r="B88" s="84" t="str">
        <x:v>Banlieue de Montréal</x:v>
      </x:c>
      <x:c r="C88" s="84" t="str">
        <x:f>IF(MAX(D88:I88)=D88,"CAQ",IF(MAX(D88:I88)=E88,"PLQ",IF(MAX(D88:I88)=F88,"QS",IF(MAX(D88:I88)=G88,"PQ",IF(MAX(D88:I88)=H88,"PCQ","Autre")))))</x:f>
        <x:v>CAQ</x:v>
      </x:c>
      <x:c r="D88" s="85" t="n">
        <x:v>37653</x:v>
      </x:c>
      <x:c r="E88" s="85" t="n">
        <x:v>5995</x:v>
      </x:c>
      <x:c r="F88" s="85" t="n">
        <x:v>9825</x:v>
      </x:c>
      <x:c r="G88" s="85" t="n">
        <x:v>8151</x:v>
      </x:c>
      <x:c r="H88" s="85" t="n">
        <x:v>9456</x:v>
      </x:c>
      <x:c r="I88" s="85" t="n">
        <x:v>197</x:v>
      </x:c>
      <x:c r="J88" s="86" t="n">
        <x:f>SUM(D88:I88)</x:f>
        <x:v>71277</x:v>
      </x:c>
      <x:c r="K88" s="87" t="n">
        <x:f>IFERROR(D88/J88,0)</x:f>
        <x:v>0.5282629740308935</x:v>
      </x:c>
      <x:c r="L88" s="87" t="n">
        <x:f>IFERROR(E88/J88,0)</x:f>
        <x:v>0.0841084781907207</x:v>
      </x:c>
      <x:c r="M88" s="87" t="n">
        <x:f>IFERROR(F88/J88,0)</x:f>
        <x:v>0.1378425017887958</x:v>
      </x:c>
      <x:c r="N88" s="87" t="n">
        <x:f>IFERROR(G88/J88,0)</x:f>
        <x:v>0.11435666484279641</x:v>
      </x:c>
      <x:c r="O88" s="87" t="n">
        <x:f>IFERROR(H88/J88,0)</x:f>
        <x:v>0.13266551622543035</x:v>
      </x:c>
      <x:c r="P88" s="87" t="n">
        <x:f>IFERROR(I88/J88,0)</x:f>
        <x:v>0.0027638649213631325</x:v>
      </x:c>
      <x:c r="Q88" s="86" t="n">
        <x:f>D88*INDEX('Régions'!$T$2:$Y$6,MATCH($B88,'Régions'!$A$2:$A$6,0),1)</x:f>
        <x:v>26620.267622133157</x:v>
      </x:c>
      <x:c r="R88" s="86" t="n">
        <x:f>E88*INDEX('Régions'!$T$2:$Y$6,MATCH($B88,'Régions'!$A$2:$A$6,0),2)</x:f>
        <x:v>7669.161240226477</x:v>
      </x:c>
      <x:c r="S88" s="86" t="n">
        <x:f>F88*INDEX('Régions'!$T$2:$Y$6,MATCH($B88,'Régions'!$A$2:$A$6,0),3)</x:f>
        <x:v>4962.644077244675</x:v>
      </x:c>
      <x:c r="T88" s="86" t="n">
        <x:f>G88*INDEX('Régions'!$T$2:$Y$6,MATCH($B88,'Régions'!$A$2:$A$6,0),4)</x:f>
        <x:v>15198.357105467921</x:v>
      </x:c>
      <x:c r="U88" s="86" t="n">
        <x:f>H88*INDEX('Régions'!$T$2:$Y$6,MATCH($B88,'Régions'!$A$2:$A$6,0),5)</x:f>
        <x:v>11066.691634533885</x:v>
      </x:c>
      <x:c r="V88" s="86" t="n">
        <x:f>I88*INDEX('Régions'!$T$2:$Y$6,MATCH($B88,'Régions'!$A$2:$A$6,0),6)</x:f>
        <x:v>422.96782524990743</x:v>
      </x:c>
      <x:c r="W88" s="86" t="n">
        <x:f>MAX(0,Q88+(AU88/100)*J88*'Régions'!$O$2)</x:f>
        <x:v>27654.711297135626</x:v>
      </x:c>
      <x:c r="X88" s="86" t="n">
        <x:f>MAX(0,R88+(AV88/100)*J88*'Régions'!$O$2)</x:f>
        <x:v>4728.878502038562</x:v>
      </x:c>
      <x:c r="Y88" s="86" t="n">
        <x:f>MAX(0,S88+(AW88/100)*J88*'Régions'!$O$2)</x:f>
        <x:v>4771.452635853038</x:v>
      </x:c>
      <x:c r="Z88" s="86" t="n">
        <x:f>MAX(0,T88+(AX88/100)*J88*'Régions'!$O$2)</x:f>
        <x:v>16360.382000817446</x:v>
      </x:c>
      <x:c r="AA88" s="86" t="n">
        <x:f>U88</x:f>
        <x:v>11066.691634533885</x:v>
      </x:c>
      <x:c r="AB88" s="86" t="n">
        <x:f>V88</x:f>
        <x:v>422.96782524990743</x:v>
      </x:c>
      <x:c r="AC88" s="86" t="n">
        <x:f>D88*INDEX('Régions'!$Z$2:$AE$6,MATCH($B88,'Régions'!$A$2:$A$6,0),1)</x:f>
        <x:v>29365.48272066564</x:v>
      </x:c>
      <x:c r="AD88" s="86" t="n">
        <x:f>E88*INDEX('Régions'!$Z$2:$AE$6,MATCH($B88,'Régions'!$A$2:$A$6,0),2)</x:f>
        <x:v>9075.174134267998</x:v>
      </x:c>
      <x:c r="AE88" s="86" t="n">
        <x:f>F88*INDEX('Régions'!$Z$2:$AE$6,MATCH($B88,'Régions'!$A$2:$A$6,0),3)</x:f>
        <x:v>7302.176285088594</x:v>
      </x:c>
      <x:c r="AF88" s="86" t="n">
        <x:f>G88*INDEX('Régions'!$Z$2:$AE$6,MATCH($B88,'Régions'!$A$2:$A$6,0),4)</x:f>
        <x:v>16870.17638706939</x:v>
      </x:c>
      <x:c r="AG88" s="86" t="n">
        <x:f>H88*INDEX('Régions'!$Z$2:$AE$6,MATCH($B88,'Régions'!$A$2:$A$6,0),5)</x:f>
        <x:v>14110.031834030704</x:v>
      </x:c>
      <x:c r="AH88" s="86" t="n">
        <x:f>I88*INDEX('Régions'!$Z$2:$AE$6,MATCH($B88,'Régions'!$A$2:$A$6,0),6)</x:f>
        <x:v>1818.7616485746018</x:v>
      </x:c>
      <x:c r="AI88" s="86" t="n">
        <x:f>D88*INDEX('Régions'!$AF$2:$AK$6,MATCH($B88,'Régions'!$A$2:$A$6,0),1)</x:f>
        <x:v>23875.052523600676</x:v>
      </x:c>
      <x:c r="AJ88" s="86" t="n">
        <x:f>E88*INDEX('Régions'!$AF$2:$AK$6,MATCH($B88,'Régions'!$A$2:$A$6,0),2)</x:f>
        <x:v>6263.148346184956</x:v>
      </x:c>
      <x:c r="AK88" s="86" t="n">
        <x:f>F88*INDEX('Régions'!$AF$2:$AK$6,MATCH($B88,'Régions'!$A$2:$A$6,0),3)</x:f>
        <x:v>2623.1118694007573</x:v>
      </x:c>
      <x:c r="AL88" s="86" t="n">
        <x:f>G88*INDEX('Régions'!$AF$2:$AK$6,MATCH($B88,'Régions'!$A$2:$A$6,0),4)</x:f>
        <x:v>13526.537823866449</x:v>
      </x:c>
      <x:c r="AM88" s="86" t="n">
        <x:f>H88*INDEX('Régions'!$AF$2:$AK$6,MATCH($B88,'Régions'!$A$2:$A$6,0),5)</x:f>
        <x:v>8023.351435037065</x:v>
      </x:c>
      <x:c r="AN88" s="86" t="n">
        <x:f>I88*INDEX('Régions'!$AF$2:$AK$6,MATCH($B88,'Régions'!$A$2:$A$6,0),6)</x:f>
        <x:v>0</x:v>
      </x:c>
      <x:c r="AO88" s="84" t="str">
        <x:f>IF(MAX(Q88:V88)=Q88,"CAQ",IF(MAX(Q88:V88)=R88,"PLQ",IF(MAX(Q88:V88)=S88,"QS",IF(MAX(Q88:V88)=T88,"PQ",IF(MAX(Q88:V88)=U88,"PCQ","Autre")))))</x:f>
        <x:v>CAQ</x:v>
      </x:c>
      <x:c r="AP88" s="84" t="str">
        <x:f>IF(MAX(W88:AB88)=W88,"CAQ",IF(MAX(W88:AB88)=X88,"PLQ",IF(MAX(W88:AB88)=Y88,"QS",IF(MAX(W88:AB88)=Z88,"PQ",IF(MAX(W88:AB88)=AA88,"PCQ","Autre")))))</x:f>
        <x:v>CAQ</x:v>
      </x:c>
      <x:c r="AQ88" s="84" t="str">
        <x:f>IF(MAX(AC88:AH88)=AC88,"CAQ",IF(MAX(AC88:AH88)=AD88,"PLQ",IF(MAX(AC88:AH88)=AE88,"QS",IF(MAX(AC88:AH88)=AF88,"PQ",IF(MAX(AC88:AH88)=AG88,"PCQ","Autre")))))</x:f>
        <x:v>CAQ</x:v>
      </x:c>
      <x:c r="AR88" s="84" t="str">
        <x:f>IF(MAX(AI88:AN88)=AI88,"CAQ",IF(MAX(AI88:AN88)=AJ88,"PLQ",IF(MAX(AI88:AN88)=AK88,"QS",IF(MAX(AI88:AN88)=AL88,"PQ",IF(MAX(AI88:AN88)=AM88,"PCQ","Autre")))))</x:f>
        <x:v>CAQ</x:v>
      </x:c>
      <x:c r="AS88" s="88" t="n">
        <x:f>(MAX(K88:P88)-LARGE(K88:P88,2))*100</x:f>
        <x:v>39.04204722420977</x:v>
      </x:c>
      <x:c r="AT88" s="84" t="str">
        <x:f>IF(AS88&lt;5,"Oui","Non")</x:f>
        <x:v>Non</x:v>
      </x:c>
      <x:c r="AU88" s="89" t="n">
        <x:v>2.9026016106246555</x:v>
      </x:c>
      <x:c r="AV88" s="89" t="n">
        <x:v>-8.250298800981845</x:v>
      </x:c>
      <x:c r="AW88" s="89" t="n">
        <x:v>-0.5364744346469025</x:v>
      </x:c>
      <x:c r="AX88" s="90" t="n">
        <x:v>3.260588676149459</x:v>
      </x:c>
    </x:row>
    <x:row r="89">
      <x:c r="A89" s="83" t="str">
        <x:v>Pierre-Laporte</x:v>
      </x:c>
      <x:c r="B89" s="84" t="str">
        <x:v>Banlieue de Montréal</x:v>
      </x:c>
      <x:c r="C89" s="84" t="str">
        <x:f>IF(MAX(D89:I89)=D89,"CAQ",IF(MAX(D89:I89)=E89,"PLQ",IF(MAX(D89:I89)=F89,"QS",IF(MAX(D89:I89)=G89,"PQ",IF(MAX(D89:I89)=H89,"PCQ","Autre")))))</x:f>
        <x:v>CAQ</x:v>
      </x:c>
      <x:c r="D89" s="85" t="n">
        <x:v>20580</x:v>
      </x:c>
      <x:c r="E89" s="85" t="n">
        <x:v>19281</x:v>
      </x:c>
      <x:c r="F89" s="85" t="n">
        <x:v>11854</x:v>
      </x:c>
      <x:c r="G89" s="85" t="n">
        <x:v>9147</x:v>
      </x:c>
      <x:c r="H89" s="85" t="n">
        <x:v>5826</x:v>
      </x:c>
      <x:c r="I89" s="85" t="n">
        <x:v>223</x:v>
      </x:c>
      <x:c r="J89" s="86" t="n">
        <x:f>SUM(D89:I89)</x:f>
        <x:v>66911</x:v>
      </x:c>
      <x:c r="K89" s="87" t="n">
        <x:f>IFERROR(D89/J89,0)</x:f>
        <x:v>0.3075727458863266</x:v>
      </x:c>
      <x:c r="L89" s="87" t="n">
        <x:f>IFERROR(E89/J89,0)</x:f>
        <x:v>0.28815889764014885</x:v>
      </x:c>
      <x:c r="M89" s="87" t="n">
        <x:f>IFERROR(F89/J89,0)</x:f>
        <x:v>0.1771607060124643</x:v>
      </x:c>
      <x:c r="N89" s="87" t="n">
        <x:f>IFERROR(G89/J89,0)</x:f>
        <x:v>0.1367039799136166</x:v>
      </x:c>
      <x:c r="O89" s="87" t="n">
        <x:f>IFERROR(H89/J89,0)</x:f>
        <x:v>0.08707088520572104</x:v>
      </x:c>
      <x:c r="P89" s="87" t="n">
        <x:f>IFERROR(I89/J89,0)</x:f>
        <x:v>0.003332785341722587</x:v>
      </x:c>
      <x:c r="Q89" s="86" t="n">
        <x:f>D89*INDEX('Régions'!$T$2:$Y$6,MATCH($B89,'Régions'!$A$2:$A$6,0),1)</x:f>
        <x:v>14549.83952576157</x:v>
      </x:c>
      <x:c r="R89" s="86" t="n">
        <x:f>E89*INDEX('Régions'!$T$2:$Y$6,MATCH($B89,'Régions'!$A$2:$A$6,0),2)</x:f>
        <x:v>24665.404148925223</x:v>
      </x:c>
      <x:c r="S89" s="86" t="n">
        <x:f>F89*INDEX('Régions'!$T$2:$Y$6,MATCH($B89,'Régions'!$A$2:$A$6,0),3)</x:f>
        <x:v>5987.499530957596</x:v>
      </x:c>
      <x:c r="T89" s="86" t="n">
        <x:f>G89*INDEX('Régions'!$T$2:$Y$6,MATCH($B89,'Régions'!$A$2:$A$6,0),4)</x:f>
        <x:v>17055.499011620057</x:v>
      </x:c>
      <x:c r="U89" s="86" t="n">
        <x:f>H89*INDEX('Régions'!$T$2:$Y$6,MATCH($B89,'Régions'!$A$2:$A$6,0),5)</x:f>
        <x:v>6818.37409716523</x:v>
      </x:c>
      <x:c r="V89" s="86" t="n">
        <x:f>I89*INDEX('Régions'!$T$2:$Y$6,MATCH($B89,'Régions'!$A$2:$A$6,0),6)</x:f>
        <x:v>478.79099000370235</x:v>
      </x:c>
      <x:c r="W89" s="86" t="n">
        <x:f>MAX(0,Q89+(AU89/100)*J89*'Régions'!$O$2)</x:f>
        <x:v>14284.85919553342</x:v>
      </x:c>
      <x:c r="X89" s="86" t="n">
        <x:f>MAX(0,R89+(AV89/100)*J89*'Régions'!$O$2)</x:f>
        <x:v>24549.75205773508</x:v>
      </x:c>
      <x:c r="Y89" s="86" t="n">
        <x:f>MAX(0,S89+(AW89/100)*J89*'Régions'!$O$2)</x:f>
        <x:v>6430.136935281738</x:v>
      </x:c>
      <x:c r="Z89" s="86" t="n">
        <x:f>MAX(0,T89+(AX89/100)*J89*'Régions'!$O$2)</x:f>
        <x:v>17815.369523293473</x:v>
      </x:c>
      <x:c r="AA89" s="86" t="n">
        <x:f>U89</x:f>
        <x:v>6818.37409716523</x:v>
      </x:c>
      <x:c r="AB89" s="86" t="n">
        <x:f>V89</x:f>
        <x:v>478.79099000370235</x:v>
      </x:c>
      <x:c r="AC89" s="86" t="n">
        <x:f>D89*INDEX('Régions'!$Z$2:$AE$6,MATCH($B89,'Régions'!$A$2:$A$6,0),1)</x:f>
        <x:v>16050.291726855732</x:v>
      </x:c>
      <x:c r="AD89" s="86" t="n">
        <x:f>E89*INDEX('Régions'!$Z$2:$AE$6,MATCH($B89,'Régions'!$A$2:$A$6,0),2)</x:f>
        <x:v>29187.39490956151</x:v>
      </x:c>
      <x:c r="AE89" s="86" t="n">
        <x:f>F89*INDEX('Régions'!$Z$2:$AE$6,MATCH($B89,'Régions'!$A$2:$A$6,0),3)</x:f>
        <x:v>8810.177881266178</x:v>
      </x:c>
      <x:c r="AF89" s="86" t="n">
        <x:f>G89*INDEX('Régions'!$Z$2:$AE$6,MATCH($B89,'Régions'!$A$2:$A$6,0),4)</x:f>
        <x:v>18931.60390289826</x:v>
      </x:c>
      <x:c r="AG89" s="86" t="n">
        <x:f>H89*INDEX('Régions'!$Z$2:$AE$6,MATCH($B89,'Régions'!$A$2:$A$6,0),5)</x:f>
        <x:v>8693.426973885667</x:v>
      </x:c>
      <x:c r="AH89" s="86" t="n">
        <x:f>I89*INDEX('Régions'!$Z$2:$AE$6,MATCH($B89,'Régions'!$A$2:$A$6,0),6)</x:f>
        <x:v>2058.80125701592</x:v>
      </x:c>
      <x:c r="AI89" s="86" t="n">
        <x:f>D89*INDEX('Régions'!$AF$2:$AK$6,MATCH($B89,'Régions'!$A$2:$A$6,0),1)</x:f>
        <x:v>13049.387324667408</x:v>
      </x:c>
      <x:c r="AJ89" s="86" t="n">
        <x:f>E89*INDEX('Régions'!$AF$2:$AK$6,MATCH($B89,'Régions'!$A$2:$A$6,0),2)</x:f>
        <x:v>20143.41338828893</x:v>
      </x:c>
      <x:c r="AK89" s="86" t="n">
        <x:f>F89*INDEX('Régions'!$AF$2:$AK$6,MATCH($B89,'Régions'!$A$2:$A$6,0),3)</x:f>
        <x:v>3164.8211806490153</x:v>
      </x:c>
      <x:c r="AL89" s="86" t="n">
        <x:f>G89*INDEX('Régions'!$AF$2:$AK$6,MATCH($B89,'Régions'!$A$2:$A$6,0),4)</x:f>
        <x:v>15179.394120341849</x:v>
      </x:c>
      <x:c r="AM89" s="86" t="n">
        <x:f>H89*INDEX('Régions'!$AF$2:$AK$6,MATCH($B89,'Régions'!$A$2:$A$6,0),5)</x:f>
        <x:v>4943.321220444791</x:v>
      </x:c>
      <x:c r="AN89" s="86" t="n">
        <x:f>I89*INDEX('Régions'!$AF$2:$AK$6,MATCH($B89,'Régions'!$A$2:$A$6,0),6)</x:f>
        <x:v>0</x:v>
      </x:c>
      <x:c r="AO89" s="84" t="str">
        <x:f>IF(MAX(Q89:V89)=Q89,"CAQ",IF(MAX(Q89:V89)=R89,"PLQ",IF(MAX(Q89:V89)=S89,"QS",IF(MAX(Q89:V89)=T89,"PQ",IF(MAX(Q89:V89)=U89,"PCQ","Autre")))))</x:f>
        <x:v>PLQ</x:v>
      </x:c>
      <x:c r="AP89" s="84" t="str">
        <x:f>IF(MAX(W89:AB89)=W89,"CAQ",IF(MAX(W89:AB89)=X89,"PLQ",IF(MAX(W89:AB89)=Y89,"QS",IF(MAX(W89:AB89)=Z89,"PQ",IF(MAX(W89:AB89)=AA89,"PCQ","Autre")))))</x:f>
        <x:v>PLQ</x:v>
      </x:c>
      <x:c r="AQ89" s="84" t="str">
        <x:f>IF(MAX(AC89:AH89)=AC89,"CAQ",IF(MAX(AC89:AH89)=AD89,"PLQ",IF(MAX(AC89:AH89)=AE89,"QS",IF(MAX(AC89:AH89)=AF89,"PQ",IF(MAX(AC89:AH89)=AG89,"PCQ","Autre")))))</x:f>
        <x:v>PLQ</x:v>
      </x:c>
      <x:c r="AR89" s="84" t="str">
        <x:f>IF(MAX(AI89:AN89)=AI89,"CAQ",IF(MAX(AI89:AN89)=AJ89,"PLQ",IF(MAX(AI89:AN89)=AK89,"QS",IF(MAX(AI89:AN89)=AL89,"PQ",IF(MAX(AI89:AN89)=AM89,"PCQ","Autre")))))</x:f>
        <x:v>PLQ</x:v>
      </x:c>
      <x:c r="AS89" s="88" t="n">
        <x:f>(MAX(K89:P89)-LARGE(K89:P89,2))*100</x:f>
        <x:v>1.9413848246177756</x:v>
      </x:c>
      <x:c r="AT89" s="84" t="str">
        <x:f>IF(AS89&lt;5,"Oui","Non")</x:f>
        <x:v>Oui</x:v>
      </x:c>
      <x:c r="AU89" s="89" t="n">
        <x:v>-0.7920381707885116</x:v>
      </x:c>
      <x:c r="AV89" s="89" t="n">
        <x:v>-0.3456893222045426</x:v>
      </x:c>
      <x:c r="AW89" s="89" t="n">
        <x:v>1.323063186394291</x:v>
      </x:c>
      <x:c r="AX89" s="90" t="n">
        <x:v>2.2712872671860147</x:v>
      </x:c>
    </x:row>
    <x:row r="90">
      <x:c r="A90" s="83" t="str">
        <x:v>Pointe-aux-Trembles</x:v>
      </x:c>
      <x:c r="B90" s="84" t="str">
        <x:v>Île de Montréal</x:v>
      </x:c>
      <x:c r="C90" s="84" t="str">
        <x:f>IF(MAX(D90:I90)=D90,"CAQ",IF(MAX(D90:I90)=E90,"PLQ",IF(MAX(D90:I90)=F90,"QS",IF(MAX(D90:I90)=G90,"PQ",IF(MAX(D90:I90)=H90,"PCQ","Autre")))))</x:f>
        <x:v>CAQ</x:v>
      </x:c>
      <x:c r="D90" s="85" t="n">
        <x:v>24815</x:v>
      </x:c>
      <x:c r="E90" s="85" t="n">
        <x:v>5614</x:v>
      </x:c>
      <x:c r="F90" s="85" t="n">
        <x:v>8337</x:v>
      </x:c>
      <x:c r="G90" s="85" t="n">
        <x:v>11295</x:v>
      </x:c>
      <x:c r="H90" s="85" t="n">
        <x:v>3683</x:v>
      </x:c>
      <x:c r="I90" s="85" t="n">
        <x:v>342</x:v>
      </x:c>
      <x:c r="J90" s="86" t="n">
        <x:f>SUM(D90:I90)</x:f>
        <x:v>54086</x:v>
      </x:c>
      <x:c r="K90" s="87" t="n">
        <x:f>IFERROR(D90/J90,0)</x:f>
        <x:v>0.45880634544983917</x:v>
      </x:c>
      <x:c r="L90" s="87" t="n">
        <x:f>IFERROR(E90/J90,0)</x:f>
        <x:v>0.10379765558554895</x:v>
      </x:c>
      <x:c r="M90" s="87" t="n">
        <x:f>IFERROR(F90/J90,0)</x:f>
        <x:v>0.15414340124986134</x:v>
      </x:c>
      <x:c r="N90" s="87" t="n">
        <x:f>IFERROR(G90/J90,0)</x:f>
        <x:v>0.20883407905927598</x:v>
      </x:c>
      <x:c r="O90" s="87" t="n">
        <x:f>IFERROR(H90/J90,0)</x:f>
        <x:v>0.068095255703879</x:v>
      </x:c>
      <x:c r="P90" s="87" t="n">
        <x:f>IFERROR(I90/J90,0)</x:f>
        <x:v>0.006323262951595607</x:v>
      </x:c>
      <x:c r="Q90" s="86" t="n">
        <x:f>D90*INDEX('Régions'!$T$2:$Y$6,MATCH($B90,'Régions'!$A$2:$A$6,0),1)</x:f>
        <x:v>18586.126373138635</x:v>
      </x:c>
      <x:c r="R90" s="86" t="n">
        <x:f>E90*INDEX('Régions'!$T$2:$Y$6,MATCH($B90,'Régions'!$A$2:$A$6,0),2)</x:f>
        <x:v>5593.829282087255</x:v>
      </x:c>
      <x:c r="S90" s="86" t="n">
        <x:f>F90*INDEX('Régions'!$T$2:$Y$6,MATCH($B90,'Régions'!$A$2:$A$6,0),3)</x:f>
        <x:v>6426.042978864278</x:v>
      </x:c>
      <x:c r="T90" s="86" t="n">
        <x:f>G90*INDEX('Régions'!$T$2:$Y$6,MATCH($B90,'Régions'!$A$2:$A$6,0),4)</x:f>
        <x:v>21851.527549286548</x:v>
      </x:c>
      <x:c r="U90" s="86" t="n">
        <x:f>H90*INDEX('Régions'!$T$2:$Y$6,MATCH($B90,'Régions'!$A$2:$A$6,0),5)</x:f>
        <x:v>2935.5821878657143</x:v>
      </x:c>
      <x:c r="V90" s="86" t="n">
        <x:f>I90*INDEX('Régions'!$T$2:$Y$6,MATCH($B90,'Régions'!$A$2:$A$6,0),6)</x:f>
        <x:v>505.7053485424588</x:v>
      </x:c>
      <x:c r="W90" s="86" t="n">
        <x:f>MAX(0,Q90+(AU90/100)*J90*'Régions'!$O$2)</x:f>
        <x:v>19960.796777286676</x:v>
      </x:c>
      <x:c r="X90" s="86" t="n">
        <x:f>MAX(0,R90+(AV90/100)*J90*'Régions'!$O$2)</x:f>
        <x:v>7199.473438331173</x:v>
      </x:c>
      <x:c r="Y90" s="86" t="n">
        <x:f>MAX(0,S90+(AW90/100)*J90*'Régions'!$O$2)</x:f>
        <x:v>6443.243623166956</x:v>
      </x:c>
      <x:c r="Z90" s="86" t="n">
        <x:f>MAX(0,T90+(AX90/100)*J90*'Régions'!$O$2)</x:f>
        <x:v>19453.81084185346</x:v>
      </x:c>
      <x:c r="AA90" s="86" t="n">
        <x:f>U90</x:f>
        <x:v>2935.5821878657143</x:v>
      </x:c>
      <x:c r="AB90" s="86" t="n">
        <x:f>V90</x:f>
        <x:v>505.7053485424588</x:v>
      </x:c>
      <x:c r="AC90" s="86" t="n">
        <x:f>D90*INDEX('Régions'!$Z$2:$AE$6,MATCH($B90,'Régions'!$A$2:$A$6,0),1)</x:f>
        <x:v>22675.074175229136</x:v>
      </x:c>
      <x:c r="AD90" s="86" t="n">
        <x:f>E90*INDEX('Régions'!$Z$2:$AE$6,MATCH($B90,'Régions'!$A$2:$A$6,0),2)</x:f>
        <x:v>6136.759771231018</x:v>
      </x:c>
      <x:c r="AE90" s="86" t="n">
        <x:f>F90*INDEX('Régions'!$Z$2:$AE$6,MATCH($B90,'Régions'!$A$2:$A$6,0),3)</x:f>
        <x:v>7673.451321820286</x:v>
      </x:c>
      <x:c r="AF90" s="86" t="n">
        <x:f>G90*INDEX('Régions'!$Z$2:$AE$6,MATCH($B90,'Régions'!$A$2:$A$6,0),4)</x:f>
        <x:v>24856.112587313448</x:v>
      </x:c>
      <x:c r="AG90" s="86" t="n">
        <x:f>H90*INDEX('Régions'!$Z$2:$AE$6,MATCH($B90,'Régions'!$A$2:$A$6,0),5)</x:f>
        <x:v>4146.5098403603215</x:v>
      </x:c>
      <x:c r="AH90" s="86" t="n">
        <x:f>I90*INDEX('Régions'!$Z$2:$AE$6,MATCH($B90,'Régions'!$A$2:$A$6,0),6)</x:f>
        <x:v>1340.1191736375158</x:v>
      </x:c>
      <x:c r="AI90" s="86" t="n">
        <x:f>D90*INDEX('Régions'!$AF$2:$AK$6,MATCH($B90,'Régions'!$A$2:$A$6,0),1)</x:f>
        <x:v>14497.178571048136</x:v>
      </x:c>
      <x:c r="AJ90" s="86" t="n">
        <x:f>E90*INDEX('Régions'!$AF$2:$AK$6,MATCH($B90,'Régions'!$A$2:$A$6,0),2)</x:f>
        <x:v>5050.8987929434925</x:v>
      </x:c>
      <x:c r="AK90" s="86" t="n">
        <x:f>F90*INDEX('Régions'!$AF$2:$AK$6,MATCH($B90,'Régions'!$A$2:$A$6,0),3)</x:f>
        <x:v>5178.634635908271</x:v>
      </x:c>
      <x:c r="AL90" s="86" t="n">
        <x:f>G90*INDEX('Régions'!$AF$2:$AK$6,MATCH($B90,'Régions'!$A$2:$A$6,0),4)</x:f>
        <x:v>18846.942511259647</x:v>
      </x:c>
      <x:c r="AM90" s="86" t="n">
        <x:f>H90*INDEX('Régions'!$AF$2:$AK$6,MATCH($B90,'Régions'!$A$2:$A$6,0),5)</x:f>
        <x:v>1724.6545353711074</x:v>
      </x:c>
      <x:c r="AN90" s="86" t="n">
        <x:f>I90*INDEX('Régions'!$AF$2:$AK$6,MATCH($B90,'Régions'!$A$2:$A$6,0),6)</x:f>
        <x:v>0</x:v>
      </x:c>
      <x:c r="AO90" s="84" t="str">
        <x:f>IF(MAX(Q90:V90)=Q90,"CAQ",IF(MAX(Q90:V90)=R90,"PLQ",IF(MAX(Q90:V90)=S90,"QS",IF(MAX(Q90:V90)=T90,"PQ",IF(MAX(Q90:V90)=U90,"PCQ","Autre")))))</x:f>
        <x:v>PQ</x:v>
      </x:c>
      <x:c r="AP90" s="84" t="str">
        <x:f>IF(MAX(W90:AB90)=W90,"CAQ",IF(MAX(W90:AB90)=X90,"PLQ",IF(MAX(W90:AB90)=Y90,"QS",IF(MAX(W90:AB90)=Z90,"PQ",IF(MAX(W90:AB90)=AA90,"PCQ","Autre")))))</x:f>
        <x:v>CAQ</x:v>
      </x:c>
      <x:c r="AQ90" s="84" t="str">
        <x:f>IF(MAX(AC90:AH90)=AC90,"CAQ",IF(MAX(AC90:AH90)=AD90,"PLQ",IF(MAX(AC90:AH90)=AE90,"QS",IF(MAX(AC90:AH90)=AF90,"PQ",IF(MAX(AC90:AH90)=AG90,"PCQ","Autre")))))</x:f>
        <x:v>PQ</x:v>
      </x:c>
      <x:c r="AR90" s="84" t="str">
        <x:f>IF(MAX(AI90:AN90)=AI90,"CAQ",IF(MAX(AI90:AN90)=AJ90,"PLQ",IF(MAX(AI90:AN90)=AK90,"QS",IF(MAX(AI90:AN90)=AL90,"PQ",IF(MAX(AI90:AN90)=AM90,"PCQ","Autre")))))</x:f>
        <x:v>PQ</x:v>
      </x:c>
      <x:c r="AS90" s="88" t="n">
        <x:f>(MAX(K90:P90)-LARGE(K90:P90,2))*100</x:f>
        <x:v>24.99722663905632</x:v>
      </x:c>
      <x:c r="AT90" s="84" t="str">
        <x:f>IF(AS90&lt;5,"Oui","Non")</x:f>
        <x:v>Non</x:v>
      </x:c>
      <x:c r="AU90" s="89" t="n">
        <x:v>5.083276279066825</x:v>
      </x:c>
      <x:c r="AV90" s="89" t="n">
        <x:v>5.937374389838106</x:v>
      </x:c>
      <x:c r="AW90" s="89" t="n">
        <x:v>0.06360479348695991</x:v>
      </x:c>
      <x:c r="AX90" s="90" t="n">
        <x:v>-8.866311827212545</x:v>
      </x:c>
    </x:row>
    <x:row r="91">
      <x:c r="A91" s="83" t="str">
        <x:v>Pontiac</x:v>
      </x:c>
      <x:c r="B91" s="84" t="str">
        <x:v>Reste du Québec</x:v>
      </x:c>
      <x:c r="C91" s="84" t="str">
        <x:f>IF(MAX(D91:I91)=D91,"CAQ",IF(MAX(D91:I91)=E91,"PLQ",IF(MAX(D91:I91)=F91,"QS",IF(MAX(D91:I91)=G91,"PQ",IF(MAX(D91:I91)=H91,"PCQ","Autre")))))</x:f>
        <x:v>PLQ</x:v>
      </x:c>
      <x:c r="D91" s="85" t="n">
        <x:v>14729</x:v>
      </x:c>
      <x:c r="E91" s="85" t="n">
        <x:v>26043</x:v>
      </x:c>
      <x:c r="F91" s="85" t="n">
        <x:v>6127</x:v>
      </x:c>
      <x:c r="G91" s="85" t="n">
        <x:v>5225</x:v>
      </x:c>
      <x:c r="H91" s="85" t="n">
        <x:v>7500</x:v>
      </x:c>
      <x:c r="I91" s="85" t="n">
        <x:v>0</x:v>
      </x:c>
      <x:c r="J91" s="86" t="n">
        <x:f>SUM(D91:I91)</x:f>
        <x:v>59624</x:v>
      </x:c>
      <x:c r="K91" s="87" t="n">
        <x:f>IFERROR(D91/J91,0)</x:f>
        <x:v>0.24703139675298538</x:v>
      </x:c>
      <x:c r="L91" s="87" t="n">
        <x:f>IFERROR(E91/J91,0)</x:f>
        <x:v>0.4367871997853213</x:v>
      </x:c>
      <x:c r="M91" s="87" t="n">
        <x:f>IFERROR(F91/J91,0)</x:f>
        <x:v>0.10276063330202603</x:v>
      </x:c>
      <x:c r="N91" s="87" t="n">
        <x:f>IFERROR(G91/J91,0)</x:f>
        <x:v>0.08763249698108144</x:v>
      </x:c>
      <x:c r="O91" s="87" t="n">
        <x:f>IFERROR(H91/J91,0)</x:f>
        <x:v>0.1257882731785858</x:v>
      </x:c>
      <x:c r="P91" s="87" t="n">
        <x:f>IFERROR(I91/J91,0)</x:f>
        <x:v>0</x:v>
      </x:c>
      <x:c r="Q91" s="86" t="n">
        <x:f>D91*INDEX('Régions'!$T$2:$Y$6,MATCH($B91,'Régions'!$A$2:$A$6,0),1)</x:f>
        <x:v>8694.364635882614</x:v>
      </x:c>
      <x:c r="R91" s="86" t="n">
        <x:f>E91*INDEX('Régions'!$T$2:$Y$6,MATCH($B91,'Régions'!$A$2:$A$6,0),2)</x:f>
        <x:v>59592.95586233318</x:v>
      </x:c>
      <x:c r="S91" s="86" t="n">
        <x:f>F91*INDEX('Régions'!$T$2:$Y$6,MATCH($B91,'Régions'!$A$2:$A$6,0),3)</x:f>
        <x:v>3679.3161144424566</x:v>
      </x:c>
      <x:c r="T91" s="86" t="n">
        <x:f>G91*INDEX('Régions'!$T$2:$Y$6,MATCH($B91,'Régions'!$A$2:$A$6,0),4)</x:f>
        <x:v>9051.222276758514</x:v>
      </x:c>
      <x:c r="U91" s="86" t="n">
        <x:f>H91*INDEX('Régions'!$T$2:$Y$6,MATCH($B91,'Régions'!$A$2:$A$6,0),5)</x:f>
        <x:v>8455.051790460444</x:v>
      </x:c>
      <x:c r="V91" s="86" t="n">
        <x:f>I91*INDEX('Régions'!$T$2:$Y$6,MATCH($B91,'Régions'!$A$2:$A$6,0),6)</x:f>
        <x:v>0</x:v>
      </x:c>
      <x:c r="W91" s="86" t="n">
        <x:f>MAX(0,Q91+(AU91/100)*J91*'Régions'!$O$2)</x:f>
        <x:v>8193.753355802122</x:v>
      </x:c>
      <x:c r="X91" s="86" t="n">
        <x:f>MAX(0,R91+(AV91/100)*J91*'Régions'!$O$2)</x:f>
        <x:v>60353.383909797674</x:v>
      </x:c>
      <x:c r="Y91" s="86" t="n">
        <x:f>MAX(0,S91+(AW91/100)*J91*'Régions'!$O$2)</x:f>
        <x:v>3872.8759763337616</x:v>
      </x:c>
      <x:c r="Z91" s="86" t="n">
        <x:f>MAX(0,T91+(AX91/100)*J91*'Régions'!$O$2)</x:f>
        <x:v>10663.058681535516</x:v>
      </x:c>
      <x:c r="AA91" s="86" t="n">
        <x:f>U91</x:f>
        <x:v>8455.051790460444</x:v>
      </x:c>
      <x:c r="AB91" s="86" t="n">
        <x:f>V91</x:f>
        <x:v>0</x:v>
      </x:c>
      <x:c r="AC91" s="86" t="n">
        <x:f>D91*INDEX('Régions'!$Z$2:$AE$6,MATCH($B91,'Régions'!$A$2:$A$6,0),1)</x:f>
        <x:v>9719.057610825923</x:v>
      </x:c>
      <x:c r="AD91" s="86" t="n">
        <x:f>E91*INDEX('Régions'!$Z$2:$AE$6,MATCH($B91,'Régions'!$A$2:$A$6,0),2)</x:f>
        <x:v>71884.0030089394</x:v>
      </x:c>
      <x:c r="AE91" s="86" t="n">
        <x:f>F91*INDEX('Régions'!$Z$2:$AE$6,MATCH($B91,'Régions'!$A$2:$A$6,0),3)</x:f>
        <x:v>5197.03401164997</x:v>
      </x:c>
      <x:c r="AF91" s="86" t="n">
        <x:f>G91*INDEX('Régions'!$Z$2:$AE$6,MATCH($B91,'Régions'!$A$2:$A$6,0),4)</x:f>
        <x:v>10081.188949631034</x:v>
      </x:c>
      <x:c r="AG91" s="86" t="n">
        <x:f>H91*INDEX('Régions'!$Z$2:$AE$6,MATCH($B91,'Régions'!$A$2:$A$6,0),5)</x:f>
        <x:v>10096.326549785117</x:v>
      </x:c>
      <x:c r="AH91" s="86" t="n">
        <x:f>I91*INDEX('Régions'!$Z$2:$AE$6,MATCH($B91,'Régions'!$A$2:$A$6,0),6)</x:f>
        <x:v>0</x:v>
      </x:c>
      <x:c r="AI91" s="86" t="n">
        <x:f>D91*INDEX('Régions'!$AF$2:$AK$6,MATCH($B91,'Régions'!$A$2:$A$6,0),1)</x:f>
        <x:v>7669.671660939306</x:v>
      </x:c>
      <x:c r="AJ91" s="86" t="n">
        <x:f>E91*INDEX('Régions'!$AF$2:$AK$6,MATCH($B91,'Régions'!$A$2:$A$6,0),2)</x:f>
        <x:v>47301.90871572696</x:v>
      </x:c>
      <x:c r="AK91" s="86" t="n">
        <x:f>F91*INDEX('Régions'!$AF$2:$AK$6,MATCH($B91,'Régions'!$A$2:$A$6,0),3)</x:f>
        <x:v>2161.598217234943</x:v>
      </x:c>
      <x:c r="AL91" s="86" t="n">
        <x:f>G91*INDEX('Régions'!$AF$2:$AK$6,MATCH($B91,'Régions'!$A$2:$A$6,0),4)</x:f>
        <x:v>8021.255603885994</x:v>
      </x:c>
      <x:c r="AM91" s="86" t="n">
        <x:f>H91*INDEX('Régions'!$AF$2:$AK$6,MATCH($B91,'Régions'!$A$2:$A$6,0),5)</x:f>
        <x:v>6813.777031135769</x:v>
      </x:c>
      <x:c r="AN91" s="86" t="n">
        <x:f>I91*INDEX('Régions'!$AF$2:$AK$6,MATCH($B91,'Régions'!$A$2:$A$6,0),6)</x:f>
        <x:v>0</x:v>
      </x:c>
      <x:c r="AO91" s="84" t="str">
        <x:f>IF(MAX(Q91:V91)=Q91,"CAQ",IF(MAX(Q91:V91)=R91,"PLQ",IF(MAX(Q91:V91)=S91,"QS",IF(MAX(Q91:V91)=T91,"PQ",IF(MAX(Q91:V91)=U91,"PCQ","Autre")))))</x:f>
        <x:v>PLQ</x:v>
      </x:c>
      <x:c r="AP91" s="84" t="str">
        <x:f>IF(MAX(W91:AB91)=W91,"CAQ",IF(MAX(W91:AB91)=X91,"PLQ",IF(MAX(W91:AB91)=Y91,"QS",IF(MAX(W91:AB91)=Z91,"PQ",IF(MAX(W91:AB91)=AA91,"PCQ","Autre")))))</x:f>
        <x:v>PLQ</x:v>
      </x:c>
      <x:c r="AQ91" s="84" t="str">
        <x:f>IF(MAX(AC91:AH91)=AC91,"CAQ",IF(MAX(AC91:AH91)=AD91,"PLQ",IF(MAX(AC91:AH91)=AE91,"QS",IF(MAX(AC91:AH91)=AF91,"PQ",IF(MAX(AC91:AH91)=AG91,"PCQ","Autre")))))</x:f>
        <x:v>PLQ</x:v>
      </x:c>
      <x:c r="AR91" s="84" t="str">
        <x:f>IF(MAX(AI91:AN91)=AI91,"CAQ",IF(MAX(AI91:AN91)=AJ91,"PLQ",IF(MAX(AI91:AN91)=AK91,"QS",IF(MAX(AI91:AN91)=AL91,"PQ",IF(MAX(AI91:AN91)=AM91,"PCQ","Autre")))))</x:f>
        <x:v>PLQ</x:v>
      </x:c>
      <x:c r="AS91" s="88" t="n">
        <x:f>(MAX(K91:P91)-LARGE(K91:P91,2))*100</x:f>
        <x:v>18.975580303233595</x:v>
      </x:c>
      <x:c r="AT91" s="84" t="str">
        <x:f>IF(AS91&lt;5,"Oui","Non")</x:f>
        <x:v>Non</x:v>
      </x:c>
      <x:c r="AU91" s="89" t="n">
        <x:v>-1.6792274254679052</x:v>
      </x:c>
      <x:c r="AV91" s="89" t="n">
        <x:v>2.550744825789919</x:v>
      </x:c>
      <x:c r="AW91" s="89" t="n">
        <x:v>0.6492682875731417</x:v>
      </x:c>
      <x:c r="AX91" s="90" t="n">
        <x:v>5.406669813420778</x:v>
      </x:c>
    </x:row>
    <x:row r="92">
      <x:c r="A92" s="83" t="str">
        <x:v>Portneuf</x:v>
      </x:c>
      <x:c r="B92" s="84" t="str">
        <x:v>Québec RMR</x:v>
      </x:c>
      <x:c r="C92" s="84" t="str">
        <x:f>IF(MAX(D92:I92)=D92,"CAQ",IF(MAX(D92:I92)=E92,"PLQ",IF(MAX(D92:I92)=F92,"QS",IF(MAX(D92:I92)=G92,"PQ",IF(MAX(D92:I92)=H92,"PCQ","Autre")))))</x:f>
        <x:v>CAQ</x:v>
      </x:c>
      <x:c r="D92" s="85" t="n">
        <x:v>38001</x:v>
      </x:c>
      <x:c r="E92" s="85" t="n">
        <x:v>2662</x:v>
      </x:c>
      <x:c r="F92" s="85" t="n">
        <x:v>6755</x:v>
      </x:c>
      <x:c r="G92" s="85" t="n">
        <x:v>8079</x:v>
      </x:c>
      <x:c r="H92" s="85" t="n">
        <x:v>24130</x:v>
      </x:c>
      <x:c r="I92" s="85" t="n">
        <x:v>1429</x:v>
      </x:c>
      <x:c r="J92" s="86" t="n">
        <x:f>SUM(D92:I92)</x:f>
        <x:v>81056</x:v>
      </x:c>
      <x:c r="K92" s="87" t="n">
        <x:f>IFERROR(D92/J92,0)</x:f>
        <x:v>0.4688240228977497</x:v>
      </x:c>
      <x:c r="L92" s="87" t="n">
        <x:f>IFERROR(E92/J92,0)</x:f>
        <x:v>0.03284149230161863</x:v>
      </x:c>
      <x:c r="M92" s="87" t="n">
        <x:f>IFERROR(F92/J92,0)</x:f>
        <x:v>0.08333744571654166</x:v>
      </x:c>
      <x:c r="N92" s="87" t="n">
        <x:f>IFERROR(G92/J92,0)</x:f>
        <x:v>0.09967183181997631</x:v>
      </x:c>
      <x:c r="O92" s="87" t="n">
        <x:f>IFERROR(H92/J92,0)</x:f>
        <x:v>0.2976954204500592</x:v>
      </x:c>
      <x:c r="P92" s="87" t="n">
        <x:f>IFERROR(I92/J92,0)</x:f>
        <x:v>0.01762978681405448</x:v>
      </x:c>
      <x:c r="Q92" s="86" t="n">
        <x:f>D92*INDEX('Régions'!$T$2:$Y$6,MATCH($B92,'Régions'!$A$2:$A$6,0),1)</x:f>
        <x:v>31624.567798573218</x:v>
      </x:c>
      <x:c r="R92" s="86" t="n">
        <x:f>E92*INDEX('Régions'!$T$2:$Y$6,MATCH($B92,'Régions'!$A$2:$A$6,0),2)</x:f>
        <x:v>3194.8144373118034</x:v>
      </x:c>
      <x:c r="S92" s="86" t="n">
        <x:f>F92*INDEX('Régions'!$T$2:$Y$6,MATCH($B92,'Régions'!$A$2:$A$6,0),3)</x:f>
        <x:v>2679.7857469166916</x:v>
      </x:c>
      <x:c r="T92" s="86" t="n">
        <x:f>G92*INDEX('Régions'!$T$2:$Y$6,MATCH($B92,'Régions'!$A$2:$A$6,0),4)</x:f>
        <x:v>16493.55862293144</x:v>
      </x:c>
      <x:c r="U92" s="86" t="n">
        <x:f>H92*INDEX('Régions'!$T$2:$Y$6,MATCH($B92,'Régions'!$A$2:$A$6,0),5)</x:f>
        <x:v>24709.88866739732</x:v>
      </x:c>
      <x:c r="V92" s="86" t="n">
        <x:f>I92*INDEX('Régions'!$T$2:$Y$6,MATCH($B92,'Régions'!$A$2:$A$6,0),6)</x:f>
        <x:v>2440.422556031641</x:v>
      </x:c>
      <x:c r="W92" s="86" t="n">
        <x:f>MAX(0,Q92+(AU92/100)*J92*'Régions'!$O$2)</x:f>
        <x:v>29581.991600343863</x:v>
      </x:c>
      <x:c r="X92" s="86" t="n">
        <x:f>MAX(0,R92+(AV92/100)*J92*'Régions'!$O$2)</x:f>
        <x:v>3069.09264695147</x:v>
      </x:c>
      <x:c r="Y92" s="86" t="n">
        <x:f>MAX(0,S92+(AW92/100)*J92*'Régions'!$O$2)</x:f>
        <x:v>1767.497763216746</x:v>
      </x:c>
      <x:c r="Z92" s="86" t="n">
        <x:f>MAX(0,T92+(AX92/100)*J92*'Régions'!$O$2)</x:f>
        <x:v>16064.12805626545</x:v>
      </x:c>
      <x:c r="AA92" s="86" t="n">
        <x:f>U92</x:f>
        <x:v>24709.88866739732</x:v>
      </x:c>
      <x:c r="AB92" s="86" t="n">
        <x:f>V92</x:f>
        <x:v>2440.422556031641</x:v>
      </x:c>
      <x:c r="AC92" s="86" t="n">
        <x:f>D92*INDEX('Régions'!$Z$2:$AE$6,MATCH($B92,'Régions'!$A$2:$A$6,0),1)</x:f>
        <x:v>34523.486513442425</x:v>
      </x:c>
      <x:c r="AD92" s="86" t="n">
        <x:f>E92*INDEX('Régions'!$Z$2:$AE$6,MATCH($B92,'Régions'!$A$2:$A$6,0),2)</x:f>
        <x:v>4700.941243473082</x:v>
      </x:c>
      <x:c r="AE92" s="86" t="n">
        <x:f>F92*INDEX('Régions'!$Z$2:$AE$6,MATCH($B92,'Régions'!$A$2:$A$6,0),3)</x:f>
        <x:v>4153.667907720872</x:v>
      </x:c>
      <x:c r="AF92" s="86" t="n">
        <x:f>G92*INDEX('Régions'!$Z$2:$AE$6,MATCH($B92,'Régions'!$A$2:$A$6,0),4)</x:f>
        <x:v>18437.442317776935</x:v>
      </x:c>
      <x:c r="AG92" s="86" t="n">
        <x:f>H92*INDEX('Régions'!$Z$2:$AE$6,MATCH($B92,'Régions'!$A$2:$A$6,0),5)</x:f>
        <x:v>28416.371967506922</x:v>
      </x:c>
      <x:c r="AH92" s="86" t="n">
        <x:f>I92*INDEX('Régions'!$Z$2:$AE$6,MATCH($B92,'Régions'!$A$2:$A$6,0),6)</x:f>
        <x:v>10493.816990936055</x:v>
      </x:c>
      <x:c r="AI92" s="86" t="n">
        <x:f>D92*INDEX('Régions'!$AF$2:$AK$6,MATCH($B92,'Régions'!$A$2:$A$6,0),1)</x:f>
        <x:v>28725.64908370401</x:v>
      </x:c>
      <x:c r="AJ92" s="86" t="n">
        <x:f>E92*INDEX('Régions'!$AF$2:$AK$6,MATCH($B92,'Régions'!$A$2:$A$6,0),2)</x:f>
        <x:v>1688.6876311505248</x:v>
      </x:c>
      <x:c r="AK92" s="86" t="n">
        <x:f>F92*INDEX('Régions'!$AF$2:$AK$6,MATCH($B92,'Régions'!$A$2:$A$6,0),3)</x:f>
        <x:v>1205.9035861125112</x:v>
      </x:c>
      <x:c r="AL92" s="86" t="n">
        <x:f>G92*INDEX('Régions'!$AF$2:$AK$6,MATCH($B92,'Régions'!$A$2:$A$6,0),4)</x:f>
        <x:v>14549.674928085951</x:v>
      </x:c>
      <x:c r="AM92" s="86" t="n">
        <x:f>H92*INDEX('Régions'!$AF$2:$AK$6,MATCH($B92,'Régions'!$A$2:$A$6,0),5)</x:f>
        <x:v>21003.405367287723</x:v>
      </x:c>
      <x:c r="AN92" s="86" t="n">
        <x:f>I92*INDEX('Régions'!$AF$2:$AK$6,MATCH($B92,'Régions'!$A$2:$A$6,0),6)</x:f>
        <x:v>0</x:v>
      </x:c>
      <x:c r="AO92" s="84" t="str">
        <x:f>IF(MAX(Q92:V92)=Q92,"CAQ",IF(MAX(Q92:V92)=R92,"PLQ",IF(MAX(Q92:V92)=S92,"QS",IF(MAX(Q92:V92)=T92,"PQ",IF(MAX(Q92:V92)=U92,"PCQ","Autre")))))</x:f>
        <x:v>CAQ</x:v>
      </x:c>
      <x:c r="AP92" s="84" t="str">
        <x:f>IF(MAX(W92:AB92)=W92,"CAQ",IF(MAX(W92:AB92)=X92,"PLQ",IF(MAX(W92:AB92)=Y92,"QS",IF(MAX(W92:AB92)=Z92,"PQ",IF(MAX(W92:AB92)=AA92,"PCQ","Autre")))))</x:f>
        <x:v>CAQ</x:v>
      </x:c>
      <x:c r="AQ92" s="84" t="str">
        <x:f>IF(MAX(AC92:AH92)=AC92,"CAQ",IF(MAX(AC92:AH92)=AD92,"PLQ",IF(MAX(AC92:AH92)=AE92,"QS",IF(MAX(AC92:AH92)=AF92,"PQ",IF(MAX(AC92:AH92)=AG92,"PCQ","Autre")))))</x:f>
        <x:v>CAQ</x:v>
      </x:c>
      <x:c r="AR92" s="84" t="str">
        <x:f>IF(MAX(AI92:AN92)=AI92,"CAQ",IF(MAX(AI92:AN92)=AJ92,"PLQ",IF(MAX(AI92:AN92)=AK92,"QS",IF(MAX(AI92:AN92)=AL92,"PQ",IF(MAX(AI92:AN92)=AM92,"PCQ","Autre")))))</x:f>
        <x:v>CAQ</x:v>
      </x:c>
      <x:c r="AS92" s="88" t="n">
        <x:f>(MAX(K92:P92)-LARGE(K92:P92,2))*100</x:f>
        <x:v>17.112860244769053</x:v>
      </x:c>
      <x:c r="AT92" s="84" t="str">
        <x:f>IF(AS92&lt;5,"Oui","Non")</x:f>
        <x:v>Non</x:v>
      </x:c>
      <x:c r="AU92" s="89" t="n">
        <x:v>-5.039913635583682</x:v>
      </x:c>
      <x:c r="AV92" s="89" t="n">
        <x:v>-0.3102097077584215</x:v>
      </x:c>
      <x:c r="AW92" s="89" t="n">
        <x:v>-2.2510066711901535</x:v>
      </x:c>
      <x:c r="AX92" s="90" t="n">
        <x:v>-1.0595898308971328</x:v>
      </x:c>
    </x:row>
    <x:row r="93">
      <x:c r="A93" s="83" t="str">
        <x:v>Prévost</x:v>
      </x:c>
      <x:c r="B93" s="84" t="str">
        <x:v>Banlieue de Montréal</x:v>
      </x:c>
      <x:c r="C93" s="84" t="str">
        <x:f>IF(MAX(D93:I93)=D93,"CAQ",IF(MAX(D93:I93)=E93,"PLQ",IF(MAX(D93:I93)=F93,"QS",IF(MAX(D93:I93)=G93,"PQ",IF(MAX(D93:I93)=H93,"PCQ","Autre")))))</x:f>
        <x:v>CAQ</x:v>
      </x:c>
      <x:c r="D93" s="85" t="n">
        <x:v>33663</x:v>
      </x:c>
      <x:c r="E93" s="85" t="n">
        <x:v>4385</x:v>
      </x:c>
      <x:c r="F93" s="85" t="n">
        <x:v>10998</x:v>
      </x:c>
      <x:c r="G93" s="85" t="n">
        <x:v>15050</x:v>
      </x:c>
      <x:c r="H93" s="85" t="n">
        <x:v>8507</x:v>
      </x:c>
      <x:c r="I93" s="85" t="n">
        <x:v>211</x:v>
      </x:c>
      <x:c r="J93" s="86" t="n">
        <x:f>SUM(D93:I93)</x:f>
        <x:v>72814</x:v>
      </x:c>
      <x:c r="K93" s="87" t="n">
        <x:f>IFERROR(D93/J93,0)</x:f>
        <x:v>0.46231493943472407</x:v>
      </x:c>
      <x:c r="L93" s="87" t="n">
        <x:f>IFERROR(E93/J93,0)</x:f>
        <x:v>0.06022193534210454</x:v>
      </x:c>
      <x:c r="M93" s="87" t="n">
        <x:f>IFERROR(F93/J93,0)</x:f>
        <x:v>0.15104238195951328</x:v>
      </x:c>
      <x:c r="N93" s="87" t="n">
        <x:f>IFERROR(G93/J93,0)</x:f>
        <x:v>0.20669102095750816</x:v>
      </x:c>
      <x:c r="O93" s="87" t="n">
        <x:f>IFERROR(H93/J93,0)</x:f>
        <x:v>0.1168319279259483</x:v>
      </x:c>
      <x:c r="P93" s="87" t="n">
        <x:f>IFERROR(I93/J93,0)</x:f>
        <x:v>0.0028977943802016098</x:v>
      </x:c>
      <x:c r="Q93" s="86" t="n">
        <x:f>D93*INDEX('Régions'!$T$2:$Y$6,MATCH($B93,'Régions'!$A$2:$A$6,0),1)</x:f>
        <x:v>23799.38036713857</x:v>
      </x:c>
      <x:c r="R93" s="86" t="n">
        <x:f>E93*INDEX('Régions'!$T$2:$Y$6,MATCH($B93,'Régions'!$A$2:$A$6,0),2)</x:f>
        <x:v>5609.553300816197</x:v>
      </x:c>
      <x:c r="S93" s="86" t="n">
        <x:f>F93*INDEX('Régions'!$T$2:$Y$6,MATCH($B93,'Régions'!$A$2:$A$6,0),3)</x:f>
        <x:v>5555.130744176788</x:v>
      </x:c>
      <x:c r="T93" s="86" t="n">
        <x:f>G93*INDEX('Régions'!$T$2:$Y$6,MATCH($B93,'Régions'!$A$2:$A$6,0),4)</x:f>
        <x:v>28062.234626094003</x:v>
      </x:c>
      <x:c r="U93" s="86" t="n">
        <x:f>H93*INDEX('Régions'!$T$2:$Y$6,MATCH($B93,'Régions'!$A$2:$A$6,0),5)</x:f>
        <x:v>9956.043330687367</x:v>
      </x:c>
      <x:c r="V93" s="86" t="n">
        <x:f>I93*INDEX('Régions'!$T$2:$Y$6,MATCH($B93,'Régions'!$A$2:$A$6,0),6)</x:f>
        <x:v>453.02645242502774</x:v>
      </x:c>
      <x:c r="W93" s="86" t="n">
        <x:f>MAX(0,Q93+(AU93/100)*J93*'Régions'!$O$2)</x:f>
        <x:v>22419.54359570791</x:v>
      </x:c>
      <x:c r="X93" s="86" t="n">
        <x:f>MAX(0,R93+(AV93/100)*J93*'Régions'!$O$2)</x:f>
        <x:v>5474.274562127595</x:v>
      </x:c>
      <x:c r="Y93" s="86" t="n">
        <x:f>MAX(0,S93+(AW93/100)*J93*'Régions'!$O$2)</x:f>
        <x:v>6229.352334095769</x:v>
      </x:c>
      <x:c r="Z93" s="86" t="n">
        <x:f>MAX(0,T93+(AX93/100)*J93*'Régions'!$O$2)</x:f>
        <x:v>28359.627009911568</x:v>
      </x:c>
      <x:c r="AA93" s="86" t="n">
        <x:f>U93</x:f>
        <x:v>9956.043330687367</x:v>
      </x:c>
      <x:c r="AB93" s="86" t="n">
        <x:f>V93</x:f>
        <x:v>453.02645242502774</x:v>
      </x:c>
      <x:c r="AC93" s="86" t="n">
        <x:f>D93*INDEX('Régions'!$Z$2:$AE$6,MATCH($B93,'Régions'!$A$2:$A$6,0),1)</x:f>
        <x:v>26253.69146749973</x:v>
      </x:c>
      <x:c r="AD93" s="86" t="n">
        <x:f>E93*INDEX('Régions'!$Z$2:$AE$6,MATCH($B93,'Régions'!$A$2:$A$6,0),2)</x:f>
        <x:v>6637.971405965833</x:v>
      </x:c>
      <x:c r="AE93" s="86" t="n">
        <x:f>F93*INDEX('Régions'!$Z$2:$AE$6,MATCH($B93,'Régions'!$A$2:$A$6,0),3)</x:f>
        <x:v>8173.978095002988</x:v>
      </x:c>
      <x:c r="AF93" s="86" t="n">
        <x:f>G93*INDEX('Régions'!$Z$2:$AE$6,MATCH($B93,'Régions'!$A$2:$A$6,0),4)</x:f>
        <x:v>31149.080434964337</x:v>
      </x:c>
      <x:c r="AG93" s="86" t="n">
        <x:f>H93*INDEX('Régions'!$Z$2:$AE$6,MATCH($B93,'Régions'!$A$2:$A$6,0),5)</x:f>
        <x:v>12693.955246626396</x:v>
      </x:c>
      <x:c r="AH93" s="86" t="n">
        <x:f>I93*INDEX('Régions'!$Z$2:$AE$6,MATCH($B93,'Régions'!$A$2:$A$6,0),6)</x:f>
        <x:v>1948.0137454276194</x:v>
      </x:c>
      <x:c r="AI93" s="86" t="n">
        <x:f>D93*INDEX('Régions'!$AF$2:$AK$6,MATCH($B93,'Régions'!$A$2:$A$6,0),1)</x:f>
        <x:v>21345.069266777402</x:v>
      </x:c>
      <x:c r="AJ93" s="86" t="n">
        <x:f>E93*INDEX('Régions'!$AF$2:$AK$6,MATCH($B93,'Régions'!$A$2:$A$6,0),2)</x:f>
        <x:v>4581.135195666561</x:v>
      </x:c>
      <x:c r="AK93" s="86" t="n">
        <x:f>F93*INDEX('Régions'!$AF$2:$AK$6,MATCH($B93,'Régions'!$A$2:$A$6,0),3)</x:f>
        <x:v>2936.283393350588</x:v>
      </x:c>
      <x:c r="AL93" s="86" t="n">
        <x:f>G93*INDEX('Régions'!$AF$2:$AK$6,MATCH($B93,'Régions'!$A$2:$A$6,0),4)</x:f>
        <x:v>24975.388817223662</x:v>
      </x:c>
      <x:c r="AM93" s="86" t="n">
        <x:f>H93*INDEX('Régions'!$AF$2:$AK$6,MATCH($B93,'Régions'!$A$2:$A$6,0),5)</x:f>
        <x:v>7218.131414748341</x:v>
      </x:c>
      <x:c r="AN93" s="86" t="n">
        <x:f>I93*INDEX('Régions'!$AF$2:$AK$6,MATCH($B93,'Régions'!$A$2:$A$6,0),6)</x:f>
        <x:v>0</x:v>
      </x:c>
      <x:c r="AO93" s="84" t="str">
        <x:f>IF(MAX(Q93:V93)=Q93,"CAQ",IF(MAX(Q93:V93)=R93,"PLQ",IF(MAX(Q93:V93)=S93,"QS",IF(MAX(Q93:V93)=T93,"PQ",IF(MAX(Q93:V93)=U93,"PCQ","Autre")))))</x:f>
        <x:v>PQ</x:v>
      </x:c>
      <x:c r="AP93" s="84" t="str">
        <x:f>IF(MAX(W93:AB93)=W93,"CAQ",IF(MAX(W93:AB93)=X93,"PLQ",IF(MAX(W93:AB93)=Y93,"QS",IF(MAX(W93:AB93)=Z93,"PQ",IF(MAX(W93:AB93)=AA93,"PCQ","Autre")))))</x:f>
        <x:v>PQ</x:v>
      </x:c>
      <x:c r="AQ93" s="84" t="str">
        <x:f>IF(MAX(AC93:AH93)=AC93,"CAQ",IF(MAX(AC93:AH93)=AD93,"PLQ",IF(MAX(AC93:AH93)=AE93,"QS",IF(MAX(AC93:AH93)=AF93,"PQ",IF(MAX(AC93:AH93)=AG93,"PCQ","Autre")))))</x:f>
        <x:v>PQ</x:v>
      </x:c>
      <x:c r="AR93" s="84" t="str">
        <x:f>IF(MAX(AI93:AN93)=AI93,"CAQ",IF(MAX(AI93:AN93)=AJ93,"PLQ",IF(MAX(AI93:AN93)=AK93,"QS",IF(MAX(AI93:AN93)=AL93,"PQ",IF(MAX(AI93:AN93)=AM93,"PCQ","Autre")))))</x:f>
        <x:v>PQ</x:v>
      </x:c>
      <x:c r="AS93" s="88" t="n">
        <x:f>(MAX(K93:P93)-LARGE(K93:P93,2))*100</x:f>
        <x:v>25.56239184772159</x:v>
      </x:c>
      <x:c r="AT93" s="84" t="str">
        <x:f>IF(AS93&lt;5,"Oui","Non")</x:f>
        <x:v>Non</x:v>
      </x:c>
      <x:c r="AU93" s="89" t="n">
        <x:v>-3.7900315088599976</x:v>
      </x:c>
      <x:c r="AV93" s="89" t="n">
        <x:v>-0.3715734300782869</x:v>
      </x:c>
      <x:c r="AW93" s="89" t="n">
        <x:v>1.8519009803581206</x:v>
      </x:c>
      <x:c r="AX93" s="90" t="n">
        <x:v>0.816854955963317</x:v>
      </x:c>
    </x:row>
    <x:row r="94">
      <x:c r="A94" s="83" t="str">
        <x:v>René-Lévesque</x:v>
      </x:c>
      <x:c r="B94" s="84" t="str">
        <x:v>Reste du Québec</x:v>
      </x:c>
      <x:c r="C94" s="84" t="str">
        <x:f>IF(MAX(D94:I94)=D94,"CAQ",IF(MAX(D94:I94)=E94,"PLQ",IF(MAX(D94:I94)=F94,"QS",IF(MAX(D94:I94)=G94,"PQ",IF(MAX(D94:I94)=H94,"PCQ","Autre")))))</x:f>
        <x:v>CAQ</x:v>
      </x:c>
      <x:c r="D94" s="85" t="n">
        <x:v>22353</x:v>
      </x:c>
      <x:c r="E94" s="85" t="n">
        <x:v>603</x:v>
      </x:c>
      <x:c r="F94" s="85" t="n">
        <x:v>2867</x:v>
      </x:c>
      <x:c r="G94" s="85" t="n">
        <x:v>8030</x:v>
      </x:c>
      <x:c r="H94" s="85" t="n">
        <x:v>3841</x:v>
      </x:c>
      <x:c r="I94" s="85" t="n">
        <x:v>243</x:v>
      </x:c>
      <x:c r="J94" s="86" t="n">
        <x:f>SUM(D94:I94)</x:f>
        <x:v>37937</x:v>
      </x:c>
      <x:c r="K94" s="87" t="n">
        <x:f>IFERROR(D94/J94,0)</x:f>
        <x:v>0.5892136963913858</x:v>
      </x:c>
      <x:c r="L94" s="87" t="n">
        <x:f>IFERROR(E94/J94,0)</x:f>
        <x:v>0.015894772912987323</x:v>
      </x:c>
      <x:c r="M94" s="87" t="n">
        <x:f>IFERROR(F94/J94,0)</x:f>
        <x:v>0.07557265993621003</x:v>
      </x:c>
      <x:c r="N94" s="87" t="n">
        <x:f>IFERROR(G94/J94,0)</x:f>
        <x:v>0.21166671059915124</x:v>
      </x:c>
      <x:c r="O94" s="87" t="n">
        <x:f>IFERROR(H94/J94,0)</x:f>
        <x:v>0.10124680391174842</x:v>
      </x:c>
      <x:c r="P94" s="87" t="n">
        <x:f>IFERROR(I94/J94,0)</x:f>
        <x:v>0.006405356248517279</x:v>
      </x:c>
      <x:c r="Q94" s="86" t="n">
        <x:f>D94*INDEX('Régions'!$T$2:$Y$6,MATCH($B94,'Régions'!$A$2:$A$6,0),1)</x:f>
        <x:v>13194.72691329242</x:v>
      </x:c>
      <x:c r="R94" s="86" t="n">
        <x:f>E94*INDEX('Régions'!$T$2:$Y$6,MATCH($B94,'Régions'!$A$2:$A$6,0),2)</x:f>
        <x:v>1379.8161649958495</x:v>
      </x:c>
      <x:c r="S94" s="86" t="n">
        <x:f>F94*INDEX('Régions'!$T$2:$Y$6,MATCH($B94,'Régions'!$A$2:$A$6,0),3)</x:f>
        <x:v>1721.6581198150031</x:v>
      </x:c>
      <x:c r="T94" s="86" t="n">
        <x:f>G94*INDEX('Régions'!$T$2:$Y$6,MATCH($B94,'Régions'!$A$2:$A$6,0),4)</x:f>
        <x:v>13910.299499018347</x:v>
      </x:c>
      <x:c r="U94" s="86" t="n">
        <x:f>H94*INDEX('Régions'!$T$2:$Y$6,MATCH($B94,'Régions'!$A$2:$A$6,0),5)</x:f>
        <x:v>4330.113856954475</x:v>
      </x:c>
      <x:c r="V94" s="86" t="n">
        <x:f>I94*INDEX('Régions'!$T$2:$Y$6,MATCH($B94,'Régions'!$A$2:$A$6,0),6)</x:f>
        <x:v>564.1391667995535</x:v>
      </x:c>
      <x:c r="W94" s="86" t="n">
        <x:f>MAX(0,Q94+(AU94/100)*J94*'Régions'!$O$2)</x:f>
        <x:v>16844.33592528015</x:v>
      </x:c>
      <x:c r="X94" s="86" t="n">
        <x:f>MAX(0,R94+(AV94/100)*J94*'Régions'!$O$2)</x:f>
        <x:v>1675.5475638756006</x:v>
      </x:c>
      <x:c r="Y94" s="86" t="n">
        <x:f>MAX(0,S94+(AW94/100)*J94*'Régions'!$O$2)</x:f>
        <x:v>1430.0653046722914</x:v>
      </x:c>
      <x:c r="Z94" s="86" t="n">
        <x:f>MAX(0,T94+(AX94/100)*J94*'Régions'!$O$2)</x:f>
        <x:v>10957.054371065931</x:v>
      </x:c>
      <x:c r="AA94" s="86" t="n">
        <x:f>U94</x:f>
        <x:v>4330.113856954475</x:v>
      </x:c>
      <x:c r="AB94" s="86" t="n">
        <x:f>V94</x:f>
        <x:v>564.1391667995535</x:v>
      </x:c>
      <x:c r="AC94" s="86" t="n">
        <x:f>D94*INDEX('Régions'!$Z$2:$AE$6,MATCH($B94,'Régions'!$A$2:$A$6,0),1)</x:f>
        <x:v>14749.819728073315</x:v>
      </x:c>
      <x:c r="AD94" s="86" t="n">
        <x:f>E94*INDEX('Régions'!$Z$2:$AE$6,MATCH($B94,'Régions'!$A$2:$A$6,0),2)</x:f>
        <x:v>1664.4032490262437</x:v>
      </x:c>
      <x:c r="AE94" s="86" t="n">
        <x:f>F94*INDEX('Régions'!$Z$2:$AE$6,MATCH($B94,'Régions'!$A$2:$A$6,0),3)</x:f>
        <x:v>2431.842094238692</x:v>
      </x:c>
      <x:c r="AF94" s="86" t="n">
        <x:f>G94*INDEX('Régions'!$Z$2:$AE$6,MATCH($B94,'Régions'!$A$2:$A$6,0),4)</x:f>
        <x:v>15493.19564890664</x:v>
      </x:c>
      <x:c r="AG94" s="86" t="n">
        <x:f>H94*INDEX('Régions'!$Z$2:$AE$6,MATCH($B94,'Régions'!$A$2:$A$6,0),5)</x:f>
        <x:v>5170.665370363285</x:v>
      </x:c>
      <x:c r="AH94" s="86" t="n">
        <x:f>I94*INDEX('Régions'!$Z$2:$AE$6,MATCH($B94,'Régions'!$A$2:$A$6,0),6)</x:f>
        <x:v>2425.79841723808</x:v>
      </x:c>
      <x:c r="AI94" s="86" t="n">
        <x:f>D94*INDEX('Régions'!$AF$2:$AK$6,MATCH($B94,'Régions'!$A$2:$A$6,0),1)</x:f>
        <x:v>11639.634098511528</x:v>
      </x:c>
      <x:c r="AJ94" s="86" t="n">
        <x:f>E94*INDEX('Régions'!$AF$2:$AK$6,MATCH($B94,'Régions'!$A$2:$A$6,0),2)</x:f>
        <x:v>1095.2290809654555</x:v>
      </x:c>
      <x:c r="AK94" s="86" t="n">
        <x:f>F94*INDEX('Régions'!$AF$2:$AK$6,MATCH($B94,'Régions'!$A$2:$A$6,0),3)</x:f>
        <x:v>1011.4741453913142</x:v>
      </x:c>
      <x:c r="AL94" s="86" t="n">
        <x:f>G94*INDEX('Régions'!$AF$2:$AK$6,MATCH($B94,'Régions'!$A$2:$A$6,0),4)</x:f>
        <x:v>12327.403349130052</x:v>
      </x:c>
      <x:c r="AM94" s="86" t="n">
        <x:f>H94*INDEX('Régions'!$AF$2:$AK$6,MATCH($B94,'Régions'!$A$2:$A$6,0),5)</x:f>
        <x:v>3489.562343545665</x:v>
      </x:c>
      <x:c r="AN94" s="86" t="n">
        <x:f>I94*INDEX('Régions'!$AF$2:$AK$6,MATCH($B94,'Régions'!$A$2:$A$6,0),6)</x:f>
        <x:v>0</x:v>
      </x:c>
      <x:c r="AO94" s="84" t="str">
        <x:f>IF(MAX(Q94:V94)=Q94,"CAQ",IF(MAX(Q94:V94)=R94,"PLQ",IF(MAX(Q94:V94)=S94,"QS",IF(MAX(Q94:V94)=T94,"PQ",IF(MAX(Q94:V94)=U94,"PCQ","Autre")))))</x:f>
        <x:v>PQ</x:v>
      </x:c>
      <x:c r="AP94" s="84" t="str">
        <x:f>IF(MAX(W94:AB94)=W94,"CAQ",IF(MAX(W94:AB94)=X94,"PLQ",IF(MAX(W94:AB94)=Y94,"QS",IF(MAX(W94:AB94)=Z94,"PQ",IF(MAX(W94:AB94)=AA94,"PCQ","Autre")))))</x:f>
        <x:v>CAQ</x:v>
      </x:c>
      <x:c r="AQ94" s="84" t="str">
        <x:f>IF(MAX(AC94:AH94)=AC94,"CAQ",IF(MAX(AC94:AH94)=AD94,"PLQ",IF(MAX(AC94:AH94)=AE94,"QS",IF(MAX(AC94:AH94)=AF94,"PQ",IF(MAX(AC94:AH94)=AG94,"PCQ","Autre")))))</x:f>
        <x:v>PQ</x:v>
      </x:c>
      <x:c r="AR94" s="84" t="str">
        <x:f>IF(MAX(AI94:AN94)=AI94,"CAQ",IF(MAX(AI94:AN94)=AJ94,"PLQ",IF(MAX(AI94:AN94)=AK94,"QS",IF(MAX(AI94:AN94)=AL94,"PQ",IF(MAX(AI94:AN94)=AM94,"PCQ","Autre")))))</x:f>
        <x:v>PQ</x:v>
      </x:c>
      <x:c r="AS94" s="88" t="n">
        <x:f>(MAX(K94:P94)-LARGE(K94:P94,2))*100</x:f>
        <x:v>37.75469857922346</x:v>
      </x:c>
      <x:c r="AT94" s="84" t="str">
        <x:f>IF(AS94&lt;5,"Oui","Non")</x:f>
        <x:v>Non</x:v>
      </x:c>
      <x:c r="AU94" s="89" t="n">
        <x:v>19.24036698730911</x:v>
      </x:c>
      <x:c r="AV94" s="89" t="n">
        <x:v>1.5590658137425273</x:v>
      </x:c>
      <x:c r="AW94" s="89" t="n">
        <x:v>-1.5372476218083229</x:v>
      </x:c>
      <x:c r="AX94" s="90" t="n">
        <x:v>-15.569207517475899</x:v>
      </x:c>
    </x:row>
    <x:row r="95">
      <x:c r="A95" s="83" t="str">
        <x:v>Repentigny</x:v>
      </x:c>
      <x:c r="B95" s="84" t="str">
        <x:v>Banlieue de Montréal</x:v>
      </x:c>
      <x:c r="C95" s="84" t="str">
        <x:f>IF(MAX(D95:I95)=D95,"CAQ",IF(MAX(D95:I95)=E95,"PLQ",IF(MAX(D95:I95)=F95,"QS",IF(MAX(D95:I95)=G95,"PQ",IF(MAX(D95:I95)=H95,"PCQ","Autre")))))</x:f>
        <x:v>CAQ</x:v>
      </x:c>
      <x:c r="D95" s="85" t="n">
        <x:v>43010</x:v>
      </x:c>
      <x:c r="E95" s="85" t="n">
        <x:v>7776</x:v>
      </x:c>
      <x:c r="F95" s="85" t="n">
        <x:v>10427</x:v>
      </x:c>
      <x:c r="G95" s="85" t="n">
        <x:v>14107</x:v>
      </x:c>
      <x:c r="H95" s="85" t="n">
        <x:v>5302</x:v>
      </x:c>
      <x:c r="I95" s="85" t="n">
        <x:v>628</x:v>
      </x:c>
      <x:c r="J95" s="86" t="n">
        <x:f>SUM(D95:I95)</x:f>
        <x:v>81250</x:v>
      </x:c>
      <x:c r="K95" s="87" t="n">
        <x:f>IFERROR(D95/J95,0)</x:f>
        <x:v>0.5293538461538462</x:v>
      </x:c>
      <x:c r="L95" s="87" t="n">
        <x:f>IFERROR(E95/J95,0)</x:f>
        <x:v>0.09570461538461539</x:v>
      </x:c>
      <x:c r="M95" s="87" t="n">
        <x:f>IFERROR(F95/J95,0)</x:f>
        <x:v>0.1283323076923077</x:v>
      </x:c>
      <x:c r="N95" s="87" t="n">
        <x:f>IFERROR(G95/J95,0)</x:f>
        <x:v>0.17362461538461538</x:v>
      </x:c>
      <x:c r="O95" s="87" t="n">
        <x:f>IFERROR(H95/J95,0)</x:f>
        <x:v>0.06525538461538462</x:v>
      </x:c>
      <x:c r="P95" s="87" t="n">
        <x:f>IFERROR(I95/J95,0)</x:f>
        <x:v>0.0077292307692307695</x:v>
      </x:c>
      <x:c r="Q95" s="86" t="n">
        <x:f>D95*INDEX('Régions'!$T$2:$Y$6,MATCH($B95,'Régions'!$A$2:$A$6,0),1)</x:f>
        <x:v>30407.609232410356</x:v>
      </x:c>
      <x:c r="R95" s="86" t="n">
        <x:f>E95*INDEX('Régions'!$T$2:$Y$6,MATCH($B95,'Régions'!$A$2:$A$6,0),2)</x:f>
        <x:v>9947.522569474744</x:v>
      </x:c>
      <x:c r="S95" s="86" t="n">
        <x:f>F95*INDEX('Régions'!$T$2:$Y$6,MATCH($B95,'Régions'!$A$2:$A$6,0),3)</x:f>
        <x:v>5266.716518415291</x:v>
      </x:c>
      <x:c r="T95" s="86" t="n">
        <x:f>G95*INDEX('Régions'!$T$2:$Y$6,MATCH($B95,'Régions'!$A$2:$A$6,0),4)</x:f>
        <x:v>26303.916536233097</x:v>
      </x:c>
      <x:c r="U95" s="86" t="n">
        <x:f>H95*INDEX('Régions'!$T$2:$Y$6,MATCH($B95,'Régions'!$A$2:$A$6,0),5)</x:f>
        <x:v>6205.118342459672</x:v>
      </x:c>
      <x:c r="V95" s="86" t="n">
        <x:f>I95*INDEX('Régions'!$T$2:$Y$6,MATCH($B95,'Régions'!$A$2:$A$6,0),6)</x:f>
        <x:v>1348.3441332839689</x:v>
      </x:c>
      <x:c r="W95" s="86" t="n">
        <x:f>MAX(0,Q95+(AU95/100)*J95*'Régions'!$O$2)</x:f>
        <x:v>30216.986553309067</x:v>
      </x:c>
      <x:c r="X95" s="86" t="n">
        <x:f>MAX(0,R95+(AV95/100)*J95*'Régions'!$O$2)</x:f>
        <x:v>11115.135661336342</x:v>
      </x:c>
      <x:c r="Y95" s="86" t="n">
        <x:f>MAX(0,S95+(AW95/100)*J95*'Régions'!$O$2)</x:f>
        <x:v>4644.505687312486</x:v>
      </x:c>
      <x:c r="Z95" s="86" t="n">
        <x:f>MAX(0,T95+(AX95/100)*J95*'Régions'!$O$2)</x:f>
        <x:v>26872.725501069202</x:v>
      </x:c>
      <x:c r="AA95" s="86" t="n">
        <x:f>U95</x:f>
        <x:v>6205.118342459672</x:v>
      </x:c>
      <x:c r="AB95" s="86" t="n">
        <x:f>V95</x:f>
        <x:v>1348.3441332839689</x:v>
      </x:c>
      <x:c r="AC95" s="86" t="n">
        <x:f>D95*INDEX('Régions'!$Z$2:$AE$6,MATCH($B95,'Régions'!$A$2:$A$6,0),1)</x:f>
        <x:v>33543.393934502674</x:v>
      </x:c>
      <x:c r="AD95" s="86" t="n">
        <x:f>E95*INDEX('Régions'!$Z$2:$AE$6,MATCH($B95,'Régions'!$A$2:$A$6,0),2)</x:f>
        <x:v>11771.235040545112</x:v>
      </x:c>
      <x:c r="AE95" s="86" t="n">
        <x:f>F95*INDEX('Régions'!$Z$2:$AE$6,MATCH($B95,'Régions'!$A$2:$A$6,0),3)</x:f>
        <x:v>7749.597162811071</x:v>
      </x:c>
      <x:c r="AF95" s="86" t="n">
        <x:f>G95*INDEX('Régions'!$Z$2:$AE$6,MATCH($B95,'Régions'!$A$2:$A$6,0),4)</x:f>
        <x:v>29197.34735521873</x:v>
      </x:c>
      <x:c r="AG95" s="86" t="n">
        <x:f>H95*INDEX('Régions'!$Z$2:$AE$6,MATCH($B95,'Régions'!$A$2:$A$6,0),5)</x:f>
        <x:v>7911.525886636082</x:v>
      </x:c>
      <x:c r="AH95" s="86" t="n">
        <x:f>I95*INDEX('Régions'!$Z$2:$AE$6,MATCH($B95,'Régions'!$A$2:$A$6,0),6)</x:f>
        <x:v>5797.879773121066</x:v>
      </x:c>
      <x:c r="AI95" s="86" t="n">
        <x:f>D95*INDEX('Régions'!$AF$2:$AK$6,MATCH($B95,'Régions'!$A$2:$A$6,0),1)</x:f>
        <x:v>27271.824530318037</x:v>
      </x:c>
      <x:c r="AJ95" s="86" t="n">
        <x:f>E95*INDEX('Régions'!$AF$2:$AK$6,MATCH($B95,'Régions'!$A$2:$A$6,0),2)</x:f>
        <x:v>8123.810098404373</x:v>
      </x:c>
      <x:c r="AK95" s="86" t="n">
        <x:f>F95*INDEX('Régions'!$AF$2:$AK$6,MATCH($B95,'Régions'!$A$2:$A$6,0),3)</x:f>
        <x:v>2783.835874019511</x:v>
      </x:c>
      <x:c r="AL95" s="86" t="n">
        <x:f>G95*INDEX('Régions'!$AF$2:$AK$6,MATCH($B95,'Régions'!$A$2:$A$6,0),4)</x:f>
        <x:v>23410.485717247455</x:v>
      </x:c>
      <x:c r="AM95" s="86" t="n">
        <x:f>H95*INDEX('Régions'!$AF$2:$AK$6,MATCH($B95,'Régions'!$A$2:$A$6,0),5)</x:f>
        <x:v>4498.710798283261</x:v>
      </x:c>
      <x:c r="AN95" s="86" t="n">
        <x:f>I95*INDEX('Régions'!$AF$2:$AK$6,MATCH($B95,'Régions'!$A$2:$A$6,0),6)</x:f>
        <x:v>0</x:v>
      </x:c>
      <x:c r="AO95" s="84" t="str">
        <x:f>IF(MAX(Q95:V95)=Q95,"CAQ",IF(MAX(Q95:V95)=R95,"PLQ",IF(MAX(Q95:V95)=S95,"QS",IF(MAX(Q95:V95)=T95,"PQ",IF(MAX(Q95:V95)=U95,"PCQ","Autre")))))</x:f>
        <x:v>CAQ</x:v>
      </x:c>
      <x:c r="AP95" s="84" t="str">
        <x:f>IF(MAX(W95:AB95)=W95,"CAQ",IF(MAX(W95:AB95)=X95,"PLQ",IF(MAX(W95:AB95)=Y95,"QS",IF(MAX(W95:AB95)=Z95,"PQ",IF(MAX(W95:AB95)=AA95,"PCQ","Autre")))))</x:f>
        <x:v>CAQ</x:v>
      </x:c>
      <x:c r="AQ95" s="84" t="str">
        <x:f>IF(MAX(AC95:AH95)=AC95,"CAQ",IF(MAX(AC95:AH95)=AD95,"PLQ",IF(MAX(AC95:AH95)=AE95,"QS",IF(MAX(AC95:AH95)=AF95,"PQ",IF(MAX(AC95:AH95)=AG95,"PCQ","Autre")))))</x:f>
        <x:v>CAQ</x:v>
      </x:c>
      <x:c r="AR95" s="84" t="str">
        <x:f>IF(MAX(AI95:AN95)=AI95,"CAQ",IF(MAX(AI95:AN95)=AJ95,"PLQ",IF(MAX(AI95:AN95)=AK95,"QS",IF(MAX(AI95:AN95)=AL95,"PQ",IF(MAX(AI95:AN95)=AM95,"PCQ","Autre")))))</x:f>
        <x:v>CAQ</x:v>
      </x:c>
      <x:c r="AS95" s="88" t="n">
        <x:f>(MAX(K95:P95)-LARGE(K95:P95,2))*100</x:f>
        <x:v>35.57292307692308</x:v>
      </x:c>
      <x:c r="AT95" s="84" t="str">
        <x:f>IF(AS95&lt;5,"Oui","Non")</x:f>
        <x:v>Non</x:v>
      </x:c>
      <x:c r="AU95" s="89" t="n">
        <x:v>-0.46922505624932276</x:v>
      </x:c>
      <x:c r="AV95" s="89" t="n">
        <x:v>2.874124533813163</x:v>
      </x:c>
      <x:c r="AW95" s="89" t="n">
        <x:v>-1.5315958919453672</x:v>
      </x:c>
      <x:c r="AX95" s="90" t="n">
        <x:v>1.400145144211948</x:v>
      </x:c>
    </x:row>
    <x:row r="96">
      <x:c r="A96" s="83" t="str">
        <x:v>Richelieu</x:v>
      </x:c>
      <x:c r="B96" s="84" t="str">
        <x:v>Banlieue de Montréal</x:v>
      </x:c>
      <x:c r="C96" s="84" t="str">
        <x:f>IF(MAX(D96:I96)=D96,"CAQ",IF(MAX(D96:I96)=E96,"PLQ",IF(MAX(D96:I96)=F96,"QS",IF(MAX(D96:I96)=G96,"PQ",IF(MAX(D96:I96)=H96,"PCQ","Autre")))))</x:f>
        <x:v>CAQ</x:v>
      </x:c>
      <x:c r="D96" s="85" t="n">
        <x:v>40515</x:v>
      </x:c>
      <x:c r="E96" s="85" t="n">
        <x:v>3147</x:v>
      </x:c>
      <x:c r="F96" s="85" t="n">
        <x:v>7850</x:v>
      </x:c>
      <x:c r="G96" s="85" t="n">
        <x:v>14993</x:v>
      </x:c>
      <x:c r="H96" s="85" t="n">
        <x:v>6286</x:v>
      </x:c>
      <x:c r="I96" s="85" t="n">
        <x:v>561</x:v>
      </x:c>
      <x:c r="J96" s="86" t="n">
        <x:f>SUM(D96:I96)</x:f>
        <x:v>73352</x:v>
      </x:c>
      <x:c r="K96" s="87" t="n">
        <x:f>IFERROR(D96/J96,0)</x:f>
        <x:v>0.5523366779365253</x:v>
      </x:c>
      <x:c r="L96" s="87" t="n">
        <x:f>IFERROR(E96/J96,0)</x:f>
        <x:v>0.0429027156723743</x:v>
      </x:c>
      <x:c r="M96" s="87" t="n">
        <x:f>IFERROR(F96/J96,0)</x:f>
        <x:v>0.10701821354564292</x:v>
      </x:c>
      <x:c r="N96" s="87" t="n">
        <x:f>IFERROR(G96/J96,0)</x:f>
        <x:v>0.20439797142545535</x:v>
      </x:c>
      <x:c r="O96" s="87" t="n">
        <x:f>IFERROR(H96/J96,0)</x:f>
        <x:v>0.08569636819718617</x:v>
      </x:c>
      <x:c r="P96" s="87" t="n">
        <x:f>IFERROR(I96/J96,0)</x:f>
        <x:v>0.007648053222816011</x:v>
      </x:c>
      <x:c r="Q96" s="86" t="n">
        <x:f>D96*INDEX('Régions'!$T$2:$Y$6,MATCH($B96,'Régions'!$A$2:$A$6,0),1)</x:f>
        <x:v>28643.67096143003</x:v>
      </x:c>
      <x:c r="R96" s="86" t="n">
        <x:f>E96*INDEX('Régions'!$T$2:$Y$6,MATCH($B96,'Régions'!$A$2:$A$6,0),2)</x:f>
        <x:v>4025.8299287727646</x:v>
      </x:c>
      <x:c r="S96" s="86" t="n">
        <x:f>F96*INDEX('Régions'!$T$2:$Y$6,MATCH($B96,'Régions'!$A$2:$A$6,0),3)</x:f>
        <x:v>3965.0642245669924</x:v>
      </x:c>
      <x:c r="T96" s="86" t="n">
        <x:f>G96*INDEX('Régions'!$T$2:$Y$6,MATCH($B96,'Régions'!$A$2:$A$6,0),4)</x:f>
        <x:v>27955.95240857325</x:v>
      </x:c>
      <x:c r="U96" s="86" t="n">
        <x:f>H96*INDEX('Régions'!$T$2:$Y$6,MATCH($B96,'Régions'!$A$2:$A$6,0),5)</x:f>
        <x:v>7356.728385647208</x:v>
      </x:c>
      <x:c r="V96" s="86" t="n">
        <x:f>I96*INDEX('Régions'!$T$2:$Y$6,MATCH($B96,'Régions'!$A$2:$A$6,0),6)</x:f>
        <x:v>1204.4921318030358</x:v>
      </x:c>
      <x:c r="W96" s="86" t="n">
        <x:f>MAX(0,Q96+(AU96/100)*J96*'Régions'!$O$2)</x:f>
        <x:v>30185.325346505837</x:v>
      </x:c>
      <x:c r="X96" s="86" t="n">
        <x:f>MAX(0,R96+(AV96/100)*J96*'Régions'!$O$2)</x:f>
        <x:v>3955.958347902255</x:v>
      </x:c>
      <x:c r="Y96" s="86" t="n">
        <x:f>MAX(0,S96+(AW96/100)*J96*'Régions'!$O$2)</x:f>
        <x:v>3167.6471570211797</x:v>
      </x:c>
      <x:c r="Z96" s="86" t="n">
        <x:f>MAX(0,T96+(AX96/100)*J96*'Régions'!$O$2)</x:f>
        <x:v>27541.454649797728</x:v>
      </x:c>
      <x:c r="AA96" s="86" t="n">
        <x:f>U96</x:f>
        <x:v>7356.728385647208</x:v>
      </x:c>
      <x:c r="AB96" s="86" t="n">
        <x:f>V96</x:f>
        <x:v>1204.4921318030358</x:v>
      </x:c>
      <x:c r="AC96" s="86" t="n">
        <x:f>D96*INDEX('Régions'!$Z$2:$AE$6,MATCH($B96,'Régions'!$A$2:$A$6,0),1)</x:f>
        <x:v>31597.5495293275</x:v>
      </x:c>
      <x:c r="AD96" s="86" t="n">
        <x:f>E96*INDEX('Régions'!$Z$2:$AE$6,MATCH($B96,'Régions'!$A$2:$A$6,0),2)</x:f>
        <x:v>4763.898749047771</x:v>
      </x:c>
      <x:c r="AE96" s="86" t="n">
        <x:f>F96*INDEX('Régions'!$Z$2:$AE$6,MATCH($B96,'Régions'!$A$2:$A$6,0),3)</x:f>
        <x:v>5834.308787577146</x:v>
      </x:c>
      <x:c r="AF96" s="86" t="n">
        <x:f>G96*INDEX('Régions'!$Z$2:$AE$6,MATCH($B96,'Régions'!$A$2:$A$6,0),4)</x:f>
        <x:v>31031.1071735163</x:v>
      </x:c>
      <x:c r="AG96" s="86" t="n">
        <x:f>H96*INDEX('Régions'!$Z$2:$AE$6,MATCH($B96,'Régions'!$A$2:$A$6,0),5)</x:f>
        <x:v>9379.82869170019</x:v>
      </x:c>
      <x:c r="AH96" s="86" t="n">
        <x:f>I96*INDEX('Régions'!$Z$2:$AE$6,MATCH($B96,'Régions'!$A$2:$A$6,0),6)</x:f>
        <x:v>5179.316166753054</x:v>
      </x:c>
      <x:c r="AI96" s="86" t="n">
        <x:f>D96*INDEX('Régions'!$AF$2:$AK$6,MATCH($B96,'Régions'!$A$2:$A$6,0),1)</x:f>
        <x:v>25689.792393532556</x:v>
      </x:c>
      <x:c r="AJ96" s="86" t="n">
        <x:f>E96*INDEX('Régions'!$AF$2:$AK$6,MATCH($B96,'Régions'!$A$2:$A$6,0),2)</x:f>
        <x:v>3287.7611084977575</x:v>
      </x:c>
      <x:c r="AK96" s="86" t="n">
        <x:f>F96*INDEX('Régions'!$AF$2:$AK$6,MATCH($B96,'Régions'!$A$2:$A$6,0),3)</x:f>
        <x:v>2095.819661556839</x:v>
      </x:c>
      <x:c r="AL96" s="86" t="n">
        <x:f>G96*INDEX('Régions'!$AF$2:$AK$6,MATCH($B96,'Régions'!$A$2:$A$6,0),4)</x:f>
        <x:v>24880.79764363019</x:v>
      </x:c>
      <x:c r="AM96" s="86" t="n">
        <x:f>H96*INDEX('Régions'!$AF$2:$AK$6,MATCH($B96,'Régions'!$A$2:$A$6,0),5)</x:f>
        <x:v>5333.628079594225</x:v>
      </x:c>
      <x:c r="AN96" s="86" t="n">
        <x:f>I96*INDEX('Régions'!$AF$2:$AK$6,MATCH($B96,'Régions'!$A$2:$A$6,0),6)</x:f>
        <x:v>0</x:v>
      </x:c>
      <x:c r="AO96" s="84" t="str">
        <x:f>IF(MAX(Q96:V96)=Q96,"CAQ",IF(MAX(Q96:V96)=R96,"PLQ",IF(MAX(Q96:V96)=S96,"QS",IF(MAX(Q96:V96)=T96,"PQ",IF(MAX(Q96:V96)=U96,"PCQ","Autre")))))</x:f>
        <x:v>CAQ</x:v>
      </x:c>
      <x:c r="AP96" s="84" t="str">
        <x:f>IF(MAX(W96:AB96)=W96,"CAQ",IF(MAX(W96:AB96)=X96,"PLQ",IF(MAX(W96:AB96)=Y96,"QS",IF(MAX(W96:AB96)=Z96,"PQ",IF(MAX(W96:AB96)=AA96,"PCQ","Autre")))))</x:f>
        <x:v>CAQ</x:v>
      </x:c>
      <x:c r="AQ96" s="84" t="str">
        <x:f>IF(MAX(AC96:AH96)=AC96,"CAQ",IF(MAX(AC96:AH96)=AD96,"PLQ",IF(MAX(AC96:AH96)=AE96,"QS",IF(MAX(AC96:AH96)=AF96,"PQ",IF(MAX(AC96:AH96)=AG96,"PCQ","Autre")))))</x:f>
        <x:v>CAQ</x:v>
      </x:c>
      <x:c r="AR96" s="84" t="str">
        <x:f>IF(MAX(AI96:AN96)=AI96,"CAQ",IF(MAX(AI96:AN96)=AJ96,"PLQ",IF(MAX(AI96:AN96)=AK96,"QS",IF(MAX(AI96:AN96)=AL96,"PQ",IF(MAX(AI96:AN96)=AM96,"PCQ","Autre")))))</x:f>
        <x:v>CAQ</x:v>
      </x:c>
      <x:c r="AS96" s="88" t="n">
        <x:f>(MAX(K96:P96)-LARGE(K96:P96,2))*100</x:f>
        <x:v>34.79387065110699</x:v>
      </x:c>
      <x:c r="AT96" s="84" t="str">
        <x:f>IF(AS96&lt;5,"Oui","Non")</x:f>
        <x:v>Non</x:v>
      </x:c>
      <x:c r="AU96" s="89" t="n">
        <x:v>4.203441992245082</x:v>
      </x:c>
      <x:c r="AV96" s="89" t="n">
        <x:v>-0.19051036337253135</x:v>
      </x:c>
      <x:c r="AW96" s="89" t="n">
        <x:v>-2.1742203826639024</x:v>
      </x:c>
      <x:c r="AX96" s="90" t="n">
        <x:v>-1.1301607557408637</x:v>
      </x:c>
    </x:row>
    <x:row r="97">
      <x:c r="A97" s="83" t="str">
        <x:v>Richmond</x:v>
      </x:c>
      <x:c r="B97" s="84" t="str">
        <x:v>Reste du Québec</x:v>
      </x:c>
      <x:c r="C97" s="84" t="str">
        <x:f>IF(MAX(D97:I97)=D97,"CAQ",IF(MAX(D97:I97)=E97,"PLQ",IF(MAX(D97:I97)=F97,"QS",IF(MAX(D97:I97)=G97,"PQ",IF(MAX(D97:I97)=H97,"PCQ","Autre")))))</x:f>
        <x:v>CAQ</x:v>
      </x:c>
      <x:c r="D97" s="85" t="n">
        <x:v>38666</x:v>
      </x:c>
      <x:c r="E97" s="85" t="n">
        <x:v>4754</x:v>
      </x:c>
      <x:c r="F97" s="85" t="n">
        <x:v>17012</x:v>
      </x:c>
      <x:c r="G97" s="85" t="n">
        <x:v>10364</x:v>
      </x:c>
      <x:c r="H97" s="85" t="n">
        <x:v>12295</x:v>
      </x:c>
      <x:c r="I97" s="85" t="n">
        <x:v>405</x:v>
      </x:c>
      <x:c r="J97" s="86" t="n">
        <x:f>SUM(D97:I97)</x:f>
        <x:v>83496</x:v>
      </x:c>
      <x:c r="K97" s="87" t="n">
        <x:f>IFERROR(D97/J97,0)</x:f>
        <x:v>0.46308805212225734</x:v>
      </x:c>
      <x:c r="L97" s="87" t="n">
        <x:f>IFERROR(E97/J97,0)</x:f>
        <x:v>0.05693685925074255</x:v>
      </x:c>
      <x:c r="M97" s="87" t="n">
        <x:f>IFERROR(F97/J97,0)</x:f>
        <x:v>0.2037462872472933</x:v>
      </x:c>
      <x:c r="N97" s="87" t="n">
        <x:f>IFERROR(G97/J97,0)</x:f>
        <x:v>0.12412570662067644</x:v>
      </x:c>
      <x:c r="O97" s="87" t="n">
        <x:f>IFERROR(H97/J97,0)</x:f>
        <x:v>0.1472525629970298</x:v>
      </x:c>
      <x:c r="P97" s="87" t="n">
        <x:f>IFERROR(I97/J97,0)</x:f>
        <x:v>0.0048505317620005746</x:v>
      </x:c>
      <x:c r="Q97" s="86" t="n">
        <x:f>D97*INDEX('Régions'!$T$2:$Y$6,MATCH($B97,'Régions'!$A$2:$A$6,0),1)</x:f>
        <x:v>22824.10910523709</x:v>
      </x:c>
      <x:c r="R97" s="86" t="n">
        <x:f>E97*INDEX('Régions'!$T$2:$Y$6,MATCH($B97,'Régions'!$A$2:$A$6,0),2)</x:f>
        <x:v>10878.351655705255</x:v>
      </x:c>
      <x:c r="S97" s="86" t="n">
        <x:f>F97*INDEX('Régions'!$T$2:$Y$6,MATCH($B97,'Régions'!$A$2:$A$6,0),3)</x:f>
        <x:v>10215.852087301302</x:v>
      </x:c>
      <x:c r="T97" s="86" t="n">
        <x:f>G97*INDEX('Régions'!$T$2:$Y$6,MATCH($B97,'Régions'!$A$2:$A$6,0),4)</x:f>
        <x:v>17953.46749786129</x:v>
      </x:c>
      <x:c r="U97" s="86" t="n">
        <x:f>H97*INDEX('Régions'!$T$2:$Y$6,MATCH($B97,'Régions'!$A$2:$A$6,0),5)</x:f>
        <x:v>13860.648235161487</x:v>
      </x:c>
      <x:c r="V97" s="86" t="n">
        <x:f>I97*INDEX('Régions'!$T$2:$Y$6,MATCH($B97,'Régions'!$A$2:$A$6,0),6)</x:f>
        <x:v>940.2319446659225</x:v>
      </x:c>
      <x:c r="W97" s="86" t="n">
        <x:f>MAX(0,Q97+(AU97/100)*J97*'Régions'!$O$2)</x:f>
        <x:v>23175.834326928667</x:v>
      </x:c>
      <x:c r="X97" s="86" t="n">
        <x:f>MAX(0,R97+(AV97/100)*J97*'Régions'!$O$2)</x:f>
        <x:v>10169.046417155832</x:v>
      </x:c>
      <x:c r="Y97" s="86" t="n">
        <x:f>MAX(0,S97+(AW97/100)*J97*'Régions'!$O$2)</x:f>
        <x:v>11195.980232476415</x:v>
      </x:c>
      <x:c r="Z97" s="86" t="n">
        <x:f>MAX(0,T97+(AX97/100)*J97*'Régions'!$O$2)</x:f>
        <x:v>17073.727813782127</x:v>
      </x:c>
      <x:c r="AA97" s="86" t="n">
        <x:f>U97</x:f>
        <x:v>13860.648235161487</x:v>
      </x:c>
      <x:c r="AB97" s="86" t="n">
        <x:f>V97</x:f>
        <x:v>940.2319446659225</x:v>
      </x:c>
      <x:c r="AC97" s="86" t="n">
        <x:f>D97*INDEX('Régions'!$Z$2:$AE$6,MATCH($B97,'Régions'!$A$2:$A$6,0),1)</x:f>
        <x:v>25514.09339264004</x:v>
      </x:c>
      <x:c r="AD97" s="86" t="n">
        <x:f>E97*INDEX('Régions'!$Z$2:$AE$6,MATCH($B97,'Régions'!$A$2:$A$6,0),2)</x:f>
        <x:v>13122.011684694464</x:v>
      </x:c>
      <x:c r="AE97" s="86" t="n">
        <x:f>F97*INDEX('Régions'!$Z$2:$AE$6,MATCH($B97,'Régions'!$A$2:$A$6,0),3)</x:f>
        <x:v>14429.891073313089</x:v>
      </x:c>
      <x:c r="AF97" s="86" t="n">
        <x:f>G97*INDEX('Régions'!$Z$2:$AE$6,MATCH($B97,'Régions'!$A$2:$A$6,0),4)</x:f>
        <x:v>19996.448282100675</x:v>
      </x:c>
      <x:c r="AG97" s="86" t="n">
        <x:f>H97*INDEX('Régions'!$Z$2:$AE$6,MATCH($B97,'Régions'!$A$2:$A$6,0),5)</x:f>
        <x:v>16551.24465728107</x:v>
      </x:c>
      <x:c r="AH97" s="86" t="n">
        <x:f>I97*INDEX('Régions'!$Z$2:$AE$6,MATCH($B97,'Régions'!$A$2:$A$6,0),6)</x:f>
        <x:v>4042.997362063467</x:v>
      </x:c>
      <x:c r="AI97" s="86" t="n">
        <x:f>D97*INDEX('Régions'!$AF$2:$AK$6,MATCH($B97,'Régions'!$A$2:$A$6,0),1)</x:f>
        <x:v>20134.12481783415</x:v>
      </x:c>
      <x:c r="AJ97" s="86" t="n">
        <x:f>E97*INDEX('Régions'!$AF$2:$AK$6,MATCH($B97,'Régions'!$A$2:$A$6,0),2)</x:f>
        <x:v>8634.691626716045</x:v>
      </x:c>
      <x:c r="AK97" s="86" t="n">
        <x:f>F97*INDEX('Régions'!$AF$2:$AK$6,MATCH($B97,'Régions'!$A$2:$A$6,0),3)</x:f>
        <x:v>6001.813101289515</x:v>
      </x:c>
      <x:c r="AL97" s="86" t="n">
        <x:f>G97*INDEX('Régions'!$AF$2:$AK$6,MATCH($B97,'Régions'!$A$2:$A$6,0),4)</x:f>
        <x:v>15910.486713621902</x:v>
      </x:c>
      <x:c r="AM97" s="86" t="n">
        <x:f>H97*INDEX('Régions'!$AF$2:$AK$6,MATCH($B97,'Régions'!$A$2:$A$6,0),5)</x:f>
        <x:v>11170.051813041904</x:v>
      </x:c>
      <x:c r="AN97" s="86" t="n">
        <x:f>I97*INDEX('Régions'!$AF$2:$AK$6,MATCH($B97,'Régions'!$A$2:$A$6,0),6)</x:f>
        <x:v>0</x:v>
      </x:c>
      <x:c r="AO97" s="84" t="str">
        <x:f>IF(MAX(Q97:V97)=Q97,"CAQ",IF(MAX(Q97:V97)=R97,"PLQ",IF(MAX(Q97:V97)=S97,"QS",IF(MAX(Q97:V97)=T97,"PQ",IF(MAX(Q97:V97)=U97,"PCQ","Autre")))))</x:f>
        <x:v>CAQ</x:v>
      </x:c>
      <x:c r="AP97" s="84" t="str">
        <x:f>IF(MAX(W97:AB97)=W97,"CAQ",IF(MAX(W97:AB97)=X97,"PLQ",IF(MAX(W97:AB97)=Y97,"QS",IF(MAX(W97:AB97)=Z97,"PQ",IF(MAX(W97:AB97)=AA97,"PCQ","Autre")))))</x:f>
        <x:v>CAQ</x:v>
      </x:c>
      <x:c r="AQ97" s="84" t="str">
        <x:f>IF(MAX(AC97:AH97)=AC97,"CAQ",IF(MAX(AC97:AH97)=AD97,"PLQ",IF(MAX(AC97:AH97)=AE97,"QS",IF(MAX(AC97:AH97)=AF97,"PQ",IF(MAX(AC97:AH97)=AG97,"PCQ","Autre")))))</x:f>
        <x:v>CAQ</x:v>
      </x:c>
      <x:c r="AR97" s="84" t="str">
        <x:f>IF(MAX(AI97:AN97)=AI97,"CAQ",IF(MAX(AI97:AN97)=AJ97,"PLQ",IF(MAX(AI97:AN97)=AK97,"QS",IF(MAX(AI97:AN97)=AL97,"PQ",IF(MAX(AI97:AN97)=AM97,"PCQ","Autre")))))</x:f>
        <x:v>CAQ</x:v>
      </x:c>
      <x:c r="AS97" s="88" t="n">
        <x:f>(MAX(K97:P97)-LARGE(K97:P97,2))*100</x:f>
        <x:v>25.93417648749641</x:v>
      </x:c>
      <x:c r="AT97" s="84" t="str">
        <x:f>IF(AS97&lt;5,"Oui","Non")</x:f>
        <x:v>Non</x:v>
      </x:c>
      <x:c r="AU97" s="89" t="n">
        <x:v>0.8424959799070098</x:v>
      </x:c>
      <x:c r="AV97" s="89" t="n">
        <x:v>-1.6990160931048743</x:v>
      </x:c>
      <x:c r="AW97" s="89" t="n">
        <x:v>2.3477247896309117</x:v>
      </x:c>
      <x:c r="AX97" s="90" t="n">
        <x:v>-2.107261866626335</x:v>
      </x:c>
    </x:row>
    <x:row r="98">
      <x:c r="A98" s="83" t="str">
        <x:v>Rimouski</x:v>
      </x:c>
      <x:c r="B98" s="84" t="str">
        <x:v>Reste du Québec</x:v>
      </x:c>
      <x:c r="C98" s="84" t="str">
        <x:f>IF(MAX(D98:I98)=D98,"CAQ",IF(MAX(D98:I98)=E98,"PLQ",IF(MAX(D98:I98)=F98,"QS",IF(MAX(D98:I98)=G98,"PQ",IF(MAX(D98:I98)=H98,"PCQ","Autre")))))</x:f>
        <x:v>CAQ</x:v>
      </x:c>
      <x:c r="D98" s="85" t="n">
        <x:v>27479</x:v>
      </x:c>
      <x:c r="E98" s="85" t="n">
        <x:v>1981</x:v>
      </x:c>
      <x:c r="F98" s="85" t="n">
        <x:v>14062</x:v>
      </x:c>
      <x:c r="G98" s="85" t="n">
        <x:v>18850</x:v>
      </x:c>
      <x:c r="H98" s="85" t="n">
        <x:v>3127</x:v>
      </x:c>
      <x:c r="I98" s="85" t="n">
        <x:v>317</x:v>
      </x:c>
      <x:c r="J98" s="86" t="n">
        <x:f>SUM(D98:I98)</x:f>
        <x:v>65816</x:v>
      </x:c>
      <x:c r="K98" s="87" t="n">
        <x:f>IFERROR(D98/J98,0)</x:f>
        <x:v>0.41751245897654066</x:v>
      </x:c>
      <x:c r="L98" s="87" t="n">
        <x:f>IFERROR(E98/J98,0)</x:f>
        <x:v>0.030099064057372067</x:v>
      </x:c>
      <x:c r="M98" s="87" t="n">
        <x:f>IFERROR(F98/J98,0)</x:f>
        <x:v>0.21365625379846845</x:v>
      </x:c>
      <x:c r="N98" s="87" t="n">
        <x:f>IFERROR(G98/J98,0)</x:f>
        <x:v>0.2864045216968518</x:v>
      </x:c>
      <x:c r="O98" s="87" t="n">
        <x:f>IFERROR(H98/J98,0)</x:f>
        <x:v>0.047511243466634254</x:v>
      </x:c>
      <x:c r="P98" s="87" t="n">
        <x:f>IFERROR(I98/J98,0)</x:f>
        <x:v>0.004816458004132734</x:v>
      </x:c>
      <x:c r="Q98" s="86" t="n">
        <x:f>D98*INDEX('Régions'!$T$2:$Y$6,MATCH($B98,'Régions'!$A$2:$A$6,0),1)</x:f>
        <x:v>16220.547615548803</x:v>
      </x:c>
      <x:c r="R98" s="86" t="n">
        <x:f>E98*INDEX('Régions'!$T$2:$Y$6,MATCH($B98,'Régions'!$A$2:$A$6,0),2)</x:f>
        <x:v>4533.027898601622</x:v>
      </x:c>
      <x:c r="S98" s="86" t="n">
        <x:f>F98*INDEX('Régions'!$T$2:$Y$6,MATCH($B98,'Régions'!$A$2:$A$6,0),3)</x:f>
        <x:v>8444.35175473965</x:v>
      </x:c>
      <x:c r="T98" s="86" t="n">
        <x:f>G98*INDEX('Régions'!$T$2:$Y$6,MATCH($B98,'Régions'!$A$2:$A$6,0),4)</x:f>
        <x:v>32653.691850124014</x:v>
      </x:c>
      <x:c r="U98" s="86" t="n">
        <x:f>H98*INDEX('Régions'!$T$2:$Y$6,MATCH($B98,'Régions'!$A$2:$A$6,0),5)</x:f>
        <x:v>3525.1929265026406</x:v>
      </x:c>
      <x:c r="V98" s="86" t="n">
        <x:f>I98*INDEX('Régions'!$T$2:$Y$6,MATCH($B98,'Régions'!$A$2:$A$6,0),6)</x:f>
        <x:v>735.9346332323394</x:v>
      </x:c>
      <x:c r="W98" s="86" t="n">
        <x:f>MAX(0,Q98+(AU98/100)*J98*'Régions'!$O$2)</x:f>
        <x:v>19801.32221108118</x:v>
      </x:c>
      <x:c r="X98" s="86" t="n">
        <x:f>MAX(0,R98+(AV98/100)*J98*'Régions'!$O$2)</x:f>
        <x:v>5663.686405082676</x:v>
      </x:c>
      <x:c r="Y98" s="86" t="n">
        <x:f>MAX(0,S98+(AW98/100)*J98*'Régions'!$O$2)</x:f>
        <x:v>10107.417539380602</x:v>
      </x:c>
      <x:c r="Z98" s="86" t="n">
        <x:f>MAX(0,T98+(AX98/100)*J98*'Régions'!$O$2)</x:f>
        <x:v>29200.679768873673</x:v>
      </x:c>
      <x:c r="AA98" s="86" t="n">
        <x:f>U98</x:f>
        <x:v>3525.1929265026406</x:v>
      </x:c>
      <x:c r="AB98" s="86" t="n">
        <x:f>V98</x:f>
        <x:v>735.9346332323394</x:v>
      </x:c>
      <x:c r="AC98" s="86" t="n">
        <x:f>D98*INDEX('Régions'!$Z$2:$AE$6,MATCH($B98,'Régions'!$A$2:$A$6,0),1)</x:f>
        <x:v>18132.25501309563</x:v>
      </x:c>
      <x:c r="AD98" s="86" t="n">
        <x:f>E98*INDEX('Régions'!$Z$2:$AE$6,MATCH($B98,'Régions'!$A$2:$A$6,0),2)</x:f>
        <x:v>5467.964902688206</x:v>
      </x:c>
      <x:c r="AE98" s="86" t="n">
        <x:f>F98*INDEX('Régions'!$Z$2:$AE$6,MATCH($B98,'Régions'!$A$2:$A$6,0),3)</x:f>
        <x:v>11927.646853569753</x:v>
      </x:c>
      <x:c r="AF98" s="86" t="n">
        <x:f>G98*INDEX('Régions'!$Z$2:$AE$6,MATCH($B98,'Régions'!$A$2:$A$6,0),4)</x:f>
        <x:v>36369.4567847933</x:v>
      </x:c>
      <x:c r="AG98" s="86" t="n">
        <x:f>H98*INDEX('Régions'!$Z$2:$AE$6,MATCH($B98,'Régions'!$A$2:$A$6,0),5)</x:f>
        <x:v>4209.4950828237415</x:v>
      </x:c>
      <x:c r="AH98" s="86" t="n">
        <x:f>I98*INDEX('Régions'!$Z$2:$AE$6,MATCH($B98,'Régions'!$A$2:$A$6,0),6)</x:f>
        <x:v>3164.5189228990594</x:v>
      </x:c>
      <x:c r="AI98" s="86" t="n">
        <x:f>D98*INDEX('Régions'!$AF$2:$AK$6,MATCH($B98,'Régions'!$A$2:$A$6,0),1)</x:f>
        <x:v>14308.84021800198</x:v>
      </x:c>
      <x:c r="AJ98" s="86" t="n">
        <x:f>E98*INDEX('Régions'!$AF$2:$AK$6,MATCH($B98,'Régions'!$A$2:$A$6,0),2)</x:f>
        <x:v>3598.0908945150372</x:v>
      </x:c>
      <x:c r="AK98" s="86" t="n">
        <x:f>F98*INDEX('Régions'!$AF$2:$AK$6,MATCH($B98,'Régions'!$A$2:$A$6,0),3)</x:f>
        <x:v>4961.056655909543</x:v>
      </x:c>
      <x:c r="AL98" s="86" t="n">
        <x:f>G98*INDEX('Régions'!$AF$2:$AK$6,MATCH($B98,'Régions'!$A$2:$A$6,0),4)</x:f>
        <x:v>28937.926915454733</x:v>
      </x:c>
      <x:c r="AM98" s="86" t="n">
        <x:f>H98*INDEX('Régions'!$AF$2:$AK$6,MATCH($B98,'Régions'!$A$2:$A$6,0),5)</x:f>
        <x:v>2840.8907701815397</x:v>
      </x:c>
      <x:c r="AN98" s="86" t="n">
        <x:f>I98*INDEX('Régions'!$AF$2:$AK$6,MATCH($B98,'Régions'!$A$2:$A$6,0),6)</x:f>
        <x:v>0</x:v>
      </x:c>
      <x:c r="AO98" s="84" t="str">
        <x:f>IF(MAX(Q98:V98)=Q98,"CAQ",IF(MAX(Q98:V98)=R98,"PLQ",IF(MAX(Q98:V98)=S98,"QS",IF(MAX(Q98:V98)=T98,"PQ",IF(MAX(Q98:V98)=U98,"PCQ","Autre")))))</x:f>
        <x:v>PQ</x:v>
      </x:c>
      <x:c r="AP98" s="84" t="str">
        <x:f>IF(MAX(W98:AB98)=W98,"CAQ",IF(MAX(W98:AB98)=X98,"PLQ",IF(MAX(W98:AB98)=Y98,"QS",IF(MAX(W98:AB98)=Z98,"PQ",IF(MAX(W98:AB98)=AA98,"PCQ","Autre")))))</x:f>
        <x:v>PQ</x:v>
      </x:c>
      <x:c r="AQ98" s="84" t="str">
        <x:f>IF(MAX(AC98:AH98)=AC98,"CAQ",IF(MAX(AC98:AH98)=AD98,"PLQ",IF(MAX(AC98:AH98)=AE98,"QS",IF(MAX(AC98:AH98)=AF98,"PQ",IF(MAX(AC98:AH98)=AG98,"PCQ","Autre")))))</x:f>
        <x:v>PQ</x:v>
      </x:c>
      <x:c r="AR98" s="84" t="str">
        <x:f>IF(MAX(AI98:AN98)=AI98,"CAQ",IF(MAX(AI98:AN98)=AJ98,"PLQ",IF(MAX(AI98:AN98)=AK98,"QS",IF(MAX(AI98:AN98)=AL98,"PQ",IF(MAX(AI98:AN98)=AM98,"PCQ","Autre")))))</x:f>
        <x:v>PQ</x:v>
      </x:c>
      <x:c r="AS98" s="88" t="n">
        <x:f>(MAX(K98:P98)-LARGE(K98:P98,2))*100</x:f>
        <x:v>13.110793727968883</x:v>
      </x:c>
      <x:c r="AT98" s="84" t="str">
        <x:f>IF(AS98&lt;5,"Oui","Non")</x:f>
        <x:v>Non</x:v>
      </x:c>
      <x:c r="AU98" s="89" t="n">
        <x:v>10.881167483689</x:v>
      </x:c>
      <x:c r="AV98" s="89" t="n">
        <x:v>3.435816538474093</x:v>
      </x:c>
      <x:c r="AW98" s="89" t="n">
        <x:v>5.053682340588769</x:v>
      </x:c>
      <x:c r="AX98" s="90" t="n">
        <x:v>-10.492925979246209</x:v>
      </x:c>
    </x:row>
    <x:row r="99">
      <x:c r="A99" s="83" t="str">
        <x:v>Rivière-du-Loup–Témiscouata–Les Basques</x:v>
      </x:c>
      <x:c r="B99" s="84" t="str">
        <x:v>Reste du Québec</x:v>
      </x:c>
      <x:c r="C99" s="84" t="str">
        <x:f>IF(MAX(D99:I99)=D99,"CAQ",IF(MAX(D99:I99)=E99,"PLQ",IF(MAX(D99:I99)=F99,"QS",IF(MAX(D99:I99)=G99,"PQ",IF(MAX(D99:I99)=H99,"PCQ","Autre")))))</x:f>
        <x:v>CAQ</x:v>
      </x:c>
      <x:c r="D99" s="85" t="n">
        <x:v>36865</x:v>
      </x:c>
      <x:c r="E99" s="85" t="n">
        <x:v>2814</x:v>
      </x:c>
      <x:c r="F99" s="85" t="n">
        <x:v>10344</x:v>
      </x:c>
      <x:c r="G99" s="85" t="n">
        <x:v>12451</x:v>
      </x:c>
      <x:c r="H99" s="85" t="n">
        <x:v>7982</x:v>
      </x:c>
      <x:c r="I99" s="85" t="n">
        <x:v>353</x:v>
      </x:c>
      <x:c r="J99" s="86" t="n">
        <x:f>SUM(D99:I99)</x:f>
        <x:v>70809</x:v>
      </x:c>
      <x:c r="K99" s="87" t="n">
        <x:f>IFERROR(D99/J99,0)</x:f>
        <x:v>0.5206259091358443</x:v>
      </x:c>
      <x:c r="L99" s="87" t="n">
        <x:f>IFERROR(E99/J99,0)</x:f>
        <x:v>0.03974071092657713</x:v>
      </x:c>
      <x:c r="M99" s="87" t="n">
        <x:f>IFERROR(F99/J99,0)</x:f>
        <x:v>0.1460831250264797</x:v>
      </x:c>
      <x:c r="N99" s="87" t="n">
        <x:f>IFERROR(G99/J99,0)</x:f>
        <x:v>0.17583922947647898</x:v>
      </x:c>
      <x:c r="O99" s="87" t="n">
        <x:f>IFERROR(H99/J99,0)</x:f>
        <x:v>0.1127257834456072</x:v>
      </x:c>
      <x:c r="P99" s="87" t="n">
        <x:f>IFERROR(I99/J99,0)</x:f>
        <x:v>0.004985241989012696</x:v>
      </x:c>
      <x:c r="Q99" s="86" t="n">
        <x:f>D99*INDEX('Régions'!$T$2:$Y$6,MATCH($B99,'Régions'!$A$2:$A$6,0),1)</x:f>
        <x:v>21760.99886630542</x:v>
      </x:c>
      <x:c r="R99" s="86" t="n">
        <x:f>E99*INDEX('Régions'!$T$2:$Y$6,MATCH($B99,'Régions'!$A$2:$A$6,0),2)</x:f>
        <x:v>6439.142103313964</x:v>
      </x:c>
      <x:c r="S99" s="86" t="n">
        <x:f>F99*INDEX('Régions'!$T$2:$Y$6,MATCH($B99,'Régions'!$A$2:$A$6,0),3)</x:f>
        <x:v>6211.660827124657</x:v>
      </x:c>
      <x:c r="T99" s="86" t="n">
        <x:f>G99*INDEX('Régions'!$T$2:$Y$6,MATCH($B99,'Régions'!$A$2:$A$6,0),4)</x:f>
        <x:v>21568.759534530192</x:v>
      </x:c>
      <x:c r="U99" s="86" t="n">
        <x:f>H99*INDEX('Régions'!$T$2:$Y$6,MATCH($B99,'Régions'!$A$2:$A$6,0),5)</x:f>
        <x:v>8998.429785527367</x:v>
      </x:c>
      <x:c r="V99" s="86" t="n">
        <x:f>I99*INDEX('Régions'!$T$2:$Y$6,MATCH($B99,'Régions'!$A$2:$A$6,0),6)</x:f>
        <x:v>819.5108060915325</x:v>
      </x:c>
      <x:c r="W99" s="86" t="n">
        <x:f>MAX(0,Q99+(AU99/100)*J99*'Régions'!$O$2)</x:f>
        <x:v>24209.423061173187</x:v>
      </x:c>
      <x:c r="X99" s="86" t="n">
        <x:f>MAX(0,R99+(AV99/100)*J99*'Régions'!$O$2)</x:f>
        <x:v>517.3498164029916</x:v>
      </x:c>
      <x:c r="Y99" s="86" t="n">
        <x:f>MAX(0,S99+(AW99/100)*J99*'Régions'!$O$2)</x:f>
        <x:v>7874.06714368195</x:v>
      </x:c>
      <x:c r="Z99" s="86" t="n">
        <x:f>MAX(0,T99+(AX99/100)*J99*'Régions'!$O$2)</x:f>
        <x:v>24337.50255748581</x:v>
      </x:c>
      <x:c r="AA99" s="86" t="n">
        <x:f>U99</x:f>
        <x:v>8998.429785527367</x:v>
      </x:c>
      <x:c r="AB99" s="86" t="n">
        <x:f>V99</x:f>
        <x:v>819.5108060915325</x:v>
      </x:c>
      <x:c r="AC99" s="86" t="n">
        <x:f>D99*INDEX('Régions'!$Z$2:$AE$6,MATCH($B99,'Régions'!$A$2:$A$6,0),1)</x:f>
        <x:v>24325.688018405704</x:v>
      </x:c>
      <x:c r="AD99" s="86" t="n">
        <x:f>E99*INDEX('Régions'!$Z$2:$AE$6,MATCH($B99,'Régions'!$A$2:$A$6,0),2)</x:f>
        <x:v>7767.21516212247</x:v>
      </x:c>
      <x:c r="AE99" s="86" t="n">
        <x:f>F99*INDEX('Régions'!$Z$2:$AE$6,MATCH($B99,'Régions'!$A$2:$A$6,0),3)</x:f>
        <x:v>8773.970918313578</x:v>
      </x:c>
      <x:c r="AF99" s="86" t="n">
        <x:f>G99*INDEX('Régions'!$Z$2:$AE$6,MATCH($B99,'Régions'!$A$2:$A$6,0),4)</x:f>
        <x:v>24023.13561949397</x:v>
      </x:c>
      <x:c r="AG99" s="86" t="n">
        <x:f>H99*INDEX('Régions'!$Z$2:$AE$6,MATCH($B99,'Régions'!$A$2:$A$6,0),5)</x:f>
        <x:v>10745.183802717975</x:v>
      </x:c>
      <x:c r="AH99" s="86" t="n">
        <x:f>I99*INDEX('Régions'!$Z$2:$AE$6,MATCH($B99,'Régions'!$A$2:$A$6,0),6)</x:f>
        <x:v>3523.8964661935897</x:v>
      </x:c>
      <x:c r="AI99" s="86" t="n">
        <x:f>D99*INDEX('Régions'!$AF$2:$AK$6,MATCH($B99,'Régions'!$A$2:$A$6,0),1)</x:f>
        <x:v>19196.30971420514</x:v>
      </x:c>
      <x:c r="AJ99" s="86" t="n">
        <x:f>E99*INDEX('Régions'!$AF$2:$AK$6,MATCH($B99,'Régions'!$A$2:$A$6,0),2)</x:f>
        <x:v>5111.069044505459</x:v>
      </x:c>
      <x:c r="AK99" s="86" t="n">
        <x:f>F99*INDEX('Régions'!$AF$2:$AK$6,MATCH($B99,'Régions'!$A$2:$A$6,0),3)</x:f>
        <x:v>3649.350735935736</x:v>
      </x:c>
      <x:c r="AL99" s="86" t="n">
        <x:f>G99*INDEX('Régions'!$AF$2:$AK$6,MATCH($B99,'Régions'!$A$2:$A$6,0),4)</x:f>
        <x:v>19114.383449566412</x:v>
      </x:c>
      <x:c r="AM99" s="86" t="n">
        <x:f>H99*INDEX('Régions'!$AF$2:$AK$6,MATCH($B99,'Régions'!$A$2:$A$6,0),5)</x:f>
        <x:v>7251.6757683367605</x:v>
      </x:c>
      <x:c r="AN99" s="86" t="n">
        <x:f>I99*INDEX('Régions'!$AF$2:$AK$6,MATCH($B99,'Régions'!$A$2:$A$6,0),6)</x:f>
        <x:v>0</x:v>
      </x:c>
      <x:c r="AO99" s="84" t="str">
        <x:f>IF(MAX(Q99:V99)=Q99,"CAQ",IF(MAX(Q99:V99)=R99,"PLQ",IF(MAX(Q99:V99)=S99,"QS",IF(MAX(Q99:V99)=T99,"PQ",IF(MAX(Q99:V99)=U99,"PCQ","Autre")))))</x:f>
        <x:v>CAQ</x:v>
      </x:c>
      <x:c r="AP99" s="84" t="str">
        <x:f>IF(MAX(W99:AB99)=W99,"CAQ",IF(MAX(W99:AB99)=X99,"PLQ",IF(MAX(W99:AB99)=Y99,"QS",IF(MAX(W99:AB99)=Z99,"PQ",IF(MAX(W99:AB99)=AA99,"PCQ","Autre")))))</x:f>
        <x:v>PQ</x:v>
      </x:c>
      <x:c r="AQ99" s="84" t="str">
        <x:f>IF(MAX(AC99:AH99)=AC99,"CAQ",IF(MAX(AC99:AH99)=AD99,"PLQ",IF(MAX(AC99:AH99)=AE99,"QS",IF(MAX(AC99:AH99)=AF99,"PQ",IF(MAX(AC99:AH99)=AG99,"PCQ","Autre")))))</x:f>
        <x:v>CAQ</x:v>
      </x:c>
      <x:c r="AR99" s="84" t="str">
        <x:f>IF(MAX(AI99:AN99)=AI99,"CAQ",IF(MAX(AI99:AN99)=AJ99,"PLQ",IF(MAX(AI99:AN99)=AK99,"QS",IF(MAX(AI99:AN99)=AL99,"PQ",IF(MAX(AI99:AN99)=AM99,"PCQ","Autre")))))</x:f>
        <x:v>CAQ</x:v>
      </x:c>
      <x:c r="AS99" s="88" t="n">
        <x:f>(MAX(K99:P99)-LARGE(K99:P99,2))*100</x:f>
        <x:v>34.47866796593652</x:v>
      </x:c>
      <x:c r="AT99" s="84" t="str">
        <x:f>IF(AS99&lt;5,"Oui","Non")</x:f>
        <x:v>Non</x:v>
      </x:c>
      <x:c r="AU99" s="89" t="n">
        <x:v>6.915573429557726</x:v>
      </x:c>
      <x:c r="AV99" s="89" t="n">
        <x:v>-16.72610059995473</x:v>
      </x:c>
      <x:c r="AW99" s="89" t="n">
        <x:v>4.695466159830793</x:v>
      </x:c>
      <x:c r="AX99" s="90" t="n">
        <x:v>7.820313866755963</x:v>
      </x:c>
    </x:row>
    <x:row r="100">
      <x:c r="A100" s="83" t="str">
        <x:v>Robert-Baldwin</x:v>
      </x:c>
      <x:c r="B100" s="84" t="str">
        <x:v>Île de Montréal</x:v>
      </x:c>
      <x:c r="C100" s="84" t="str">
        <x:f>IF(MAX(D100:I100)=D100,"CAQ",IF(MAX(D100:I100)=E100,"PLQ",IF(MAX(D100:I100)=F100,"QS",IF(MAX(D100:I100)=G100,"PQ",IF(MAX(D100:I100)=H100,"PCQ","Autre")))))</x:f>
        <x:v>PLQ</x:v>
      </x:c>
      <x:c r="D100" s="85" t="n">
        <x:v>5922</x:v>
      </x:c>
      <x:c r="E100" s="85" t="n">
        <x:v>35070</x:v>
      </x:c>
      <x:c r="F100" s="85" t="n">
        <x:v>3049</x:v>
      </x:c>
      <x:c r="G100" s="85" t="n">
        <x:v>2830</x:v>
      </x:c>
      <x:c r="H100" s="85" t="n">
        <x:v>12234</x:v>
      </x:c>
      <x:c r="I100" s="85" t="n">
        <x:v>1613</x:v>
      </x:c>
      <x:c r="J100" s="86" t="n">
        <x:f>SUM(D100:I100)</x:f>
        <x:v>60718</x:v>
      </x:c>
      <x:c r="K100" s="87" t="n">
        <x:f>IFERROR(D100/J100,0)</x:f>
        <x:v>0.09753285681346553</x:v>
      </x:c>
      <x:c r="L100" s="87" t="n">
        <x:f>IFERROR(E100/J100,0)</x:f>
        <x:v>0.5775881946045653</x:v>
      </x:c>
      <x:c r="M100" s="87" t="n">
        <x:f>IFERROR(F100/J100,0)</x:f>
        <x:v>0.05021575150696663</x:v>
      </x:c>
      <x:c r="N100" s="87" t="n">
        <x:f>IFERROR(G100/J100,0)</x:f>
        <x:v>0.04660891333706644</x:v>
      </x:c>
      <x:c r="O100" s="87" t="n">
        <x:f>IFERROR(H100/J100,0)</x:f>
        <x:v>0.2014888500938766</x:v>
      </x:c>
      <x:c r="P100" s="87" t="n">
        <x:f>IFERROR(I100/J100,0)</x:f>
        <x:v>0.026565433644059423</x:v>
      </x:c>
      <x:c r="Q100" s="86" t="n">
        <x:f>D100*INDEX('Régions'!$T$2:$Y$6,MATCH($B100,'Régions'!$A$2:$A$6,0),1)</x:f>
        <x:v>4435.504347440137</x:v>
      </x:c>
      <x:c r="R100" s="86" t="n">
        <x:f>E100*INDEX('Régions'!$T$2:$Y$6,MATCH($B100,'Régions'!$A$2:$A$6,0),2)</x:f>
        <x:v>34943.995889348065</x:v>
      </x:c>
      <x:c r="S100" s="86" t="n">
        <x:f>F100*INDEX('Régions'!$T$2:$Y$6,MATCH($B100,'Régions'!$A$2:$A$6,0),3)</x:f>
        <x:v>2350.126549425115</x:v>
      </x:c>
      <x:c r="T100" s="86" t="n">
        <x:f>G100*INDEX('Régions'!$T$2:$Y$6,MATCH($B100,'Régions'!$A$2:$A$6,0),4)</x:f>
        <x:v>5474.973259360861</x:v>
      </x:c>
      <x:c r="U100" s="86" t="n">
        <x:f>H100*INDEX('Régions'!$T$2:$Y$6,MATCH($B100,'Régions'!$A$2:$A$6,0),5)</x:f>
        <x:v>9751.265947963386</x:v>
      </x:c>
      <x:c r="V100" s="86" t="n">
        <x:f>I100*INDEX('Régions'!$T$2:$Y$6,MATCH($B100,'Régions'!$A$2:$A$6,0),6)</x:f>
        <x:v>2385.0956935642866</x:v>
      </x:c>
      <x:c r="W100" s="86" t="n">
        <x:f>MAX(0,Q100+(AU100/100)*J100*'Régions'!$O$2)</x:f>
        <x:v>3400.096328271771</x:v>
      </x:c>
      <x:c r="X100" s="86" t="n">
        <x:f>MAX(0,R100+(AV100/100)*J100*'Régions'!$O$2)</x:f>
        <x:v>32521.24994699694</x:v>
      </x:c>
      <x:c r="Y100" s="86" t="n">
        <x:f>MAX(0,S100+(AW100/100)*J100*'Régions'!$O$2)</x:f>
        <x:v>2409.556999617347</x:v>
      </x:c>
      <x:c r="Z100" s="86" t="n">
        <x:f>MAX(0,T100+(AX100/100)*J100*'Régions'!$O$2)</x:f>
        <x:v>5860.0055484783</x:v>
      </x:c>
      <x:c r="AA100" s="86" t="n">
        <x:f>U100</x:f>
        <x:v>9751.265947963386</x:v>
      </x:c>
      <x:c r="AB100" s="86" t="n">
        <x:f>V100</x:f>
        <x:v>2385.0956935642866</x:v>
      </x:c>
      <x:c r="AC100" s="86" t="n">
        <x:f>D100*INDEX('Régions'!$Z$2:$AE$6,MATCH($B100,'Régions'!$A$2:$A$6,0),1)</x:f>
        <x:v>5411.315303876967</x:v>
      </x:c>
      <x:c r="AD100" s="86" t="n">
        <x:f>E100*INDEX('Régions'!$Z$2:$AE$6,MATCH($B100,'Régions'!$A$2:$A$6,0),2)</x:f>
        <x:v>38335.61901978479</x:v>
      </x:c>
      <x:c r="AE100" s="86" t="n">
        <x:f>F100*INDEX('Régions'!$Z$2:$AE$6,MATCH($B100,'Régions'!$A$2:$A$6,0),3)</x:f>
        <x:v>2806.3275854899907</x:v>
      </x:c>
      <x:c r="AF100" s="86" t="n">
        <x:f>G100*INDEX('Régions'!$Z$2:$AE$6,MATCH($B100,'Régions'!$A$2:$A$6,0),4)</x:f>
        <x:v>6227.78208252298</x:v>
      </x:c>
      <x:c r="AG100" s="86" t="n">
        <x:f>H100*INDEX('Régions'!$Z$2:$AE$6,MATCH($B100,'Régions'!$A$2:$A$6,0),5)</x:f>
        <x:v>13773.663151498284</x:v>
      </x:c>
      <x:c r="AH100" s="86" t="n">
        <x:f>I100*INDEX('Régions'!$Z$2:$AE$6,MATCH($B100,'Régions'!$A$2:$A$6,0),6)</x:f>
        <x:v>6320.50358794536</x:v>
      </x:c>
      <x:c r="AI100" s="86" t="n">
        <x:f>D100*INDEX('Régions'!$AF$2:$AK$6,MATCH($B100,'Régions'!$A$2:$A$6,0),1)</x:f>
        <x:v>3459.6933910033067</x:v>
      </x:c>
      <x:c r="AJ100" s="86" t="n">
        <x:f>E100*INDEX('Régions'!$AF$2:$AK$6,MATCH($B100,'Régions'!$A$2:$A$6,0),2)</x:f>
        <x:v>31552.37275891134</x:v>
      </x:c>
      <x:c r="AK100" s="86" t="n">
        <x:f>F100*INDEX('Régions'!$AF$2:$AK$6,MATCH($B100,'Régions'!$A$2:$A$6,0),3)</x:f>
        <x:v>1893.9255133602396</x:v>
      </x:c>
      <x:c r="AL100" s="86" t="n">
        <x:f>G100*INDEX('Régions'!$AF$2:$AK$6,MATCH($B100,'Régions'!$A$2:$A$6,0),4)</x:f>
        <x:v>4722.164436198743</x:v>
      </x:c>
      <x:c r="AM100" s="86" t="n">
        <x:f>H100*INDEX('Régions'!$AF$2:$AK$6,MATCH($B100,'Régions'!$A$2:$A$6,0),5)</x:f>
        <x:v>5728.86874442849</x:v>
      </x:c>
      <x:c r="AN100" s="86" t="n">
        <x:f>I100*INDEX('Régions'!$AF$2:$AK$6,MATCH($B100,'Régions'!$A$2:$A$6,0),6)</x:f>
        <x:v>0</x:v>
      </x:c>
      <x:c r="AO100" s="84" t="str">
        <x:f>IF(MAX(Q100:V100)=Q100,"CAQ",IF(MAX(Q100:V100)=R100,"PLQ",IF(MAX(Q100:V100)=S100,"QS",IF(MAX(Q100:V100)=T100,"PQ",IF(MAX(Q100:V100)=U100,"PCQ","Autre")))))</x:f>
        <x:v>PLQ</x:v>
      </x:c>
      <x:c r="AP100" s="84" t="str">
        <x:f>IF(MAX(W100:AB100)=W100,"CAQ",IF(MAX(W100:AB100)=X100,"PLQ",IF(MAX(W100:AB100)=Y100,"QS",IF(MAX(W100:AB100)=Z100,"PQ",IF(MAX(W100:AB100)=AA100,"PCQ","Autre")))))</x:f>
        <x:v>PLQ</x:v>
      </x:c>
      <x:c r="AQ100" s="84" t="str">
        <x:f>IF(MAX(AC100:AH100)=AC100,"CAQ",IF(MAX(AC100:AH100)=AD100,"PLQ",IF(MAX(AC100:AH100)=AE100,"QS",IF(MAX(AC100:AH100)=AF100,"PQ",IF(MAX(AC100:AH100)=AG100,"PCQ","Autre")))))</x:f>
        <x:v>PLQ</x:v>
      </x:c>
      <x:c r="AR100" s="84" t="str">
        <x:f>IF(MAX(AI100:AN100)=AI100,"CAQ",IF(MAX(AI100:AN100)=AJ100,"PLQ",IF(MAX(AI100:AN100)=AK100,"QS",IF(MAX(AI100:AN100)=AL100,"PQ",IF(MAX(AI100:AN100)=AM100,"PCQ","Autre")))))</x:f>
        <x:v>PLQ</x:v>
      </x:c>
      <x:c r="AS100" s="88" t="n">
        <x:f>(MAX(K100:P100)-LARGE(K100:P100,2))*100</x:f>
        <x:v>37.609934451068874</x:v>
      </x:c>
      <x:c r="AT100" s="84" t="str">
        <x:f>IF(AS100&lt;5,"Oui","Non")</x:f>
        <x:v>Non</x:v>
      </x:c>
      <x:c r="AU100" s="89" t="n">
        <x:v>-3.4105471826093274</x:v>
      </x:c>
      <x:c r="AV100" s="89" t="n">
        <x:v>-7.980321955107633</x:v>
      </x:c>
      <x:c r="AW100" s="89" t="n">
        <x:v>0.19575891891113611</x:v>
      </x:c>
      <x:c r="AX100" s="90" t="n">
        <x:v>1.2682640703496117</x:v>
      </x:c>
    </x:row>
    <x:row r="101">
      <x:c r="A101" s="83" t="str">
        <x:v>Roberval</x:v>
      </x:c>
      <x:c r="B101" s="84" t="str">
        <x:v>Reste du Québec</x:v>
      </x:c>
      <x:c r="C101" s="84" t="str">
        <x:f>IF(MAX(D101:I101)=D101,"CAQ",IF(MAX(D101:I101)=E101,"PLQ",IF(MAX(D101:I101)=F101,"QS",IF(MAX(D101:I101)=G101,"PQ",IF(MAX(D101:I101)=H101,"PCQ","Autre")))))</x:f>
        <x:v>CAQ</x:v>
      </x:c>
      <x:c r="D101" s="85" t="n">
        <x:v>30024</x:v>
      </x:c>
      <x:c r="E101" s="85" t="n">
        <x:v>2433</x:v>
      </x:c>
      <x:c r="F101" s="85" t="n">
        <x:v>3651</x:v>
      </x:c>
      <x:c r="G101" s="85" t="n">
        <x:v>10972</x:v>
      </x:c>
      <x:c r="H101" s="85" t="n">
        <x:v>6074</x:v>
      </x:c>
      <x:c r="I101" s="85" t="n">
        <x:v>282</x:v>
      </x:c>
      <x:c r="J101" s="86" t="n">
        <x:f>SUM(D101:I101)</x:f>
        <x:v>53436</x:v>
      </x:c>
      <x:c r="K101" s="87" t="n">
        <x:f>IFERROR(D101/J101,0)</x:f>
        <x:v>0.5618684033236021</x:v>
      </x:c>
      <x:c r="L101" s="87" t="n">
        <x:f>IFERROR(E101/J101,0)</x:f>
        <x:v>0.04553110262744217</x:v>
      </x:c>
      <x:c r="M101" s="87" t="n">
        <x:f>IFERROR(F101/J101,0)</x:f>
        <x:v>0.06832472490455872</x:v>
      </x:c>
      <x:c r="N101" s="87" t="n">
        <x:f>IFERROR(G101/J101,0)</x:f>
        <x:v>0.2053297402500187</x:v>
      </x:c>
      <x:c r="O101" s="87" t="n">
        <x:f>IFERROR(H101/J101,0)</x:f>
        <x:v>0.11366868777603115</x:v>
      </x:c>
      <x:c r="P101" s="87" t="n">
        <x:f>IFERROR(I101/J101,0)</x:f>
        <x:v>0.0052773411183471815</x:v>
      </x:c>
      <x:c r="Q101" s="86" t="n">
        <x:f>D101*INDEX('Régions'!$T$2:$Y$6,MATCH($B101,'Régions'!$A$2:$A$6,0),1)</x:f>
        <x:v>17722.83276717629</x:v>
      </x:c>
      <x:c r="R101" s="86" t="n">
        <x:f>E101*INDEX('Régions'!$T$2:$Y$6,MATCH($B101,'Régions'!$A$2:$A$6,0),2)</x:f>
        <x:v>5567.317959261861</x:v>
      </x:c>
      <x:c r="S101" s="86" t="n">
        <x:f>F101*INDEX('Régions'!$T$2:$Y$6,MATCH($B101,'Régions'!$A$2:$A$6,0),3)</x:f>
        <x:v>2192.456852265286</x:v>
      </x:c>
      <x:c r="T101" s="86" t="n">
        <x:f>G101*INDEX('Régions'!$T$2:$Y$6,MATCH($B101,'Régions'!$A$2:$A$6,0),4)</x:f>
        <x:v>19006.70063552046</x:v>
      </x:c>
      <x:c r="U101" s="86" t="n">
        <x:f>H101*INDEX('Régions'!$T$2:$Y$6,MATCH($B101,'Régions'!$A$2:$A$6,0),5)</x:f>
        <x:v>6847.464610034231</x:v>
      </x:c>
      <x:c r="V101" s="86" t="n">
        <x:f>I101*INDEX('Régions'!$T$2:$Y$6,MATCH($B101,'Régions'!$A$2:$A$6,0),6)</x:f>
        <x:v>654.6800207303461</x:v>
      </x:c>
      <x:c r="W101" s="86" t="n">
        <x:f>MAX(0,Q101+(AU101/100)*J101*'Régions'!$O$2)</x:f>
        <x:v>24684.988484313348</x:v>
      </x:c>
      <x:c r="X101" s="86" t="n">
        <x:f>MAX(0,R101+(AV101/100)*J101*'Régions'!$O$2)</x:f>
        <x:v>0</x:v>
      </x:c>
      <x:c r="Y101" s="86" t="n">
        <x:f>MAX(0,S101+(AW101/100)*J101*'Régions'!$O$2)</x:f>
        <x:v>1457.857949197838</x:v>
      </x:c>
      <x:c r="Z101" s="86" t="n">
        <x:f>MAX(0,T101+(AX101/100)*J101*'Régions'!$O$2)</x:f>
        <x:v>20582.428610437633</x:v>
      </x:c>
      <x:c r="AA101" s="86" t="n">
        <x:f>U101</x:f>
        <x:v>6847.464610034231</x:v>
      </x:c>
      <x:c r="AB101" s="86" t="n">
        <x:f>V101</x:f>
        <x:v>654.6800207303461</x:v>
      </x:c>
      <x:c r="AC101" s="86" t="n">
        <x:f>D101*INDEX('Régions'!$Z$2:$AE$6,MATCH($B101,'Régions'!$A$2:$A$6,0),1)</x:f>
        <x:v>19811.59520045064</x:v>
      </x:c>
      <x:c r="AD101" s="86" t="n">
        <x:f>E101*INDEX('Régions'!$Z$2:$AE$6,MATCH($B101,'Régions'!$A$2:$A$6,0),2)</x:f>
        <x:v>6715.577288359619</x:v>
      </x:c>
      <x:c r="AE101" s="86" t="n">
        <x:f>F101*INDEX('Régions'!$Z$2:$AE$6,MATCH($B101,'Régions'!$A$2:$A$6,0),3)</x:f>
        <x:v>3096.845303824717</x:v>
      </x:c>
      <x:c r="AF101" s="86" t="n">
        <x:f>G101*INDEX('Régions'!$Z$2:$AE$6,MATCH($B101,'Régions'!$A$2:$A$6,0),4)</x:f>
        <x:v>21169.53208714865</x:v>
      </x:c>
      <x:c r="AG101" s="86" t="n">
        <x:f>H101*INDEX('Régions'!$Z$2:$AE$6,MATCH($B101,'Régions'!$A$2:$A$6,0),5)</x:f>
        <x:v>8176.678328452641</x:v>
      </x:c>
      <x:c r="AH101" s="86" t="n">
        <x:f>I101*INDEX('Régions'!$Z$2:$AE$6,MATCH($B101,'Régions'!$A$2:$A$6,0),6)</x:f>
        <x:v>2815.124089140488</x:v>
      </x:c>
      <x:c r="AI101" s="86" t="n">
        <x:f>D101*INDEX('Régions'!$AF$2:$AK$6,MATCH($B101,'Régions'!$A$2:$A$6,0),1)</x:f>
        <x:v>15634.070333901942</x:v>
      </x:c>
      <x:c r="AJ101" s="86" t="n">
        <x:f>E101*INDEX('Régions'!$AF$2:$AK$6,MATCH($B101,'Régions'!$A$2:$A$6,0),2)</x:f>
        <x:v>4419.0586301641015</x:v>
      </x:c>
      <x:c r="AK101" s="86" t="n">
        <x:f>F101*INDEX('Régions'!$AF$2:$AK$6,MATCH($B101,'Régions'!$A$2:$A$6,0),3)</x:f>
        <x:v>1288.0684007058558</x:v>
      </x:c>
      <x:c r="AL101" s="86" t="n">
        <x:f>G101*INDEX('Régions'!$AF$2:$AK$6,MATCH($B101,'Régions'!$A$2:$A$6,0),4)</x:f>
        <x:v>16843.86918389227</x:v>
      </x:c>
      <x:c r="AM101" s="86" t="n">
        <x:f>H101*INDEX('Régions'!$AF$2:$AK$6,MATCH($B101,'Régions'!$A$2:$A$6,0),5)</x:f>
        <x:v>5518.250891615821</x:v>
      </x:c>
      <x:c r="AN101" s="86" t="n">
        <x:f>I101*INDEX('Régions'!$AF$2:$AK$6,MATCH($B101,'Régions'!$A$2:$A$6,0),6)</x:f>
        <x:v>0</x:v>
      </x:c>
      <x:c r="AO101" s="84" t="str">
        <x:f>IF(MAX(Q101:V101)=Q101,"CAQ",IF(MAX(Q101:V101)=R101,"PLQ",IF(MAX(Q101:V101)=S101,"QS",IF(MAX(Q101:V101)=T101,"PQ",IF(MAX(Q101:V101)=U101,"PCQ","Autre")))))</x:f>
        <x:v>PQ</x:v>
      </x:c>
      <x:c r="AP101" s="84" t="str">
        <x:f>IF(MAX(W101:AB101)=W101,"CAQ",IF(MAX(W101:AB101)=X101,"PLQ",IF(MAX(W101:AB101)=Y101,"QS",IF(MAX(W101:AB101)=Z101,"PQ",IF(MAX(W101:AB101)=AA101,"PCQ","Autre")))))</x:f>
        <x:v>CAQ</x:v>
      </x:c>
      <x:c r="AQ101" s="84" t="str">
        <x:f>IF(MAX(AC101:AH101)=AC101,"CAQ",IF(MAX(AC101:AH101)=AD101,"PLQ",IF(MAX(AC101:AH101)=AE101,"QS",IF(MAX(AC101:AH101)=AF101,"PQ",IF(MAX(AC101:AH101)=AG101,"PCQ","Autre")))))</x:f>
        <x:v>PQ</x:v>
      </x:c>
      <x:c r="AR101" s="84" t="str">
        <x:f>IF(MAX(AI101:AN101)=AI101,"CAQ",IF(MAX(AI101:AN101)=AJ101,"PLQ",IF(MAX(AI101:AN101)=AK101,"QS",IF(MAX(AI101:AN101)=AL101,"PQ",IF(MAX(AI101:AN101)=AM101,"PCQ","Autre")))))</x:f>
        <x:v>PQ</x:v>
      </x:c>
      <x:c r="AS101" s="88" t="n">
        <x:f>(MAX(K101:P101)-LARGE(K101:P101,2))*100</x:f>
        <x:v>35.65386630735834</x:v>
      </x:c>
      <x:c r="AT101" s="84" t="str">
        <x:f>IF(AS101&lt;5,"Oui","Non")</x:f>
        <x:v>Non</x:v>
      </x:c>
      <x:c r="AU101" s="89" t="n">
        <x:v>26.05792243856973</x:v>
      </x:c>
      <x:c r="AV101" s="89" t="n">
        <x:v>-25.144322074079284</x:v>
      </x:c>
      <x:c r="AW101" s="89" t="n">
        <x:v>-2.749453189113886</x:v>
      </x:c>
      <x:c r="AX101" s="90" t="n">
        <x:v>5.897626974014414</x:v>
      </x:c>
    </x:row>
    <x:row r="102">
      <x:c r="A102" s="83" t="str">
        <x:v>Rosemont</x:v>
      </x:c>
      <x:c r="B102" s="84" t="str">
        <x:v>Île de Montréal</x:v>
      </x:c>
      <x:c r="C102" s="84" t="str">
        <x:f>IF(MAX(D102:I102)=D102,"CAQ",IF(MAX(D102:I102)=E102,"PLQ",IF(MAX(D102:I102)=F102,"QS",IF(MAX(D102:I102)=G102,"PQ",IF(MAX(D102:I102)=H102,"PCQ","Autre")))))</x:f>
        <x:v>QS</x:v>
      </x:c>
      <x:c r="D102" s="85" t="n">
        <x:v>16066</x:v>
      </x:c>
      <x:c r="E102" s="85" t="n">
        <x:v>8213</x:v>
      </x:c>
      <x:c r="F102" s="85" t="n">
        <x:v>26217</x:v>
      </x:c>
      <x:c r="G102" s="85" t="n">
        <x:v>15715</x:v>
      </x:c>
      <x:c r="H102" s="85" t="n">
        <x:v>3161</x:v>
      </x:c>
      <x:c r="I102" s="85" t="n">
        <x:v>312</x:v>
      </x:c>
      <x:c r="J102" s="86" t="n">
        <x:f>SUM(D102:I102)</x:f>
        <x:v>69684</x:v>
      </x:c>
      <x:c r="K102" s="87" t="n">
        <x:f>IFERROR(D102/J102,0)</x:f>
        <x:v>0.2305550772056713</x:v>
      </x:c>
      <x:c r="L102" s="87" t="n">
        <x:f>IFERROR(E102/J102,0)</x:f>
        <x:v>0.11786062797772803</x:v>
      </x:c>
      <x:c r="M102" s="87" t="n">
        <x:f>IFERROR(F102/J102,0)</x:f>
        <x:v>0.3762269674530739</x:v>
      </x:c>
      <x:c r="N102" s="87" t="n">
        <x:f>IFERROR(G102/J102,0)</x:f>
        <x:v>0.2255180529246312</x:v>
      </x:c>
      <x:c r="O102" s="87" t="n">
        <x:f>IFERROR(H102/J102,0)</x:f>
        <x:v>0.04536191952241547</x:v>
      </x:c>
      <x:c r="P102" s="87" t="n">
        <x:f>IFERROR(I102/J102,0)</x:f>
        <x:v>0.00447735491648011</x:v>
      </x:c>
      <x:c r="Q102" s="86" t="n">
        <x:f>D102*INDEX('Régions'!$T$2:$Y$6,MATCH($B102,'Régions'!$A$2:$A$6,0),1)</x:f>
        <x:v>12033.234185405816</x:v>
      </x:c>
      <x:c r="R102" s="86" t="n">
        <x:f>E102*INDEX('Régions'!$T$2:$Y$6,MATCH($B102,'Régions'!$A$2:$A$6,0),2)</x:f>
        <x:v>8183.491252900361</x:v>
      </x:c>
      <x:c r="S102" s="86" t="n">
        <x:f>F102*INDEX('Régions'!$T$2:$Y$6,MATCH($B102,'Régions'!$A$2:$A$6,0),3)</x:f>
        <x:v>20207.696866604867</x:v>
      </x:c>
      <x:c r="T102" s="86" t="n">
        <x:f>G102*INDEX('Régions'!$T$2:$Y$6,MATCH($B102,'Régions'!$A$2:$A$6,0),4)</x:f>
        <x:v>30402.545855426124</x:v>
      </x:c>
      <x:c r="U102" s="86" t="n">
        <x:f>H102*INDEX('Régions'!$T$2:$Y$6,MATCH($B102,'Régions'!$A$2:$A$6,0),5)</x:f>
        <x:v>2519.5154210815977</x:v>
      </x:c>
      <x:c r="V102" s="86" t="n">
        <x:f>I102*INDEX('Régions'!$T$2:$Y$6,MATCH($B102,'Régions'!$A$2:$A$6,0),6)</x:f>
        <x:v>461.3452302492607</x:v>
      </x:c>
      <x:c r="W102" s="86" t="n">
        <x:f>MAX(0,Q102+(AU102/100)*J102*'Régions'!$O$2)</x:f>
        <x:v>14003.588906476414</x:v>
      </x:c>
      <x:c r="X102" s="86" t="n">
        <x:f>MAX(0,R102+(AV102/100)*J102*'Régions'!$O$2)</x:f>
        <x:v>9273.078839227343</x:v>
      </x:c>
      <x:c r="Y102" s="86" t="n">
        <x:f>MAX(0,S102+(AW102/100)*J102*'Régions'!$O$2)</x:f>
        <x:v>20864.376773258926</x:v>
      </x:c>
      <x:c r="Z102" s="86" t="n">
        <x:f>MAX(0,T102+(AX102/100)*J102*'Régions'!$O$2)</x:f>
        <x:v>28714.3453038761</x:v>
      </x:c>
      <x:c r="AA102" s="86" t="n">
        <x:f>U102</x:f>
        <x:v>2519.5154210815977</x:v>
      </x:c>
      <x:c r="AB102" s="86" t="n">
        <x:f>V102</x:f>
        <x:v>461.3452302492607</x:v>
      </x:c>
      <x:c r="AC102" s="86" t="n">
        <x:f>D102*INDEX('Régions'!$Z$2:$AE$6,MATCH($B102,'Régions'!$A$2:$A$6,0),1)</x:f>
        <x:v>14680.545706195095</x:v>
      </x:c>
      <x:c r="AD102" s="86" t="n">
        <x:f>E102*INDEX('Régions'!$Z$2:$AE$6,MATCH($B102,'Régions'!$A$2:$A$6,0),2)</x:f>
        <x:v>8977.771286270103</x:v>
      </x:c>
      <x:c r="AE102" s="86" t="n">
        <x:f>F102*INDEX('Régions'!$Z$2:$AE$6,MATCH($B102,'Régions'!$A$2:$A$6,0),3)</x:f>
        <x:v>24130.367434828167</x:v>
      </x:c>
      <x:c r="AF102" s="86" t="n">
        <x:f>G102*INDEX('Régions'!$Z$2:$AE$6,MATCH($B102,'Régions'!$A$2:$A$6,0),4)</x:f>
        <x:v>34582.89591054722</x:v>
      </x:c>
      <x:c r="AG102" s="86" t="n">
        <x:f>H102*INDEX('Régions'!$Z$2:$AE$6,MATCH($B102,'Régions'!$A$2:$A$6,0),5)</x:f>
        <x:v>3558.8155322777566</x:v>
      </x:c>
      <x:c r="AH102" s="86" t="n">
        <x:f>I102*INDEX('Régions'!$Z$2:$AE$6,MATCH($B102,'Régions'!$A$2:$A$6,0),6)</x:f>
        <x:v>1222.5648601605408</x:v>
      </x:c>
      <x:c r="AI102" s="86" t="n">
        <x:f>D102*INDEX('Régions'!$AF$2:$AK$6,MATCH($B102,'Régions'!$A$2:$A$6,0),1)</x:f>
        <x:v>9385.922664616537</x:v>
      </x:c>
      <x:c r="AJ102" s="86" t="n">
        <x:f>E102*INDEX('Régions'!$AF$2:$AK$6,MATCH($B102,'Régions'!$A$2:$A$6,0),2)</x:f>
        <x:v>7389.21121953062</x:v>
      </x:c>
      <x:c r="AK102" s="86" t="n">
        <x:f>F102*INDEX('Régions'!$AF$2:$AK$6,MATCH($B102,'Régions'!$A$2:$A$6,0),3)</x:f>
        <x:v>16285.026298381568</x:v>
      </x:c>
      <x:c r="AL102" s="86" t="n">
        <x:f>G102*INDEX('Régions'!$AF$2:$AK$6,MATCH($B102,'Régions'!$A$2:$A$6,0),4)</x:f>
        <x:v>26222.19580030503</x:v>
      </x:c>
      <x:c r="AM102" s="86" t="n">
        <x:f>H102*INDEX('Régions'!$AF$2:$AK$6,MATCH($B102,'Régions'!$A$2:$A$6,0),5)</x:f>
        <x:v>1480.2153098854385</x:v>
      </x:c>
      <x:c r="AN102" s="86" t="n">
        <x:f>I102*INDEX('Régions'!$AF$2:$AK$6,MATCH($B102,'Régions'!$A$2:$A$6,0),6)</x:f>
        <x:v>0</x:v>
      </x:c>
      <x:c r="AO102" s="84" t="str">
        <x:f>IF(MAX(Q102:V102)=Q102,"CAQ",IF(MAX(Q102:V102)=R102,"PLQ",IF(MAX(Q102:V102)=S102,"QS",IF(MAX(Q102:V102)=T102,"PQ",IF(MAX(Q102:V102)=U102,"PCQ","Autre")))))</x:f>
        <x:v>PQ</x:v>
      </x:c>
      <x:c r="AP102" s="84" t="str">
        <x:f>IF(MAX(W102:AB102)=W102,"CAQ",IF(MAX(W102:AB102)=X102,"PLQ",IF(MAX(W102:AB102)=Y102,"QS",IF(MAX(W102:AB102)=Z102,"PQ",IF(MAX(W102:AB102)=AA102,"PCQ","Autre")))))</x:f>
        <x:v>PQ</x:v>
      </x:c>
      <x:c r="AQ102" s="84" t="str">
        <x:f>IF(MAX(AC102:AH102)=AC102,"CAQ",IF(MAX(AC102:AH102)=AD102,"PLQ",IF(MAX(AC102:AH102)=AE102,"QS",IF(MAX(AC102:AH102)=AF102,"PQ",IF(MAX(AC102:AH102)=AG102,"PCQ","Autre")))))</x:f>
        <x:v>PQ</x:v>
      </x:c>
      <x:c r="AR102" s="84" t="str">
        <x:f>IF(MAX(AI102:AN102)=AI102,"CAQ",IF(MAX(AI102:AN102)=AJ102,"PLQ",IF(MAX(AI102:AN102)=AK102,"QS",IF(MAX(AI102:AN102)=AL102,"PQ",IF(MAX(AI102:AN102)=AM102,"PCQ","Autre")))))</x:f>
        <x:v>PQ</x:v>
      </x:c>
      <x:c r="AS102" s="88" t="n">
        <x:f>(MAX(K102:P102)-LARGE(K102:P102,2))*100</x:f>
        <x:v>14.567189024740257</x:v>
      </x:c>
      <x:c r="AT102" s="84" t="str">
        <x:f>IF(AS102&lt;5,"Oui","Non")</x:f>
        <x:v>Non</x:v>
      </x:c>
      <x:c r="AU102" s="89" t="n">
        <x:v>5.655113716407204</x:v>
      </x:c>
      <x:c r="AV102" s="89" t="n">
        <x:v>3.1272245747287206</x:v>
      </x:c>
      <x:c r="AW102" s="89" t="n">
        <x:v>1.8847365439815715</x:v>
      </x:c>
      <x:c r="AX102" s="90" t="n">
        <x:v>-4.845303230440347</x:v>
      </x:c>
    </x:row>
    <x:row r="103">
      <x:c r="A103" s="83" t="str">
        <x:v>Rousseau</x:v>
      </x:c>
      <x:c r="B103" s="84" t="str">
        <x:v>Banlieue de Montréal</x:v>
      </x:c>
      <x:c r="C103" s="84" t="str">
        <x:f>IF(MAX(D103:I103)=D103,"CAQ",IF(MAX(D103:I103)=E103,"PLQ",IF(MAX(D103:I103)=F103,"QS",IF(MAX(D103:I103)=G103,"PQ",IF(MAX(D103:I103)=H103,"PCQ","Autre")))))</x:f>
        <x:v>CAQ</x:v>
      </x:c>
      <x:c r="D103" s="85" t="n">
        <x:v>30018</x:v>
      </x:c>
      <x:c r="E103" s="85" t="n">
        <x:v>2049</x:v>
      </x:c>
      <x:c r="F103" s="85" t="n">
        <x:v>7799</x:v>
      </x:c>
      <x:c r="G103" s="85" t="n">
        <x:v>10602</x:v>
      </x:c>
      <x:c r="H103" s="85" t="n">
        <x:v>8886</x:v>
      </x:c>
      <x:c r="I103" s="85" t="n">
        <x:v>1</x:v>
      </x:c>
      <x:c r="J103" s="86" t="n">
        <x:f>SUM(D103:I103)</x:f>
        <x:v>59355</x:v>
      </x:c>
      <x:c r="K103" s="87" t="n">
        <x:f>IFERROR(D103/J103,0)</x:f>
        <x:v>0.5057366691938338</x:v>
      </x:c>
      <x:c r="L103" s="87" t="n">
        <x:f>IFERROR(E103/J103,0)</x:f>
        <x:v>0.034521101844831946</x:v>
      </x:c>
      <x:c r="M103" s="87" t="n">
        <x:f>IFERROR(F103/J103,0)</x:f>
        <x:v>0.13139583859826467</x:v>
      </x:c>
      <x:c r="N103" s="87" t="n">
        <x:f>IFERROR(G103/J103,0)</x:f>
        <x:v>0.17862016679302503</x:v>
      </x:c>
      <x:c r="O103" s="87" t="n">
        <x:f>IFERROR(H103/J103,0)</x:f>
        <x:v>0.1497093757897397</x:v>
      </x:c>
      <x:c r="P103" s="87" t="n">
        <x:f>IFERROR(I103/J103,0)</x:f>
        <x:v>0.000016847780304944824</x:v>
      </x:c>
      <x:c r="Q103" s="86" t="n">
        <x:f>D103*INDEX('Régions'!$T$2:$Y$6,MATCH($B103,'Régions'!$A$2:$A$6,0),1)</x:f>
        <x:v>21222.40441614727</x:v>
      </x:c>
      <x:c r="R103" s="86" t="n">
        <x:f>E103*INDEX('Régions'!$T$2:$Y$6,MATCH($B103,'Régions'!$A$2:$A$6,0),2)</x:f>
        <x:v>2621.2028992867477</x:v>
      </x:c>
      <x:c r="S103" s="86" t="n">
        <x:f>F103*INDEX('Régions'!$T$2:$Y$6,MATCH($B103,'Régions'!$A$2:$A$6,0),3)</x:f>
        <x:v>3939.303934700379</x:v>
      </x:c>
      <x:c r="T103" s="86" t="n">
        <x:f>G103*INDEX('Régions'!$T$2:$Y$6,MATCH($B103,'Régions'!$A$2:$A$6,0),4)</x:f>
        <x:v>19768.49245886037</x:v>
      </x:c>
      <x:c r="U103" s="86" t="n">
        <x:f>H103*INDEX('Régions'!$T$2:$Y$6,MATCH($B103,'Régions'!$A$2:$A$6,0),5)</x:f>
        <x:v>10399.600450980128</x:v>
      </x:c>
      <x:c r="V103" s="86" t="n">
        <x:f>I103*INDEX('Régions'!$T$2:$Y$6,MATCH($B103,'Régions'!$A$2:$A$6,0),6)</x:f>
        <x:v>2.1470447982228804</x:v>
      </x:c>
      <x:c r="W103" s="86" t="n">
        <x:f>MAX(0,Q103+(AU103/100)*J103*'Régions'!$O$2)</x:f>
        <x:v>19545.97145426991</x:v>
      </x:c>
      <x:c r="X103" s="86" t="n">
        <x:f>MAX(0,R103+(AV103/100)*J103*'Régions'!$O$2)</x:f>
        <x:v>4007.072961917143</x:v>
      </x:c>
      <x:c r="Y103" s="86" t="n">
        <x:f>MAX(0,S103+(AW103/100)*J103*'Régions'!$O$2)</x:f>
        <x:v>4189.595540238349</x:v>
      </x:c>
      <x:c r="Z103" s="86" t="n">
        <x:f>MAX(0,T103+(AX103/100)*J103*'Régions'!$O$2)</x:f>
        <x:v>18266.861712836122</x:v>
      </x:c>
      <x:c r="AA103" s="86" t="n">
        <x:f>U103</x:f>
        <x:v>10399.600450980128</x:v>
      </x:c>
      <x:c r="AB103" s="86" t="n">
        <x:f>V103</x:f>
        <x:v>2.1470447982228804</x:v>
      </x:c>
      <x:c r="AC103" s="86" t="n">
        <x:f>D103*INDEX('Régions'!$Z$2:$AE$6,MATCH($B103,'Régions'!$A$2:$A$6,0),1)</x:f>
        <x:v>23410.964871562457</x:v>
      </x:c>
      <x:c r="AD103" s="86" t="n">
        <x:f>E103*INDEX('Régions'!$Z$2:$AE$6,MATCH($B103,'Régions'!$A$2:$A$6,0),2)</x:f>
        <x:v>3101.7567641559845</x:v>
      </x:c>
      <x:c r="AE103" s="86" t="n">
        <x:f>F103*INDEX('Régions'!$Z$2:$AE$6,MATCH($B103,'Régions'!$A$2:$A$6,0),3)</x:f>
        <x:v>5796.404361059129</x:v>
      </x:c>
      <x:c r="AF103" s="86" t="n">
        <x:f>G103*INDEX('Régions'!$Z$2:$AE$6,MATCH($B103,'Régions'!$A$2:$A$6,0),4)</x:f>
        <x:v>21943.02662933501</x:v>
      </x:c>
      <x:c r="AG103" s="86" t="n">
        <x:f>H103*INDEX('Régions'!$Z$2:$AE$6,MATCH($B103,'Régions'!$A$2:$A$6,0),5)</x:f>
        <x:v>13259.490574999665</x:v>
      </x:c>
      <x:c r="AH103" s="86" t="n">
        <x:f>I103*INDEX('Régions'!$Z$2:$AE$6,MATCH($B103,'Régions'!$A$2:$A$6,0),6)</x:f>
        <x:v>9.232292632358385</x:v>
      </x:c>
      <x:c r="AI103" s="86" t="n">
        <x:f>D103*INDEX('Régions'!$AF$2:$AK$6,MATCH($B103,'Régions'!$A$2:$A$6,0),1)</x:f>
        <x:v>19033.843960732083</x:v>
      </x:c>
      <x:c r="AJ103" s="86" t="n">
        <x:f>E103*INDEX('Régions'!$AF$2:$AK$6,MATCH($B103,'Régions'!$A$2:$A$6,0),2)</x:f>
        <x:v>2140.6490344175104</x:v>
      </x:c>
      <x:c r="AK103" s="86" t="n">
        <x:f>F103*INDEX('Régions'!$AF$2:$AK$6,MATCH($B103,'Régions'!$A$2:$A$6,0),3)</x:f>
        <x:v>2082.203508341629</x:v>
      </x:c>
      <x:c r="AL103" s="86" t="n">
        <x:f>G103*INDEX('Régions'!$AF$2:$AK$6,MATCH($B103,'Régions'!$A$2:$A$6,0),4)</x:f>
        <x:v>17593.958288385733</x:v>
      </x:c>
      <x:c r="AM103" s="86" t="n">
        <x:f>H103*INDEX('Régions'!$AF$2:$AK$6,MATCH($B103,'Régions'!$A$2:$A$6,0),5)</x:f>
        <x:v>7539.710326960592</x:v>
      </x:c>
      <x:c r="AN103" s="86" t="n">
        <x:f>I103*INDEX('Régions'!$AF$2:$AK$6,MATCH($B103,'Régions'!$A$2:$A$6,0),6)</x:f>
        <x:v>0</x:v>
      </x:c>
      <x:c r="AO103" s="84" t="str">
        <x:f>IF(MAX(Q103:V103)=Q103,"CAQ",IF(MAX(Q103:V103)=R103,"PLQ",IF(MAX(Q103:V103)=S103,"QS",IF(MAX(Q103:V103)=T103,"PQ",IF(MAX(Q103:V103)=U103,"PCQ","Autre")))))</x:f>
        <x:v>CAQ</x:v>
      </x:c>
      <x:c r="AP103" s="84" t="str">
        <x:f>IF(MAX(W103:AB103)=W103,"CAQ",IF(MAX(W103:AB103)=X103,"PLQ",IF(MAX(W103:AB103)=Y103,"QS",IF(MAX(W103:AB103)=Z103,"PQ",IF(MAX(W103:AB103)=AA103,"PCQ","Autre")))))</x:f>
        <x:v>CAQ</x:v>
      </x:c>
      <x:c r="AQ103" s="84" t="str">
        <x:f>IF(MAX(AC103:AH103)=AC103,"CAQ",IF(MAX(AC103:AH103)=AD103,"PLQ",IF(MAX(AC103:AH103)=AE103,"QS",IF(MAX(AC103:AH103)=AF103,"PQ",IF(MAX(AC103:AH103)=AG103,"PCQ","Autre")))))</x:f>
        <x:v>CAQ</x:v>
      </x:c>
      <x:c r="AR103" s="84" t="str">
        <x:f>IF(MAX(AI103:AN103)=AI103,"CAQ",IF(MAX(AI103:AN103)=AJ103,"PLQ",IF(MAX(AI103:AN103)=AK103,"QS",IF(MAX(AI103:AN103)=AL103,"PQ",IF(MAX(AI103:AN103)=AM103,"PCQ","Autre")))))</x:f>
        <x:v>CAQ</x:v>
      </x:c>
      <x:c r="AS103" s="88" t="n">
        <x:f>(MAX(K103:P103)-LARGE(K103:P103,2))*100</x:f>
        <x:v>32.71165024008087</x:v>
      </x:c>
      <x:c r="AT103" s="84" t="str">
        <x:f>IF(AS103&lt;5,"Oui","Non")</x:f>
        <x:v>Non</x:v>
      </x:c>
      <x:c r="AU103" s="89" t="n">
        <x:v>-5.648834847535533</x:v>
      </x:c>
      <x:c r="AV103" s="89" t="n">
        <x:v>4.669766869279405</x:v>
      </x:c>
      <x:c r="AW103" s="89" t="n">
        <x:v>0.8433715964551253</x:v>
      </x:c>
      <x:c r="AX103" s="90" t="n">
        <x:v>-5.059828981633396</x:v>
      </x:c>
    </x:row>
    <x:row r="104">
      <x:c r="A104" s="83" t="str">
        <x:v>Rouyn-Noranda-Témiscamingue</x:v>
      </x:c>
      <x:c r="B104" s="84" t="str">
        <x:v>Reste du Québec</x:v>
      </x:c>
      <x:c r="C104" s="84" t="str">
        <x:f>IF(MAX(D104:I104)=D104,"CAQ",IF(MAX(D104:I104)=E104,"PLQ",IF(MAX(D104:I104)=F104,"QS",IF(MAX(D104:I104)=G104,"PQ",IF(MAX(D104:I104)=H104,"PCQ","Autre")))))</x:f>
        <x:v>CAQ</x:v>
      </x:c>
      <x:c r="D104" s="85" t="n">
        <x:v>25767</x:v>
      </x:c>
      <x:c r="E104" s="85" t="n">
        <x:v>2492</x:v>
      </x:c>
      <x:c r="F104" s="85" t="n">
        <x:v>17655</x:v>
      </x:c>
      <x:c r="G104" s="85" t="n">
        <x:v>6772</x:v>
      </x:c>
      <x:c r="H104" s="85" t="n">
        <x:v>4373</x:v>
      </x:c>
      <x:c r="I104" s="85" t="n">
        <x:v>0</x:v>
      </x:c>
      <x:c r="J104" s="86" t="n">
        <x:f>SUM(D104:I104)</x:f>
        <x:v>57059</x:v>
      </x:c>
      <x:c r="K104" s="87" t="n">
        <x:f>IFERROR(D104/J104,0)</x:f>
        <x:v>0.45158520128288265</x:v>
      </x:c>
      <x:c r="L104" s="87" t="n">
        <x:f>IFERROR(E104/J104,0)</x:f>
        <x:v>0.04367409172961321</x:v>
      </x:c>
      <x:c r="M104" s="87" t="n">
        <x:f>IFERROR(F104/J104,0)</x:f>
        <x:v>0.3094165688147356</x:v>
      </x:c>
      <x:c r="N104" s="87" t="n">
        <x:f>IFERROR(G104/J104,0)</x:f>
        <x:v>0.11868416901803397</x:v>
      </x:c>
      <x:c r="O104" s="87" t="n">
        <x:f>IFERROR(H104/J104,0)</x:f>
        <x:v>0.07663996915473457</x:v>
      </x:c>
      <x:c r="P104" s="87" t="n">
        <x:f>IFERROR(I104/J104,0)</x:f>
        <x:v>0</x:v>
      </x:c>
      <x:c r="Q104" s="86" t="n">
        <x:f>D104*INDEX('Régions'!$T$2:$Y$6,MATCH($B104,'Régions'!$A$2:$A$6,0),1)</x:f>
        <x:v>15209.973085259508</x:v>
      </x:c>
      <x:c r="R104" s="86" t="n">
        <x:f>E104*INDEX('Régions'!$T$2:$Y$6,MATCH($B104,'Régions'!$A$2:$A$6,0),2)</x:f>
        <x:v>5702.324847710874</x:v>
      </x:c>
      <x:c r="S104" s="86" t="n">
        <x:f>F104*INDEX('Régions'!$T$2:$Y$6,MATCH($B104,'Régions'!$A$2:$A$6,0),3)</x:f>
        <x:v>10601.979108941012</x:v>
      </x:c>
      <x:c r="T104" s="86" t="n">
        <x:f>G104*INDEX('Régions'!$T$2:$Y$6,MATCH($B104,'Régions'!$A$2:$A$6,0),4)</x:f>
        <x:v>11731.076987216968</x:v>
      </x:c>
      <x:c r="U104" s="86" t="n">
        <x:f>H104*INDEX('Régions'!$T$2:$Y$6,MATCH($B104,'Régions'!$A$2:$A$6,0),5)</x:f>
        <x:v>4929.858863957803</x:v>
      </x:c>
      <x:c r="V104" s="86" t="n">
        <x:f>I104*INDEX('Régions'!$T$2:$Y$6,MATCH($B104,'Régions'!$A$2:$A$6,0),6)</x:f>
        <x:v>0</x:v>
      </x:c>
      <x:c r="W104" s="86" t="n">
        <x:f>MAX(0,Q104+(AU104/100)*J104*'Régions'!$O$2)</x:f>
        <x:v>17736.312590082416</x:v>
      </x:c>
      <x:c r="X104" s="86" t="n">
        <x:f>MAX(0,R104+(AV104/100)*J104*'Régions'!$O$2)</x:f>
        <x:v>5912.863447233965</x:v>
      </x:c>
      <x:c r="Y104" s="86" t="n">
        <x:f>MAX(0,S104+(AW104/100)*J104*'Régions'!$O$2)</x:f>
        <x:v>10595.668936655542</x:v>
      </x:c>
      <x:c r="Z104" s="86" t="n">
        <x:f>MAX(0,T104+(AX104/100)*J104*'Régions'!$O$2)</x:f>
        <x:v>10882.680590648864</x:v>
      </x:c>
      <x:c r="AA104" s="86" t="n">
        <x:f>U104</x:f>
        <x:v>4929.858863957803</x:v>
      </x:c>
      <x:c r="AB104" s="86" t="n">
        <x:f>V104</x:f>
        <x:v>0</x:v>
      </x:c>
      <x:c r="AC104" s="86" t="n">
        <x:f>D104*INDEX('Régions'!$Z$2:$AE$6,MATCH($B104,'Régions'!$A$2:$A$6,0),1)</x:f>
        <x:v>17002.577056022237</x:v>
      </x:c>
      <x:c r="AD104" s="86" t="n">
        <x:f>E104*INDEX('Régions'!$Z$2:$AE$6,MATCH($B104,'Régions'!$A$2:$A$6,0),2)</x:f>
        <x:v>6878.429347551242</x:v>
      </x:c>
      <x:c r="AE104" s="86" t="n">
        <x:f>F104*INDEX('Régions'!$Z$2:$AE$6,MATCH($B104,'Régions'!$A$2:$A$6,0),3)</x:f>
        <x:v>14975.295491379178</x:v>
      </x:c>
      <x:c r="AF104" s="86" t="n">
        <x:f>G104*INDEX('Régions'!$Z$2:$AE$6,MATCH($B104,'Régions'!$A$2:$A$6,0),4)</x:f>
        <x:v>13065.992644383035</x:v>
      </x:c>
      <x:c r="AG104" s="86" t="n">
        <x:f>H104*INDEX('Régions'!$Z$2:$AE$6,MATCH($B104,'Régions'!$A$2:$A$6,0),5)</x:f>
        <x:v>5886.8314669613765</x:v>
      </x:c>
      <x:c r="AH104" s="86" t="n">
        <x:f>I104*INDEX('Régions'!$Z$2:$AE$6,MATCH($B104,'Régions'!$A$2:$A$6,0),6)</x:f>
        <x:v>0</x:v>
      </x:c>
      <x:c r="AI104" s="86" t="n">
        <x:f>D104*INDEX('Régions'!$AF$2:$AK$6,MATCH($B104,'Régions'!$A$2:$A$6,0),1)</x:f>
        <x:v>13417.369114496782</x:v>
      </x:c>
      <x:c r="AJ104" s="86" t="n">
        <x:f>E104*INDEX('Régions'!$AF$2:$AK$6,MATCH($B104,'Régions'!$A$2:$A$6,0),2)</x:f>
        <x:v>4526.220347870506</x:v>
      </x:c>
      <x:c r="AK104" s="86" t="n">
        <x:f>F104*INDEX('Régions'!$AF$2:$AK$6,MATCH($B104,'Régions'!$A$2:$A$6,0),3)</x:f>
        <x:v>6228.662726502844</x:v>
      </x:c>
      <x:c r="AL104" s="86" t="n">
        <x:f>G104*INDEX('Régions'!$AF$2:$AK$6,MATCH($B104,'Régions'!$A$2:$A$6,0),4)</x:f>
        <x:v>10396.1613300509</x:v>
      </x:c>
      <x:c r="AM104" s="86" t="n">
        <x:f>H104*INDEX('Régions'!$AF$2:$AK$6,MATCH($B104,'Régions'!$A$2:$A$6,0),5)</x:f>
        <x:v>3972.886260954229</x:v>
      </x:c>
      <x:c r="AN104" s="86" t="n">
        <x:f>I104*INDEX('Régions'!$AF$2:$AK$6,MATCH($B104,'Régions'!$A$2:$A$6,0),6)</x:f>
        <x:v>0</x:v>
      </x:c>
      <x:c r="AO104" s="84" t="str">
        <x:f>IF(MAX(Q104:V104)=Q104,"CAQ",IF(MAX(Q104:V104)=R104,"PLQ",IF(MAX(Q104:V104)=S104,"QS",IF(MAX(Q104:V104)=T104,"PQ",IF(MAX(Q104:V104)=U104,"PCQ","Autre")))))</x:f>
        <x:v>CAQ</x:v>
      </x:c>
      <x:c r="AP104" s="84" t="str">
        <x:f>IF(MAX(W104:AB104)=W104,"CAQ",IF(MAX(W104:AB104)=X104,"PLQ",IF(MAX(W104:AB104)=Y104,"QS",IF(MAX(W104:AB104)=Z104,"PQ",IF(MAX(W104:AB104)=AA104,"PCQ","Autre")))))</x:f>
        <x:v>CAQ</x:v>
      </x:c>
      <x:c r="AQ104" s="84" t="str">
        <x:f>IF(MAX(AC104:AH104)=AC104,"CAQ",IF(MAX(AC104:AH104)=AD104,"PLQ",IF(MAX(AC104:AH104)=AE104,"QS",IF(MAX(AC104:AH104)=AF104,"PQ",IF(MAX(AC104:AH104)=AG104,"PCQ","Autre")))))</x:f>
        <x:v>CAQ</x:v>
      </x:c>
      <x:c r="AR104" s="84" t="str">
        <x:f>IF(MAX(AI104:AN104)=AI104,"CAQ",IF(MAX(AI104:AN104)=AJ104,"PLQ",IF(MAX(AI104:AN104)=AK104,"QS",IF(MAX(AI104:AN104)=AL104,"PQ",IF(MAX(AI104:AN104)=AM104,"PCQ","Autre")))))</x:f>
        <x:v>CAQ</x:v>
      </x:c>
      <x:c r="AS104" s="88" t="n">
        <x:f>(MAX(K104:P104)-LARGE(K104:P104,2))*100</x:f>
        <x:v>14.216863246814704</x:v>
      </x:c>
      <x:c r="AT104" s="84" t="str">
        <x:f>IF(AS104&lt;5,"Oui","Non")</x:f>
        <x:v>Non</x:v>
      </x:c>
      <x:c r="AU104" s="89" t="n">
        <x:v>8.85518324829706</x:v>
      </x:c>
      <x:c r="AV104" s="89" t="n">
        <x:v>0.7379680664683641</x:v>
      </x:c>
      <x:c r="AW104" s="89" t="n">
        <x:v>-0.022118061254036703</x:v>
      </x:c>
      <x:c r="AX104" s="90" t="n">
        <x:v>-2.9737513681210803</x:v>
      </x:c>
    </x:row>
    <x:row r="105">
      <x:c r="A105" s="83" t="str">
        <x:v>Saint-François</x:v>
      </x:c>
      <x:c r="B105" s="84" t="str">
        <x:v>Reste du Québec</x:v>
      </x:c>
      <x:c r="C105" s="84" t="str">
        <x:f>IF(MAX(D105:I105)=D105,"CAQ",IF(MAX(D105:I105)=E105,"PLQ",IF(MAX(D105:I105)=F105,"QS",IF(MAX(D105:I105)=G105,"PQ",IF(MAX(D105:I105)=H105,"PCQ","Autre")))))</x:f>
        <x:v>CAQ</x:v>
      </x:c>
      <x:c r="D105" s="85" t="n">
        <x:v>31805</x:v>
      </x:c>
      <x:c r="E105" s="85" t="n">
        <x:v>5927</x:v>
      </x:c>
      <x:c r="F105" s="85" t="n">
        <x:v>21150</x:v>
      </x:c>
      <x:c r="G105" s="85" t="n">
        <x:v>6832</x:v>
      </x:c>
      <x:c r="H105" s="85" t="n">
        <x:v>8776</x:v>
      </x:c>
      <x:c r="I105" s="85" t="n">
        <x:v>473</x:v>
      </x:c>
      <x:c r="J105" s="86" t="n">
        <x:f>SUM(D105:I105)</x:f>
        <x:v>74963</x:v>
      </x:c>
      <x:c r="K105" s="87" t="n">
        <x:f>IFERROR(D105/J105,0)</x:f>
        <x:v>0.42427597614823315</x:v>
      </x:c>
      <x:c r="L105" s="87" t="n">
        <x:f>IFERROR(E105/J105,0)</x:f>
        <x:v>0.0790656723983832</x:v>
      </x:c>
      <x:c r="M105" s="87" t="n">
        <x:f>IFERROR(F105/J105,0)</x:f>
        <x:v>0.28213918866640875</x:v>
      </x:c>
      <x:c r="N105" s="87" t="n">
        <x:f>IFERROR(G105/J105,0)</x:f>
        <x:v>0.0911382948921468</x:v>
      </x:c>
      <x:c r="O105" s="87" t="n">
        <x:f>IFERROR(H105/J105,0)</x:f>
        <x:v>0.11707108840361245</x:v>
      </x:c>
      <x:c r="P105" s="87" t="n">
        <x:f>IFERROR(I105/J105,0)</x:f>
        <x:v>0.006309779491215666</x:v>
      </x:c>
      <x:c r="Q105" s="86" t="n">
        <x:f>D105*INDEX('Régions'!$T$2:$Y$6,MATCH($B105,'Régions'!$A$2:$A$6,0),1)</x:f>
        <x:v>18774.137228884956</x:v>
      </x:c>
      <x:c r="R105" s="86" t="n">
        <x:f>E105*INDEX('Régions'!$T$2:$Y$6,MATCH($B105,'Régions'!$A$2:$A$6,0),2)</x:f>
        <x:v>13562.47165825937</x:v>
      </x:c>
      <x:c r="S105" s="86" t="n">
        <x:f>F105*INDEX('Régions'!$T$2:$Y$6,MATCH($B105,'Régions'!$A$2:$A$6,0),3)</x:f>
        <x:v>12700.756621586088</x:v>
      </x:c>
      <x:c r="T105" s="86" t="n">
        <x:f>G105*INDEX('Régions'!$T$2:$Y$6,MATCH($B105,'Régions'!$A$2:$A$6,0),4)</x:f>
        <x:v>11835.014467907016</x:v>
      </x:c>
      <x:c r="U105" s="86" t="n">
        <x:f>H105*INDEX('Régions'!$T$2:$Y$6,MATCH($B105,'Régions'!$A$2:$A$6,0),5)</x:f>
        <x:v>9893.537935077447</x:v>
      </x:c>
      <x:c r="V105" s="86" t="n">
        <x:f>I105*INDEX('Régions'!$T$2:$Y$6,MATCH($B105,'Régions'!$A$2:$A$6,0),6)</x:f>
        <x:v>1098.0980489555095</x:v>
      </x:c>
      <x:c r="W105" s="86" t="n">
        <x:f>MAX(0,Q105+(AU105/100)*J105*'Régions'!$O$2)</x:f>
        <x:v>19422.053645290554</x:v>
      </x:c>
      <x:c r="X105" s="86" t="n">
        <x:f>MAX(0,R105+(AV105/100)*J105*'Régions'!$O$2)</x:f>
        <x:v>12573.925882661713</x:v>
      </x:c>
      <x:c r="Y105" s="86" t="n">
        <x:f>MAX(0,S105+(AW105/100)*J105*'Régions'!$O$2)</x:f>
        <x:v>15191.781595497276</x:v>
      </x:c>
      <x:c r="Z105" s="86" t="n">
        <x:f>MAX(0,T105+(AX105/100)*J105*'Régions'!$O$2)</x:f>
        <x:v>10078.501668355191</x:v>
      </x:c>
      <x:c r="AA105" s="86" t="n">
        <x:f>U105</x:f>
        <x:v>9893.537935077447</x:v>
      </x:c>
      <x:c r="AB105" s="86" t="n">
        <x:f>V105</x:f>
        <x:v>1098.0980489555095</x:v>
      </x:c>
      <x:c r="AC105" s="86" t="n">
        <x:f>D105*INDEX('Régions'!$Z$2:$AE$6,MATCH($B105,'Régions'!$A$2:$A$6,0),1)</x:f>
        <x:v>20986.803402289257</x:v>
      </x:c>
      <x:c r="AD105" s="86" t="n">
        <x:f>E105*INDEX('Régions'!$Z$2:$AE$6,MATCH($B105,'Régions'!$A$2:$A$6,0),2)</x:f>
        <x:v>16359.731437775366</x:v>
      </x:c>
      <x:c r="AE105" s="86" t="n">
        <x:f>F105*INDEX('Régions'!$Z$2:$AE$6,MATCH($B105,'Régions'!$A$2:$A$6,0),3)</x:f>
        <x:v>17939.81872799035</x:v>
      </x:c>
      <x:c r="AF105" s="86" t="n">
        <x:f>G105*INDEX('Régions'!$Z$2:$AE$6,MATCH($B105,'Régions'!$A$2:$A$6,0),4)</x:f>
        <x:v>13181.757493565401</x:v>
      </x:c>
      <x:c r="AG105" s="86" t="n">
        <x:f>H105*INDEX('Régions'!$Z$2:$AE$6,MATCH($B105,'Régions'!$A$2:$A$6,0),5)</x:f>
        <x:v>11814.048240121892</x:v>
      </x:c>
      <x:c r="AH105" s="86" t="n">
        <x:f>I105*INDEX('Régions'!$Z$2:$AE$6,MATCH($B105,'Régions'!$A$2:$A$6,0),6)</x:f>
        <x:v>4721.821610508691</x:v>
      </x:c>
      <x:c r="AI105" s="86" t="n">
        <x:f>D105*INDEX('Régions'!$AF$2:$AK$6,MATCH($B105,'Régions'!$A$2:$A$6,0),1)</x:f>
        <x:v>16561.47105548066</x:v>
      </x:c>
      <x:c r="AJ105" s="86" t="n">
        <x:f>E105*INDEX('Régions'!$AF$2:$AK$6,MATCH($B105,'Régions'!$A$2:$A$6,0),2)</x:f>
        <x:v>10765.211878743376</x:v>
      </x:c>
      <x:c r="AK105" s="86" t="n">
        <x:f>F105*INDEX('Régions'!$AF$2:$AK$6,MATCH($B105,'Régions'!$A$2:$A$6,0),3)</x:f>
        <x:v>7461.694515181826</x:v>
      </x:c>
      <x:c r="AL105" s="86" t="n">
        <x:f>G105*INDEX('Régions'!$AF$2:$AK$6,MATCH($B105,'Régions'!$A$2:$A$6,0),4)</x:f>
        <x:v>10488.271442248633</x:v>
      </x:c>
      <x:c r="AM105" s="86" t="n">
        <x:f>H105*INDEX('Régions'!$AF$2:$AK$6,MATCH($B105,'Régions'!$A$2:$A$6,0),5)</x:f>
        <x:v>7973.027630033001</x:v>
      </x:c>
      <x:c r="AN105" s="86" t="n">
        <x:f>I105*INDEX('Régions'!$AF$2:$AK$6,MATCH($B105,'Régions'!$A$2:$A$6,0),6)</x:f>
        <x:v>0</x:v>
      </x:c>
      <x:c r="AO105" s="84" t="str">
        <x:f>IF(MAX(Q105:V105)=Q105,"CAQ",IF(MAX(Q105:V105)=R105,"PLQ",IF(MAX(Q105:V105)=S105,"QS",IF(MAX(Q105:V105)=T105,"PQ",IF(MAX(Q105:V105)=U105,"PCQ","Autre")))))</x:f>
        <x:v>CAQ</x:v>
      </x:c>
      <x:c r="AP105" s="84" t="str">
        <x:f>IF(MAX(W105:AB105)=W105,"CAQ",IF(MAX(W105:AB105)=X105,"PLQ",IF(MAX(W105:AB105)=Y105,"QS",IF(MAX(W105:AB105)=Z105,"PQ",IF(MAX(W105:AB105)=AA105,"PCQ","Autre")))))</x:f>
        <x:v>CAQ</x:v>
      </x:c>
      <x:c r="AQ105" s="84" t="str">
        <x:f>IF(MAX(AC105:AH105)=AC105,"CAQ",IF(MAX(AC105:AH105)=AD105,"PLQ",IF(MAX(AC105:AH105)=AE105,"QS",IF(MAX(AC105:AH105)=AF105,"PQ",IF(MAX(AC105:AH105)=AG105,"PCQ","Autre")))))</x:f>
        <x:v>CAQ</x:v>
      </x:c>
      <x:c r="AR105" s="84" t="str">
        <x:f>IF(MAX(AI105:AN105)=AI105,"CAQ",IF(MAX(AI105:AN105)=AJ105,"PLQ",IF(MAX(AI105:AN105)=AK105,"QS",IF(MAX(AI105:AN105)=AL105,"PQ",IF(MAX(AI105:AN105)=AM105,"PCQ","Autre")))))</x:f>
        <x:v>CAQ</x:v>
      </x:c>
      <x:c r="AS105" s="88" t="n">
        <x:f>(MAX(K105:P105)-LARGE(K105:P105,2))*100</x:f>
        <x:v>14.21367874818244</x:v>
      </x:c>
      <x:c r="AT105" s="84" t="str">
        <x:f>IF(AS105&lt;5,"Oui","Non")</x:f>
        <x:v>Non</x:v>
      </x:c>
      <x:c r="AU105" s="89" t="n">
        <x:v>1.7286299011661677</x:v>
      </x:c>
      <x:c r="AV105" s="89" t="n">
        <x:v>-2.637423197037625</x:v>
      </x:c>
      <x:c r="AW105" s="89" t="n">
        <x:v>6.646011962998244</x:v>
      </x:c>
      <x:c r="AX105" s="90" t="n">
        <x:v>-4.686346062862547</x:v>
      </x:c>
    </x:row>
    <x:row r="106">
      <x:c r="A106" s="83" t="str">
        <x:v>Saint-Henri-Sainte-Anne</x:v>
      </x:c>
      <x:c r="B106" s="84" t="str">
        <x:v>Île de Montréal</x:v>
      </x:c>
      <x:c r="C106" s="84" t="str">
        <x:f>IF(MAX(D106:I106)=D106,"CAQ",IF(MAX(D106:I106)=E106,"PLQ",IF(MAX(D106:I106)=F106,"QS",IF(MAX(D106:I106)=G106,"PQ",IF(MAX(D106:I106)=H106,"PCQ","Autre")))))</x:f>
        <x:v>PLQ</x:v>
      </x:c>
      <x:c r="D106" s="85" t="n">
        <x:v>12041</x:v>
      </x:c>
      <x:c r="E106" s="85" t="n">
        <x:v>24555</x:v>
      </x:c>
      <x:c r="F106" s="85" t="n">
        <x:v>18827</x:v>
      </x:c>
      <x:c r="G106" s="85" t="n">
        <x:v>6916</x:v>
      </x:c>
      <x:c r="H106" s="85" t="n">
        <x:v>4319</x:v>
      </x:c>
      <x:c r="I106" s="85" t="n">
        <x:v>1262</x:v>
      </x:c>
      <x:c r="J106" s="86" t="n">
        <x:f>SUM(D106:I106)</x:f>
        <x:v>67920</x:v>
      </x:c>
      <x:c r="K106" s="87" t="n">
        <x:f>IFERROR(D106/J106,0)</x:f>
        <x:v>0.17728209658421673</x:v>
      </x:c>
      <x:c r="L106" s="87" t="n">
        <x:f>IFERROR(E106/J106,0)</x:f>
        <x:v>0.36152826855123676</x:v>
      </x:c>
      <x:c r="M106" s="87" t="n">
        <x:f>IFERROR(F106/J106,0)</x:f>
        <x:v>0.2771937573616019</x:v>
      </x:c>
      <x:c r="N106" s="87" t="n">
        <x:f>IFERROR(G106/J106,0)</x:f>
        <x:v>0.10182567726737338</x:v>
      </x:c>
      <x:c r="O106" s="87" t="n">
        <x:f>IFERROR(H106/J106,0)</x:f>
        <x:v>0.06358951707891637</x:v>
      </x:c>
      <x:c r="P106" s="87" t="n">
        <x:f>IFERROR(I106/J106,0)</x:f>
        <x:v>0.018580683156654888</x:v>
      </x:c>
      <x:c r="Q106" s="86" t="n">
        <x:f>D106*INDEX('Régions'!$T$2:$Y$6,MATCH($B106,'Régions'!$A$2:$A$6,0),1)</x:f>
        <x:v>9018.559244769789</x:v>
      </x:c>
      <x:c r="R106" s="86" t="n">
        <x:f>E106*INDEX('Régions'!$T$2:$Y$6,MATCH($B106,'Régions'!$A$2:$A$6,0),2)</x:f>
        <x:v>24466.775564954143</x:v>
      </x:c>
      <x:c r="S106" s="86" t="n">
        <x:f>F106*INDEX('Régions'!$T$2:$Y$6,MATCH($B106,'Régions'!$A$2:$A$6,0),3)</x:f>
        <x:v>14511.588240743404</x:v>
      </x:c>
      <x:c r="T106" s="86" t="n">
        <x:f>G106*INDEX('Régions'!$T$2:$Y$6,MATCH($B106,'Régions'!$A$2:$A$6,0),4)</x:f>
        <x:v>13379.828643724282</x:v>
      </x:c>
      <x:c r="U106" s="86" t="n">
        <x:f>H106*INDEX('Régions'!$T$2:$Y$6,MATCH($B106,'Régions'!$A$2:$A$6,0),5)</x:f>
        <x:v>3442.5141106141787</x:v>
      </x:c>
      <x:c r="V106" s="86" t="n">
        <x:f>I106*INDEX('Régions'!$T$2:$Y$6,MATCH($B106,'Régions'!$A$2:$A$6,0),6)</x:f>
        <x:v>1866.0823095338685</x:v>
      </x:c>
      <x:c r="W106" s="86" t="n">
        <x:f>MAX(0,Q106+(AU106/100)*J106*'Régions'!$O$2)</x:f>
        <x:v>8071.073874491043</x:v>
      </x:c>
      <x:c r="X106" s="86" t="n">
        <x:f>MAX(0,R106+(AV106/100)*J106*'Régions'!$O$2)</x:f>
        <x:v>26575.306991263267</x:v>
      </x:c>
      <x:c r="Y106" s="86" t="n">
        <x:f>MAX(0,S106+(AW106/100)*J106*'Régions'!$O$2)</x:f>
        <x:v>15665.018422352252</x:v>
      </x:c>
      <x:c r="Z106" s="86" t="n">
        <x:f>MAX(0,T106+(AX106/100)*J106*'Régions'!$O$2)</x:f>
        <x:v>12673.31823981687</x:v>
      </x:c>
      <x:c r="AA106" s="86" t="n">
        <x:f>U106</x:f>
        <x:v>3442.5141106141787</x:v>
      </x:c>
      <x:c r="AB106" s="86" t="n">
        <x:f>V106</x:f>
        <x:v>1866.0823095338685</x:v>
      </x:c>
      <x:c r="AC106" s="86" t="n">
        <x:f>D106*INDEX('Régions'!$Z$2:$AE$6,MATCH($B106,'Régions'!$A$2:$A$6,0),1)</x:f>
        <x:v>11002.642278619143</x:v>
      </x:c>
      <x:c r="AD106" s="86" t="n">
        <x:f>E106*INDEX('Régions'!$Z$2:$AE$6,MATCH($B106,'Régions'!$A$2:$A$6,0),2)</x:f>
        <x:v>26841.49201684675</x:v>
      </x:c>
      <x:c r="AE106" s="86" t="n">
        <x:f>F106*INDEX('Régions'!$Z$2:$AE$6,MATCH($B106,'Régions'!$A$2:$A$6,0),3)</x:f>
        <x:v>17328.54360512301</x:v>
      </x:c>
      <x:c r="AF106" s="86" t="n">
        <x:f>G106*INDEX('Régions'!$Z$2:$AE$6,MATCH($B106,'Régions'!$A$2:$A$6,0),4)</x:f>
        <x:v>15219.555082236371</x:v>
      </x:c>
      <x:c r="AG106" s="86" t="n">
        <x:f>H106*INDEX('Régions'!$Z$2:$AE$6,MATCH($B106,'Régions'!$A$2:$A$6,0),5)</x:f>
        <x:v>4862.551181242528</x:v>
      </x:c>
      <x:c r="AH106" s="86" t="n">
        <x:f>I106*INDEX('Régions'!$Z$2:$AE$6,MATCH($B106,'Régions'!$A$2:$A$6,0),6)</x:f>
        <x:v>4945.118120264751</x:v>
      </x:c>
      <x:c r="AI106" s="86" t="n">
        <x:f>D106*INDEX('Régions'!$AF$2:$AK$6,MATCH($B106,'Régions'!$A$2:$A$6,0),1)</x:f>
        <x:v>7034.476210920436</x:v>
      </x:c>
      <x:c r="AJ106" s="86" t="n">
        <x:f>E106*INDEX('Régions'!$AF$2:$AK$6,MATCH($B106,'Régions'!$A$2:$A$6,0),2)</x:f>
        <x:v>22092.059113061532</x:v>
      </x:c>
      <x:c r="AK106" s="86" t="n">
        <x:f>F106*INDEX('Régions'!$AF$2:$AK$6,MATCH($B106,'Régions'!$A$2:$A$6,0),3)</x:f>
        <x:v>11694.632876363801</x:v>
      </x:c>
      <x:c r="AL106" s="86" t="n">
        <x:f>G106*INDEX('Régions'!$AF$2:$AK$6,MATCH($B106,'Régions'!$A$2:$A$6,0),4)</x:f>
        <x:v>11540.102205212192</x:v>
      </x:c>
      <x:c r="AM106" s="86" t="n">
        <x:f>H106*INDEX('Régions'!$AF$2:$AK$6,MATCH($B106,'Régions'!$A$2:$A$6,0),5)</x:f>
        <x:v>2022.4770399858303</x:v>
      </x:c>
      <x:c r="AN106" s="86" t="n">
        <x:f>I106*INDEX('Régions'!$AF$2:$AK$6,MATCH($B106,'Régions'!$A$2:$A$6,0),6)</x:f>
        <x:v>0</x:v>
      </x:c>
      <x:c r="AO106" s="84" t="str">
        <x:f>IF(MAX(Q106:V106)=Q106,"CAQ",IF(MAX(Q106:V106)=R106,"PLQ",IF(MAX(Q106:V106)=S106,"QS",IF(MAX(Q106:V106)=T106,"PQ",IF(MAX(Q106:V106)=U106,"PCQ","Autre")))))</x:f>
        <x:v>PLQ</x:v>
      </x:c>
      <x:c r="AP106" s="84" t="str">
        <x:f>IF(MAX(W106:AB106)=W106,"CAQ",IF(MAX(W106:AB106)=X106,"PLQ",IF(MAX(W106:AB106)=Y106,"QS",IF(MAX(W106:AB106)=Z106,"PQ",IF(MAX(W106:AB106)=AA106,"PCQ","Autre")))))</x:f>
        <x:v>PLQ</x:v>
      </x:c>
      <x:c r="AQ106" s="84" t="str">
        <x:f>IF(MAX(AC106:AH106)=AC106,"CAQ",IF(MAX(AC106:AH106)=AD106,"PLQ",IF(MAX(AC106:AH106)=AE106,"QS",IF(MAX(AC106:AH106)=AF106,"PQ",IF(MAX(AC106:AH106)=AG106,"PCQ","Autre")))))</x:f>
        <x:v>PLQ</x:v>
      </x:c>
      <x:c r="AR106" s="84" t="str">
        <x:f>IF(MAX(AI106:AN106)=AI106,"CAQ",IF(MAX(AI106:AN106)=AJ106,"PLQ",IF(MAX(AI106:AN106)=AK106,"QS",IF(MAX(AI106:AN106)=AL106,"PQ",IF(MAX(AI106:AN106)=AM106,"PCQ","Autre")))))</x:f>
        <x:v>PLQ</x:v>
      </x:c>
      <x:c r="AS106" s="88" t="n">
        <x:f>(MAX(K106:P106)-LARGE(K106:P106,2))*100</x:f>
        <x:v>8.433451118963486</x:v>
      </x:c>
      <x:c r="AT106" s="84" t="str">
        <x:f>IF(AS106&lt;5,"Oui","Non")</x:f>
        <x:v>Non</x:v>
      </x:c>
      <x:c r="AU106" s="89" t="n">
        <x:v>-2.7900040349786384</x:v>
      </x:c>
      <x:c r="AV106" s="89" t="n">
        <x:v>6.208867568636994</x:v>
      </x:c>
      <x:c r="AW106" s="89" t="n">
        <x:v>3.396437519460682</x:v>
      </x:c>
      <x:c r="AX106" s="90" t="n">
        <x:v>-2.0804193283492687</x:v>
      </x:c>
    </x:row>
    <x:row r="107">
      <x:c r="A107" s="83" t="str">
        <x:v>Saint-Hyacinthe</x:v>
      </x:c>
      <x:c r="B107" s="84" t="str">
        <x:v>Reste du Québec</x:v>
      </x:c>
      <x:c r="C107" s="84" t="str">
        <x:f>IF(MAX(D107:I107)=D107,"CAQ",IF(MAX(D107:I107)=E107,"PLQ",IF(MAX(D107:I107)=F107,"QS",IF(MAX(D107:I107)=G107,"PQ",IF(MAX(D107:I107)=H107,"PCQ","Autre")))))</x:f>
        <x:v>CAQ</x:v>
      </x:c>
      <x:c r="D107" s="85" t="n">
        <x:v>41883</x:v>
      </x:c>
      <x:c r="E107" s="85" t="n">
        <x:v>3253</x:v>
      </x:c>
      <x:c r="F107" s="85" t="n">
        <x:v>10629</x:v>
      </x:c>
      <x:c r="G107" s="85" t="n">
        <x:v>13501</x:v>
      </x:c>
      <x:c r="H107" s="85" t="n">
        <x:v>7475</x:v>
      </x:c>
      <x:c r="I107" s="85" t="n">
        <x:v>556</x:v>
      </x:c>
      <x:c r="J107" s="86" t="n">
        <x:f>SUM(D107:I107)</x:f>
        <x:v>77297</x:v>
      </x:c>
      <x:c r="K107" s="87" t="n">
        <x:f>IFERROR(D107/J107,0)</x:f>
        <x:v>0.5418450910125878</x:v>
      </x:c>
      <x:c r="L107" s="87" t="n">
        <x:f>IFERROR(E107/J107,0)</x:f>
        <x:v>0.0420844275974488</x:v>
      </x:c>
      <x:c r="M107" s="87" t="n">
        <x:f>IFERROR(F107/J107,0)</x:f>
        <x:v>0.13750857083716056</x:v>
      </x:c>
      <x:c r="N107" s="87" t="n">
        <x:f>IFERROR(G107/J107,0)</x:f>
        <x:v>0.17466395849774247</x:v>
      </x:c>
      <x:c r="O107" s="87" t="n">
        <x:f>IFERROR(H107/J107,0)</x:f>
        <x:v>0.09670491739653544</x:v>
      </x:c>
      <x:c r="P107" s="87" t="n">
        <x:f>IFERROR(I107/J107,0)</x:f>
        <x:v>0.00719303465852491</x:v>
      </x:c>
      <x:c r="Q107" s="86" t="n">
        <x:f>D107*INDEX('Régions'!$T$2:$Y$6,MATCH($B107,'Régions'!$A$2:$A$6,0),1)</x:f>
        <x:v>24723.068371557572</x:v>
      </x:c>
      <x:c r="R107" s="86" t="n">
        <x:f>E107*INDEX('Régions'!$T$2:$Y$6,MATCH($B107,'Régions'!$A$2:$A$6,0),2)</x:f>
        <x:v>7443.684883468488</x:v>
      </x:c>
      <x:c r="S107" s="86" t="n">
        <x:f>F107*INDEX('Régions'!$T$2:$Y$6,MATCH($B107,'Régions'!$A$2:$A$6,0),3)</x:f>
        <x:v>6382.805774507732</x:v>
      </x:c>
      <x:c r="T107" s="86" t="n">
        <x:f>G107*INDEX('Régions'!$T$2:$Y$6,MATCH($B107,'Régions'!$A$2:$A$6,0),4)</x:f>
        <x:v>23387.665446606065</x:v>
      </x:c>
      <x:c r="U107" s="86" t="n">
        <x:f>H107*INDEX('Régions'!$T$2:$Y$6,MATCH($B107,'Régions'!$A$2:$A$6,0),5)</x:f>
        <x:v>8426.868284492242</x:v>
      </x:c>
      <x:c r="V107" s="86" t="n">
        <x:f>I107*INDEX('Régions'!$T$2:$Y$6,MATCH($B107,'Régions'!$A$2:$A$6,0),6)</x:f>
        <x:v>1290.7875586030937</x:v>
      </x:c>
      <x:c r="W107" s="86" t="n">
        <x:f>MAX(0,Q107+(AU107/100)*J107*'Régions'!$O$2)</x:f>
        <x:v>23381.100591336384</x:v>
      </x:c>
      <x:c r="X107" s="86" t="n">
        <x:f>MAX(0,R107+(AV107/100)*J107*'Régions'!$O$2)</x:f>
        <x:v>8624.513325314072</x:v>
      </x:c>
      <x:c r="Y107" s="86" t="n">
        <x:f>MAX(0,S107+(AW107/100)*J107*'Régions'!$O$2)</x:f>
        <x:v>5696.519848648875</x:v>
      </x:c>
      <x:c r="Z107" s="86" t="n">
        <x:f>MAX(0,T107+(AX107/100)*J107*'Régions'!$O$2)</x:f>
        <x:v>25860.220535300625</x:v>
      </x:c>
      <x:c r="AA107" s="86" t="n">
        <x:f>U107</x:f>
        <x:v>8426.868284492242</x:v>
      </x:c>
      <x:c r="AB107" s="86" t="n">
        <x:f>V107</x:f>
        <x:v>1290.7875586030937</x:v>
      </x:c>
      <x:c r="AC107" s="86" t="n">
        <x:f>D107*INDEX('Régions'!$Z$2:$AE$6,MATCH($B107,'Régions'!$A$2:$A$6,0),1)</x:f>
        <x:v>27636.858572491146</x:v>
      </x:c>
      <x:c r="AD107" s="86" t="n">
        <x:f>E107*INDEX('Régions'!$Z$2:$AE$6,MATCH($B107,'Régions'!$A$2:$A$6,0),2)</x:f>
        <x:v>8978.944890683864</x:v>
      </x:c>
      <x:c r="AE107" s="86" t="n">
        <x:f>F107*INDEX('Régions'!$Z$2:$AE$6,MATCH($B107,'Régions'!$A$2:$A$6,0),3)</x:f>
        <x:v>9015.713156492171</x:v>
      </x:c>
      <x:c r="AF107" s="86" t="n">
        <x:f>G107*INDEX('Régions'!$Z$2:$AE$6,MATCH($B107,'Régions'!$A$2:$A$6,0),4)</x:f>
        <x:v>26049.020480185372</x:v>
      </x:c>
      <x:c r="AG107" s="86" t="n">
        <x:f>H107*INDEX('Régions'!$Z$2:$AE$6,MATCH($B107,'Régions'!$A$2:$A$6,0),5)</x:f>
        <x:v>10062.6721279525</x:v>
      </x:c>
      <x:c r="AH107" s="86" t="n">
        <x:f>I107*INDEX('Régions'!$Z$2:$AE$6,MATCH($B107,'Régions'!$A$2:$A$6,0),6)</x:f>
        <x:v>5550.386501993303</x:v>
      </x:c>
      <x:c r="AI107" s="86" t="n">
        <x:f>D107*INDEX('Régions'!$AF$2:$AK$6,MATCH($B107,'Régions'!$A$2:$A$6,0),1)</x:f>
        <x:v>21809.278170624002</x:v>
      </x:c>
      <x:c r="AJ107" s="86" t="n">
        <x:f>E107*INDEX('Régions'!$AF$2:$AK$6,MATCH($B107,'Régions'!$A$2:$A$6,0),2)</x:f>
        <x:v>5908.424876253112</x:v>
      </x:c>
      <x:c r="AK107" s="86" t="n">
        <x:f>F107*INDEX('Régions'!$AF$2:$AK$6,MATCH($B107,'Régions'!$A$2:$A$6,0),3)</x:f>
        <x:v>3749.8983925232924</x:v>
      </x:c>
      <x:c r="AL107" s="86" t="n">
        <x:f>G107*INDEX('Régions'!$AF$2:$AK$6,MATCH($B107,'Régions'!$A$2:$A$6,0),4)</x:f>
        <x:v>20726.310413026757</x:v>
      </x:c>
      <x:c r="AM107" s="86" t="n">
        <x:f>H107*INDEX('Régions'!$AF$2:$AK$6,MATCH($B107,'Régions'!$A$2:$A$6,0),5)</x:f>
        <x:v>6791.064441031983</x:v>
      </x:c>
      <x:c r="AN107" s="86" t="n">
        <x:f>I107*INDEX('Régions'!$AF$2:$AK$6,MATCH($B107,'Régions'!$A$2:$A$6,0),6)</x:f>
        <x:v>0</x:v>
      </x:c>
      <x:c r="AO107" s="84" t="str">
        <x:f>IF(MAX(Q107:V107)=Q107,"CAQ",IF(MAX(Q107:V107)=R107,"PLQ",IF(MAX(Q107:V107)=S107,"QS",IF(MAX(Q107:V107)=T107,"PQ",IF(MAX(Q107:V107)=U107,"PCQ","Autre")))))</x:f>
        <x:v>CAQ</x:v>
      </x:c>
      <x:c r="AP107" s="84" t="str">
        <x:f>IF(MAX(W107:AB107)=W107,"CAQ",IF(MAX(W107:AB107)=X107,"PLQ",IF(MAX(W107:AB107)=Y107,"QS",IF(MAX(W107:AB107)=Z107,"PQ",IF(MAX(W107:AB107)=AA107,"PCQ","Autre")))))</x:f>
        <x:v>PQ</x:v>
      </x:c>
      <x:c r="AQ107" s="84" t="str">
        <x:f>IF(MAX(AC107:AH107)=AC107,"CAQ",IF(MAX(AC107:AH107)=AD107,"PLQ",IF(MAX(AC107:AH107)=AE107,"QS",IF(MAX(AC107:AH107)=AF107,"PQ",IF(MAX(AC107:AH107)=AG107,"PCQ","Autre")))))</x:f>
        <x:v>CAQ</x:v>
      </x:c>
      <x:c r="AR107" s="84" t="str">
        <x:f>IF(MAX(AI107:AN107)=AI107,"CAQ",IF(MAX(AI107:AN107)=AJ107,"PLQ",IF(MAX(AI107:AN107)=AK107,"QS",IF(MAX(AI107:AN107)=AL107,"PQ",IF(MAX(AI107:AN107)=AM107,"PCQ","Autre")))))</x:f>
        <x:v>CAQ</x:v>
      </x:c>
      <x:c r="AS107" s="88" t="n">
        <x:f>(MAX(K107:P107)-LARGE(K107:P107,2))*100</x:f>
        <x:v>36.71811325148454</x:v>
      </x:c>
      <x:c r="AT107" s="84" t="str">
        <x:f>IF(AS107&lt;5,"Oui","Non")</x:f>
        <x:v>Non</x:v>
      </x:c>
      <x:c r="AU107" s="89" t="n">
        <x:v>-3.4722376812067415</x:v>
      </x:c>
      <x:c r="AV107" s="89" t="n">
        <x:v>3.0553021251680774</x:v>
      </x:c>
      <x:c r="AW107" s="89" t="n">
        <x:v>-1.7757116727915885</x:v>
      </x:c>
      <x:c r="AX107" s="90" t="n">
        <x:v>6.397544765500757</x:v>
      </x:c>
    </x:row>
    <x:row r="108">
      <x:c r="A108" s="83" t="str">
        <x:v>Saint-Jean</x:v>
      </x:c>
      <x:c r="B108" s="84" t="str">
        <x:v>Banlieue de Montréal</x:v>
      </x:c>
      <x:c r="C108" s="84" t="str">
        <x:f>IF(MAX(D108:I108)=D108,"CAQ",IF(MAX(D108:I108)=E108,"PLQ",IF(MAX(D108:I108)=F108,"QS",IF(MAX(D108:I108)=G108,"PQ",IF(MAX(D108:I108)=H108,"PCQ","Autre")))))</x:f>
        <x:v>CAQ</x:v>
      </x:c>
      <x:c r="D108" s="85" t="n">
        <x:v>42583</x:v>
      </x:c>
      <x:c r="E108" s="85" t="n">
        <x:v>5026</x:v>
      </x:c>
      <x:c r="F108" s="85" t="n">
        <x:v>12410</x:v>
      </x:c>
      <x:c r="G108" s="85" t="n">
        <x:v>16160</x:v>
      </x:c>
      <x:c r="H108" s="85" t="n">
        <x:v>7059</x:v>
      </x:c>
      <x:c r="I108" s="85" t="n">
        <x:v>829</x:v>
      </x:c>
      <x:c r="J108" s="86" t="n">
        <x:f>SUM(D108:I108)</x:f>
        <x:v>84067</x:v>
      </x:c>
      <x:c r="K108" s="87" t="n">
        <x:f>IFERROR(D108/J108,0)</x:f>
        <x:v>0.5065364530671964</x:v>
      </x:c>
      <x:c r="L108" s="87" t="n">
        <x:f>IFERROR(E108/J108,0)</x:f>
        <x:v>0.05978564716238238</x:v>
      </x:c>
      <x:c r="M108" s="87" t="n">
        <x:f>IFERROR(F108/J108,0)</x:f>
        <x:v>0.14762035043477226</x:v>
      </x:c>
      <x:c r="N108" s="87" t="n">
        <x:f>IFERROR(G108/J108,0)</x:f>
        <x:v>0.19222762796341014</x:v>
      </x:c>
      <x:c r="O108" s="87" t="n">
        <x:f>IFERROR(H108/J108,0)</x:f>
        <x:v>0.08396873921990793</x:v>
      </x:c>
      <x:c r="P108" s="87" t="n">
        <x:f>IFERROR(I108/J108,0)</x:f>
        <x:v>0.009861182152330878</x:v>
      </x:c>
      <x:c r="Q108" s="86" t="n">
        <x:f>D108*INDEX('Régions'!$T$2:$Y$6,MATCH($B108,'Régions'!$A$2:$A$6,0),1)</x:f>
        <x:v>30105.724806875845</x:v>
      </x:c>
      <x:c r="R108" s="86" t="n">
        <x:f>E108*INDEX('Régions'!$T$2:$Y$6,MATCH($B108,'Régions'!$A$2:$A$6,0),2)</x:f>
        <x:v>6429.558697811222</x:v>
      </x:c>
      <x:c r="S108" s="86" t="n">
        <x:f>F108*INDEX('Régions'!$T$2:$Y$6,MATCH($B108,'Régions'!$A$2:$A$6,0),3)</x:f>
        <x:v>6268.337200875972</x:v>
      </x:c>
      <x:c r="T108" s="86" t="n">
        <x:f>G108*INDEX('Régions'!$T$2:$Y$6,MATCH($B108,'Régions'!$A$2:$A$6,0),4)</x:f>
        <x:v>30131.940967287646</x:v>
      </x:c>
      <x:c r="U108" s="86" t="n">
        <x:f>H108*INDEX('Régions'!$T$2:$Y$6,MATCH($B108,'Régions'!$A$2:$A$6,0),5)</x:f>
        <x:v>8261.39765737888</x:v>
      </x:c>
      <x:c r="V108" s="86" t="n">
        <x:f>I108*INDEX('Régions'!$T$2:$Y$6,MATCH($B108,'Régions'!$A$2:$A$6,0),6)</x:f>
        <x:v>1779.9001377267678</x:v>
      </x:c>
      <x:c r="W108" s="86" t="n">
        <x:f>MAX(0,Q108+(AU108/100)*J108*'Régions'!$O$2)</x:f>
        <x:v>33536.97835425918</x:v>
      </x:c>
      <x:c r="X108" s="86" t="n">
        <x:f>MAX(0,R108+(AV108/100)*J108*'Régions'!$O$2)</x:f>
        <x:v>6761.341644359544</x:v>
      </x:c>
      <x:c r="Y108" s="86" t="n">
        <x:f>MAX(0,S108+(AW108/100)*J108*'Régions'!$O$2)</x:f>
        <x:v>6699.987995957511</x:v>
      </x:c>
      <x:c r="Z108" s="86" t="n">
        <x:f>MAX(0,T108+(AX108/100)*J108*'Régions'!$O$2)</x:f>
        <x:v>26204.699227943194</x:v>
      </x:c>
      <x:c r="AA108" s="86" t="n">
        <x:f>U108</x:f>
        <x:v>8261.39765737888</x:v>
      </x:c>
      <x:c r="AB108" s="86" t="n">
        <x:f>V108</x:f>
        <x:v>1779.9001377267678</x:v>
      </x:c>
      <x:c r="AC108" s="86" t="n">
        <x:f>D108*INDEX('Régions'!$Z$2:$AE$6,MATCH($B108,'Régions'!$A$2:$A$6,0),1)</x:f>
        <x:v>33210.37767758492</x:v>
      </x:c>
      <x:c r="AD108" s="86" t="n">
        <x:f>E108*INDEX('Régions'!$Z$2:$AE$6,MATCH($B108,'Régions'!$A$2:$A$6,0),2)</x:f>
        <x:v>7608.311125743278</x:v>
      </x:c>
      <x:c r="AE108" s="86" t="n">
        <x:f>F108*INDEX('Régions'!$Z$2:$AE$6,MATCH($B108,'Régions'!$A$2:$A$6,0),3)</x:f>
        <x:v>9223.410452717502</x:v>
      </x:c>
      <x:c r="AF108" s="86" t="n">
        <x:f>G108*INDEX('Régions'!$Z$2:$AE$6,MATCH($B108,'Régions'!$A$2:$A$6,0),4)</x:f>
        <x:v>33446.45447368928</x:v>
      </x:c>
      <x:c r="AG108" s="86" t="n">
        <x:f>H108*INDEX('Régions'!$Z$2:$AE$6,MATCH($B108,'Régions'!$A$2:$A$6,0),5)</x:f>
        <x:v>10533.282013158072</x:v>
      </x:c>
      <x:c r="AH108" s="86" t="n">
        <x:f>I108*INDEX('Régions'!$Z$2:$AE$6,MATCH($B108,'Régions'!$A$2:$A$6,0),6)</x:f>
        <x:v>7653.570592225102</x:v>
      </x:c>
      <x:c r="AI108" s="86" t="n">
        <x:f>D108*INDEX('Régions'!$AF$2:$AK$6,MATCH($B108,'Régions'!$A$2:$A$6,0),1)</x:f>
        <x:v>27001.071936166776</x:v>
      </x:c>
      <x:c r="AJ108" s="86" t="n">
        <x:f>E108*INDEX('Régions'!$AF$2:$AK$6,MATCH($B108,'Régions'!$A$2:$A$6,0),2)</x:f>
        <x:v>5250.806269879165</x:v>
      </x:c>
      <x:c r="AK108" s="86" t="n">
        <x:f>F108*INDEX('Régions'!$AF$2:$AK$6,MATCH($B108,'Régions'!$A$2:$A$6,0),3)</x:f>
        <x:v>3313.2639490344427</x:v>
      </x:c>
      <x:c r="AL108" s="86" t="n">
        <x:f>G108*INDEX('Régions'!$AF$2:$AK$6,MATCH($B108,'Régions'!$A$2:$A$6,0),4)</x:f>
        <x:v>26817.427460886003</x:v>
      </x:c>
      <x:c r="AM108" s="86" t="n">
        <x:f>H108*INDEX('Régions'!$AF$2:$AK$6,MATCH($B108,'Régions'!$A$2:$A$6,0),5)</x:f>
        <x:v>5989.513301599687</x:v>
      </x:c>
      <x:c r="AN108" s="86" t="n">
        <x:f>I108*INDEX('Régions'!$AF$2:$AK$6,MATCH($B108,'Régions'!$A$2:$A$6,0),6)</x:f>
        <x:v>0</x:v>
      </x:c>
      <x:c r="AO108" s="84" t="str">
        <x:f>IF(MAX(Q108:V108)=Q108,"CAQ",IF(MAX(Q108:V108)=R108,"PLQ",IF(MAX(Q108:V108)=S108,"QS",IF(MAX(Q108:V108)=T108,"PQ",IF(MAX(Q108:V108)=U108,"PCQ","Autre")))))</x:f>
        <x:v>PQ</x:v>
      </x:c>
      <x:c r="AP108" s="84" t="str">
        <x:f>IF(MAX(W108:AB108)=W108,"CAQ",IF(MAX(W108:AB108)=X108,"PLQ",IF(MAX(W108:AB108)=Y108,"QS",IF(MAX(W108:AB108)=Z108,"PQ",IF(MAX(W108:AB108)=AA108,"PCQ","Autre")))))</x:f>
        <x:v>CAQ</x:v>
      </x:c>
      <x:c r="AQ108" s="84" t="str">
        <x:f>IF(MAX(AC108:AH108)=AC108,"CAQ",IF(MAX(AC108:AH108)=AD108,"PLQ",IF(MAX(AC108:AH108)=AE108,"QS",IF(MAX(AC108:AH108)=AF108,"PQ",IF(MAX(AC108:AH108)=AG108,"PCQ","Autre")))))</x:f>
        <x:v>PQ</x:v>
      </x:c>
      <x:c r="AR108" s="84" t="str">
        <x:f>IF(MAX(AI108:AN108)=AI108,"CAQ",IF(MAX(AI108:AN108)=AJ108,"PLQ",IF(MAX(AI108:AN108)=AK108,"QS",IF(MAX(AI108:AN108)=AL108,"PQ",IF(MAX(AI108:AN108)=AM108,"PCQ","Autre")))))</x:f>
        <x:v>CAQ</x:v>
      </x:c>
      <x:c r="AS108" s="88" t="n">
        <x:f>(MAX(K108:P108)-LARGE(K108:P108,2))*100</x:f>
        <x:v>31.430882510378627</x:v>
      </x:c>
      <x:c r="AT108" s="84" t="str">
        <x:f>IF(AS108&lt;5,"Oui","Non")</x:f>
        <x:v>Non</x:v>
      </x:c>
      <x:c r="AU108" s="89" t="n">
        <x:v>8.163140227160099</x:v>
      </x:c>
      <x:c r="AV108" s="89" t="n">
        <x:v>0.7893298120506778</x:v>
      </x:c>
      <x:c r="AW108" s="89" t="n">
        <x:v>1.0269208966218357</x:v>
      </x:c>
      <x:c r="AX108" s="90" t="n">
        <x:v>-9.343123316746052</x:v>
      </x:c>
    </x:row>
    <x:row r="109">
      <x:c r="A109" s="83" t="str">
        <x:v>Saint-Jérôme</x:v>
      </x:c>
      <x:c r="B109" s="84" t="str">
        <x:v>Reste du Québec</x:v>
      </x:c>
      <x:c r="C109" s="84" t="str">
        <x:f>IF(MAX(D109:I109)=D109,"CAQ",IF(MAX(D109:I109)=E109,"PLQ",IF(MAX(D109:I109)=F109,"QS",IF(MAX(D109:I109)=G109,"PQ",IF(MAX(D109:I109)=H109,"PCQ","Autre")))))</x:f>
        <x:v>CAQ</x:v>
      </x:c>
      <x:c r="D109" s="85" t="n">
        <x:v>29456</x:v>
      </x:c>
      <x:c r="E109" s="85" t="n">
        <x:v>2666</x:v>
      </x:c>
      <x:c r="F109" s="85" t="n">
        <x:v>9200</x:v>
      </x:c>
      <x:c r="G109" s="85" t="n">
        <x:v>11830</x:v>
      </x:c>
      <x:c r="H109" s="85" t="n">
        <x:v>5737</x:v>
      </x:c>
      <x:c r="I109" s="85" t="n">
        <x:v>0</x:v>
      </x:c>
      <x:c r="J109" s="86" t="n">
        <x:f>SUM(D109:I109)</x:f>
        <x:v>58889</x:v>
      </x:c>
      <x:c r="K109" s="87" t="n">
        <x:f>IFERROR(D109/J109,0)</x:f>
        <x:v>0.5001952826504101</x:v>
      </x:c>
      <x:c r="L109" s="87" t="n">
        <x:f>IFERROR(E109/J109,0)</x:f>
        <x:v>0.045271612695070386</x:v>
      </x:c>
      <x:c r="M109" s="87" t="n">
        <x:f>IFERROR(F109/J109,0)</x:f>
        <x:v>0.15622612032807484</x:v>
      </x:c>
      <x:c r="N109" s="87" t="n">
        <x:f>IFERROR(G109/J109,0)</x:f>
        <x:v>0.20088641342186148</x:v>
      </x:c>
      <x:c r="O109" s="87" t="n">
        <x:f>IFERROR(H109/J109,0)</x:f>
        <x:v>0.0974205709045832</x:v>
      </x:c>
      <x:c r="P109" s="87" t="n">
        <x:f>IFERROR(I109/J109,0)</x:f>
        <x:v>0</x:v>
      </x:c>
      <x:c r="Q109" s="86" t="n">
        <x:f>D109*INDEX('Régions'!$T$2:$Y$6,MATCH($B109,'Régions'!$A$2:$A$6,0),1)</x:f>
        <x:v>17387.548694042925</x:v>
      </x:c>
      <x:c r="R109" s="86" t="n">
        <x:f>E109*INDEX('Régions'!$T$2:$Y$6,MATCH($B109,'Régions'!$A$2:$A$6,0),2)</x:f>
        <x:v>6100.480756018133</x:v>
      </x:c>
      <x:c r="S109" s="86" t="n">
        <x:f>F109*INDEX('Régions'!$T$2:$Y$6,MATCH($B109,'Régions'!$A$2:$A$6,0),3)</x:f>
        <x:v>5524.679003243121</x:v>
      </x:c>
      <x:c r="T109" s="86" t="n">
        <x:f>G109*INDEX('Régions'!$T$2:$Y$6,MATCH($B109,'Régions'!$A$2:$A$6,0),4)</x:f>
        <x:v>20493.006609388176</x:v>
      </x:c>
      <x:c r="U109" s="86" t="n">
        <x:f>H109*INDEX('Régions'!$T$2:$Y$6,MATCH($B109,'Régions'!$A$2:$A$6,0),5)</x:f>
        <x:v>6467.550949582876</x:v>
      </x:c>
      <x:c r="V109" s="86" t="n">
        <x:f>I109*INDEX('Régions'!$T$2:$Y$6,MATCH($B109,'Régions'!$A$2:$A$6,0),6)</x:f>
        <x:v>0</x:v>
      </x:c>
      <x:c r="W109" s="86" t="n">
        <x:f>MAX(0,Q109+(AU109/100)*J109*'Régions'!$O$2)</x:f>
        <x:v>17479.52453173048</x:v>
      </x:c>
      <x:c r="X109" s="86" t="n">
        <x:f>MAX(0,R109+(AV109/100)*J109*'Régions'!$O$2)</x:f>
        <x:v>8547.794592457125</x:v>
      </x:c>
      <x:c r="Y109" s="86" t="n">
        <x:f>MAX(0,S109+(AW109/100)*J109*'Régions'!$O$2)</x:f>
        <x:v>5785.575995130812</x:v>
      </x:c>
      <x:c r="Z109" s="86" t="n">
        <x:f>MAX(0,T109+(AX109/100)*J109*'Régions'!$O$2)</x:f>
        <x:v>19221.963138784587</x:v>
      </x:c>
      <x:c r="AA109" s="86" t="n">
        <x:f>U109</x:f>
        <x:v>6467.550949582876</x:v>
      </x:c>
      <x:c r="AB109" s="86" t="n">
        <x:f>V109</x:f>
        <x:v>0</x:v>
      </x:c>
      <x:c r="AC109" s="86" t="n">
        <x:f>D109*INDEX('Régions'!$Z$2:$AE$6,MATCH($B109,'Régions'!$A$2:$A$6,0),1)</x:f>
        <x:v>19436.795504412272</x:v>
      </x:c>
      <x:c r="AD109" s="86" t="n">
        <x:f>E109*INDEX('Régions'!$Z$2:$AE$6,MATCH($B109,'Régions'!$A$2:$A$6,0),2)</x:f>
        <x:v>7358.704911946875</x:v>
      </x:c>
      <x:c r="AE109" s="86" t="n">
        <x:f>F109*INDEX('Régions'!$Z$2:$AE$6,MATCH($B109,'Régions'!$A$2:$A$6,0),3)</x:f>
        <x:v>7803.609092080908</x:v>
      </x:c>
      <x:c r="AF109" s="86" t="n">
        <x:f>G109*INDEX('Régions'!$Z$2:$AE$6,MATCH($B109,'Régions'!$A$2:$A$6,0),4)</x:f>
        <x:v>22824.969430456484</x:v>
      </x:c>
      <x:c r="AG109" s="86" t="n">
        <x:f>H109*INDEX('Régions'!$Z$2:$AE$6,MATCH($B109,'Régions'!$A$2:$A$6,0),5)</x:f>
        <x:v>7723.016722148963</x:v>
      </x:c>
      <x:c r="AH109" s="86" t="n">
        <x:f>I109*INDEX('Régions'!$Z$2:$AE$6,MATCH($B109,'Régions'!$A$2:$A$6,0),6)</x:f>
        <x:v>0</x:v>
      </x:c>
      <x:c r="AI109" s="86" t="n">
        <x:f>D109*INDEX('Régions'!$AF$2:$AK$6,MATCH($B109,'Régions'!$A$2:$A$6,0),1)</x:f>
        <x:v>15338.301883673581</x:v>
      </x:c>
      <x:c r="AJ109" s="86" t="n">
        <x:f>E109*INDEX('Régions'!$AF$2:$AK$6,MATCH($B109,'Régions'!$A$2:$A$6,0),2)</x:f>
        <x:v>4842.256600089394</x:v>
      </x:c>
      <x:c r="AK109" s="86" t="n">
        <x:f>F109*INDEX('Régions'!$AF$2:$AK$6,MATCH($B109,'Régions'!$A$2:$A$6,0),3)</x:f>
        <x:v>3245.7489144053334</x:v>
      </x:c>
      <x:c r="AL109" s="86" t="n">
        <x:f>G109*INDEX('Régions'!$AF$2:$AK$6,MATCH($B109,'Régions'!$A$2:$A$6,0),4)</x:f>
        <x:v>18161.04378831987</x:v>
      </x:c>
      <x:c r="AM109" s="86" t="n">
        <x:f>H109*INDEX('Régions'!$AF$2:$AK$6,MATCH($B109,'Régions'!$A$2:$A$6,0),5)</x:f>
        <x:v>5212.085177016787</x:v>
      </x:c>
      <x:c r="AN109" s="86" t="n">
        <x:f>I109*INDEX('Régions'!$AF$2:$AK$6,MATCH($B109,'Régions'!$A$2:$A$6,0),6)</x:f>
        <x:v>0</x:v>
      </x:c>
      <x:c r="AO109" s="84" t="str">
        <x:f>IF(MAX(Q109:V109)=Q109,"CAQ",IF(MAX(Q109:V109)=R109,"PLQ",IF(MAX(Q109:V109)=S109,"QS",IF(MAX(Q109:V109)=T109,"PQ",IF(MAX(Q109:V109)=U109,"PCQ","Autre")))))</x:f>
        <x:v>PQ</x:v>
      </x:c>
      <x:c r="AP109" s="84" t="str">
        <x:f>IF(MAX(W109:AB109)=W109,"CAQ",IF(MAX(W109:AB109)=X109,"PLQ",IF(MAX(W109:AB109)=Y109,"QS",IF(MAX(W109:AB109)=Z109,"PQ",IF(MAX(W109:AB109)=AA109,"PCQ","Autre")))))</x:f>
        <x:v>PQ</x:v>
      </x:c>
      <x:c r="AQ109" s="84" t="str">
        <x:f>IF(MAX(AC109:AH109)=AC109,"CAQ",IF(MAX(AC109:AH109)=AD109,"PLQ",IF(MAX(AC109:AH109)=AE109,"QS",IF(MAX(AC109:AH109)=AF109,"PQ",IF(MAX(AC109:AH109)=AG109,"PCQ","Autre")))))</x:f>
        <x:v>PQ</x:v>
      </x:c>
      <x:c r="AR109" s="84" t="str">
        <x:f>IF(MAX(AI109:AN109)=AI109,"CAQ",IF(MAX(AI109:AN109)=AJ109,"PLQ",IF(MAX(AI109:AN109)=AK109,"QS",IF(MAX(AI109:AN109)=AL109,"PQ",IF(MAX(AI109:AN109)=AM109,"PCQ","Autre")))))</x:f>
        <x:v>PQ</x:v>
      </x:c>
      <x:c r="AS109" s="88" t="n">
        <x:f>(MAX(K109:P109)-LARGE(K109:P109,2))*100</x:f>
        <x:v>29.930886922854867</x:v>
      </x:c>
      <x:c r="AT109" s="84" t="str">
        <x:f>IF(AS109&lt;5,"Oui","Non")</x:f>
        <x:v>Non</x:v>
      </x:c>
      <x:c r="AU109" s="89" t="n">
        <x:v>0.3123701801271972</x:v>
      </x:c>
      <x:c r="AV109" s="89" t="n">
        <x:v>8.311616215045223</x:v>
      </x:c>
      <x:c r="AW109" s="89" t="n">
        <x:v>0.8860635836495462</x:v>
      </x:c>
      <x:c r="AX109" s="90" t="n">
        <x:v>-4.316743264798484</x:v>
      </x:c>
    </x:row>
    <x:row r="110">
      <x:c r="A110" s="83" t="str">
        <x:v>Saint-Laurent</x:v>
      </x:c>
      <x:c r="B110" s="84" t="str">
        <x:v>Île de Montréal</x:v>
      </x:c>
      <x:c r="C110" s="84" t="str">
        <x:f>IF(MAX(D110:I110)=D110,"CAQ",IF(MAX(D110:I110)=E110,"PLQ",IF(MAX(D110:I110)=F110,"QS",IF(MAX(D110:I110)=G110,"PQ",IF(MAX(D110:I110)=H110,"PCQ","Autre")))))</x:f>
        <x:v>PLQ</x:v>
      </x:c>
      <x:c r="D110" s="85" t="n">
        <x:v>8504</x:v>
      </x:c>
      <x:c r="E110" s="85" t="n">
        <x:v>29734</x:v>
      </x:c>
      <x:c r="F110" s="85" t="n">
        <x:v>5904</x:v>
      </x:c>
      <x:c r="G110" s="85" t="n">
        <x:v>4438</x:v>
      </x:c>
      <x:c r="H110" s="85" t="n">
        <x:v>9367</x:v>
      </x:c>
      <x:c r="I110" s="85" t="n">
        <x:v>1563</x:v>
      </x:c>
      <x:c r="J110" s="86" t="n">
        <x:f>SUM(D110:I110)</x:f>
        <x:v>59510</x:v>
      </x:c>
      <x:c r="K110" s="87" t="n">
        <x:f>IFERROR(D110/J110,0)</x:f>
        <x:v>0.1429003528818686</x:v>
      </x:c>
      <x:c r="L110" s="87" t="n">
        <x:f>IFERROR(E110/J110,0)</x:f>
        <x:v>0.4996471181314065</x:v>
      </x:c>
      <x:c r="M110" s="87" t="n">
        <x:f>IFERROR(F110/J110,0)</x:f>
        <x:v>0.09921021677029071</x:v>
      </x:c>
      <x:c r="N110" s="87" t="n">
        <x:f>IFERROR(G110/J110,0)</x:f>
        <x:v>0.07457570156276257</x:v>
      </x:c>
      <x:c r="O110" s="87" t="n">
        <x:f>IFERROR(H110/J110,0)</x:f>
        <x:v>0.15740211729121156</x:v>
      </x:c>
      <x:c r="P110" s="87" t="n">
        <x:f>IFERROR(I110/J110,0)</x:f>
        <x:v>0.02626449336246009</x:v>
      </x:c>
      <x:c r="Q110" s="86" t="n">
        <x:f>D110*INDEX('Régions'!$T$2:$Y$6,MATCH($B110,'Régions'!$A$2:$A$6,0),1)</x:f>
        <x:v>6369.39023482454</x:v>
      </x:c>
      <x:c r="R110" s="86" t="n">
        <x:f>E110*INDEX('Régions'!$T$2:$Y$6,MATCH($B110,'Régions'!$A$2:$A$6,0),2)</x:f>
        <x:v>29627.16777228045</x:v>
      </x:c>
      <x:c r="S110" s="86" t="n">
        <x:f>F110*INDEX('Régions'!$T$2:$Y$6,MATCH($B110,'Régions'!$A$2:$A$6,0),3)</x:f>
        <x:v>4550.720612596221</x:v>
      </x:c>
      <x:c r="T110" s="86" t="n">
        <x:f>G110*INDEX('Régions'!$T$2:$Y$6,MATCH($B110,'Régions'!$A$2:$A$6,0),4)</x:f>
        <x:v>8585.841457612545</x:v>
      </x:c>
      <x:c r="U110" s="86" t="n">
        <x:f>H110*INDEX('Régions'!$T$2:$Y$6,MATCH($B110,'Régions'!$A$2:$A$6,0),5)</x:f>
        <x:v>7466.08698173721</x:v>
      </x:c>
      <x:c r="V110" s="86" t="n">
        <x:f>I110*INDEX('Régions'!$T$2:$Y$6,MATCH($B110,'Régions'!$A$2:$A$6,0),6)</x:f>
        <x:v>2311.162163075623</x:v>
      </x:c>
      <x:c r="W110" s="86" t="n">
        <x:f>MAX(0,Q110+(AU110/100)*J110*'Régions'!$O$2)</x:f>
        <x:v>5563.508959747515</x:v>
      </x:c>
      <x:c r="X110" s="86" t="n">
        <x:f>MAX(0,R110+(AV110/100)*J110*'Régions'!$O$2)</x:f>
        <x:v>28470.694026043333</x:v>
      </x:c>
      <x:c r="Y110" s="86" t="n">
        <x:f>MAX(0,S110+(AW110/100)*J110*'Régions'!$O$2)</x:f>
        <x:v>4792.4016428807745</x:v>
      </x:c>
      <x:c r="Z110" s="86" t="n">
        <x:f>MAX(0,T110+(AX110/100)*J110*'Régions'!$O$2)</x:f>
        <x:v>8722.470769834137</x:v>
      </x:c>
      <x:c r="AA110" s="86" t="n">
        <x:f>U110</x:f>
        <x:v>7466.08698173721</x:v>
      </x:c>
      <x:c r="AB110" s="86" t="n">
        <x:f>V110</x:f>
        <x:v>2311.162163075623</x:v>
      </x:c>
      <x:c r="AC110" s="86" t="n">
        <x:f>D110*INDEX('Régions'!$Z$2:$AE$6,MATCH($B110,'Régions'!$A$2:$A$6,0),1)</x:f>
        <x:v>7770.656086485938</x:v>
      </x:c>
      <x:c r="AD110" s="86" t="n">
        <x:f>E110*INDEX('Régions'!$Z$2:$AE$6,MATCH($B110,'Régions'!$A$2:$A$6,0),2)</x:f>
        <x:v>32502.745820766493</x:v>
      </x:c>
      <x:c r="AE110" s="86" t="n">
        <x:f>F110*INDEX('Régions'!$Z$2:$AE$6,MATCH($B110,'Régions'!$A$2:$A$6,0),3)</x:f>
        <x:v>5434.095790335488</x:v>
      </x:c>
      <x:c r="AF110" s="86" t="n">
        <x:f>G110*INDEX('Régions'!$Z$2:$AE$6,MATCH($B110,'Régions'!$A$2:$A$6,0),4)</x:f>
        <x:v>9766.39465803427</x:v>
      </x:c>
      <x:c r="AG110" s="86" t="n">
        <x:f>H110*INDEX('Régions'!$Z$2:$AE$6,MATCH($B110,'Régions'!$A$2:$A$6,0),5)</x:f>
        <x:v>10545.84786170381</x:v>
      </x:c>
      <x:c r="AH110" s="86" t="n">
        <x:f>I110*INDEX('Régions'!$Z$2:$AE$6,MATCH($B110,'Régions'!$A$2:$A$6,0),6)</x:f>
        <x:v>6124.5797321504015</x:v>
      </x:c>
      <x:c r="AI110" s="86" t="n">
        <x:f>D110*INDEX('Régions'!$AF$2:$AK$6,MATCH($B110,'Régions'!$A$2:$A$6,0),1)</x:f>
        <x:v>4968.124383163141</x:v>
      </x:c>
      <x:c r="AJ110" s="86" t="n">
        <x:f>E110*INDEX('Régions'!$AF$2:$AK$6,MATCH($B110,'Régions'!$A$2:$A$6,0),2)</x:f>
        <x:v>26751.589723794405</x:v>
      </x:c>
      <x:c r="AK110" s="86" t="n">
        <x:f>F110*INDEX('Régions'!$AF$2:$AK$6,MATCH($B110,'Régions'!$A$2:$A$6,0),3)</x:f>
        <x:v>3667.345434856955</x:v>
      </x:c>
      <x:c r="AL110" s="86" t="n">
        <x:f>G110*INDEX('Régions'!$AF$2:$AK$6,MATCH($B110,'Régions'!$A$2:$A$6,0),4)</x:f>
        <x:v>7405.288257190819</x:v>
      </x:c>
      <x:c r="AM110" s="86" t="n">
        <x:f>H110*INDEX('Régions'!$AF$2:$AK$6,MATCH($B110,'Régions'!$A$2:$A$6,0),5)</x:f>
        <x:v>4386.326101770612</x:v>
      </x:c>
      <x:c r="AN110" s="86" t="n">
        <x:f>I110*INDEX('Régions'!$AF$2:$AK$6,MATCH($B110,'Régions'!$A$2:$A$6,0),6)</x:f>
        <x:v>0</x:v>
      </x:c>
      <x:c r="AO110" s="84" t="str">
        <x:f>IF(MAX(Q110:V110)=Q110,"CAQ",IF(MAX(Q110:V110)=R110,"PLQ",IF(MAX(Q110:V110)=S110,"QS",IF(MAX(Q110:V110)=T110,"PQ",IF(MAX(Q110:V110)=U110,"PCQ","Autre")))))</x:f>
        <x:v>PLQ</x:v>
      </x:c>
      <x:c r="AP110" s="84" t="str">
        <x:f>IF(MAX(W110:AB110)=W110,"CAQ",IF(MAX(W110:AB110)=X110,"PLQ",IF(MAX(W110:AB110)=Y110,"QS",IF(MAX(W110:AB110)=Z110,"PQ",IF(MAX(W110:AB110)=AA110,"PCQ","Autre")))))</x:f>
        <x:v>PLQ</x:v>
      </x:c>
      <x:c r="AQ110" s="84" t="str">
        <x:f>IF(MAX(AC110:AH110)=AC110,"CAQ",IF(MAX(AC110:AH110)=AD110,"PLQ",IF(MAX(AC110:AH110)=AE110,"QS",IF(MAX(AC110:AH110)=AF110,"PQ",IF(MAX(AC110:AH110)=AG110,"PCQ","Autre")))))</x:f>
        <x:v>PLQ</x:v>
      </x:c>
      <x:c r="AR110" s="84" t="str">
        <x:f>IF(MAX(AI110:AN110)=AI110,"CAQ",IF(MAX(AI110:AN110)=AJ110,"PLQ",IF(MAX(AI110:AN110)=AK110,"QS",IF(MAX(AI110:AN110)=AL110,"PQ",IF(MAX(AI110:AN110)=AM110,"PCQ","Autre")))))</x:f>
        <x:v>PLQ</x:v>
      </x:c>
      <x:c r="AS110" s="88" t="n">
        <x:f>(MAX(K110:P110)-LARGE(K110:P110,2))*100</x:f>
        <x:v>34.224500084019496</x:v>
      </x:c>
      <x:c r="AT110" s="84" t="str">
        <x:f>IF(AS110&lt;5,"Oui","Non")</x:f>
        <x:v>Non</x:v>
      </x:c>
      <x:c r="AU110" s="89" t="n">
        <x:v>-2.708389430606703</x:v>
      </x:c>
      <x:c r="AV110" s="89" t="n">
        <x:v>-3.886653490966613</x:v>
      </x:c>
      <x:c r="AW110" s="89" t="n">
        <x:v>0.8122367006706557</x:v>
      </x:c>
      <x:c r="AX110" s="90" t="n">
        <x:v>0.45918101906097103</x:v>
      </x:c>
    </x:row>
    <x:row r="111">
      <x:c r="A111" s="83" t="str">
        <x:v>Sainte-Marie-Saint-Jacques</x:v>
      </x:c>
      <x:c r="B111" s="84" t="str">
        <x:v>Île de Montréal</x:v>
      </x:c>
      <x:c r="C111" s="84" t="str">
        <x:f>IF(MAX(D111:I111)=D111,"CAQ",IF(MAX(D111:I111)=E111,"PLQ",IF(MAX(D111:I111)=F111,"QS",IF(MAX(D111:I111)=G111,"PQ",IF(MAX(D111:I111)=H111,"PCQ","Autre")))))</x:f>
        <x:v>QS</x:v>
      </x:c>
      <x:c r="D111" s="85" t="n">
        <x:v>6729</x:v>
      </x:c>
      <x:c r="E111" s="85" t="n">
        <x:v>7455</x:v>
      </x:c>
      <x:c r="F111" s="85" t="n">
        <x:v>22427</x:v>
      </x:c>
      <x:c r="G111" s="85" t="n">
        <x:v>7849</x:v>
      </x:c>
      <x:c r="H111" s="85" t="n">
        <x:v>2343</x:v>
      </x:c>
      <x:c r="I111" s="85" t="n">
        <x:v>227</x:v>
      </x:c>
      <x:c r="J111" s="86" t="n">
        <x:f>SUM(D111:I111)</x:f>
        <x:v>47030</x:v>
      </x:c>
      <x:c r="K111" s="87" t="n">
        <x:f>IFERROR(D111/J111,0)</x:f>
        <x:v>0.14307888581756326</x:v>
      </x:c>
      <x:c r="L111" s="87" t="n">
        <x:f>IFERROR(E111/J111,0)</x:f>
        <x:v>0.15851584095258345</x:v>
      </x:c>
      <x:c r="M111" s="87" t="n">
        <x:f>IFERROR(F111/J111,0)</x:f>
        <x:v>0.47686583032107166</x:v>
      </x:c>
      <x:c r="N111" s="87" t="n">
        <x:f>IFERROR(G111/J111,0)</x:f>
        <x:v>0.1668934722517542</x:v>
      </x:c>
      <x:c r="O111" s="87" t="n">
        <x:f>IFERROR(H111/J111,0)</x:f>
        <x:v>0.049819264299383374</x:v>
      </x:c>
      <x:c r="P111" s="87" t="n">
        <x:f>IFERROR(I111/J111,0)</x:f>
        <x:v>0.004826706357644057</x:v>
      </x:c>
      <x:c r="Q111" s="86" t="n">
        <x:f>D111*INDEX('Régions'!$T$2:$Y$6,MATCH($B111,'Régions'!$A$2:$A$6,0),1)</x:f>
        <x:v>5039.937310693124</x:v>
      </x:c>
      <x:c r="R111" s="86" t="n">
        <x:f>E111*INDEX('Régions'!$T$2:$Y$6,MATCH($B111,'Régions'!$A$2:$A$6,0),2)</x:f>
        <x:v>7428.214695041056</x:v>
      </x:c>
      <x:c r="S111" s="86" t="n">
        <x:f>F111*INDEX('Régions'!$T$2:$Y$6,MATCH($B111,'Régions'!$A$2:$A$6,0),3)</x:f>
        <x:v>17286.417882570368</x:v>
      </x:c>
      <x:c r="T111" s="86" t="n">
        <x:f>G111*INDEX('Régions'!$T$2:$Y$6,MATCH($B111,'Régions'!$A$2:$A$6,0),4)</x:f>
        <x:v>15184.828661739717</x:v>
      </x:c>
      <x:c r="U111" s="86" t="n">
        <x:f>H111*INDEX('Régions'!$T$2:$Y$6,MATCH($B111,'Régions'!$A$2:$A$6,0),5)</x:f>
        <x:v>1867.518073898824</x:v>
      </x:c>
      <x:c r="V111" s="86" t="n">
        <x:f>I111*INDEX('Régions'!$T$2:$Y$6,MATCH($B111,'Régions'!$A$2:$A$6,0),6)</x:f>
        <x:v>335.6582284185326</x:v>
      </x:c>
      <x:c r="W111" s="86" t="n">
        <x:f>MAX(0,Q111+(AU111/100)*J111*'Régions'!$O$2)</x:f>
        <x:v>5386.02543199208</x:v>
      </x:c>
      <x:c r="X111" s="86" t="n">
        <x:f>MAX(0,R111+(AV111/100)*J111*'Régions'!$O$2)</x:f>
        <x:v>8090.2223190463</x:v>
      </x:c>
      <x:c r="Y111" s="86" t="n">
        <x:f>MAX(0,S111+(AW111/100)*J111*'Régions'!$O$2)</x:f>
        <x:v>16796.74661830248</x:v>
      </x:c>
      <x:c r="Z111" s="86" t="n">
        <x:f>MAX(0,T111+(AX111/100)*J111*'Régions'!$O$2)</x:f>
        <x:v>15508.009822099828</x:v>
      </x:c>
      <x:c r="AA111" s="86" t="n">
        <x:f>U111</x:f>
        <x:v>1867.518073898824</x:v>
      </x:c>
      <x:c r="AB111" s="86" t="n">
        <x:f>V111</x:f>
        <x:v>335.6582284185326</x:v>
      </x:c>
      <x:c r="AC111" s="86" t="n">
        <x:f>D111*INDEX('Régions'!$Z$2:$AE$6,MATCH($B111,'Régions'!$A$2:$A$6,0),1)</x:f>
        <x:v>6148.723519045611</x:v>
      </x:c>
      <x:c r="AD111" s="86" t="n">
        <x:f>E111*INDEX('Régions'!$Z$2:$AE$6,MATCH($B111,'Régions'!$A$2:$A$6,0),2)</x:f>
        <x:v>8149.188474265629</x:v>
      </x:c>
      <x:c r="AE111" s="86" t="n">
        <x:f>F111*INDEX('Régions'!$Z$2:$AE$6,MATCH($B111,'Régions'!$A$2:$A$6,0),3)</x:f>
        <x:v>20642.0166480105</x:v>
      </x:c>
      <x:c r="AF111" s="86" t="n">
        <x:f>G111*INDEX('Régions'!$Z$2:$AE$6,MATCH($B111,'Régions'!$A$2:$A$6,0),4)</x:f>
        <x:v>17272.74260272893</x:v>
      </x:c>
      <x:c r="AG111" s="86" t="n">
        <x:f>H111*INDEX('Régions'!$Z$2:$AE$6,MATCH($B111,'Régions'!$A$2:$A$6,0),5)</x:f>
        <x:v>2637.869279382089</x:v>
      </x:c>
      <x:c r="AH111" s="86" t="n">
        <x:f>I111*INDEX('Régions'!$Z$2:$AE$6,MATCH($B111,'Régions'!$A$2:$A$6,0),6)</x:f>
        <x:v>889.4943053091114</x:v>
      </x:c>
      <x:c r="AI111" s="86" t="n">
        <x:f>D111*INDEX('Régions'!$AF$2:$AK$6,MATCH($B111,'Régions'!$A$2:$A$6,0),1)</x:f>
        <x:v>3931.151102340637</x:v>
      </x:c>
      <x:c r="AJ111" s="86" t="n">
        <x:f>E111*INDEX('Régions'!$AF$2:$AK$6,MATCH($B111,'Régions'!$A$2:$A$6,0),2)</x:f>
        <x:v>6707.240915816483</x:v>
      </x:c>
      <x:c r="AK111" s="86" t="n">
        <x:f>F111*INDEX('Régions'!$AF$2:$AK$6,MATCH($B111,'Régions'!$A$2:$A$6,0),3)</x:f>
        <x:v>13930.819117130237</x:v>
      </x:c>
      <x:c r="AL111" s="86" t="n">
        <x:f>G111*INDEX('Régions'!$AF$2:$AK$6,MATCH($B111,'Régions'!$A$2:$A$6,0),4)</x:f>
        <x:v>13096.914720750505</x:v>
      </x:c>
      <x:c r="AM111" s="86" t="n">
        <x:f>H111*INDEX('Régions'!$AF$2:$AK$6,MATCH($B111,'Régions'!$A$2:$A$6,0),5)</x:f>
        <x:v>1097.1668684155593</x:v>
      </x:c>
      <x:c r="AN111" s="86" t="n">
        <x:f>I111*INDEX('Régions'!$AF$2:$AK$6,MATCH($B111,'Régions'!$A$2:$A$6,0),6)</x:f>
        <x:v>0</x:v>
      </x:c>
      <x:c r="AO111" s="84" t="str">
        <x:f>IF(MAX(Q111:V111)=Q111,"CAQ",IF(MAX(Q111:V111)=R111,"PLQ",IF(MAX(Q111:V111)=S111,"QS",IF(MAX(Q111:V111)=T111,"PQ",IF(MAX(Q111:V111)=U111,"PCQ","Autre")))))</x:f>
        <x:v>QS</x:v>
      </x:c>
      <x:c r="AP111" s="84" t="str">
        <x:f>IF(MAX(W111:AB111)=W111,"CAQ",IF(MAX(W111:AB111)=X111,"PLQ",IF(MAX(W111:AB111)=Y111,"QS",IF(MAX(W111:AB111)=Z111,"PQ",IF(MAX(W111:AB111)=AA111,"PCQ","Autre")))))</x:f>
        <x:v>QS</x:v>
      </x:c>
      <x:c r="AQ111" s="84" t="str">
        <x:f>IF(MAX(AC111:AH111)=AC111,"CAQ",IF(MAX(AC111:AH111)=AD111,"PLQ",IF(MAX(AC111:AH111)=AE111,"QS",IF(MAX(AC111:AH111)=AF111,"PQ",IF(MAX(AC111:AH111)=AG111,"PCQ","Autre")))))</x:f>
        <x:v>QS</x:v>
      </x:c>
      <x:c r="AR111" s="84" t="str">
        <x:f>IF(MAX(AI111:AN111)=AI111,"CAQ",IF(MAX(AI111:AN111)=AJ111,"PLQ",IF(MAX(AI111:AN111)=AK111,"QS",IF(MAX(AI111:AN111)=AL111,"PQ",IF(MAX(AI111:AN111)=AM111,"PCQ","Autre")))))</x:f>
        <x:v>QS</x:v>
      </x:c>
      <x:c r="AS111" s="88" t="n">
        <x:f>(MAX(K111:P111)-LARGE(K111:P111,2))*100</x:f>
        <x:v>30.997235806931744</x:v>
      </x:c>
      <x:c r="AT111" s="84" t="str">
        <x:f>IF(AS111&lt;5,"Oui","Non")</x:f>
        <x:v>Non</x:v>
      </x:c>
      <x:c r="AU111" s="89" t="n">
        <x:v>1.4717759783072728</x:v>
      </x:c>
      <x:c r="AV111" s="89" t="n">
        <x:v>2.8152567467796903</x:v>
      </x:c>
      <x:c r="AW111" s="89" t="n">
        <x:v>-2.0823783298655667</x:v>
      </x:c>
      <x:c r="AX111" s="90" t="n">
        <x:v>1.3743617280889255</x:v>
      </x:c>
    </x:row>
    <x:row r="112">
      <x:c r="A112" s="83" t="str">
        <x:v>Sainte-Rose</x:v>
      </x:c>
      <x:c r="B112" s="84" t="str">
        <x:v>Banlieue de Montréal</x:v>
      </x:c>
      <x:c r="C112" s="84" t="str">
        <x:f>IF(MAX(D112:I112)=D112,"CAQ",IF(MAX(D112:I112)=E112,"PLQ",IF(MAX(D112:I112)=F112,"QS",IF(MAX(D112:I112)=G112,"PQ",IF(MAX(D112:I112)=H112,"PCQ","Autre")))))</x:f>
        <x:v>CAQ</x:v>
      </x:c>
      <x:c r="D112" s="85" t="n">
        <x:v>29695</x:v>
      </x:c>
      <x:c r="E112" s="85" t="n">
        <x:v>18499</x:v>
      </x:c>
      <x:c r="F112" s="85" t="n">
        <x:v>11049</x:v>
      </x:c>
      <x:c r="G112" s="85" t="n">
        <x:v>10200</x:v>
      </x:c>
      <x:c r="H112" s="85" t="n">
        <x:v>7226</x:v>
      </x:c>
      <x:c r="I112" s="85" t="n">
        <x:v>462</x:v>
      </x:c>
      <x:c r="J112" s="86" t="n">
        <x:f>SUM(D112:I112)</x:f>
        <x:v>77131</x:v>
      </x:c>
      <x:c r="K112" s="87" t="n">
        <x:f>IFERROR(D112/J112,0)</x:f>
        <x:v>0.38499436024425976</x:v>
      </x:c>
      <x:c r="L112" s="87" t="n">
        <x:f>IFERROR(E112/J112,0)</x:f>
        <x:v>0.23983871595078504</x:v>
      </x:c>
      <x:c r="M112" s="87" t="n">
        <x:f>IFERROR(F112/J112,0)</x:f>
        <x:v>0.14324979580194733</x:v>
      </x:c>
      <x:c r="N112" s="87" t="n">
        <x:f>IFERROR(G112/J112,0)</x:f>
        <x:v>0.13224254839169725</x:v>
      </x:c>
      <x:c r="O112" s="87" t="n">
        <x:f>IFERROR(H112/J112,0)</x:f>
        <x:v>0.09368477006651023</x:v>
      </x:c>
      <x:c r="P112" s="87" t="n">
        <x:f>IFERROR(I112/J112,0)</x:f>
        <x:v>0.005989809544800405</x:v>
      </x:c>
      <x:c r="Q112" s="86" t="n">
        <x:f>D112*INDEX('Régions'!$T$2:$Y$6,MATCH($B112,'Régions'!$A$2:$A$6,0),1)</x:f>
        <x:v>20994.046876457232</x:v>
      </x:c>
      <x:c r="R112" s="86" t="n">
        <x:f>E112*INDEX('Régions'!$T$2:$Y$6,MATCH($B112,'Régions'!$A$2:$A$6,0),2)</x:f>
        <x:v>23665.023149783086</x:v>
      </x:c>
      <x:c r="S112" s="86" t="n">
        <x:f>F112*INDEX('Régions'!$T$2:$Y$6,MATCH($B112,'Régions'!$A$2:$A$6,0),3)</x:f>
        <x:v>5580.891034043401</x:v>
      </x:c>
      <x:c r="T112" s="86" t="n">
        <x:f>G112*INDEX('Régions'!$T$2:$Y$6,MATCH($B112,'Régions'!$A$2:$A$6,0),4)</x:f>
        <x:v>19018.923135292946</x:v>
      </x:c>
      <x:c r="U112" s="86" t="n">
        <x:f>H112*INDEX('Régions'!$T$2:$Y$6,MATCH($B112,'Régions'!$A$2:$A$6,0),5)</x:f>
        <x:v>8456.843670806033</x:v>
      </x:c>
      <x:c r="V112" s="86" t="n">
        <x:f>I112*INDEX('Régions'!$T$2:$Y$6,MATCH($B112,'Régions'!$A$2:$A$6,0),6)</x:f>
        <x:v>991.9346967789708</x:v>
      </x:c>
      <x:c r="W112" s="86" t="n">
        <x:f>MAX(0,Q112+(AU112/100)*J112*'Régions'!$O$2)</x:f>
        <x:v>20479.33758233248</x:v>
      </x:c>
      <x:c r="X112" s="86" t="n">
        <x:f>MAX(0,R112+(AV112/100)*J112*'Régions'!$O$2)</x:f>
        <x:v>23785.081677124974</x:v>
      </x:c>
      <x:c r="Y112" s="86" t="n">
        <x:f>MAX(0,S112+(AW112/100)*J112*'Régions'!$O$2)</x:f>
        <x:v>6024.292397679399</x:v>
      </x:c>
      <x:c r="Z112" s="86" t="n">
        <x:f>MAX(0,T112+(AX112/100)*J112*'Régions'!$O$2)</x:f>
        <x:v>19336.644885161648</x:v>
      </x:c>
      <x:c r="AA112" s="86" t="n">
        <x:f>U112</x:f>
        <x:v>8456.843670806033</x:v>
      </x:c>
      <x:c r="AB112" s="86" t="n">
        <x:f>V112</x:f>
        <x:v>991.9346967789708</x:v>
      </x:c>
      <x:c r="AC112" s="86" t="n">
        <x:f>D112*INDEX('Régions'!$Z$2:$AE$6,MATCH($B112,'Régions'!$A$2:$A$6,0),1)</x:f>
        <x:v>23159.057960591883</x:v>
      </x:c>
      <x:c r="AD112" s="86" t="n">
        <x:f>E112*INDEX('Régions'!$Z$2:$AE$6,MATCH($B112,'Régions'!$A$2:$A$6,0),2)</x:f>
        <x:v>28003.61072724332</x:v>
      </x:c>
      <x:c r="AE112" s="86" t="n">
        <x:f>F112*INDEX('Régions'!$Z$2:$AE$6,MATCH($B112,'Régions'!$A$2:$A$6,0),3)</x:f>
        <x:v>8211.882521521005</x:v>
      </x:c>
      <x:c r="AF112" s="86" t="n">
        <x:f>G112*INDEX('Régions'!$Z$2:$AE$6,MATCH($B112,'Régions'!$A$2:$A$6,0),4)</x:f>
        <x:v>21111.004680175163</x:v>
      </x:c>
      <x:c r="AG112" s="86" t="n">
        <x:f>H112*INDEX('Régions'!$Z$2:$AE$6,MATCH($B112,'Régions'!$A$2:$A$6,0),5)</x:f>
        <x:v>10782.475680277692</x:v>
      </x:c>
      <x:c r="AH112" s="86" t="n">
        <x:f>I112*INDEX('Régions'!$Z$2:$AE$6,MATCH($B112,'Régions'!$A$2:$A$6,0),6)</x:f>
        <x:v>4265.319196149574</x:v>
      </x:c>
      <x:c r="AI112" s="86" t="n">
        <x:f>D112*INDEX('Régions'!$AF$2:$AK$6,MATCH($B112,'Régions'!$A$2:$A$6,0),1)</x:f>
        <x:v>18829.03579232258</x:v>
      </x:c>
      <x:c r="AJ112" s="86" t="n">
        <x:f>E112*INDEX('Régions'!$AF$2:$AK$6,MATCH($B112,'Régions'!$A$2:$A$6,0),2)</x:f>
        <x:v>19326.43557232285</x:v>
      </x:c>
      <x:c r="AK112" s="86" t="n">
        <x:f>F112*INDEX('Régions'!$AF$2:$AK$6,MATCH($B112,'Régions'!$A$2:$A$6,0),3)</x:f>
        <x:v>2949.899546565798</x:v>
      </x:c>
      <x:c r="AL112" s="86" t="n">
        <x:f>G112*INDEX('Régions'!$AF$2:$AK$6,MATCH($B112,'Régions'!$A$2:$A$6,0),4)</x:f>
        <x:v>16926.84159041072</x:v>
      </x:c>
      <x:c r="AM112" s="86" t="n">
        <x:f>H112*INDEX('Régions'!$AF$2:$AK$6,MATCH($B112,'Régions'!$A$2:$A$6,0),5)</x:f>
        <x:v>6131.211661334373</x:v>
      </x:c>
      <x:c r="AN112" s="86" t="n">
        <x:f>I112*INDEX('Régions'!$AF$2:$AK$6,MATCH($B112,'Régions'!$A$2:$A$6,0),6)</x:f>
        <x:v>0</x:v>
      </x:c>
      <x:c r="AO112" s="84" t="str">
        <x:f>IF(MAX(Q112:V112)=Q112,"CAQ",IF(MAX(Q112:V112)=R112,"PLQ",IF(MAX(Q112:V112)=S112,"QS",IF(MAX(Q112:V112)=T112,"PQ",IF(MAX(Q112:V112)=U112,"PCQ","Autre")))))</x:f>
        <x:v>PLQ</x:v>
      </x:c>
      <x:c r="AP112" s="84" t="str">
        <x:f>IF(MAX(W112:AB112)=W112,"CAQ",IF(MAX(W112:AB112)=X112,"PLQ",IF(MAX(W112:AB112)=Y112,"QS",IF(MAX(W112:AB112)=Z112,"PQ",IF(MAX(W112:AB112)=AA112,"PCQ","Autre")))))</x:f>
        <x:v>PLQ</x:v>
      </x:c>
      <x:c r="AQ112" s="84" t="str">
        <x:f>IF(MAX(AC112:AH112)=AC112,"CAQ",IF(MAX(AC112:AH112)=AD112,"PLQ",IF(MAX(AC112:AH112)=AE112,"QS",IF(MAX(AC112:AH112)=AF112,"PQ",IF(MAX(AC112:AH112)=AG112,"PCQ","Autre")))))</x:f>
        <x:v>PLQ</x:v>
      </x:c>
      <x:c r="AR112" s="84" t="str">
        <x:f>IF(MAX(AI112:AN112)=AI112,"CAQ",IF(MAX(AI112:AN112)=AJ112,"PLQ",IF(MAX(AI112:AN112)=AK112,"QS",IF(MAX(AI112:AN112)=AL112,"PQ",IF(MAX(AI112:AN112)=AM112,"PCQ","Autre")))))</x:f>
        <x:v>PLQ</x:v>
      </x:c>
      <x:c r="AS112" s="88" t="n">
        <x:f>(MAX(K112:P112)-LARGE(K112:P112,2))*100</x:f>
        <x:v>14.51556442934747</x:v>
      </x:c>
      <x:c r="AT112" s="84" t="str">
        <x:f>IF(AS112&lt;5,"Oui","Non")</x:f>
        <x:v>Non</x:v>
      </x:c>
      <x:c r="AU112" s="89" t="n">
        <x:v>-1.3346366418813538</x:v>
      </x:c>
      <x:c r="AV112" s="89" t="n">
        <x:v>0.3113106982714803</x:v>
      </x:c>
      <x:c r="AW112" s="89" t="n">
        <x:v>1.1497358095603538</x:v>
      </x:c>
      <x:c r="AX112" s="90" t="n">
        <x:v>0.8238496839628712</x:v>
      </x:c>
    </x:row>
    <x:row r="113">
      <x:c r="A113" s="83" t="str">
        <x:v>Sanguinet</x:v>
      </x:c>
      <x:c r="B113" s="84" t="str">
        <x:v>Banlieue de Montréal</x:v>
      </x:c>
      <x:c r="C113" s="84" t="str">
        <x:f>IF(MAX(D113:I113)=D113,"CAQ",IF(MAX(D113:I113)=E113,"PLQ",IF(MAX(D113:I113)=F113,"QS",IF(MAX(D113:I113)=G113,"PQ",IF(MAX(D113:I113)=H113,"PCQ","Autre")))))</x:f>
        <x:v>CAQ</x:v>
      </x:c>
      <x:c r="D113" s="85" t="n">
        <x:v>30347</x:v>
      </x:c>
      <x:c r="E113" s="85" t="n">
        <x:v>6136</x:v>
      </x:c>
      <x:c r="F113" s="85" t="n">
        <x:v>8154</x:v>
      </x:c>
      <x:c r="G113" s="85" t="n">
        <x:v>10812</x:v>
      </x:c>
      <x:c r="H113" s="85" t="n">
        <x:v>6571</x:v>
      </x:c>
      <x:c r="I113" s="85" t="n">
        <x:v>185</x:v>
      </x:c>
      <x:c r="J113" s="86" t="n">
        <x:f>SUM(D113:I113)</x:f>
        <x:v>62205</x:v>
      </x:c>
      <x:c r="K113" s="87" t="n">
        <x:f>IFERROR(D113/J113,0)</x:f>
        <x:v>0.4878546740615706</x:v>
      </x:c>
      <x:c r="L113" s="87" t="n">
        <x:f>IFERROR(E113/J113,0)</x:f>
        <x:v>0.09864158829676072</x:v>
      </x:c>
      <x:c r="M113" s="87" t="n">
        <x:f>IFERROR(F113/J113,0)</x:f>
        <x:v>0.13108271039305522</x:v>
      </x:c>
      <x:c r="N113" s="87" t="n">
        <x:f>IFERROR(G113/J113,0)</x:f>
        <x:v>0.17381239450204966</x:v>
      </x:c>
      <x:c r="O113" s="87" t="n">
        <x:f>IFERROR(H113/J113,0)</x:f>
        <x:v>0.10563459528976771</x:v>
      </x:c>
      <x:c r="P113" s="87" t="n">
        <x:f>IFERROR(I113/J113,0)</x:f>
        <x:v>0.0029740374567960776</x:v>
      </x:c>
      <x:c r="Q113" s="86" t="n">
        <x:f>D113*INDEX('Régions'!$T$2:$Y$6,MATCH($B113,'Régions'!$A$2:$A$6,0),1)</x:f>
        <x:v>21455.003891559103</x:v>
      </x:c>
      <x:c r="R113" s="86" t="n">
        <x:f>E113*INDEX('Régions'!$T$2:$Y$6,MATCH($B113,'Régions'!$A$2:$A$6,0),2)</x:f>
        <x:v>7849.536842373589</x:v>
      </x:c>
      <x:c r="S113" s="86" t="n">
        <x:f>F113*INDEX('Régions'!$T$2:$Y$6,MATCH($B113,'Régions'!$A$2:$A$6,0),3)</x:f>
        <x:v>4118.615756320924</x:v>
      </x:c>
      <x:c r="T113" s="86" t="n">
        <x:f>G113*INDEX('Régions'!$T$2:$Y$6,MATCH($B113,'Régions'!$A$2:$A$6,0),4)</x:f>
        <x:v>20160.05852341052</x:v>
      </x:c>
      <x:c r="U113" s="86" t="n">
        <x:f>H113*INDEX('Régions'!$T$2:$Y$6,MATCH($B113,'Régions'!$A$2:$A$6,0),5)</x:f>
        <x:v>7690.273977424085</x:v>
      </x:c>
      <x:c r="V113" s="86" t="n">
        <x:f>I113*INDEX('Régions'!$T$2:$Y$6,MATCH($B113,'Régions'!$A$2:$A$6,0),6)</x:f>
        <x:v>397.2032876712329</x:v>
      </x:c>
      <x:c r="W113" s="86" t="n">
        <x:f>MAX(0,Q113+(AU113/100)*J113*'Régions'!$O$2)</x:f>
        <x:v>22156.937779227006</x:v>
      </x:c>
      <x:c r="X113" s="86" t="n">
        <x:f>MAX(0,R113+(AV113/100)*J113*'Régions'!$O$2)</x:f>
        <x:v>8570.710215386458</x:v>
      </x:c>
      <x:c r="Y113" s="86" t="n">
        <x:f>MAX(0,S113+(AW113/100)*J113*'Régions'!$O$2)</x:f>
        <x:v>3837.330551068341</x:v>
      </x:c>
      <x:c r="Z113" s="86" t="n">
        <x:f>MAX(0,T113+(AX113/100)*J113*'Régions'!$O$2)</x:f>
        <x:v>18825.787065283203</x:v>
      </x:c>
      <x:c r="AA113" s="86" t="n">
        <x:f>U113</x:f>
        <x:v>7690.273977424085</x:v>
      </x:c>
      <x:c r="AB113" s="86" t="n">
        <x:f>V113</x:f>
        <x:v>397.2032876712329</x:v>
      </x:c>
      <x:c r="AC113" s="86" t="n">
        <x:f>D113*INDEX('Régions'!$Z$2:$AE$6,MATCH($B113,'Régions'!$A$2:$A$6,0),1)</x:f>
        <x:v>23667.551167876136</x:v>
      </x:c>
      <x:c r="AD113" s="86" t="n">
        <x:f>E113*INDEX('Régions'!$Z$2:$AE$6,MATCH($B113,'Régions'!$A$2:$A$6,0),2)</x:f>
        <x:v>9288.618596808747</x:v>
      </x:c>
      <x:c r="AE113" s="86" t="n">
        <x:f>F113*INDEX('Régions'!$Z$2:$AE$6,MATCH($B113,'Régions'!$A$2:$A$6,0),3)</x:f>
        <x:v>6060.248898586503</x:v>
      </x:c>
      <x:c r="AF113" s="86" t="n">
        <x:f>G113*INDEX('Régions'!$Z$2:$AE$6,MATCH($B113,'Régions'!$A$2:$A$6,0),4)</x:f>
        <x:v>22377.664960985676</x:v>
      </x:c>
      <x:c r="AG113" s="86" t="n">
        <x:f>H113*INDEX('Régions'!$Z$2:$AE$6,MATCH($B113,'Régions'!$A$2:$A$6,0),5)</x:f>
        <x:v>9805.09932121571</x:v>
      </x:c>
      <x:c r="AH113" s="86" t="n">
        <x:f>I113*INDEX('Régions'!$Z$2:$AE$6,MATCH($B113,'Régions'!$A$2:$A$6,0),6)</x:f>
        <x:v>1707.9741369863013</x:v>
      </x:c>
      <x:c r="AI113" s="86" t="n">
        <x:f>D113*INDEX('Régions'!$AF$2:$AK$6,MATCH($B113,'Régions'!$A$2:$A$6,0),1)</x:f>
        <x:v>19242.45661524207</x:v>
      </x:c>
      <x:c r="AJ113" s="86" t="n">
        <x:f>E113*INDEX('Régions'!$AF$2:$AK$6,MATCH($B113,'Régions'!$A$2:$A$6,0),2)</x:f>
        <x:v>6410.455087938431</x:v>
      </x:c>
      <x:c r="AK113" s="86" t="n">
        <x:f>F113*INDEX('Régions'!$AF$2:$AK$6,MATCH($B113,'Régions'!$A$2:$A$6,0),3)</x:f>
        <x:v>2176.982614055346</x:v>
      </x:c>
      <x:c r="AL113" s="86" t="n">
        <x:f>G113*INDEX('Régions'!$AF$2:$AK$6,MATCH($B113,'Régions'!$A$2:$A$6,0),4)</x:f>
        <x:v>17942.452085835364</x:v>
      </x:c>
      <x:c r="AM113" s="86" t="n">
        <x:f>H113*INDEX('Régions'!$AF$2:$AK$6,MATCH($B113,'Régions'!$A$2:$A$6,0),5)</x:f>
        <x:v>5575.448633632462</x:v>
      </x:c>
      <x:c r="AN113" s="86" t="n">
        <x:f>I113*INDEX('Régions'!$AF$2:$AK$6,MATCH($B113,'Régions'!$A$2:$A$6,0),6)</x:f>
        <x:v>0</x:v>
      </x:c>
      <x:c r="AO113" s="84" t="str">
        <x:f>IF(MAX(Q113:V113)=Q113,"CAQ",IF(MAX(Q113:V113)=R113,"PLQ",IF(MAX(Q113:V113)=S113,"QS",IF(MAX(Q113:V113)=T113,"PQ",IF(MAX(Q113:V113)=U113,"PCQ","Autre")))))</x:f>
        <x:v>CAQ</x:v>
      </x:c>
      <x:c r="AP113" s="84" t="str">
        <x:f>IF(MAX(W113:AB113)=W113,"CAQ",IF(MAX(W113:AB113)=X113,"PLQ",IF(MAX(W113:AB113)=Y113,"QS",IF(MAX(W113:AB113)=Z113,"PQ",IF(MAX(W113:AB113)=AA113,"PCQ","Autre")))))</x:f>
        <x:v>CAQ</x:v>
      </x:c>
      <x:c r="AQ113" s="84" t="str">
        <x:f>IF(MAX(AC113:AH113)=AC113,"CAQ",IF(MAX(AC113:AH113)=AD113,"PLQ",IF(MAX(AC113:AH113)=AE113,"QS",IF(MAX(AC113:AH113)=AF113,"PQ",IF(MAX(AC113:AH113)=AG113,"PCQ","Autre")))))</x:f>
        <x:v>CAQ</x:v>
      </x:c>
      <x:c r="AR113" s="84" t="str">
        <x:f>IF(MAX(AI113:AN113)=AI113,"CAQ",IF(MAX(AI113:AN113)=AJ113,"PLQ",IF(MAX(AI113:AN113)=AK113,"QS",IF(MAX(AI113:AN113)=AL113,"PQ",IF(MAX(AI113:AN113)=AM113,"PCQ","Autre")))))</x:f>
        <x:v>CAQ</x:v>
      </x:c>
      <x:c r="AS113" s="88" t="n">
        <x:f>(MAX(K113:P113)-LARGE(K113:P113,2))*100</x:f>
        <x:v>31.404227955952095</x:v>
      </x:c>
      <x:c r="AT113" s="84" t="str">
        <x:f>IF(AS113&lt;5,"Oui","Non")</x:f>
        <x:v>Non</x:v>
      </x:c>
      <x:c r="AU113" s="89" t="n">
        <x:v>2.256840728777121</x:v>
      </x:c>
      <x:c r="AV113" s="89" t="n">
        <x:v>2.3186990531721503</x:v>
      </x:c>
      <x:c r="AW113" s="89" t="n">
        <x:v>-0.9043813367175746</x:v>
      </x:c>
      <x:c r="AX113" s="90" t="n">
        <x:v>-4.289917074599522</x:v>
      </x:c>
    </x:row>
    <x:row r="114">
      <x:c r="A114" s="83" t="str">
        <x:v>Sherbrooke</x:v>
      </x:c>
      <x:c r="B114" s="84" t="str">
        <x:v>Reste du Québec</x:v>
      </x:c>
      <x:c r="C114" s="84" t="str">
        <x:f>IF(MAX(D114:I114)=D114,"CAQ",IF(MAX(D114:I114)=E114,"PLQ",IF(MAX(D114:I114)=F114,"QS",IF(MAX(D114:I114)=G114,"PQ",IF(MAX(D114:I114)=H114,"PCQ","Autre")))))</x:f>
        <x:v>QS</x:v>
      </x:c>
      <x:c r="D114" s="85" t="n">
        <x:v>26227</x:v>
      </x:c>
      <x:c r="E114" s="85" t="n">
        <x:v>4344</x:v>
      </x:c>
      <x:c r="F114" s="85" t="n">
        <x:v>31186</x:v>
      </x:c>
      <x:c r="G114" s="85" t="n">
        <x:v>7175</x:v>
      </x:c>
      <x:c r="H114" s="85" t="n">
        <x:v>5016</x:v>
      </x:c>
      <x:c r="I114" s="85" t="n">
        <x:v>462</x:v>
      </x:c>
      <x:c r="J114" s="86" t="n">
        <x:f>SUM(D114:I114)</x:f>
        <x:v>74410</x:v>
      </x:c>
      <x:c r="K114" s="87" t="n">
        <x:f>IFERROR(D114/J114,0)</x:f>
        <x:v>0.35246606638892625</x:v>
      </x:c>
      <x:c r="L114" s="87" t="n">
        <x:f>IFERROR(E114/J114,0)</x:f>
        <x:v>0.0583792501007929</x:v>
      </x:c>
      <x:c r="M114" s="87" t="n">
        <x:f>IFERROR(F114/J114,0)</x:f>
        <x:v>0.41911033463244185</x:v>
      </x:c>
      <x:c r="N114" s="87" t="n">
        <x:f>IFERROR(G114/J114,0)</x:f>
        <x:v>0.09642521166509878</x:v>
      </x:c>
      <x:c r="O114" s="87" t="n">
        <x:f>IFERROR(H114/J114,0)</x:f>
        <x:v>0.0674102943152802</x:v>
      </x:c>
      <x:c r="P114" s="87" t="n">
        <x:f>IFERROR(I114/J114,0)</x:f>
        <x:v>0.006208842897460019</x:v>
      </x:c>
      <x:c r="Q114" s="86" t="n">
        <x:f>D114*INDEX('Régions'!$T$2:$Y$6,MATCH($B114,'Régions'!$A$2:$A$6,0),1)</x:f>
        <x:v>15481.50596138864</x:v>
      </x:c>
      <x:c r="R114" s="86" t="n">
        <x:f>E114*INDEX('Régions'!$T$2:$Y$6,MATCH($B114,'Régions'!$A$2:$A$6,0),2)</x:f>
        <x:v>9940.168193601941</x:v>
      </x:c>
      <x:c r="S114" s="86" t="n">
        <x:f>F114*INDEX('Régions'!$T$2:$Y$6,MATCH($B114,'Régions'!$A$2:$A$6,0),3)</x:f>
        <x:v>18727.460803819562</x:v>
      </x:c>
      <x:c r="T114" s="86" t="n">
        <x:f>G114*INDEX('Régions'!$T$2:$Y$6,MATCH($B114,'Régions'!$A$2:$A$6,0),4)</x:f>
        <x:v>12429.190399185136</x:v>
      </x:c>
      <x:c r="U114" s="86" t="n">
        <x:f>H114*INDEX('Régions'!$T$2:$Y$6,MATCH($B114,'Régions'!$A$2:$A$6,0),5)</x:f>
        <x:v>5654.738637459945</x:v>
      </x:c>
      <x:c r="V114" s="86" t="n">
        <x:f>I114*INDEX('Régions'!$T$2:$Y$6,MATCH($B114,'Régions'!$A$2:$A$6,0),6)</x:f>
        <x:v>1072.5608850263116</x:v>
      </x:c>
      <x:c r="W114" s="86" t="n">
        <x:f>MAX(0,Q114+(AU114/100)*J114*'Régions'!$O$2)</x:f>
        <x:v>17673.70745095225</x:v>
      </x:c>
      <x:c r="X114" s="86" t="n">
        <x:f>MAX(0,R114+(AV114/100)*J114*'Régions'!$O$2)</x:f>
        <x:v>7679.905605840223</x:v>
      </x:c>
      <x:c r="Y114" s="86" t="n">
        <x:f>MAX(0,S114+(AW114/100)*J114*'Régions'!$O$2)</x:f>
        <x:v>21984.247811523735</x:v>
      </x:c>
      <x:c r="Z114" s="86" t="n">
        <x:f>MAX(0,T114+(AX114/100)*J114*'Régions'!$O$2)</x:f>
        <x:v>12021.24786571402</x:v>
      </x:c>
      <x:c r="AA114" s="86" t="n">
        <x:f>U114</x:f>
        <x:v>5654.738637459945</x:v>
      </x:c>
      <x:c r="AB114" s="86" t="n">
        <x:f>V114</x:f>
        <x:v>1072.5608850263116</x:v>
      </x:c>
      <x:c r="AC114" s="86" t="n">
        <x:f>D114*INDEX('Régions'!$Z$2:$AE$6,MATCH($B114,'Régions'!$A$2:$A$6,0),1)</x:f>
        <x:v>17306.112021123732</x:v>
      </x:c>
      <x:c r="AD114" s="86" t="n">
        <x:f>E114*INDEX('Régions'!$Z$2:$AE$6,MATCH($B114,'Régions'!$A$2:$A$6,0),2)</x:f>
        <x:v>11990.327883532342</x:v>
      </x:c>
      <x:c r="AE114" s="86" t="n">
        <x:f>F114*INDEX('Régions'!$Z$2:$AE$6,MATCH($B114,'Régions'!$A$2:$A$6,0),3)</x:f>
        <x:v>26452.53838539513</x:v>
      </x:c>
      <x:c r="AF114" s="86" t="n">
        <x:f>G114*INDEX('Régions'!$Z$2:$AE$6,MATCH($B114,'Régions'!$A$2:$A$6,0),4)</x:f>
        <x:v>13843.546548057926</x:v>
      </x:c>
      <x:c r="AG114" s="86" t="n">
        <x:f>H114*INDEX('Régions'!$Z$2:$AE$6,MATCH($B114,'Régions'!$A$2:$A$6,0),5)</x:f>
        <x:v>6752.423196496286</x:v>
      </x:c>
      <x:c r="AH114" s="86" t="n">
        <x:f>I114*INDEX('Régions'!$Z$2:$AE$6,MATCH($B114,'Régions'!$A$2:$A$6,0),6)</x:f>
        <x:v>4612.01180561314</x:v>
      </x:c>
      <x:c r="AI114" s="86" t="n">
        <x:f>D114*INDEX('Régions'!$AF$2:$AK$6,MATCH($B114,'Régions'!$A$2:$A$6,0),1)</x:f>
        <x:v>13656.899901653553</x:v>
      </x:c>
      <x:c r="AJ114" s="86" t="n">
        <x:f>E114*INDEX('Régions'!$AF$2:$AK$6,MATCH($B114,'Régions'!$A$2:$A$6,0),2)</x:f>
        <x:v>7890.00850367154</x:v>
      </x:c>
      <x:c r="AK114" s="86" t="n">
        <x:f>F114*INDEX('Régions'!$AF$2:$AK$6,MATCH($B114,'Régions'!$A$2:$A$6,0),3)</x:f>
        <x:v>11002.383222243992</x:v>
      </x:c>
      <x:c r="AL114" s="86" t="n">
        <x:f>G114*INDEX('Régions'!$AF$2:$AK$6,MATCH($B114,'Régions'!$A$2:$A$6,0),4)</x:f>
        <x:v>11014.834250312346</x:v>
      </x:c>
      <x:c r="AM114" s="86" t="n">
        <x:f>H114*INDEX('Régions'!$AF$2:$AK$6,MATCH($B114,'Régions'!$A$2:$A$6,0),5)</x:f>
        <x:v>4557.054078423602</x:v>
      </x:c>
      <x:c r="AN114" s="86" t="n">
        <x:f>I114*INDEX('Régions'!$AF$2:$AK$6,MATCH($B114,'Régions'!$A$2:$A$6,0),6)</x:f>
        <x:v>0</x:v>
      </x:c>
      <x:c r="AO114" s="84" t="str">
        <x:f>IF(MAX(Q114:V114)=Q114,"CAQ",IF(MAX(Q114:V114)=R114,"PLQ",IF(MAX(Q114:V114)=S114,"QS",IF(MAX(Q114:V114)=T114,"PQ",IF(MAX(Q114:V114)=U114,"PCQ","Autre")))))</x:f>
        <x:v>QS</x:v>
      </x:c>
      <x:c r="AP114" s="84" t="str">
        <x:f>IF(MAX(W114:AB114)=W114,"CAQ",IF(MAX(W114:AB114)=X114,"PLQ",IF(MAX(W114:AB114)=Y114,"QS",IF(MAX(W114:AB114)=Z114,"PQ",IF(MAX(W114:AB114)=AA114,"PCQ","Autre")))))</x:f>
        <x:v>QS</x:v>
      </x:c>
      <x:c r="AQ114" s="84" t="str">
        <x:f>IF(MAX(AC114:AH114)=AC114,"CAQ",IF(MAX(AC114:AH114)=AD114,"PLQ",IF(MAX(AC114:AH114)=AE114,"QS",IF(MAX(AC114:AH114)=AF114,"PQ",IF(MAX(AC114:AH114)=AG114,"PCQ","Autre")))))</x:f>
        <x:v>QS</x:v>
      </x:c>
      <x:c r="AR114" s="84" t="str">
        <x:f>IF(MAX(AI114:AN114)=AI114,"CAQ",IF(MAX(AI114:AN114)=AJ114,"PLQ",IF(MAX(AI114:AN114)=AK114,"QS",IF(MAX(AI114:AN114)=AL114,"PQ",IF(MAX(AI114:AN114)=AM114,"PCQ","Autre")))))</x:f>
        <x:v>CAQ</x:v>
      </x:c>
      <x:c r="AS114" s="88" t="n">
        <x:f>(MAX(K114:P114)-LARGE(K114:P114,2))*100</x:f>
        <x:v>6.66442682435156</x:v>
      </x:c>
      <x:c r="AT114" s="84" t="str">
        <x:f>IF(AS114&lt;5,"Oui","Non")</x:f>
        <x:v>Non</x:v>
      </x:c>
      <x:c r="AU114" s="89" t="n">
        <x:v>5.892222791462462</x:v>
      </x:c>
      <x:c r="AV114" s="89" t="n">
        <x:v>-6.075158144770107</x:v>
      </x:c>
      <x:c r="AW114" s="89" t="n">
        <x:v>8.753627221352431</x:v>
      </x:c>
      <x:c r="AX114" s="90" t="n">
        <x:v>-1.0964723383177402</x:v>
      </x:c>
    </x:row>
    <x:row r="115">
      <x:c r="A115" s="83" t="str">
        <x:v>Soulanges</x:v>
      </x:c>
      <x:c r="B115" s="84" t="str">
        <x:v>Banlieue de Montréal</x:v>
      </x:c>
      <x:c r="C115" s="84" t="str">
        <x:f>IF(MAX(D115:I115)=D115,"CAQ",IF(MAX(D115:I115)=E115,"PLQ",IF(MAX(D115:I115)=F115,"QS",IF(MAX(D115:I115)=G115,"PQ",IF(MAX(D115:I115)=H115,"PCQ","Autre")))))</x:f>
        <x:v>CAQ</x:v>
      </x:c>
      <x:c r="D115" s="85" t="n">
        <x:v>32972</x:v>
      </x:c>
      <x:c r="E115" s="85" t="n">
        <x:v>17374</x:v>
      </x:c>
      <x:c r="F115" s="85" t="n">
        <x:v>8412</x:v>
      </x:c>
      <x:c r="G115" s="85" t="n">
        <x:v>9463</x:v>
      </x:c>
      <x:c r="H115" s="85" t="n">
        <x:v>9754</x:v>
      </x:c>
      <x:c r="I115" s="85" t="n">
        <x:v>39</x:v>
      </x:c>
      <x:c r="J115" s="86" t="n">
        <x:f>SUM(D115:I115)</x:f>
        <x:v>78014</x:v>
      </x:c>
      <x:c r="K115" s="87" t="n">
        <x:f>IFERROR(D115/J115,0)</x:f>
        <x:v>0.42264208988130336</x:v>
      </x:c>
      <x:c r="L115" s="87" t="n">
        <x:f>IFERROR(E115/J115,0)</x:f>
        <x:v>0.22270361729945906</x:v>
      </x:c>
      <x:c r="M115" s="87" t="n">
        <x:f>IFERROR(F115/J115,0)</x:f>
        <x:v>0.10782680031789166</x:v>
      </x:c>
      <x:c r="N115" s="87" t="n">
        <x:f>IFERROR(G115/J115,0)</x:f>
        <x:v>0.12129874125157022</x:v>
      </x:c>
      <x:c r="O115" s="87" t="n">
        <x:f>IFERROR(H115/J115,0)</x:f>
        <x:v>0.1250288409772605</x:v>
      </x:c>
      <x:c r="P115" s="87" t="n">
        <x:f>IFERROR(I115/J115,0)</x:f>
        <x:v>0.0004999102725151896</x:v>
      </x:c>
      <x:c r="Q115" s="86" t="n">
        <x:f>D115*INDEX('Régions'!$T$2:$Y$6,MATCH($B115,'Régions'!$A$2:$A$6,0),1)</x:f>
        <x:v>23310.85076984502</x:v>
      </x:c>
      <x:c r="R115" s="86" t="n">
        <x:f>E115*INDEX('Régions'!$T$2:$Y$6,MATCH($B115,'Régions'!$A$2:$A$6,0),2)</x:f>
        <x:v>22225.856111375284</x:v>
      </x:c>
      <x:c r="S115" s="86" t="n">
        <x:f>F115*INDEX('Régions'!$T$2:$Y$6,MATCH($B115,'Régions'!$A$2:$A$6,0),3)</x:f>
        <x:v>4248.932516822617</x:v>
      </x:c>
      <x:c r="T115" s="86" t="n">
        <x:f>G115*INDEX('Régions'!$T$2:$Y$6,MATCH($B115,'Régions'!$A$2:$A$6,0),4)</x:f>
        <x:v>17644.71270875266</x:v>
      </x:c>
      <x:c r="U115" s="86" t="n">
        <x:f>H115*INDEX('Régions'!$T$2:$Y$6,MATCH($B115,'Régions'!$A$2:$A$6,0),5)</x:f>
        <x:v>11415.451586637428</x:v>
      </x:c>
      <x:c r="V115" s="86" t="n">
        <x:f>I115*INDEX('Régions'!$T$2:$Y$6,MATCH($B115,'Régions'!$A$2:$A$6,0),6)</x:f>
        <x:v>83.73474713069234</x:v>
      </x:c>
      <x:c r="W115" s="86" t="n">
        <x:f>MAX(0,Q115+(AU115/100)*J115*'Régions'!$O$2)</x:f>
        <x:v>23421.231019243052</x:v>
      </x:c>
      <x:c r="X115" s="86" t="n">
        <x:f>MAX(0,R115+(AV115/100)*J115*'Régions'!$O$2)</x:f>
        <x:v>20178.842359900536</x:v>
      </x:c>
      <x:c r="Y115" s="86" t="n">
        <x:f>MAX(0,S115+(AW115/100)*J115*'Régions'!$O$2)</x:f>
        <x:v>4244.0072334287315</x:v>
      </x:c>
      <x:c r="Z115" s="86" t="n">
        <x:f>MAX(0,T115+(AX115/100)*J115*'Régions'!$O$2)</x:f>
        <x:v>19146.146170007123</x:v>
      </x:c>
      <x:c r="AA115" s="86" t="n">
        <x:f>U115</x:f>
        <x:v>11415.451586637428</x:v>
      </x:c>
      <x:c r="AB115" s="86" t="n">
        <x:f>V115</x:f>
        <x:v>83.73474713069234</x:v>
      </x:c>
      <x:c r="AC115" s="86" t="n">
        <x:f>D115*INDEX('Régions'!$Z$2:$AE$6,MATCH($B115,'Régions'!$A$2:$A$6,0),1)</x:f>
        <x:v>25714.782255485286</x:v>
      </x:c>
      <x:c r="AD115" s="86" t="n">
        <x:f>E115*INDEX('Régions'!$Z$2:$AE$6,MATCH($B115,'Régions'!$A$2:$A$6,0),2)</x:f>
        <x:v>26300.596398460748</x:v>
      </x:c>
      <x:c r="AE115" s="86" t="n">
        <x:f>F115*INDEX('Régions'!$Z$2:$AE$6,MATCH($B115,'Régions'!$A$2:$A$6,0),3)</x:f>
        <x:v>6252.0007033247075</x:v>
      </x:c>
      <x:c r="AF115" s="86" t="n">
        <x:f>G115*INDEX('Régions'!$Z$2:$AE$6,MATCH($B115,'Régions'!$A$2:$A$6,0),4)</x:f>
        <x:v>19585.63110671545</x:v>
      </x:c>
      <x:c r="AG115" s="86" t="n">
        <x:f>H115*INDEX('Régions'!$Z$2:$AE$6,MATCH($B115,'Régions'!$A$2:$A$6,0),5)</x:f>
        <x:v>14554.70077296272</x:v>
      </x:c>
      <x:c r="AH115" s="86" t="n">
        <x:f>I115*INDEX('Régions'!$Z$2:$AE$6,MATCH($B115,'Régions'!$A$2:$A$6,0),6)</x:f>
        <x:v>360.05941266197703</x:v>
      </x:c>
      <x:c r="AI115" s="86" t="n">
        <x:f>D115*INDEX('Régions'!$AF$2:$AK$6,MATCH($B115,'Régions'!$A$2:$A$6,0),1)</x:f>
        <x:v>20906.919284204752</x:v>
      </x:c>
      <x:c r="AJ115" s="86" t="n">
        <x:f>E115*INDEX('Régions'!$AF$2:$AK$6,MATCH($B115,'Régions'!$A$2:$A$6,0),2)</x:f>
        <x:v>18151.115824289813</x:v>
      </x:c>
      <x:c r="AK115" s="86" t="n">
        <x:f>F115*INDEX('Régions'!$AF$2:$AK$6,MATCH($B115,'Régions'!$A$2:$A$6,0),3)</x:f>
        <x:v>2245.8643303205263</x:v>
      </x:c>
      <x:c r="AL115" s="86" t="n">
        <x:f>G115*INDEX('Régions'!$AF$2:$AK$6,MATCH($B115,'Régions'!$A$2:$A$6,0),4)</x:f>
        <x:v>15703.794310789868</x:v>
      </x:c>
      <x:c r="AM115" s="86" t="n">
        <x:f>H115*INDEX('Régions'!$AF$2:$AK$6,MATCH($B115,'Régions'!$A$2:$A$6,0),5)</x:f>
        <x:v>8276.202400312133</x:v>
      </x:c>
      <x:c r="AN115" s="86" t="n">
        <x:f>I115*INDEX('Régions'!$AF$2:$AK$6,MATCH($B115,'Régions'!$A$2:$A$6,0),6)</x:f>
        <x:v>0</x:v>
      </x:c>
      <x:c r="AO115" s="84" t="str">
        <x:f>IF(MAX(Q115:V115)=Q115,"CAQ",IF(MAX(Q115:V115)=R115,"PLQ",IF(MAX(Q115:V115)=S115,"QS",IF(MAX(Q115:V115)=T115,"PQ",IF(MAX(Q115:V115)=U115,"PCQ","Autre")))))</x:f>
        <x:v>CAQ</x:v>
      </x:c>
      <x:c r="AP115" s="84" t="str">
        <x:f>IF(MAX(W115:AB115)=W115,"CAQ",IF(MAX(W115:AB115)=X115,"PLQ",IF(MAX(W115:AB115)=Y115,"QS",IF(MAX(W115:AB115)=Z115,"PQ",IF(MAX(W115:AB115)=AA115,"PCQ","Autre")))))</x:f>
        <x:v>CAQ</x:v>
      </x:c>
      <x:c r="AQ115" s="84" t="str">
        <x:f>IF(MAX(AC115:AH115)=AC115,"CAQ",IF(MAX(AC115:AH115)=AD115,"PLQ",IF(MAX(AC115:AH115)=AE115,"QS",IF(MAX(AC115:AH115)=AF115,"PQ",IF(MAX(AC115:AH115)=AG115,"PCQ","Autre")))))</x:f>
        <x:v>PLQ</x:v>
      </x:c>
      <x:c r="AR115" s="84" t="str">
        <x:f>IF(MAX(AI115:AN115)=AI115,"CAQ",IF(MAX(AI115:AN115)=AJ115,"PLQ",IF(MAX(AI115:AN115)=AK115,"QS",IF(MAX(AI115:AN115)=AL115,"PQ",IF(MAX(AI115:AN115)=AM115,"PCQ","Autre")))))</x:f>
        <x:v>CAQ</x:v>
      </x:c>
      <x:c r="AS115" s="88" t="n">
        <x:f>(MAX(K115:P115)-LARGE(K115:P115,2))*100</x:f>
        <x:v>19.99384725818443</x:v>
      </x:c>
      <x:c r="AT115" s="84" t="str">
        <x:f>IF(AS115&lt;5,"Oui","Non")</x:f>
        <x:v>Non</x:v>
      </x:c>
      <x:c r="AU115" s="89" t="n">
        <x:v>0.2829754900352033</x:v>
      </x:c>
      <x:c r="AV115" s="89" t="n">
        <x:v>-5.247811294061955</x:v>
      </x:c>
      <x:c r="AW115" s="89" t="n">
        <x:v>-0.012626665454625041</x:v>
      </x:c>
      <x:c r="AX115" s="90" t="n">
        <x:v>3.849138516816117</x:v>
      </x:c>
    </x:row>
    <x:row r="116">
      <x:c r="A116" s="83" t="str">
        <x:v>Taillon</x:v>
      </x:c>
      <x:c r="B116" s="84" t="str">
        <x:v>Banlieue de Montréal</x:v>
      </x:c>
      <x:c r="C116" s="84" t="str">
        <x:f>IF(MAX(D116:I116)=D116,"CAQ",IF(MAX(D116:I116)=E116,"PLQ",IF(MAX(D116:I116)=F116,"QS",IF(MAX(D116:I116)=G116,"PQ",IF(MAX(D116:I116)=H116,"PCQ","Autre")))))</x:f>
        <x:v>CAQ</x:v>
      </x:c>
      <x:c r="D116" s="85" t="n">
        <x:v>28848</x:v>
      </x:c>
      <x:c r="E116" s="85" t="n">
        <x:v>8074</x:v>
      </x:c>
      <x:c r="F116" s="85" t="n">
        <x:v>13134</x:v>
      </x:c>
      <x:c r="G116" s="85" t="n">
        <x:v>14113</x:v>
      </x:c>
      <x:c r="H116" s="85" t="n">
        <x:v>4494</x:v>
      </x:c>
      <x:c r="I116" s="85" t="n">
        <x:v>832</x:v>
      </x:c>
      <x:c r="J116" s="86" t="n">
        <x:f>SUM(D116:I116)</x:f>
        <x:v>69495</x:v>
      </x:c>
      <x:c r="K116" s="87" t="n">
        <x:f>IFERROR(D116/J116,0)</x:f>
        <x:v>0.4151090006475286</x:v>
      </x:c>
      <x:c r="L116" s="87" t="n">
        <x:f>IFERROR(E116/J116,0)</x:f>
        <x:v>0.11618102021728181</x:v>
      </x:c>
      <x:c r="M116" s="87" t="n">
        <x:f>IFERROR(F116/J116,0)</x:f>
        <x:v>0.18899201381394345</x:v>
      </x:c>
      <x:c r="N116" s="87" t="n">
        <x:f>IFERROR(G116/J116,0)</x:f>
        <x:v>0.2030793582272106</x:v>
      </x:c>
      <x:c r="O116" s="87" t="n">
        <x:f>IFERROR(H116/J116,0)</x:f>
        <x:v>0.0646665227714224</x:v>
      </x:c>
      <x:c r="P116" s="87" t="n">
        <x:f>IFERROR(I116/J116,0)</x:f>
        <x:v>0.011972084322613138</x:v>
      </x:c>
      <x:c r="Q116" s="86" t="n">
        <x:f>D116*INDEX('Régions'!$T$2:$Y$6,MATCH($B116,'Régions'!$A$2:$A$6,0),1)</x:f>
        <x:v>20395.226950396976</x:v>
      </x:c>
      <x:c r="R116" s="86" t="n">
        <x:f>E116*INDEX('Régions'!$T$2:$Y$6,MATCH($B116,'Régions'!$A$2:$A$6,0),2)</x:f>
        <x:v>10328.7419272041</x:v>
      </x:c>
      <x:c r="S116" s="86" t="n">
        <x:f>F116*INDEX('Régions'!$T$2:$Y$6,MATCH($B116,'Régions'!$A$2:$A$6,0),3)</x:f>
        <x:v>6634.032296237309</x:v>
      </x:c>
      <x:c r="T116" s="86" t="n">
        <x:f>G116*INDEX('Régions'!$T$2:$Y$6,MATCH($B116,'Régions'!$A$2:$A$6,0),4)</x:f>
        <x:v>26315.104138077386</x:v>
      </x:c>
      <x:c r="U116" s="86" t="n">
        <x:f>H116*INDEX('Régions'!$T$2:$Y$6,MATCH($B116,'Régions'!$A$2:$A$6,0),5)</x:f>
        <x:v>5259.487331386979</x:v>
      </x:c>
      <x:c r="V116" s="86" t="n">
        <x:f>I116*INDEX('Régions'!$T$2:$Y$6,MATCH($B116,'Régions'!$A$2:$A$6,0),6)</x:f>
        <x:v>1786.3412721214365</x:v>
      </x:c>
      <x:c r="W116" s="86" t="n">
        <x:f>MAX(0,Q116+(AU116/100)*J116*'Régions'!$O$2)</x:f>
        <x:v>22049.99612198524</x:v>
      </x:c>
      <x:c r="X116" s="86" t="n">
        <x:f>MAX(0,R116+(AV116/100)*J116*'Régions'!$O$2)</x:f>
        <x:v>10790.069973357102</x:v>
      </x:c>
      <x:c r="Y116" s="86" t="n">
        <x:f>MAX(0,S116+(AW116/100)*J116*'Régions'!$O$2)</x:f>
        <x:v>7302.264353705243</x:v>
      </x:c>
      <x:c r="Z116" s="86" t="n">
        <x:f>MAX(0,T116+(AX116/100)*J116*'Régions'!$O$2)</x:f>
        <x:v>24480.53647059723</x:v>
      </x:c>
      <x:c r="AA116" s="86" t="n">
        <x:f>U116</x:f>
        <x:v>5259.487331386979</x:v>
      </x:c>
      <x:c r="AB116" s="86" t="n">
        <x:f>V116</x:f>
        <x:v>1786.3412721214365</x:v>
      </x:c>
      <x:c r="AC116" s="86" t="n">
        <x:f>D116*INDEX('Régions'!$Z$2:$AE$6,MATCH($B116,'Régions'!$A$2:$A$6,0),1)</x:f>
        <x:v>22498.484729656662</x:v>
      </x:c>
      <x:c r="AD116" s="86" t="n">
        <x:f>E116*INDEX('Régions'!$Z$2:$AE$6,MATCH($B116,'Régions'!$A$2:$A$6,0),2)</x:f>
        <x:v>12222.344613858184</x:v>
      </x:c>
      <x:c r="AE116" s="86" t="n">
        <x:f>F116*INDEX('Régions'!$Z$2:$AE$6,MATCH($B116,'Régions'!$A$2:$A$6,0),3)</x:f>
        <x:v>9761.50466446347</x:v>
      </x:c>
      <x:c r="AF116" s="86" t="n">
        <x:f>G116*INDEX('Régions'!$Z$2:$AE$6,MATCH($B116,'Régions'!$A$2:$A$6,0),4)</x:f>
        <x:v>29209.765593265893</x:v>
      </x:c>
      <x:c r="AG116" s="86" t="n">
        <x:f>H116*INDEX('Régions'!$Z$2:$AE$6,MATCH($B116,'Régions'!$A$2:$A$6,0),5)</x:f>
        <x:v>6705.846347518399</x:v>
      </x:c>
      <x:c r="AH116" s="86" t="n">
        <x:f>I116*INDEX('Régions'!$Z$2:$AE$6,MATCH($B116,'Régions'!$A$2:$A$6,0),6)</x:f>
        <x:v>7681.267470122177</x:v>
      </x:c>
      <x:c r="AI116" s="86" t="n">
        <x:f>D116*INDEX('Régions'!$AF$2:$AK$6,MATCH($B116,'Régions'!$A$2:$A$6,0),1)</x:f>
        <x:v>18291.969171137287</x:v>
      </x:c>
      <x:c r="AJ116" s="86" t="n">
        <x:f>E116*INDEX('Régions'!$AF$2:$AK$6,MATCH($B116,'Régions'!$A$2:$A$6,0),2)</x:f>
        <x:v>8435.139240550014</x:v>
      </x:c>
      <x:c r="AK116" s="86" t="n">
        <x:f>F116*INDEX('Régions'!$AF$2:$AK$6,MATCH($B116,'Régions'!$A$2:$A$6,0),3)</x:f>
        <x:v>3506.5599280111496</x:v>
      </x:c>
      <x:c r="AL116" s="86" t="n">
        <x:f>G116*INDEX('Régions'!$AF$2:$AK$6,MATCH($B116,'Régions'!$A$2:$A$6,0),4)</x:f>
        <x:v>23420.44268288887</x:v>
      </x:c>
      <x:c r="AM116" s="86" t="n">
        <x:f>H116*INDEX('Régions'!$AF$2:$AK$6,MATCH($B116,'Régions'!$A$2:$A$6,0),5)</x:f>
        <x:v>3813.1283152555598</x:v>
      </x:c>
      <x:c r="AN116" s="86" t="n">
        <x:f>I116*INDEX('Régions'!$AF$2:$AK$6,MATCH($B116,'Régions'!$A$2:$A$6,0),6)</x:f>
        <x:v>0</x:v>
      </x:c>
      <x:c r="AO116" s="84" t="str">
        <x:f>IF(MAX(Q116:V116)=Q116,"CAQ",IF(MAX(Q116:V116)=R116,"PLQ",IF(MAX(Q116:V116)=S116,"QS",IF(MAX(Q116:V116)=T116,"PQ",IF(MAX(Q116:V116)=U116,"PCQ","Autre")))))</x:f>
        <x:v>PQ</x:v>
      </x:c>
      <x:c r="AP116" s="84" t="str">
        <x:f>IF(MAX(W116:AB116)=W116,"CAQ",IF(MAX(W116:AB116)=X116,"PLQ",IF(MAX(W116:AB116)=Y116,"QS",IF(MAX(W116:AB116)=Z116,"PQ",IF(MAX(W116:AB116)=AA116,"PCQ","Autre")))))</x:f>
        <x:v>PQ</x:v>
      </x:c>
      <x:c r="AQ116" s="84" t="str">
        <x:f>IF(MAX(AC116:AH116)=AC116,"CAQ",IF(MAX(AC116:AH116)=AD116,"PLQ",IF(MAX(AC116:AH116)=AE116,"QS",IF(MAX(AC116:AH116)=AF116,"PQ",IF(MAX(AC116:AH116)=AG116,"PCQ","Autre")))))</x:f>
        <x:v>PQ</x:v>
      </x:c>
      <x:c r="AR116" s="84" t="str">
        <x:f>IF(MAX(AI116:AN116)=AI116,"CAQ",IF(MAX(AI116:AN116)=AJ116,"PLQ",IF(MAX(AI116:AN116)=AK116,"QS",IF(MAX(AI116:AN116)=AL116,"PQ",IF(MAX(AI116:AN116)=AM116,"PCQ","Autre")))))</x:f>
        <x:v>PQ</x:v>
      </x:c>
      <x:c r="AS116" s="88" t="n">
        <x:f>(MAX(K116:P116)-LARGE(K116:P116,2))*100</x:f>
        <x:v>21.2029642420318</x:v>
      </x:c>
      <x:c r="AT116" s="84" t="str">
        <x:f>IF(AS116&lt;5,"Oui","Non")</x:f>
        <x:v>Non</x:v>
      </x:c>
      <x:c r="AU116" s="89" t="n">
        <x:v>4.762268282864279</x:v>
      </x:c>
      <x:c r="AV116" s="89" t="n">
        <x:v>1.3276582377235822</x:v>
      </x:c>
      <x:c r="AW116" s="89" t="n">
        <x:v>1.9231083026633096</x:v>
      </x:c>
      <x:c r="AX116" s="90" t="n">
        <x:v>-5.279711252550989</x:v>
      </x:c>
    </x:row>
    <x:row r="117">
      <x:c r="A117" s="83" t="str">
        <x:v>Taschereau</x:v>
      </x:c>
      <x:c r="B117" s="84" t="str">
        <x:v>Québec RMR</x:v>
      </x:c>
      <x:c r="C117" s="84" t="str">
        <x:f>IF(MAX(D117:I117)=D117,"CAQ",IF(MAX(D117:I117)=E117,"PLQ",IF(MAX(D117:I117)=F117,"QS",IF(MAX(D117:I117)=G117,"PQ",IF(MAX(D117:I117)=H117,"PCQ","Autre")))))</x:f>
        <x:v>QS</x:v>
      </x:c>
      <x:c r="D117" s="85" t="n">
        <x:v>15073</x:v>
      </x:c>
      <x:c r="E117" s="85" t="n">
        <x:v>4050</x:v>
      </x:c>
      <x:c r="F117" s="85" t="n">
        <x:v>27174</x:v>
      </x:c>
      <x:c r="G117" s="85" t="n">
        <x:v>15963</x:v>
      </x:c>
      <x:c r="H117" s="85" t="n">
        <x:v>6024</x:v>
      </x:c>
      <x:c r="I117" s="85" t="n">
        <x:v>452</x:v>
      </x:c>
      <x:c r="J117" s="86" t="n">
        <x:f>SUM(D117:I117)</x:f>
        <x:v>68736</x:v>
      </x:c>
      <x:c r="K117" s="87" t="n">
        <x:f>IFERROR(D117/J117,0)</x:f>
        <x:v>0.219288291433892</x:v>
      </x:c>
      <x:c r="L117" s="87" t="n">
        <x:f>IFERROR(E117/J117,0)</x:f>
        <x:v>0.05892108938547486</x:v>
      </x:c>
      <x:c r="M117" s="87" t="n">
        <x:f>IFERROR(F117/J117,0)</x:f>
        <x:v>0.395338687150838</x:v>
      </x:c>
      <x:c r="N117" s="87" t="n">
        <x:f>IFERROR(G117/J117,0)</x:f>
        <x:v>0.23223638268156424</x:v>
      </x:c>
      <x:c r="O117" s="87" t="n">
        <x:f>IFERROR(H117/J117,0)</x:f>
        <x:v>0.08763966480446927</x:v>
      </x:c>
      <x:c r="P117" s="87" t="n">
        <x:f>IFERROR(I117/J117,0)</x:f>
        <x:v>0.006575884543761639</x:v>
      </x:c>
      <x:c r="Q117" s="86" t="n">
        <x:f>D117*INDEX('Régions'!$T$2:$Y$6,MATCH($B117,'Régions'!$A$2:$A$6,0),1)</x:f>
        <x:v>12543.804384829193</x:v>
      </x:c>
      <x:c r="R117" s="86" t="n">
        <x:f>E117*INDEX('Régions'!$T$2:$Y$6,MATCH($B117,'Régions'!$A$2:$A$6,0),2)</x:f>
        <x:v>4860.630530094968</x:v>
      </x:c>
      <x:c r="S117" s="86" t="n">
        <x:f>F117*INDEX('Régions'!$T$2:$Y$6,MATCH($B117,'Régions'!$A$2:$A$6,0),3)</x:f>
        <x:v>10780.23654873637</x:v>
      </x:c>
      <x:c r="T117" s="86" t="n">
        <x:f>G117*INDEX('Régions'!$T$2:$Y$6,MATCH($B117,'Régions'!$A$2:$A$6,0),4)</x:f>
        <x:v>32589.017984633567</x:v>
      </x:c>
      <x:c r="U117" s="86" t="n">
        <x:f>H117*INDEX('Régions'!$T$2:$Y$6,MATCH($B117,'Régions'!$A$2:$A$6,0),5)</x:f>
        <x:v>6168.76789607963</x:v>
      </x:c>
      <x:c r="V117" s="86" t="n">
        <x:f>I117*INDEX('Régions'!$T$2:$Y$6,MATCH($B117,'Régions'!$A$2:$A$6,0),6)</x:f>
        <x:v>771.9181212920236</x:v>
      </x:c>
      <x:c r="W117" s="86" t="n">
        <x:f>MAX(0,Q117+(AU117/100)*J117*'Régions'!$O$2)</x:f>
        <x:v>14571.018844749993</x:v>
      </x:c>
      <x:c r="X117" s="86" t="n">
        <x:f>MAX(0,R117+(AV117/100)*J117*'Régions'!$O$2)</x:f>
        <x:v>5938.554636984835</x:v>
      </x:c>
      <x:c r="Y117" s="86" t="n">
        <x:f>MAX(0,S117+(AW117/100)*J117*'Régions'!$O$2)</x:f>
        <x:v>9955.359161926332</x:v>
      </x:c>
      <x:c r="Z117" s="86" t="n">
        <x:f>MAX(0,T117+(AX117/100)*J117*'Régions'!$O$2)</x:f>
        <x:v>33559.75191294036</x:v>
      </x:c>
      <x:c r="AA117" s="86" t="n">
        <x:f>U117</x:f>
        <x:v>6168.76789607963</x:v>
      </x:c>
      <x:c r="AB117" s="86" t="n">
        <x:f>V117</x:f>
        <x:v>771.9181212920236</x:v>
      </x:c>
      <x:c r="AC117" s="86" t="n">
        <x:f>D117*INDEX('Régions'!$Z$2:$AE$6,MATCH($B117,'Régions'!$A$2:$A$6,0),1)</x:f>
        <x:v>13693.6531201052</x:v>
      </x:c>
      <x:c r="AD117" s="86" t="n">
        <x:f>E117*INDEX('Régions'!$Z$2:$AE$6,MATCH($B117,'Régions'!$A$2:$A$6,0),2)</x:f>
        <x:v>7152.070637139738</x:v>
      </x:c>
      <x:c r="AE117" s="86" t="n">
        <x:f>F117*INDEX('Régions'!$Z$2:$AE$6,MATCH($B117,'Régions'!$A$2:$A$6,0),3)</x:f>
        <x:v>16709.36665054137</x:v>
      </x:c>
      <x:c r="AF117" s="86" t="n">
        <x:f>G117*INDEX('Régions'!$Z$2:$AE$6,MATCH($B117,'Régions'!$A$2:$A$6,0),4)</x:f>
        <x:v>36429.866532822525</x:v>
      </x:c>
      <x:c r="AG117" s="86" t="n">
        <x:f>H117*INDEX('Régions'!$Z$2:$AE$6,MATCH($B117,'Régions'!$A$2:$A$6,0),5)</x:f>
        <x:v>7094.083080491575</x:v>
      </x:c>
      <x:c r="AH117" s="86" t="n">
        <x:f>I117*INDEX('Régions'!$Z$2:$AE$6,MATCH($B117,'Régions'!$A$2:$A$6,0),6)</x:f>
        <x:v>3319.2479215557014</x:v>
      </x:c>
      <x:c r="AI117" s="86" t="n">
        <x:f>D117*INDEX('Régions'!$AF$2:$AK$6,MATCH($B117,'Régions'!$A$2:$A$6,0),1)</x:f>
        <x:v>11393.955649553183</x:v>
      </x:c>
      <x:c r="AJ117" s="86" t="n">
        <x:f>E117*INDEX('Régions'!$AF$2:$AK$6,MATCH($B117,'Régions'!$A$2:$A$6,0),2)</x:f>
        <x:v>2569.1904230501973</x:v>
      </x:c>
      <x:c r="AK117" s="86" t="n">
        <x:f>F117*INDEX('Régions'!$AF$2:$AK$6,MATCH($B117,'Régions'!$A$2:$A$6,0),3)</x:f>
        <x:v>4851.106446931367</x:v>
      </x:c>
      <x:c r="AL117" s="86" t="n">
        <x:f>G117*INDEX('Régions'!$AF$2:$AK$6,MATCH($B117,'Régions'!$A$2:$A$6,0),4)</x:f>
        <x:v>28748.169436444612</x:v>
      </x:c>
      <x:c r="AM117" s="86" t="n">
        <x:f>H117*INDEX('Régions'!$AF$2:$AK$6,MATCH($B117,'Régions'!$A$2:$A$6,0),5)</x:f>
        <x:v>5243.452711667685</x:v>
      </x:c>
      <x:c r="AN117" s="86" t="n">
        <x:f>I117*INDEX('Régions'!$AF$2:$AK$6,MATCH($B117,'Régions'!$A$2:$A$6,0),6)</x:f>
        <x:v>0</x:v>
      </x:c>
      <x:c r="AO117" s="84" t="str">
        <x:f>IF(MAX(Q117:V117)=Q117,"CAQ",IF(MAX(Q117:V117)=R117,"PLQ",IF(MAX(Q117:V117)=S117,"QS",IF(MAX(Q117:V117)=T117,"PQ",IF(MAX(Q117:V117)=U117,"PCQ","Autre")))))</x:f>
        <x:v>PQ</x:v>
      </x:c>
      <x:c r="AP117" s="84" t="str">
        <x:f>IF(MAX(W117:AB117)=W117,"CAQ",IF(MAX(W117:AB117)=X117,"PLQ",IF(MAX(W117:AB117)=Y117,"QS",IF(MAX(W117:AB117)=Z117,"PQ",IF(MAX(W117:AB117)=AA117,"PCQ","Autre")))))</x:f>
        <x:v>PQ</x:v>
      </x:c>
      <x:c r="AQ117" s="84" t="str">
        <x:f>IF(MAX(AC117:AH117)=AC117,"CAQ",IF(MAX(AC117:AH117)=AD117,"PLQ",IF(MAX(AC117:AH117)=AE117,"QS",IF(MAX(AC117:AH117)=AF117,"PQ",IF(MAX(AC117:AH117)=AG117,"PCQ","Autre")))))</x:f>
        <x:v>PQ</x:v>
      </x:c>
      <x:c r="AR117" s="84" t="str">
        <x:f>IF(MAX(AI117:AN117)=AI117,"CAQ",IF(MAX(AI117:AN117)=AJ117,"PLQ",IF(MAX(AI117:AN117)=AK117,"QS",IF(MAX(AI117:AN117)=AL117,"PQ",IF(MAX(AI117:AN117)=AM117,"PCQ","Autre")))))</x:f>
        <x:v>PQ</x:v>
      </x:c>
      <x:c r="AS117" s="88" t="n">
        <x:f>(MAX(K117:P117)-LARGE(K117:P117,2))*100</x:f>
        <x:v>16.310230446927374</x:v>
      </x:c>
      <x:c r="AT117" s="84" t="str">
        <x:f>IF(AS117&lt;5,"Oui","Non")</x:f>
        <x:v>Non</x:v>
      </x:c>
      <x:c r="AU117" s="89" t="n">
        <x:v>5.898552315877565</x:v>
      </x:c>
      <x:c r="AV117" s="89" t="n">
        <x:v>3.136417908781039</x:v>
      </x:c>
      <x:c r="AW117" s="89" t="n">
        <x:v>-2.400132061248947</x:v>
      </x:c>
      <x:c r="AX117" s="90" t="n">
        <x:v>2.8245284226803724</x:v>
      </x:c>
    </x:row>
    <x:row r="118">
      <x:c r="A118" s="83" t="str">
        <x:v>Terrebonne</x:v>
      </x:c>
      <x:c r="B118" s="84" t="str">
        <x:v>Banlieue de Montréal</x:v>
      </x:c>
      <x:c r="C118" s="84" t="str">
        <x:f>IF(MAX(D118:I118)=D118,"CAQ",IF(MAX(D118:I118)=E118,"PLQ",IF(MAX(D118:I118)=F118,"QS",IF(MAX(D118:I118)=G118,"PQ",IF(MAX(D118:I118)=H118,"PCQ","Autre")))))</x:f>
        <x:v>CAQ</x:v>
      </x:c>
      <x:c r="D118" s="85" t="n">
        <x:v>38255</x:v>
      </x:c>
      <x:c r="E118" s="85" t="n">
        <x:v>7868</x:v>
      </x:c>
      <x:c r="F118" s="85" t="n">
        <x:v>9791</x:v>
      </x:c>
      <x:c r="G118" s="85" t="n">
        <x:v>15173</x:v>
      </x:c>
      <x:c r="H118" s="85" t="n">
        <x:v>6141</x:v>
      </x:c>
      <x:c r="I118" s="85" t="n">
        <x:v>147</x:v>
      </x:c>
      <x:c r="J118" s="86" t="n">
        <x:f>SUM(D118:I118)</x:f>
        <x:v>77375</x:v>
      </x:c>
      <x:c r="K118" s="87" t="n">
        <x:f>IFERROR(D118/J118,0)</x:f>
        <x:v>0.4944103392568659</x:v>
      </x:c>
      <x:c r="L118" s="87" t="n">
        <x:f>IFERROR(E118/J118,0)</x:f>
        <x:v>0.10168659127625201</x:v>
      </x:c>
      <x:c r="M118" s="87" t="n">
        <x:f>IFERROR(F118/J118,0)</x:f>
        <x:v>0.12653957996768983</x:v>
      </x:c>
      <x:c r="N118" s="87" t="n">
        <x:f>IFERROR(G118/J118,0)</x:f>
        <x:v>0.19609693053311794</x:v>
      </x:c>
      <x:c r="O118" s="87" t="n">
        <x:f>IFERROR(H118/J118,0)</x:f>
        <x:v>0.07936672051696285</x:v>
      </x:c>
      <x:c r="P118" s="87" t="n">
        <x:f>IFERROR(I118/J118,0)</x:f>
        <x:v>0.00189983844911147</x:v>
      </x:c>
      <x:c r="Q118" s="86" t="n">
        <x:f>D118*INDEX('Régions'!$T$2:$Y$6,MATCH($B118,'Régions'!$A$2:$A$6,0),1)</x:f>
        <x:v>27045.87517288673</x:v>
      </x:c>
      <x:c r="R118" s="86" t="n">
        <x:f>E118*INDEX('Régions'!$T$2:$Y$6,MATCH($B118,'Régions'!$A$2:$A$6,0),2)</x:f>
        <x:v>10065.214451726759</x:v>
      </x:c>
      <x:c r="S118" s="86" t="n">
        <x:f>F118*INDEX('Régions'!$T$2:$Y$6,MATCH($B118,'Régions'!$A$2:$A$6,0),3)</x:f>
        <x:v>4945.470550666933</x:v>
      </x:c>
      <x:c r="T118" s="86" t="n">
        <x:f>G118*INDEX('Régions'!$T$2:$Y$6,MATCH($B118,'Régions'!$A$2:$A$6,0),4)</x:f>
        <x:v>28291.580463901948</x:v>
      </x:c>
      <x:c r="U118" s="86" t="n">
        <x:f>H118*INDEX('Régions'!$T$2:$Y$6,MATCH($B118,'Régions'!$A$2:$A$6,0),5)</x:f>
        <x:v>7187.0297512344105</x:v>
      </x:c>
      <x:c r="V118" s="86" t="n">
        <x:f>I118*INDEX('Régions'!$T$2:$Y$6,MATCH($B118,'Régions'!$A$2:$A$6,0),6)</x:f>
        <x:v>315.6155853387634</x:v>
      </x:c>
      <x:c r="W118" s="86" t="n">
        <x:f>MAX(0,Q118+(AU118/100)*J118*'Régions'!$O$2)</x:f>
        <x:v>28394.075652279917</x:v>
      </x:c>
      <x:c r="X118" s="86" t="n">
        <x:f>MAX(0,R118+(AV118/100)*J118*'Régions'!$O$2)</x:f>
        <x:v>11804.155905723777</x:v>
      </x:c>
      <x:c r="Y118" s="86" t="n">
        <x:f>MAX(0,S118+(AW118/100)*J118*'Régions'!$O$2)</x:f>
        <x:v>5138.201991555593</x:v>
      </x:c>
      <x:c r="Z118" s="86" t="n">
        <x:f>MAX(0,T118+(AX118/100)*J118*'Régions'!$O$2)</x:f>
        <x:v>25534.69611253612</x:v>
      </x:c>
      <x:c r="AA118" s="86" t="n">
        <x:f>U118</x:f>
        <x:v>7187.0297512344105</x:v>
      </x:c>
      <x:c r="AB118" s="86" t="n">
        <x:f>V118</x:f>
        <x:v>315.6155853387634</x:v>
      </x:c>
      <x:c r="AC118" s="86" t="n">
        <x:f>D118*INDEX('Régions'!$Z$2:$AE$6,MATCH($B118,'Régions'!$A$2:$A$6,0),1)</x:f>
        <x:v>29834.98105009067</x:v>
      </x:c>
      <x:c r="AD118" s="86" t="n">
        <x:f>E118*INDEX('Régions'!$Z$2:$AE$6,MATCH($B118,'Régions'!$A$2:$A$6,0),2)</x:f>
        <x:v>11910.503767876664</x:v>
      </x:c>
      <x:c r="AE118" s="86" t="n">
        <x:f>F118*INDEX('Régions'!$Z$2:$AE$6,MATCH($B118,'Régions'!$A$2:$A$6,0),3)</x:f>
        <x:v>7276.906667409916</x:v>
      </x:c>
      <x:c r="AF118" s="86" t="n">
        <x:f>G118*INDEX('Régions'!$Z$2:$AE$6,MATCH($B118,'Régions'!$A$2:$A$6,0),4)</x:f>
        <x:v>31403.654314931155</x:v>
      </x:c>
      <x:c r="AG118" s="86" t="n">
        <x:f>H118*INDEX('Régions'!$Z$2:$AE$6,MATCH($B118,'Régions'!$A$2:$A$6,0),5)</x:f>
        <x:v>9163.462932823873</x:v>
      </x:c>
      <x:c r="AH118" s="86" t="n">
        <x:f>I118*INDEX('Régions'!$Z$2:$AE$6,MATCH($B118,'Régions'!$A$2:$A$6,0),6)</x:f>
        <x:v>1357.1470169566826</x:v>
      </x:c>
      <x:c r="AI118" s="86" t="n">
        <x:f>D118*INDEX('Régions'!$AF$2:$AK$6,MATCH($B118,'Régions'!$A$2:$A$6,0),1)</x:f>
        <x:v>24256.769295682785</x:v>
      </x:c>
      <x:c r="AJ118" s="86" t="n">
        <x:f>E118*INDEX('Régions'!$AF$2:$AK$6,MATCH($B118,'Régions'!$A$2:$A$6,0),2)</x:f>
        <x:v>8219.925135576854</x:v>
      </x:c>
      <x:c r="AK118" s="86" t="n">
        <x:f>F118*INDEX('Régions'!$AF$2:$AK$6,MATCH($B118,'Régions'!$A$2:$A$6,0),3)</x:f>
        <x:v>2614.0344339239505</x:v>
      </x:c>
      <x:c r="AL118" s="86" t="n">
        <x:f>G118*INDEX('Régions'!$AF$2:$AK$6,MATCH($B118,'Régions'!$A$2:$A$6,0),4)</x:f>
        <x:v>25179.50661287273</x:v>
      </x:c>
      <x:c r="AM118" s="86" t="n">
        <x:f>H118*INDEX('Régions'!$AF$2:$AK$6,MATCH($B118,'Régions'!$A$2:$A$6,0),5)</x:f>
        <x:v>5210.596569644947</x:v>
      </x:c>
      <x:c r="AN118" s="86" t="n">
        <x:f>I118*INDEX('Régions'!$AF$2:$AK$6,MATCH($B118,'Régions'!$A$2:$A$6,0),6)</x:f>
        <x:v>0</x:v>
      </x:c>
      <x:c r="AO118" s="84" t="str">
        <x:f>IF(MAX(Q118:V118)=Q118,"CAQ",IF(MAX(Q118:V118)=R118,"PLQ",IF(MAX(Q118:V118)=S118,"QS",IF(MAX(Q118:V118)=T118,"PQ",IF(MAX(Q118:V118)=U118,"PCQ","Autre")))))</x:f>
        <x:v>PQ</x:v>
      </x:c>
      <x:c r="AP118" s="84" t="str">
        <x:f>IF(MAX(W118:AB118)=W118,"CAQ",IF(MAX(W118:AB118)=X118,"PLQ",IF(MAX(W118:AB118)=Y118,"QS",IF(MAX(W118:AB118)=Z118,"PQ",IF(MAX(W118:AB118)=AA118,"PCQ","Autre")))))</x:f>
        <x:v>CAQ</x:v>
      </x:c>
      <x:c r="AQ118" s="84" t="str">
        <x:f>IF(MAX(AC118:AH118)=AC118,"CAQ",IF(MAX(AC118:AH118)=AD118,"PLQ",IF(MAX(AC118:AH118)=AE118,"QS",IF(MAX(AC118:AH118)=AF118,"PQ",IF(MAX(AC118:AH118)=AG118,"PCQ","Autre")))))</x:f>
        <x:v>PQ</x:v>
      </x:c>
      <x:c r="AR118" s="84" t="str">
        <x:f>IF(MAX(AI118:AN118)=AI118,"CAQ",IF(MAX(AI118:AN118)=AJ118,"PLQ",IF(MAX(AI118:AN118)=AK118,"QS",IF(MAX(AI118:AN118)=AL118,"PQ",IF(MAX(AI118:AN118)=AM118,"PCQ","Autre")))))</x:f>
        <x:v>PQ</x:v>
      </x:c>
      <x:c r="AS118" s="88" t="n">
        <x:f>(MAX(K118:P118)-LARGE(K118:P118,2))*100</x:f>
        <x:v>29.831340872374795</x:v>
      </x:c>
      <x:c r="AT118" s="84" t="str">
        <x:f>IF(AS118&lt;5,"Oui","Non")</x:f>
        <x:v>Non</x:v>
      </x:c>
      <x:c r="AU118" s="89" t="n">
        <x:v>3.484847765798227</x:v>
      </x:c>
      <x:c r="AV118" s="89" t="n">
        <x:v>4.49484059191475</x:v>
      </x:c>
      <x:c r="AW118" s="89" t="n">
        <x:v>0.49817496837133435</x:v>
      </x:c>
      <x:c r="AX118" s="90" t="n">
        <x:v>-7.1260338645966455</x:v>
      </x:c>
    </x:row>
    <x:row r="119">
      <x:c r="A119" s="83" t="str">
        <x:v>Trois-Rivières</x:v>
      </x:c>
      <x:c r="B119" s="84" t="str">
        <x:v>Reste du Québec</x:v>
      </x:c>
      <x:c r="C119" s="84" t="str">
        <x:f>IF(MAX(D119:I119)=D119,"CAQ",IF(MAX(D119:I119)=E119,"PLQ",IF(MAX(D119:I119)=F119,"QS",IF(MAX(D119:I119)=G119,"PQ",IF(MAX(D119:I119)=H119,"PCQ","Autre")))))</x:f>
        <x:v>CAQ</x:v>
      </x:c>
      <x:c r="D119" s="85" t="n">
        <x:v>37097</x:v>
      </x:c>
      <x:c r="E119" s="85" t="n">
        <x:v>4044</x:v>
      </x:c>
      <x:c r="F119" s="85" t="n">
        <x:v>11938</x:v>
      </x:c>
      <x:c r="G119" s="85" t="n">
        <x:v>10471</x:v>
      </x:c>
      <x:c r="H119" s="85" t="n">
        <x:v>8954</x:v>
      </x:c>
      <x:c r="I119" s="85" t="n">
        <x:v>503</x:v>
      </x:c>
      <x:c r="J119" s="86" t="n">
        <x:f>SUM(D119:I119)</x:f>
        <x:v>73007</x:v>
      </x:c>
      <x:c r="K119" s="87" t="n">
        <x:f>IFERROR(D119/J119,0)</x:f>
        <x:v>0.5081293574588738</x:v>
      </x:c>
      <x:c r="L119" s="87" t="n">
        <x:f>IFERROR(E119/J119,0)</x:f>
        <x:v>0.055391948717246293</x:v>
      </x:c>
      <x:c r="M119" s="87" t="n">
        <x:f>IFERROR(F119/J119,0)</x:f>
        <x:v>0.16351856671278098</x:v>
      </x:c>
      <x:c r="N119" s="87" t="n">
        <x:f>IFERROR(G119/J119,0)</x:f>
        <x:v>0.14342460312024874</x:v>
      </x:c>
      <x:c r="O119" s="87" t="n">
        <x:f>IFERROR(H119/J119,0)</x:f>
        <x:v>0.12264577369293356</x:v>
      </x:c>
      <x:c r="P119" s="87" t="n">
        <x:f>IFERROR(I119/J119,0)</x:f>
        <x:v>0.0068897502979166384</x:v>
      </x:c>
      <x:c r="Q119" s="86" t="n">
        <x:f>D119*INDEX('Régions'!$T$2:$Y$6,MATCH($B119,'Régions'!$A$2:$A$6,0),1)</x:f>
        <x:v>21897.94588209229</x:v>
      </x:c>
      <x:c r="R119" s="86" t="n">
        <x:f>E119*INDEX('Régions'!$T$2:$Y$6,MATCH($B119,'Régions'!$A$2:$A$6,0),2)</x:f>
        <x:v>9253.692489623905</x:v>
      </x:c>
      <x:c r="S119" s="86" t="n">
        <x:f>F119*INDEX('Régions'!$T$2:$Y$6,MATCH($B119,'Régions'!$A$2:$A$6,0),3)</x:f>
        <x:v>7168.871515295258</x:v>
      </x:c>
      <x:c r="T119" s="86" t="n">
        <x:f>G119*INDEX('Régions'!$T$2:$Y$6,MATCH($B119,'Régions'!$A$2:$A$6,0),4)</x:f>
        <x:v>18138.822671758546</x:v>
      </x:c>
      <x:c r="U119" s="86" t="n">
        <x:f>H119*INDEX('Régions'!$T$2:$Y$6,MATCH($B119,'Régions'!$A$2:$A$6,0),5)</x:f>
        <x:v>10094.204497571041</x:v>
      </x:c>
      <x:c r="V119" s="86" t="n">
        <x:f>I119*INDEX('Régions'!$T$2:$Y$6,MATCH($B119,'Régions'!$A$2:$A$6,0),6)</x:f>
        <x:v>1167.7448596715037</x:v>
      </x:c>
      <x:c r="W119" s="86" t="n">
        <x:f>MAX(0,Q119+(AU119/100)*J119*'Régions'!$O$2)</x:f>
        <x:v>23274.335870278755</x:v>
      </x:c>
      <x:c r="X119" s="86" t="n">
        <x:f>MAX(0,R119+(AV119/100)*J119*'Régions'!$O$2)</x:f>
        <x:v>7594.317556314802</x:v>
      </x:c>
      <x:c r="Y119" s="86" t="n">
        <x:f>MAX(0,S119+(AW119/100)*J119*'Régions'!$O$2)</x:f>
        <x:v>7272.0371790331</x:v>
      </x:c>
      <x:c r="Z119" s="86" t="n">
        <x:f>MAX(0,T119+(AX119/100)*J119*'Régions'!$O$2)</x:f>
        <x:v>19102.833520990414</x:v>
      </x:c>
      <x:c r="AA119" s="86" t="n">
        <x:f>U119</x:f>
        <x:v>10094.204497571041</x:v>
      </x:c>
      <x:c r="AB119" s="86" t="n">
        <x:f>V119</x:f>
        <x:v>1167.7448596715037</x:v>
      </x:c>
      <x:c r="AC119" s="86" t="n">
        <x:f>D119*INDEX('Régions'!$Z$2:$AE$6,MATCH($B119,'Régions'!$A$2:$A$6,0),1)</x:f>
        <x:v>24478.775218196024</x:v>
      </x:c>
      <x:c r="AD119" s="86" t="n">
        <x:f>E119*INDEX('Régions'!$Z$2:$AE$6,MATCH($B119,'Régions'!$A$2:$A$6,0),2)</x:f>
        <x:v>11162.266565608837</x:v>
      </x:c>
      <x:c r="AE119" s="86" t="n">
        <x:f>F119*INDEX('Régions'!$Z$2:$AE$6,MATCH($B119,'Régions'!$A$2:$A$6,0),3)</x:f>
        <x:v>10126.031015354552</x:v>
      </x:c>
      <x:c r="AF119" s="86" t="n">
        <x:f>G119*INDEX('Régions'!$Z$2:$AE$6,MATCH($B119,'Régions'!$A$2:$A$6,0),4)</x:f>
        <x:v>20202.895596475893</x:v>
      </x:c>
      <x:c r="AG119" s="86" t="n">
        <x:f>H119*INDEX('Régions'!$Z$2:$AE$6,MATCH($B119,'Régions'!$A$2:$A$6,0),5)</x:f>
        <x:v>12053.667723570126</x:v>
      </x:c>
      <x:c r="AH119" s="86" t="n">
        <x:f>I119*INDEX('Régions'!$Z$2:$AE$6,MATCH($B119,'Régions'!$A$2:$A$6,0),6)</x:f>
        <x:v>5021.302896587466</x:v>
      </x:c>
      <x:c r="AI119" s="86" t="n">
        <x:f>D119*INDEX('Régions'!$AF$2:$AK$6,MATCH($B119,'Régions'!$A$2:$A$6,0),1)</x:f>
        <x:v>19317.116545988556</x:v>
      </x:c>
      <x:c r="AJ119" s="86" t="n">
        <x:f>E119*INDEX('Régions'!$AF$2:$AK$6,MATCH($B119,'Régions'!$A$2:$A$6,0),2)</x:f>
        <x:v>7345.118413638976</x:v>
      </x:c>
      <x:c r="AK119" s="86" t="n">
        <x:f>F119*INDEX('Régions'!$AF$2:$AK$6,MATCH($B119,'Régions'!$A$2:$A$6,0),3)</x:f>
        <x:v>4211.712015235964</x:v>
      </x:c>
      <x:c r="AL119" s="86" t="n">
        <x:f>G119*INDEX('Régions'!$AF$2:$AK$6,MATCH($B119,'Régions'!$A$2:$A$6,0),4)</x:f>
        <x:v>16074.749747041194</x:v>
      </x:c>
      <x:c r="AM119" s="86" t="n">
        <x:f>H119*INDEX('Régions'!$AF$2:$AK$6,MATCH($B119,'Régions'!$A$2:$A$6,0),5)</x:f>
        <x:v>8134.7412715719565</x:v>
      </x:c>
      <x:c r="AN119" s="86" t="n">
        <x:f>I119*INDEX('Régions'!$AF$2:$AK$6,MATCH($B119,'Régions'!$A$2:$A$6,0),6)</x:f>
        <x:v>0</x:v>
      </x:c>
      <x:c r="AO119" s="84" t="str">
        <x:f>IF(MAX(Q119:V119)=Q119,"CAQ",IF(MAX(Q119:V119)=R119,"PLQ",IF(MAX(Q119:V119)=S119,"QS",IF(MAX(Q119:V119)=T119,"PQ",IF(MAX(Q119:V119)=U119,"PCQ","Autre")))))</x:f>
        <x:v>CAQ</x:v>
      </x:c>
      <x:c r="AP119" s="84" t="str">
        <x:f>IF(MAX(W119:AB119)=W119,"CAQ",IF(MAX(W119:AB119)=X119,"PLQ",IF(MAX(W119:AB119)=Y119,"QS",IF(MAX(W119:AB119)=Z119,"PQ",IF(MAX(W119:AB119)=AA119,"PCQ","Autre")))))</x:f>
        <x:v>CAQ</x:v>
      </x:c>
      <x:c r="AQ119" s="84" t="str">
        <x:f>IF(MAX(AC119:AH119)=AC119,"CAQ",IF(MAX(AC119:AH119)=AD119,"PLQ",IF(MAX(AC119:AH119)=AE119,"QS",IF(MAX(AC119:AH119)=AF119,"PQ",IF(MAX(AC119:AH119)=AG119,"PCQ","Autre")))))</x:f>
        <x:v>CAQ</x:v>
      </x:c>
      <x:c r="AR119" s="84" t="str">
        <x:f>IF(MAX(AI119:AN119)=AI119,"CAQ",IF(MAX(AI119:AN119)=AJ119,"PLQ",IF(MAX(AI119:AN119)=AK119,"QS",IF(MAX(AI119:AN119)=AL119,"PQ",IF(MAX(AI119:AN119)=AM119,"PCQ","Autre")))))</x:f>
        <x:v>CAQ</x:v>
      </x:c>
      <x:c r="AS119" s="88" t="n">
        <x:f>(MAX(K119:P119)-LARGE(K119:P119,2))*100</x:f>
        <x:v>34.46107907460928</x:v>
      </x:c>
      <x:c r="AT119" s="84" t="str">
        <x:f>IF(AS119&lt;5,"Oui","Non")</x:f>
        <x:v>Non</x:v>
      </x:c>
      <x:c r="AU119" s="89" t="n">
        <x:v>3.770569912984967</x:v>
      </x:c>
      <x:c r="AV119" s="89" t="n">
        <x:v>-4.545796795674672</x:v>
      </x:c>
      <x:c r="AW119" s="89" t="n">
        <x:v>0.2826185536670245</x:v>
      </x:c>
      <x:c r="AX119" s="90" t="n">
        <x:v>2.640872379996079</x:v>
      </x:c>
    </x:row>
    <x:row r="120">
      <x:c r="A120" s="83" t="str">
        <x:v>Ungava</x:v>
      </x:c>
      <x:c r="B120" s="84" t="str">
        <x:v>Reste du Québec</x:v>
      </x:c>
      <x:c r="C120" s="84" t="str">
        <x:f>IF(MAX(D120:I120)=D120,"CAQ",IF(MAX(D120:I120)=E120,"PLQ",IF(MAX(D120:I120)=F120,"QS",IF(MAX(D120:I120)=G120,"PQ",IF(MAX(D120:I120)=H120,"PCQ","Autre")))))</x:f>
        <x:v>CAQ</x:v>
      </x:c>
      <x:c r="D120" s="85" t="n">
        <x:v>6736</x:v>
      </x:c>
      <x:c r="E120" s="85" t="n">
        <x:v>3379</x:v>
      </x:c>
      <x:c r="F120" s="85" t="n">
        <x:v>4499</x:v>
      </x:c>
      <x:c r="G120" s="85" t="n">
        <x:v>2331</x:v>
      </x:c>
      <x:c r="H120" s="85" t="n">
        <x:v>1626</x:v>
      </x:c>
      <x:c r="I120" s="85" t="n">
        <x:v>1</x:v>
      </x:c>
      <x:c r="J120" s="86" t="n">
        <x:f>SUM(D120:I120)</x:f>
        <x:v>18572</x:v>
      </x:c>
      <x:c r="K120" s="87" t="n">
        <x:f>IFERROR(D120/J120,0)</x:f>
        <x:v>0.36269653241438726</x:v>
      </x:c>
      <x:c r="L120" s="87" t="n">
        <x:f>IFERROR(E120/J120,0)</x:f>
        <x:v>0.18194055567521</x:v>
      </x:c>
      <x:c r="M120" s="87" t="n">
        <x:f>IFERROR(F120/J120,0)</x:f>
        <x:v>0.2422463924186948</x:v>
      </x:c>
      <x:c r="N120" s="87" t="n">
        <x:f>IFERROR(G120/J120,0)</x:f>
        <x:v>0.12551152272237778</x:v>
      </x:c>
      <x:c r="O120" s="87" t="n">
        <x:f>IFERROR(H120/J120,0)</x:f>
        <x:v>0.08755115227223778</x:v>
      </x:c>
      <x:c r="P120" s="87" t="n">
        <x:f>IFERROR(I120/J120,0)</x:f>
        <x:v>0.00005384449709239716</x:v>
      </x:c>
      <x:c r="Q120" s="86" t="n">
        <x:f>D120*INDEX('Régions'!$T$2:$Y$6,MATCH($B120,'Régions'!$A$2:$A$6,0),1)</x:f>
        <x:v>3976.1857687083498</x:v>
      </x:c>
      <x:c r="R120" s="86" t="n">
        <x:f>E120*INDEX('Régions'!$T$2:$Y$6,MATCH($B120,'Régions'!$A$2:$A$6,0),2)</x:f>
        <x:v>7732.004679139262</x:v>
      </x:c>
      <x:c r="S120" s="86" t="n">
        <x:f>F120*INDEX('Régions'!$T$2:$Y$6,MATCH($B120,'Régions'!$A$2:$A$6,0),3)</x:f>
        <x:v>2701.688134303348</x:v>
      </x:c>
      <x:c r="T120" s="86" t="n">
        <x:f>G120*INDEX('Régions'!$T$2:$Y$6,MATCH($B120,'Régions'!$A$2:$A$6,0),4)</x:f>
        <x:v>4037.971124808439</x:v>
      </x:c>
      <x:c r="U120" s="86" t="n">
        <x:f>H120*INDEX('Régions'!$T$2:$Y$6,MATCH($B120,'Régions'!$A$2:$A$6,0),5)</x:f>
        <x:v>1833.0552281718242</x:v>
      </x:c>
      <x:c r="V120" s="86" t="n">
        <x:f>I120*INDEX('Régions'!$T$2:$Y$6,MATCH($B120,'Régions'!$A$2:$A$6,0),6)</x:f>
        <x:v>2.3215603571998087</x:v>
      </x:c>
      <x:c r="W120" s="86" t="n">
        <x:f>MAX(0,Q120+(AU120/100)*J120*'Régions'!$O$2)</x:f>
        <x:v>4328.570618277932</x:v>
      </x:c>
      <x:c r="X120" s="86" t="n">
        <x:f>MAX(0,R120+(AV120/100)*J120*'Régions'!$O$2)</x:f>
        <x:v>8292.352012432935</x:v>
      </x:c>
      <x:c r="Y120" s="86" t="n">
        <x:f>MAX(0,S120+(AW120/100)*J120*'Régions'!$O$2)</x:f>
        <x:v>3519.410931149599</x:v>
      </x:c>
      <x:c r="Z120" s="86" t="n">
        <x:f>MAX(0,T120+(AX120/100)*J120*'Régions'!$O$2)</x:f>
        <x:v>3102.7256130469355</x:v>
      </x:c>
      <x:c r="AA120" s="86" t="n">
        <x:f>U120</x:f>
        <x:v>1833.0552281718242</x:v>
      </x:c>
      <x:c r="AB120" s="86" t="n">
        <x:f>V120</x:f>
        <x:v>2.3215603571998087</x:v>
      </x:c>
      <x:c r="AC120" s="86" t="n">
        <x:f>D120*INDEX('Régions'!$Z$2:$AE$6,MATCH($B120,'Régions'!$A$2:$A$6,0),1)</x:f>
        <x:v>4444.807662877549</x:v>
      </x:c>
      <x:c r="AD120" s="86" t="n">
        <x:f>E120*INDEX('Régions'!$Z$2:$AE$6,MATCH($B120,'Régions'!$A$2:$A$6,0),2)</x:f>
        <x:v>9326.730644211737</x:v>
      </x:c>
      <x:c r="AE120" s="86" t="n">
        <x:f>F120*INDEX('Régions'!$Z$2:$AE$6,MATCH($B120,'Régions'!$A$2:$A$6,0),3)</x:f>
        <x:v>3816.134489703479</x:v>
      </x:c>
      <x:c r="AF120" s="86" t="n">
        <x:f>G120*INDEX('Régions'!$Z$2:$AE$6,MATCH($B120,'Régions'!$A$2:$A$6,0),4)</x:f>
        <x:v>4497.464390734916</x:v>
      </x:c>
      <x:c r="AG120" s="86" t="n">
        <x:f>H120*INDEX('Régions'!$Z$2:$AE$6,MATCH($B120,'Régions'!$A$2:$A$6,0),5)</x:f>
        <x:v>2188.8835959934136</x:v>
      </x:c>
      <x:c r="AH120" s="86" t="n">
        <x:f>I120*INDEX('Régions'!$Z$2:$AE$6,MATCH($B120,'Régions'!$A$2:$A$6,0),6)</x:f>
        <x:v>9.982709535959177</x:v>
      </x:c>
      <x:c r="AI120" s="86" t="n">
        <x:f>D120*INDEX('Régions'!$AF$2:$AK$6,MATCH($B120,'Régions'!$A$2:$A$6,0),1)</x:f>
        <x:v>3507.5638745391516</x:v>
      </x:c>
      <x:c r="AJ120" s="86" t="n">
        <x:f>E120*INDEX('Régions'!$AF$2:$AK$6,MATCH($B120,'Régions'!$A$2:$A$6,0),2)</x:f>
        <x:v>6137.27871406679</x:v>
      </x:c>
      <x:c r="AK120" s="86" t="n">
        <x:f>F120*INDEX('Régions'!$AF$2:$AK$6,MATCH($B120,'Régions'!$A$2:$A$6,0),3)</x:f>
        <x:v>1587.2417789032168</x:v>
      </x:c>
      <x:c r="AL120" s="86" t="n">
        <x:f>G120*INDEX('Régions'!$AF$2:$AK$6,MATCH($B120,'Régions'!$A$2:$A$6,0),4)</x:f>
        <x:v>3578.4778588819618</x:v>
      </x:c>
      <x:c r="AM120" s="86" t="n">
        <x:f>H120*INDEX('Régions'!$AF$2:$AK$6,MATCH($B120,'Régions'!$A$2:$A$6,0),5)</x:f>
        <x:v>1477.2268603502346</x:v>
      </x:c>
      <x:c r="AN120" s="86" t="n">
        <x:f>I120*INDEX('Régions'!$AF$2:$AK$6,MATCH($B120,'Régions'!$A$2:$A$6,0),6)</x:f>
        <x:v>0</x:v>
      </x:c>
      <x:c r="AO120" s="84" t="str">
        <x:f>IF(MAX(Q120:V120)=Q120,"CAQ",IF(MAX(Q120:V120)=R120,"PLQ",IF(MAX(Q120:V120)=S120,"QS",IF(MAX(Q120:V120)=T120,"PQ",IF(MAX(Q120:V120)=U120,"PCQ","Autre")))))</x:f>
        <x:v>PLQ</x:v>
      </x:c>
      <x:c r="AP120" s="84" t="str">
        <x:f>IF(MAX(W120:AB120)=W120,"CAQ",IF(MAX(W120:AB120)=X120,"PLQ",IF(MAX(W120:AB120)=Y120,"QS",IF(MAX(W120:AB120)=Z120,"PQ",IF(MAX(W120:AB120)=AA120,"PCQ","Autre")))))</x:f>
        <x:v>PLQ</x:v>
      </x:c>
      <x:c r="AQ120" s="84" t="str">
        <x:f>IF(MAX(AC120:AH120)=AC120,"CAQ",IF(MAX(AC120:AH120)=AD120,"PLQ",IF(MAX(AC120:AH120)=AE120,"QS",IF(MAX(AC120:AH120)=AF120,"PQ",IF(MAX(AC120:AH120)=AG120,"PCQ","Autre")))))</x:f>
        <x:v>PLQ</x:v>
      </x:c>
      <x:c r="AR120" s="84" t="str">
        <x:f>IF(MAX(AI120:AN120)=AI120,"CAQ",IF(MAX(AI120:AN120)=AJ120,"PLQ",IF(MAX(AI120:AN120)=AK120,"QS",IF(MAX(AI120:AN120)=AL120,"PQ",IF(MAX(AI120:AN120)=AM120,"PCQ","Autre")))))</x:f>
        <x:v>PLQ</x:v>
      </x:c>
      <x:c r="AS120" s="88" t="n">
        <x:f>(MAX(K120:P120)-LARGE(K120:P120,2))*100</x:f>
        <x:v>12.045013999569246</x:v>
      </x:c>
      <x:c r="AT120" s="84" t="str">
        <x:f>IF(AS120&lt;5,"Oui","Non")</x:f>
        <x:v>Non</x:v>
      </x:c>
      <x:c r="AU120" s="89" t="n">
        <x:v>3.794797001610833</x:v>
      </x:c>
      <x:c r="AV120" s="89" t="n">
        <x:v>6.034324071652724</x:v>
      </x:c>
      <x:c r="AW120" s="89" t="n">
        <x:v>8.80597455143497</x:v>
      </x:c>
      <x:c r="AX120" s="90" t="n">
        <x:v>-10.071564847743955</x:v>
      </x:c>
    </x:row>
    <x:row r="121">
      <x:c r="A121" s="83" t="str">
        <x:v>Vachon</x:v>
      </x:c>
      <x:c r="B121" s="84" t="str">
        <x:v>Reste du Québec</x:v>
      </x:c>
      <x:c r="C121" s="84" t="str">
        <x:f>IF(MAX(D121:I121)=D121,"CAQ",IF(MAX(D121:I121)=E121,"PLQ",IF(MAX(D121:I121)=F121,"QS",IF(MAX(D121:I121)=G121,"PQ",IF(MAX(D121:I121)=H121,"PCQ","Autre")))))</x:f>
        <x:v>CAQ</x:v>
      </x:c>
      <x:c r="D121" s="85" t="n">
        <x:v>32607</x:v>
      </x:c>
      <x:c r="E121" s="85" t="n">
        <x:v>11664</x:v>
      </x:c>
      <x:c r="F121" s="85" t="n">
        <x:v>10899</x:v>
      </x:c>
      <x:c r="G121" s="85" t="n">
        <x:v>10528</x:v>
      </x:c>
      <x:c r="H121" s="85" t="n">
        <x:v>6459</x:v>
      </x:c>
      <x:c r="I121" s="85" t="n">
        <x:v>443</x:v>
      </x:c>
      <x:c r="J121" s="86" t="n">
        <x:f>SUM(D121:I121)</x:f>
        <x:v>72600</x:v>
      </x:c>
      <x:c r="K121" s="87" t="n">
        <x:f>IFERROR(D121/J121,0)</x:f>
        <x:v>0.44913223140495867</x:v>
      </x:c>
      <x:c r="L121" s="87" t="n">
        <x:f>IFERROR(E121/J121,0)</x:f>
        <x:v>0.1606611570247934</x:v>
      </x:c>
      <x:c r="M121" s="87" t="n">
        <x:f>IFERROR(F121/J121,0)</x:f>
        <x:v>0.15012396694214877</x:v>
      </x:c>
      <x:c r="N121" s="87" t="n">
        <x:f>IFERROR(G121/J121,0)</x:f>
        <x:v>0.1450137741046832</x:v>
      </x:c>
      <x:c r="O121" s="87" t="n">
        <x:f>IFERROR(H121/J121,0)</x:f>
        <x:v>0.08896694214876033</x:v>
      </x:c>
      <x:c r="P121" s="87" t="n">
        <x:f>IFERROR(I121/J121,0)</x:f>
        <x:v>0.006101928374655647</x:v>
      </x:c>
      <x:c r="Q121" s="86" t="n">
        <x:f>D121*INDEX('Régions'!$T$2:$Y$6,MATCH($B121,'Régions'!$A$2:$A$6,0),1)</x:f>
        <x:v>19247.54889552749</x:v>
      </x:c>
      <x:c r="R121" s="86" t="n">
        <x:f>E121*INDEX('Régions'!$T$2:$Y$6,MATCH($B121,'Régions'!$A$2:$A$6,0),2)</x:f>
        <x:v>26690.175370665984</x:v>
      </x:c>
      <x:c r="S121" s="86" t="n">
        <x:f>F121*INDEX('Régions'!$T$2:$Y$6,MATCH($B121,'Régions'!$A$2:$A$6,0),3)</x:f>
        <x:v>6544.943093081171</x:v>
      </x:c>
      <x:c r="T121" s="86" t="n">
        <x:f>G121*INDEX('Régions'!$T$2:$Y$6,MATCH($B121,'Régions'!$A$2:$A$6,0),4)</x:f>
        <x:v>18237.56327841409</x:v>
      </x:c>
      <x:c r="U121" s="86" t="n">
        <x:f>H121*INDEX('Régions'!$T$2:$Y$6,MATCH($B121,'Régions'!$A$2:$A$6,0),5)</x:f>
        <x:v>7281.490601944533</x:v>
      </x:c>
      <x:c r="V121" s="86" t="n">
        <x:f>I121*INDEX('Régions'!$T$2:$Y$6,MATCH($B121,'Régions'!$A$2:$A$6,0),6)</x:f>
        <x:v>1028.4512382395153</x:v>
      </x:c>
      <x:c r="W121" s="86" t="n">
        <x:f>MAX(0,Q121+(AU121/100)*J121*'Régions'!$O$2)</x:f>
        <x:v>17553.622858995404</x:v>
      </x:c>
      <x:c r="X121" s="86" t="n">
        <x:f>MAX(0,R121+(AV121/100)*J121*'Régions'!$O$2)</x:f>
        <x:v>29518.238010968147</x:v>
      </x:c>
      <x:c r="Y121" s="86" t="n">
        <x:f>MAX(0,S121+(AW121/100)*J121*'Régions'!$O$2)</x:f>
        <x:v>7137.003494363802</x:v>
      </x:c>
      <x:c r="Z121" s="86" t="n">
        <x:f>MAX(0,T121+(AX121/100)*J121*'Régions'!$O$2)</x:f>
        <x:v>19102.93114922345</x:v>
      </x:c>
      <x:c r="AA121" s="86" t="n">
        <x:f>U121</x:f>
        <x:v>7281.490601944533</x:v>
      </x:c>
      <x:c r="AB121" s="86" t="n">
        <x:f>V121</x:f>
        <x:v>1028.4512382395153</x:v>
      </x:c>
      <x:c r="AC121" s="86" t="n">
        <x:f>D121*INDEX('Régions'!$Z$2:$AE$6,MATCH($B121,'Régions'!$A$2:$A$6,0),1)</x:f>
        <x:v>21516.010015357515</x:v>
      </x:c>
      <x:c r="AD121" s="86" t="n">
        <x:f>E121*INDEX('Régions'!$Z$2:$AE$6,MATCH($B121,'Régions'!$A$2:$A$6,0),2)</x:f>
        <x:v>32195.024040865846</x:v>
      </x:c>
      <x:c r="AE121" s="86" t="n">
        <x:f>F121*INDEX('Régions'!$Z$2:$AE$6,MATCH($B121,'Régions'!$A$2:$A$6,0),3)</x:f>
        <x:v>9244.732118977156</x:v>
      </x:c>
      <x:c r="AF121" s="86" t="n">
        <x:f>G121*INDEX('Régions'!$Z$2:$AE$6,MATCH($B121,'Régions'!$A$2:$A$6,0),4)</x:f>
        <x:v>20312.872203199142</x:v>
      </x:c>
      <x:c r="AG121" s="86" t="n">
        <x:f>H121*INDEX('Régions'!$Z$2:$AE$6,MATCH($B121,'Régions'!$A$2:$A$6,0),5)</x:f>
        <x:v>8694.956424674943</x:v>
      </x:c>
      <x:c r="AH121" s="86" t="n">
        <x:f>I121*INDEX('Régions'!$Z$2:$AE$6,MATCH($B121,'Régions'!$A$2:$A$6,0),6)</x:f>
        <x:v>4422.340324429915</x:v>
      </x:c>
      <x:c r="AI121" s="86" t="n">
        <x:f>D121*INDEX('Régions'!$AF$2:$AK$6,MATCH($B121,'Régions'!$A$2:$A$6,0),1)</x:f>
        <x:v>16979.087775697462</x:v>
      </x:c>
      <x:c r="AJ121" s="86" t="n">
        <x:f>E121*INDEX('Régions'!$AF$2:$AK$6,MATCH($B121,'Régions'!$A$2:$A$6,0),2)</x:f>
        <x:v>21185.326700466125</x:v>
      </x:c>
      <x:c r="AK121" s="86" t="n">
        <x:f>F121*INDEX('Régions'!$AF$2:$AK$6,MATCH($B121,'Régions'!$A$2:$A$6,0),3)</x:f>
        <x:v>3845.154067185188</x:v>
      </x:c>
      <x:c r="AL121" s="86" t="n">
        <x:f>G121*INDEX('Régions'!$AF$2:$AK$6,MATCH($B121,'Régions'!$A$2:$A$6,0),4)</x:f>
        <x:v>16162.254353629041</x:v>
      </x:c>
      <x:c r="AM121" s="86" t="n">
        <x:f>H121*INDEX('Régions'!$AF$2:$AK$6,MATCH($B121,'Régions'!$A$2:$A$6,0),5)</x:f>
        <x:v>5868.0247792141245</x:v>
      </x:c>
      <x:c r="AN121" s="86" t="n">
        <x:f>I121*INDEX('Régions'!$AF$2:$AK$6,MATCH($B121,'Régions'!$A$2:$A$6,0),6)</x:f>
        <x:v>0</x:v>
      </x:c>
      <x:c r="AO121" s="84" t="str">
        <x:f>IF(MAX(Q121:V121)=Q121,"CAQ",IF(MAX(Q121:V121)=R121,"PLQ",IF(MAX(Q121:V121)=S121,"QS",IF(MAX(Q121:V121)=T121,"PQ",IF(MAX(Q121:V121)=U121,"PCQ","Autre")))))</x:f>
        <x:v>PLQ</x:v>
      </x:c>
      <x:c r="AP121" s="84" t="str">
        <x:f>IF(MAX(W121:AB121)=W121,"CAQ",IF(MAX(W121:AB121)=X121,"PLQ",IF(MAX(W121:AB121)=Y121,"QS",IF(MAX(W121:AB121)=Z121,"PQ",IF(MAX(W121:AB121)=AA121,"PCQ","Autre")))))</x:f>
        <x:v>PLQ</x:v>
      </x:c>
      <x:c r="AQ121" s="84" t="str">
        <x:f>IF(MAX(AC121:AH121)=AC121,"CAQ",IF(MAX(AC121:AH121)=AD121,"PLQ",IF(MAX(AC121:AH121)=AE121,"QS",IF(MAX(AC121:AH121)=AF121,"PQ",IF(MAX(AC121:AH121)=AG121,"PCQ","Autre")))))</x:f>
        <x:v>PLQ</x:v>
      </x:c>
      <x:c r="AR121" s="84" t="str">
        <x:f>IF(MAX(AI121:AN121)=AI121,"CAQ",IF(MAX(AI121:AN121)=AJ121,"PLQ",IF(MAX(AI121:AN121)=AK121,"QS",IF(MAX(AI121:AN121)=AL121,"PQ",IF(MAX(AI121:AN121)=AM121,"PCQ","Autre")))))</x:f>
        <x:v>PLQ</x:v>
      </x:c>
      <x:c r="AS121" s="88" t="n">
        <x:f>(MAX(K121:P121)-LARGE(K121:P121,2))*100</x:f>
        <x:v>28.84710743801653</x:v>
      </x:c>
      <x:c r="AT121" s="84" t="str">
        <x:f>IF(AS121&lt;5,"Oui","Non")</x:f>
        <x:v>Non</x:v>
      </x:c>
      <x:c r="AU121" s="89" t="n">
        <x:v>-4.666462910556707</x:v>
      </x:c>
      <x:c r="AV121" s="89" t="n">
        <x:v>7.790806171631309</x:v>
      </x:c>
      <x:c r="AW121" s="89" t="n">
        <x:v>1.6310203892083486</x:v>
      </x:c>
      <x:c r="AX121" s="90" t="n">
        <x:v>2.383933528400431</x:v>
      </x:c>
    </x:row>
    <x:row r="122">
      <x:c r="A122" s="83" t="str">
        <x:v>Vanier-Les Rivières</x:v>
      </x:c>
      <x:c r="B122" s="84" t="str">
        <x:v>Québec RMR</x:v>
      </x:c>
      <x:c r="C122" s="84" t="str">
        <x:f>IF(MAX(D122:I122)=D122,"CAQ",IF(MAX(D122:I122)=E122,"PLQ",IF(MAX(D122:I122)=F122,"QS",IF(MAX(D122:I122)=G122,"PQ",IF(MAX(D122:I122)=H122,"PCQ","Autre")))))</x:f>
        <x:v>CAQ</x:v>
      </x:c>
      <x:c r="D122" s="85" t="n">
        <x:v>40718</x:v>
      </x:c>
      <x:c r="E122" s="85" t="n">
        <x:v>5400</x:v>
      </x:c>
      <x:c r="F122" s="85" t="n">
        <x:v>10442</x:v>
      </x:c>
      <x:c r="G122" s="85" t="n">
        <x:v>11753</x:v>
      </x:c>
      <x:c r="H122" s="85" t="n">
        <x:v>16771</x:v>
      </x:c>
      <x:c r="I122" s="85" t="n">
        <x:v>841</x:v>
      </x:c>
      <x:c r="J122" s="86" t="n">
        <x:f>SUM(D122:I122)</x:f>
        <x:v>85925</x:v>
      </x:c>
      <x:c r="K122" s="87" t="n">
        <x:f>IFERROR(D122/J122,0)</x:f>
        <x:v>0.4738783823101542</x:v>
      </x:c>
      <x:c r="L122" s="87" t="n">
        <x:f>IFERROR(E122/J122,0)</x:f>
        <x:v>0.06284550480069828</x:v>
      </x:c>
      <x:c r="M122" s="87" t="n">
        <x:f>IFERROR(F122/J122,0)</x:f>
        <x:v>0.12152458539423916</x:v>
      </x:c>
      <x:c r="N122" s="87" t="n">
        <x:f>IFERROR(G122/J122,0)</x:f>
        <x:v>0.13678207739307535</x:v>
      </x:c>
      <x:c r="O122" s="87" t="n">
        <x:f>IFERROR(H122/J122,0)</x:f>
        <x:v>0.19518184463194646</x:v>
      </x:c>
      <x:c r="P122" s="87" t="n">
        <x:f>IFERROR(I122/J122,0)</x:f>
        <x:v>0.009787605469886529</x:v>
      </x:c>
      <x:c r="Q122" s="86" t="n">
        <x:f>D122*INDEX('Régions'!$T$2:$Y$6,MATCH($B122,'Régions'!$A$2:$A$6,0),1)</x:f>
        <x:v>33885.66489361607</x:v>
      </x:c>
      <x:c r="R122" s="86" t="n">
        <x:f>E122*INDEX('Régions'!$T$2:$Y$6,MATCH($B122,'Régions'!$A$2:$A$6,0),2)</x:f>
        <x:v>6480.84070679329</x:v>
      </x:c>
      <x:c r="S122" s="86" t="n">
        <x:f>F122*INDEX('Régions'!$T$2:$Y$6,MATCH($B122,'Régions'!$A$2:$A$6,0),3)</x:f>
        <x:v>4142.460809667519</x:v>
      </x:c>
      <x:c r="T122" s="86" t="n">
        <x:f>G122*INDEX('Régions'!$T$2:$Y$6,MATCH($B122,'Régions'!$A$2:$A$6,0),4)</x:f>
        <x:v>23994.15701142632</x:v>
      </x:c>
      <x:c r="U122" s="86" t="n">
        <x:f>H122*INDEX('Régions'!$T$2:$Y$6,MATCH($B122,'Régions'!$A$2:$A$6,0),5)</x:f>
        <x:v>17174.038244547057</x:v>
      </x:c>
      <x:c r="V122" s="86" t="n">
        <x:f>I122*INDEX('Régions'!$T$2:$Y$6,MATCH($B122,'Régions'!$A$2:$A$6,0),6)</x:f>
        <x:v>1436.245884970336</x:v>
      </x:c>
      <x:c r="W122" s="86" t="n">
        <x:f>MAX(0,Q122+(AU122/100)*J122*'Régions'!$O$2)</x:f>
        <x:v>36133.549738917776</x:v>
      </x:c>
      <x:c r="X122" s="86" t="n">
        <x:f>MAX(0,R122+(AV122/100)*J122*'Régions'!$O$2)</x:f>
        <x:v>4605.726934108037</x:v>
      </x:c>
      <x:c r="Y122" s="86" t="n">
        <x:f>MAX(0,S122+(AW122/100)*J122*'Régions'!$O$2)</x:f>
        <x:v>4367.355299395583</x:v>
      </x:c>
      <x:c r="Z122" s="86" t="n">
        <x:f>MAX(0,T122+(AX122/100)*J122*'Régions'!$O$2)</x:f>
        <x:v>24263.22690789025</x:v>
      </x:c>
      <x:c r="AA122" s="86" t="n">
        <x:f>U122</x:f>
        <x:v>17174.038244547057</x:v>
      </x:c>
      <x:c r="AB122" s="86" t="n">
        <x:f>V122</x:f>
        <x:v>1436.245884970336</x:v>
      </x:c>
      <x:c r="AC122" s="86" t="n">
        <x:f>D122*INDEX('Régions'!$Z$2:$AE$6,MATCH($B122,'Régions'!$A$2:$A$6,0),1)</x:f>
        <x:v>36991.85084219754</x:v>
      </x:c>
      <x:c r="AD122" s="86" t="n">
        <x:f>E122*INDEX('Régions'!$Z$2:$AE$6,MATCH($B122,'Régions'!$A$2:$A$6,0),2)</x:f>
        <x:v>9536.094182852985</x:v>
      </x:c>
      <x:c r="AE122" s="86" t="n">
        <x:f>F122*INDEX('Régions'!$Z$2:$AE$6,MATCH($B122,'Régions'!$A$2:$A$6,0),3)</x:f>
        <x:v>6420.814254984655</x:v>
      </x:c>
      <x:c r="AF122" s="86" t="n">
        <x:f>G122*INDEX('Régions'!$Z$2:$AE$6,MATCH($B122,'Régions'!$A$2:$A$6,0),4)</x:f>
        <x:v>26822.03980205871</x:v>
      </x:c>
      <x:c r="AG122" s="86" t="n">
        <x:f>H122*INDEX('Régions'!$Z$2:$AE$6,MATCH($B122,'Régions'!$A$2:$A$6,0),5)</x:f>
        <x:v>19750.143981229117</x:v>
      </x:c>
      <x:c r="AH122" s="86" t="n">
        <x:f>I122*INDEX('Régions'!$Z$2:$AE$6,MATCH($B122,'Régions'!$A$2:$A$6,0),6)</x:f>
        <x:v>6175.857305372444</x:v>
      </x:c>
      <x:c r="AI122" s="86" t="n">
        <x:f>D122*INDEX('Régions'!$AF$2:$AK$6,MATCH($B122,'Régions'!$A$2:$A$6,0),1)</x:f>
        <x:v>30779.4789450346</x:v>
      </x:c>
      <x:c r="AJ122" s="86" t="n">
        <x:f>E122*INDEX('Régions'!$AF$2:$AK$6,MATCH($B122,'Régions'!$A$2:$A$6,0),2)</x:f>
        <x:v>3425.5872307335962</x:v>
      </x:c>
      <x:c r="AK122" s="86" t="n">
        <x:f>F122*INDEX('Régions'!$AF$2:$AK$6,MATCH($B122,'Régions'!$A$2:$A$6,0),3)</x:f>
        <x:v>1864.107364350384</x:v>
      </x:c>
      <x:c r="AL122" s="86" t="n">
        <x:f>G122*INDEX('Régions'!$AF$2:$AK$6,MATCH($B122,'Régions'!$A$2:$A$6,0),4)</x:f>
        <x:v>21166.274220793934</x:v>
      </x:c>
      <x:c r="AM122" s="86" t="n">
        <x:f>H122*INDEX('Régions'!$AF$2:$AK$6,MATCH($B122,'Régions'!$A$2:$A$6,0),5)</x:f>
        <x:v>14597.932507864998</x:v>
      </x:c>
      <x:c r="AN122" s="86" t="n">
        <x:f>I122*INDEX('Régions'!$AF$2:$AK$6,MATCH($B122,'Régions'!$A$2:$A$6,0),6)</x:f>
        <x:v>0</x:v>
      </x:c>
      <x:c r="AO122" s="84" t="str">
        <x:f>IF(MAX(Q122:V122)=Q122,"CAQ",IF(MAX(Q122:V122)=R122,"PLQ",IF(MAX(Q122:V122)=S122,"QS",IF(MAX(Q122:V122)=T122,"PQ",IF(MAX(Q122:V122)=U122,"PCQ","Autre")))))</x:f>
        <x:v>CAQ</x:v>
      </x:c>
      <x:c r="AP122" s="84" t="str">
        <x:f>IF(MAX(W122:AB122)=W122,"CAQ",IF(MAX(W122:AB122)=X122,"PLQ",IF(MAX(W122:AB122)=Y122,"QS",IF(MAX(W122:AB122)=Z122,"PQ",IF(MAX(W122:AB122)=AA122,"PCQ","Autre")))))</x:f>
        <x:v>CAQ</x:v>
      </x:c>
      <x:c r="AQ122" s="84" t="str">
        <x:f>IF(MAX(AC122:AH122)=AC122,"CAQ",IF(MAX(AC122:AH122)=AD122,"PLQ",IF(MAX(AC122:AH122)=AE122,"QS",IF(MAX(AC122:AH122)=AF122,"PQ",IF(MAX(AC122:AH122)=AG122,"PCQ","Autre")))))</x:f>
        <x:v>CAQ</x:v>
      </x:c>
      <x:c r="AR122" s="84" t="str">
        <x:f>IF(MAX(AI122:AN122)=AI122,"CAQ",IF(MAX(AI122:AN122)=AJ122,"PLQ",IF(MAX(AI122:AN122)=AK122,"QS",IF(MAX(AI122:AN122)=AL122,"PQ",IF(MAX(AI122:AN122)=AM122,"PCQ","Autre")))))</x:f>
        <x:v>CAQ</x:v>
      </x:c>
      <x:c r="AS122" s="88" t="n">
        <x:f>(MAX(K122:P122)-LARGE(K122:P122,2))*100</x:f>
        <x:v>27.86965376782078</x:v>
      </x:c>
      <x:c r="AT122" s="84" t="str">
        <x:f>IF(AS122&lt;5,"Oui","Non")</x:f>
        <x:v>Non</x:v>
      </x:c>
      <x:c r="AU122" s="89" t="n">
        <x:v>5.2322021421046365</x:v>
      </x:c>
      <x:c r="AV122" s="89" t="n">
        <x:v>-4.364535985301724</x:v>
      </x:c>
      <x:c r="AW122" s="89" t="n">
        <x:v>0.523466953105764</x:v>
      </x:c>
      <x:c r="AX122" s="90" t="n">
        <x:v>0.6262901285165712</x:v>
      </x:c>
    </x:row>
    <x:row r="123">
      <x:c r="A123" s="83" t="str">
        <x:v>Vaudreuil</x:v>
      </x:c>
      <x:c r="B123" s="84" t="str">
        <x:v>Banlieue de Montréal</x:v>
      </x:c>
      <x:c r="C123" s="84" t="str">
        <x:f>IF(MAX(D123:I123)=D123,"CAQ",IF(MAX(D123:I123)=E123,"PLQ",IF(MAX(D123:I123)=F123,"QS",IF(MAX(D123:I123)=G123,"PQ",IF(MAX(D123:I123)=H123,"PCQ","Autre")))))</x:f>
        <x:v>PLQ</x:v>
      </x:c>
      <x:c r="D123" s="85" t="n">
        <x:v>26251</x:v>
      </x:c>
      <x:c r="E123" s="85" t="n">
        <x:v>27412</x:v>
      </x:c>
      <x:c r="F123" s="85" t="n">
        <x:v>7395</x:v>
      </x:c>
      <x:c r="G123" s="85" t="n">
        <x:v>7165</x:v>
      </x:c>
      <x:c r="H123" s="85" t="n">
        <x:v>10767</x:v>
      </x:c>
      <x:c r="I123" s="85" t="n">
        <x:v>1112</x:v>
      </x:c>
      <x:c r="J123" s="86" t="n">
        <x:f>SUM(D123:I123)</x:f>
        <x:v>80102</x:v>
      </x:c>
      <x:c r="K123" s="87" t="n">
        <x:f>IFERROR(D123/J123,0)</x:f>
        <x:v>0.3277196574367681</x:v>
      </x:c>
      <x:c r="L123" s="87" t="n">
        <x:f>IFERROR(E123/J123,0)</x:f>
        <x:v>0.3422136775611096</x:v>
      </x:c>
      <x:c r="M123" s="87" t="n">
        <x:f>IFERROR(F123/J123,0)</x:f>
        <x:v>0.0923197922648623</x:v>
      </x:c>
      <x:c r="N123" s="87" t="n">
        <x:f>IFERROR(G123/J123,0)</x:f>
        <x:v>0.08944845322214177</x:v>
      </x:c>
      <x:c r="O123" s="87" t="n">
        <x:f>IFERROR(H123/J123,0)</x:f>
        <x:v>0.13441611944770418</x:v>
      </x:c>
      <x:c r="P123" s="87" t="n">
        <x:f>IFERROR(I123/J123,0)</x:f>
        <x:v>0.013882300067414047</x:v>
      </x:c>
      <x:c r="Q123" s="86" t="n">
        <x:f>D123*INDEX('Régions'!$T$2:$Y$6,MATCH($B123,'Régions'!$A$2:$A$6,0),1)</x:f>
        <x:v>18559.17577214611</x:v>
      </x:c>
      <x:c r="R123" s="86" t="n">
        <x:f>E123*INDEX('Régions'!$T$2:$Y$6,MATCH($B123,'Régions'!$A$2:$A$6,0),2)</x:f>
        <x:v>35067.06387274199</x:v>
      </x:c>
      <x:c r="S123" s="86" t="n">
        <x:f>F123*INDEX('Régions'!$T$2:$Y$6,MATCH($B123,'Régions'!$A$2:$A$6,0),3)</x:f>
        <x:v>3735.2420306589693</x:v>
      </x:c>
      <x:c r="T123" s="86" t="n">
        <x:f>G123*INDEX('Régions'!$T$2:$Y$6,MATCH($B123,'Régions'!$A$2:$A$6,0),4)</x:f>
        <x:v>13359.861202389602</x:v>
      </x:c>
      <x:c r="U123" s="86" t="n">
        <x:f>H123*INDEX('Régions'!$T$2:$Y$6,MATCH($B123,'Régions'!$A$2:$A$6,0),5)</x:f>
        <x:v>12601.001356707522</x:v>
      </x:c>
      <x:c r="V123" s="86" t="n">
        <x:f>I123*INDEX('Régions'!$T$2:$Y$6,MATCH($B123,'Régions'!$A$2:$A$6,0),6)</x:f>
        <x:v>2387.513815623843</x:v>
      </x:c>
      <x:c r="W123" s="86" t="n">
        <x:f>MAX(0,Q123+(AU123/100)*J123*'Régions'!$O$2)</x:f>
        <x:v>17417.465322191434</x:v>
      </x:c>
      <x:c r="X123" s="86" t="n">
        <x:f>MAX(0,R123+(AV123/100)*J123*'Régions'!$O$2)</x:f>
        <x:v>35366.34697797681</x:v>
      </x:c>
      <x:c r="Y123" s="86" t="n">
        <x:f>MAX(0,S123+(AW123/100)*J123*'Régions'!$O$2)</x:f>
        <x:v>3690.629187695029</x:v>
      </x:c>
      <x:c r="Z123" s="86" t="n">
        <x:f>MAX(0,T123+(AX123/100)*J123*'Régions'!$O$2)</x:f>
        <x:v>13320.83922321762</x:v>
      </x:c>
      <x:c r="AA123" s="86" t="n">
        <x:f>U123</x:f>
        <x:v>12601.001356707522</x:v>
      </x:c>
      <x:c r="AB123" s="86" t="n">
        <x:f>V123</x:f>
        <x:v>2387.513815623843</x:v>
      </x:c>
      <x:c r="AC123" s="86" t="n">
        <x:f>D123*INDEX('Régions'!$Z$2:$AE$6,MATCH($B123,'Régions'!$A$2:$A$6,0),1)</x:f>
        <x:v>20473.090773648677</x:v>
      </x:c>
      <x:c r="AD123" s="86" t="n">
        <x:f>E123*INDEX('Régions'!$Z$2:$AE$6,MATCH($B123,'Régions'!$A$2:$A$6,0),2)</x:f>
        <x:v>41496.02558274468</x:v>
      </x:c>
      <x:c r="AE123" s="86" t="n">
        <x:f>F123*INDEX('Régions'!$Z$2:$AE$6,MATCH($B123,'Régions'!$A$2:$A$6,0),3)</x:f>
        <x:v>5496.141845112484</x:v>
      </x:c>
      <x:c r="AF123" s="86" t="n">
        <x:f>G123*INDEX('Régions'!$Z$2:$AE$6,MATCH($B123,'Régions'!$A$2:$A$6,0),4)</x:f>
        <x:v>14829.445934652456</x:v>
      </x:c>
      <x:c r="AG123" s="86" t="n">
        <x:f>H123*INDEX('Régions'!$Z$2:$AE$6,MATCH($B123,'Régions'!$A$2:$A$6,0),5)</x:f>
        <x:v>16066.276729802092</x:v>
      </x:c>
      <x:c r="AH123" s="86" t="n">
        <x:f>I123*INDEX('Régions'!$Z$2:$AE$6,MATCH($B123,'Régions'!$A$2:$A$6,0),6)</x:f>
        <x:v>10266.309407182525</x:v>
      </x:c>
      <x:c r="AI123" s="86" t="n">
        <x:f>D123*INDEX('Régions'!$AF$2:$AK$6,MATCH($B123,'Régions'!$A$2:$A$6,0),1)</x:f>
        <x:v>16645.260770643545</x:v>
      </x:c>
      <x:c r="AJ123" s="86" t="n">
        <x:f>E123*INDEX('Régions'!$AF$2:$AK$6,MATCH($B123,'Régions'!$A$2:$A$6,0),2)</x:f>
        <x:v>28638.102162739284</x:v>
      </x:c>
      <x:c r="AK123" s="86" t="n">
        <x:f>F123*INDEX('Régions'!$AF$2:$AK$6,MATCH($B123,'Régions'!$A$2:$A$6,0),3)</x:f>
        <x:v>1974.3422162054555</x:v>
      </x:c>
      <x:c r="AL123" s="86" t="n">
        <x:f>G123*INDEX('Régions'!$AF$2:$AK$6,MATCH($B123,'Régions'!$A$2:$A$6,0),4)</x:f>
        <x:v>11890.276470126746</x:v>
      </x:c>
      <x:c r="AM123" s="86" t="n">
        <x:f>H123*INDEX('Régions'!$AF$2:$AK$6,MATCH($B123,'Régions'!$A$2:$A$6,0),5)</x:f>
        <x:v>9135.725983612952</x:v>
      </x:c>
      <x:c r="AN123" s="86" t="n">
        <x:f>I123*INDEX('Régions'!$AF$2:$AK$6,MATCH($B123,'Régions'!$A$2:$A$6,0),6)</x:f>
        <x:v>0</x:v>
      </x:c>
      <x:c r="AO123" s="84" t="str">
        <x:f>IF(MAX(Q123:V123)=Q123,"CAQ",IF(MAX(Q123:V123)=R123,"PLQ",IF(MAX(Q123:V123)=S123,"QS",IF(MAX(Q123:V123)=T123,"PQ",IF(MAX(Q123:V123)=U123,"PCQ","Autre")))))</x:f>
        <x:v>PLQ</x:v>
      </x:c>
      <x:c r="AP123" s="84" t="str">
        <x:f>IF(MAX(W123:AB123)=W123,"CAQ",IF(MAX(W123:AB123)=X123,"PLQ",IF(MAX(W123:AB123)=Y123,"QS",IF(MAX(W123:AB123)=Z123,"PQ",IF(MAX(W123:AB123)=AA123,"PCQ","Autre")))))</x:f>
        <x:v>PLQ</x:v>
      </x:c>
      <x:c r="AQ123" s="84" t="str">
        <x:f>IF(MAX(AC123:AH123)=AC123,"CAQ",IF(MAX(AC123:AH123)=AD123,"PLQ",IF(MAX(AC123:AH123)=AE123,"QS",IF(MAX(AC123:AH123)=AF123,"PQ",IF(MAX(AC123:AH123)=AG123,"PCQ","Autre")))))</x:f>
        <x:v>PLQ</x:v>
      </x:c>
      <x:c r="AR123" s="84" t="str">
        <x:f>IF(MAX(AI123:AN123)=AI123,"CAQ",IF(MAX(AI123:AN123)=AJ123,"PLQ",IF(MAX(AI123:AN123)=AK123,"QS",IF(MAX(AI123:AN123)=AL123,"PQ",IF(MAX(AI123:AN123)=AM123,"PCQ","Autre")))))</x:f>
        <x:v>PLQ</x:v>
      </x:c>
      <x:c r="AS123" s="88" t="n">
        <x:f>(MAX(K123:P123)-LARGE(K123:P123,2))*100</x:f>
        <x:v>1.4494020124341478</x:v>
      </x:c>
      <x:c r="AT123" s="84" t="str">
        <x:f>IF(AS123&lt;5,"Oui","Non")</x:f>
        <x:v>Oui</x:v>
      </x:c>
      <x:c r="AU123" s="89" t="n">
        <x:v>-2.8506415569016452</x:v>
      </x:c>
      <x:c r="AV123" s="89" t="n">
        <x:v>0.7472550129455607</x:v>
      </x:c>
      <x:c r="AW123" s="89" t="n">
        <x:v>-0.11139008505141046</x:v>
      </x:c>
      <x:c r="AX123" s="90" t="n">
        <x:v>-0.09743072375716505</x:v>
      </x:c>
    </x:row>
    <x:row r="124">
      <x:c r="A124" s="83" t="str">
        <x:v>Verchères</x:v>
      </x:c>
      <x:c r="B124" s="84" t="str">
        <x:v>Banlieue de Montréal</x:v>
      </x:c>
      <x:c r="C124" s="84" t="str">
        <x:f>IF(MAX(D124:I124)=D124,"CAQ",IF(MAX(D124:I124)=E124,"PLQ",IF(MAX(D124:I124)=F124,"QS",IF(MAX(D124:I124)=G124,"PQ",IF(MAX(D124:I124)=H124,"PCQ","Autre")))))</x:f>
        <x:v>CAQ</x:v>
      </x:c>
      <x:c r="D124" s="85" t="n">
        <x:v>42877</x:v>
      </x:c>
      <x:c r="E124" s="85" t="n">
        <x:v>4416</x:v>
      </x:c>
      <x:c r="F124" s="85" t="n">
        <x:v>12072</x:v>
      </x:c>
      <x:c r="G124" s="85" t="n">
        <x:v>17894</x:v>
      </x:c>
      <x:c r="H124" s="85" t="n">
        <x:v>5921</x:v>
      </x:c>
      <x:c r="I124" s="85" t="n">
        <x:v>432</x:v>
      </x:c>
      <x:c r="J124" s="86" t="n">
        <x:f>SUM(D124:I124)</x:f>
        <x:v>83612</x:v>
      </x:c>
      <x:c r="K124" s="87" t="n">
        <x:f>IFERROR(D124/J124,0)</x:f>
        <x:v>0.5128091661483998</x:v>
      </x:c>
      <x:c r="L124" s="87" t="n">
        <x:f>IFERROR(E124/J124,0)</x:f>
        <x:v>0.05281538535138497</x:v>
      </x:c>
      <x:c r="M124" s="87" t="n">
        <x:f>IFERROR(F124/J124,0)</x:f>
        <x:v>0.14438118930297086</x:v>
      </x:c>
      <x:c r="N124" s="87" t="n">
        <x:f>IFERROR(G124/J124,0)</x:f>
        <x:v>0.2140123427259245</x:v>
      </x:c>
      <x:c r="O124" s="87" t="n">
        <x:f>IFERROR(H124/J124,0)</x:f>
        <x:v>0.07081519399129312</x:v>
      </x:c>
      <x:c r="P124" s="87" t="n">
        <x:f>IFERROR(I124/J124,0)</x:f>
        <x:v>0.00516672248002679</x:v>
      </x:c>
      <x:c r="Q124" s="86" t="n">
        <x:f>D124*INDEX('Régions'!$T$2:$Y$6,MATCH($B124,'Régions'!$A$2:$A$6,0),1)</x:f>
        <x:v>30313.57965724387</x:v>
      </x:c>
      <x:c r="R124" s="86" t="n">
        <x:f>E124*INDEX('Régions'!$T$2:$Y$6,MATCH($B124,'Régions'!$A$2:$A$6,0),2)</x:f>
        <x:v>5649.210348096768</x:v>
      </x:c>
      <x:c r="S124" s="86" t="n">
        <x:f>F124*INDEX('Régions'!$T$2:$Y$6,MATCH($B124,'Régions'!$A$2:$A$6,0),3)</x:f>
        <x:v>6097.612142544297</x:v>
      </x:c>
      <x:c r="T124" s="86" t="n">
        <x:f>G124*INDEX('Régions'!$T$2:$Y$6,MATCH($B124,'Régions'!$A$2:$A$6,0),4)</x:f>
        <x:v>33365.15790028745</x:v>
      </x:c>
      <x:c r="U124" s="86" t="n">
        <x:f>H124*INDEX('Régions'!$T$2:$Y$6,MATCH($B124,'Régions'!$A$2:$A$6,0),5)</x:f>
        <x:v>6929.555961090856</x:v>
      </x:c>
      <x:c r="V124" s="86" t="n">
        <x:f>I124*INDEX('Régions'!$T$2:$Y$6,MATCH($B124,'Régions'!$A$2:$A$6,0),6)</x:f>
        <x:v>927.5233528322843</x:v>
      </x:c>
      <x:c r="W124" s="86" t="n">
        <x:f>MAX(0,Q124+(AU124/100)*J124*'Régions'!$O$2)</x:f>
        <x:v>34829.142073596726</x:v>
      </x:c>
      <x:c r="X124" s="86" t="n">
        <x:f>MAX(0,R124+(AV124/100)*J124*'Régions'!$O$2)</x:f>
        <x:v>6862.495692332377</x:v>
      </x:c>
      <x:c r="Y124" s="86" t="n">
        <x:f>MAX(0,S124+(AW124/100)*J124*'Régions'!$O$2)</x:f>
        <x:v>6256.195936807587</x:v>
      </x:c>
      <x:c r="Z124" s="86" t="n">
        <x:f>MAX(0,T124+(AX124/100)*J124*'Régions'!$O$2)</x:f>
        <x:v>28690.412009177046</x:v>
      </x:c>
      <x:c r="AA124" s="86" t="n">
        <x:f>U124</x:f>
        <x:v>6929.555961090856</x:v>
      </x:c>
      <x:c r="AB124" s="86" t="n">
        <x:f>V124</x:f>
        <x:v>927.5233528322843</x:v>
      </x:c>
      <x:c r="AC124" s="86" t="n">
        <x:f>D124*INDEX('Régions'!$Z$2:$AE$6,MATCH($B124,'Régions'!$A$2:$A$6,0),1)</x:f>
        <x:v>33439.667559397145</x:v>
      </x:c>
      <x:c r="AD124" s="86" t="n">
        <x:f>E124*INDEX('Régions'!$Z$2:$AE$6,MATCH($B124,'Régions'!$A$2:$A$6,0),2)</x:f>
        <x:v>6684.898911914508</x:v>
      </x:c>
      <x:c r="AE124" s="86" t="n">
        <x:f>F124*INDEX('Régions'!$Z$2:$AE$6,MATCH($B124,'Régions'!$A$2:$A$6,0),3)</x:f>
        <x:v>8972.200724029466</x:v>
      </x:c>
      <x:c r="AF124" s="86" t="n">
        <x:f>G124*INDEX('Régions'!$Z$2:$AE$6,MATCH($B124,'Régions'!$A$2:$A$6,0),4)</x:f>
        <x:v>37035.32526931906</x:v>
      </x:c>
      <x:c r="AG124" s="86" t="n">
        <x:f>H124*INDEX('Régions'!$Z$2:$AE$6,MATCH($B124,'Régions'!$A$2:$A$6,0),5)</x:f>
        <x:v>8835.183850390842</x:v>
      </x:c>
      <x:c r="AH124" s="86" t="n">
        <x:f>I124*INDEX('Régions'!$Z$2:$AE$6,MATCH($B124,'Régions'!$A$2:$A$6,0),6)</x:f>
        <x:v>3988.3504171788227</x:v>
      </x:c>
      <x:c r="AI124" s="86" t="n">
        <x:f>D124*INDEX('Régions'!$AF$2:$AK$6,MATCH($B124,'Régions'!$A$2:$A$6,0),1)</x:f>
        <x:v>27187.491755090596</x:v>
      </x:c>
      <x:c r="AJ124" s="86" t="n">
        <x:f>E124*INDEX('Régions'!$AF$2:$AK$6,MATCH($B124,'Régions'!$A$2:$A$6,0),2)</x:f>
        <x:v>4613.521784279027</x:v>
      </x:c>
      <x:c r="AK124" s="86" t="n">
        <x:f>F124*INDEX('Régions'!$AF$2:$AK$6,MATCH($B124,'Régions'!$A$2:$A$6,0),3)</x:f>
        <x:v>3223.023561059129</x:v>
      </x:c>
      <x:c r="AL124" s="86" t="n">
        <x:f>G124*INDEX('Régions'!$AF$2:$AK$6,MATCH($B124,'Régions'!$A$2:$A$6,0),4)</x:f>
        <x:v>29694.990531255826</x:v>
      </x:c>
      <x:c r="AM124" s="86" t="n">
        <x:f>H124*INDEX('Régions'!$AF$2:$AK$6,MATCH($B124,'Régions'!$A$2:$A$6,0),5)</x:f>
        <x:v>5023.92807179087</x:v>
      </x:c>
      <x:c r="AN124" s="86" t="n">
        <x:f>I124*INDEX('Régions'!$AF$2:$AK$6,MATCH($B124,'Régions'!$A$2:$A$6,0),6)</x:f>
        <x:v>0</x:v>
      </x:c>
      <x:c r="AO124" s="84" t="str">
        <x:f>IF(MAX(Q124:V124)=Q124,"CAQ",IF(MAX(Q124:V124)=R124,"PLQ",IF(MAX(Q124:V124)=S124,"QS",IF(MAX(Q124:V124)=T124,"PQ",IF(MAX(Q124:V124)=U124,"PCQ","Autre")))))</x:f>
        <x:v>PQ</x:v>
      </x:c>
      <x:c r="AP124" s="84" t="str">
        <x:f>IF(MAX(W124:AB124)=W124,"CAQ",IF(MAX(W124:AB124)=X124,"PLQ",IF(MAX(W124:AB124)=Y124,"QS",IF(MAX(W124:AB124)=Z124,"PQ",IF(MAX(W124:AB124)=AA124,"PCQ","Autre")))))</x:f>
        <x:v>CAQ</x:v>
      </x:c>
      <x:c r="AQ124" s="84" t="str">
        <x:f>IF(MAX(AC124:AH124)=AC124,"CAQ",IF(MAX(AC124:AH124)=AD124,"PLQ",IF(MAX(AC124:AH124)=AE124,"QS",IF(MAX(AC124:AH124)=AF124,"PQ",IF(MAX(AC124:AH124)=AG124,"PCQ","Autre")))))</x:f>
        <x:v>PQ</x:v>
      </x:c>
      <x:c r="AR124" s="84" t="str">
        <x:f>IF(MAX(AI124:AN124)=AI124,"CAQ",IF(MAX(AI124:AN124)=AJ124,"PLQ",IF(MAX(AI124:AN124)=AK124,"QS",IF(MAX(AI124:AN124)=AL124,"PQ",IF(MAX(AI124:AN124)=AM124,"PCQ","Autre")))))</x:f>
        <x:v>PQ</x:v>
      </x:c>
      <x:c r="AS124" s="88" t="n">
        <x:f>(MAX(K124:P124)-LARGE(K124:P124,2))*100</x:f>
        <x:v>29.879682342247527</x:v>
      </x:c>
      <x:c r="AT124" s="84" t="str">
        <x:f>IF(AS124&lt;5,"Oui","Non")</x:f>
        <x:v>Non</x:v>
      </x:c>
      <x:c r="AU124" s="89" t="n">
        <x:v>10.801230484506668</x:v>
      </x:c>
      <x:c r="AV124" s="89" t="n">
        <x:v>2.9021799364579466</x:v>
      </x:c>
      <x:c r="AW124" s="89" t="n">
        <x:v>0.3793326179574452</x:v>
      </x:c>
      <x:c r="AX124" s="90" t="n">
        <x:v>-11.181997538894903</x:v>
      </x:c>
    </x:row>
    <x:row r="125">
      <x:c r="A125" s="83" t="str">
        <x:v>Verdun</x:v>
      </x:c>
      <x:c r="B125" s="84" t="str">
        <x:v>Île de Montréal</x:v>
      </x:c>
      <x:c r="C125" s="84" t="str">
        <x:f>IF(MAX(D125:I125)=D125,"CAQ",IF(MAX(D125:I125)=E125,"PLQ",IF(MAX(D125:I125)=F125,"QS",IF(MAX(D125:I125)=G125,"PQ",IF(MAX(D125:I125)=H125,"PCQ","Autre")))))</x:f>
        <x:v>QS</x:v>
      </x:c>
      <x:c r="D125" s="85" t="n">
        <x:v>14512</x:v>
      </x:c>
      <x:c r="E125" s="85" t="n">
        <x:v>18472</x:v>
      </x:c>
      <x:c r="F125" s="85" t="n">
        <x:v>19407</x:v>
      </x:c>
      <x:c r="G125" s="85" t="n">
        <x:v>6359</x:v>
      </x:c>
      <x:c r="H125" s="85" t="n">
        <x:v>3988</x:v>
      </x:c>
      <x:c r="I125" s="85" t="n">
        <x:v>369</x:v>
      </x:c>
      <x:c r="J125" s="86" t="n">
        <x:f>SUM(D125:I125)</x:f>
        <x:v>63107</x:v>
      </x:c>
      <x:c r="K125" s="87" t="n">
        <x:f>IFERROR(D125/J125,0)</x:f>
        <x:v>0.22995864167208074</x:v>
      </x:c>
      <x:c r="L125" s="87" t="n">
        <x:f>IFERROR(E125/J125,0)</x:f>
        <x:v>0.29270920817025053</x:v>
      </x:c>
      <x:c r="M125" s="87" t="n">
        <x:f>IFERROR(F125/J125,0)</x:f>
        <x:v>0.30752531414898504</x:v>
      </x:c>
      <x:c r="N125" s="87" t="n">
        <x:f>IFERROR(G125/J125,0)</x:f>
        <x:v>0.10076536675804586</x:v>
      </x:c>
      <x:c r="O125" s="87" t="n">
        <x:f>IFERROR(H125/J125,0)</x:f>
        <x:v>0.06319425737239925</x:v>
      </x:c>
      <x:c r="P125" s="87" t="n">
        <x:f>IFERROR(I125/J125,0)</x:f>
        <x:v>0.005847211878238548</x:v>
      </x:c>
      <x:c r="Q125" s="86" t="n">
        <x:f>D125*INDEX('Régions'!$T$2:$Y$6,MATCH($B125,'Régions'!$A$2:$A$6,0),1)</x:f>
        <x:v>10869.307512673298</x:v>
      </x:c>
      <x:c r="R125" s="86" t="n">
        <x:f>E125*INDEX('Régions'!$T$2:$Y$6,MATCH($B125,'Régions'!$A$2:$A$6,0),2)</x:f>
        <x:v>18405.631367779795</x:v>
      </x:c>
      <x:c r="S125" s="86" t="n">
        <x:f>F125*INDEX('Régions'!$T$2:$Y$6,MATCH($B125,'Régions'!$A$2:$A$6,0),3)</x:f>
        <x:v>14958.644127482194</x:v>
      </x:c>
      <x:c r="T125" s="86" t="n">
        <x:f>G125*INDEX('Régions'!$T$2:$Y$6,MATCH($B125,'Régions'!$A$2:$A$6,0),4)</x:f>
        <x:v>12302.245567588592</x:v>
      </x:c>
      <x:c r="U125" s="86" t="n">
        <x:f>H125*INDEX('Régions'!$T$2:$Y$6,MATCH($B125,'Régions'!$A$2:$A$6,0),5)</x:f>
        <x:v>3178.6863332089247</x:v>
      </x:c>
      <x:c r="V125" s="86" t="n">
        <x:f>I125*INDEX('Régions'!$T$2:$Y$6,MATCH($B125,'Régions'!$A$2:$A$6,0),6)</x:f>
        <x:v>545.6294550063371</x:v>
      </x:c>
      <x:c r="W125" s="86" t="n">
        <x:f>MAX(0,Q125+(AU125/100)*J125*'Régions'!$O$2)</x:f>
        <x:v>9300.20998705797</x:v>
      </x:c>
      <x:c r="X125" s="86" t="n">
        <x:f>MAX(0,R125+(AV125/100)*J125*'Régions'!$O$2)</x:f>
        <x:v>18702.777284084958</x:v>
      </x:c>
      <x:c r="Y125" s="86" t="n">
        <x:f>MAX(0,S125+(AW125/100)*J125*'Régions'!$O$2)</x:f>
        <x:v>18633.19991274325</x:v>
      </x:c>
      <x:c r="Z125" s="86" t="n">
        <x:f>MAX(0,T125+(AX125/100)*J125*'Régions'!$O$2)</x:f>
        <x:v>11334.725644607828</x:v>
      </x:c>
      <x:c r="AA125" s="86" t="n">
        <x:f>U125</x:f>
        <x:v>3178.6863332089247</x:v>
      </x:c>
      <x:c r="AB125" s="86" t="n">
        <x:f>V125</x:f>
        <x:v>545.6294550063371</x:v>
      </x:c>
      <x:c r="AC125" s="86" t="n">
        <x:f>D125*INDEX('Régions'!$Z$2:$AE$6,MATCH($B125,'Régions'!$A$2:$A$6,0),1)</x:f>
        <x:v>13260.555165461423</x:v>
      </x:c>
      <x:c r="AD125" s="86" t="n">
        <x:f>E125*INDEX('Régions'!$Z$2:$AE$6,MATCH($B125,'Régions'!$A$2:$A$6,0),2)</x:f>
        <x:v>20192.060294652543</x:v>
      </x:c>
      <x:c r="AE125" s="86" t="n">
        <x:f>F125*INDEX('Régions'!$Z$2:$AE$6,MATCH($B125,'Régions'!$A$2:$A$6,0),3)</x:f>
        <x:v>17862.380928699327</x:v>
      </x:c>
      <x:c r="AF125" s="86" t="n">
        <x:f>G125*INDEX('Régions'!$Z$2:$AE$6,MATCH($B125,'Régions'!$A$2:$A$6,0),4)</x:f>
        <x:v>13993.804333132024</x:v>
      </x:c>
      <x:c r="AG125" s="86" t="n">
        <x:f>H125*INDEX('Régions'!$Z$2:$AE$6,MATCH($B125,'Régions'!$A$2:$A$6,0),5)</x:f>
        <x:v>4489.894445657606</x:v>
      </x:c>
      <x:c r="AH125" s="86" t="n">
        <x:f>I125*INDEX('Régions'!$Z$2:$AE$6,MATCH($B125,'Régions'!$A$2:$A$6,0),6)</x:f>
        <x:v>1445.9180557667935</x:v>
      </x:c>
      <x:c r="AI125" s="86" t="n">
        <x:f>D125*INDEX('Régions'!$AF$2:$AK$6,MATCH($B125,'Régions'!$A$2:$A$6,0),1)</x:f>
        <x:v>8478.059859885172</x:v>
      </x:c>
      <x:c r="AJ125" s="86" t="n">
        <x:f>E125*INDEX('Régions'!$AF$2:$AK$6,MATCH($B125,'Régions'!$A$2:$A$6,0),2)</x:f>
        <x:v>16619.20244090705</x:v>
      </x:c>
      <x:c r="AK125" s="86" t="n">
        <x:f>F125*INDEX('Régions'!$AF$2:$AK$6,MATCH($B125,'Régions'!$A$2:$A$6,0),3)</x:f>
        <x:v>12054.907326265062</x:v>
      </x:c>
      <x:c r="AL125" s="86" t="n">
        <x:f>G125*INDEX('Régions'!$AF$2:$AK$6,MATCH($B125,'Régions'!$A$2:$A$6,0),4)</x:f>
        <x:v>10610.68680204516</x:v>
      </x:c>
      <x:c r="AM125" s="86" t="n">
        <x:f>H125*INDEX('Régions'!$AF$2:$AK$6,MATCH($B125,'Régions'!$A$2:$A$6,0),5)</x:f>
        <x:v>1867.4782207602434</x:v>
      </x:c>
      <x:c r="AN125" s="86" t="n">
        <x:f>I125*INDEX('Régions'!$AF$2:$AK$6,MATCH($B125,'Régions'!$A$2:$A$6,0),6)</x:f>
        <x:v>0</x:v>
      </x:c>
      <x:c r="AO125" s="84" t="str">
        <x:f>IF(MAX(Q125:V125)=Q125,"CAQ",IF(MAX(Q125:V125)=R125,"PLQ",IF(MAX(Q125:V125)=S125,"QS",IF(MAX(Q125:V125)=T125,"PQ",IF(MAX(Q125:V125)=U125,"PCQ","Autre")))))</x:f>
        <x:v>PLQ</x:v>
      </x:c>
      <x:c r="AP125" s="84" t="str">
        <x:f>IF(MAX(W125:AB125)=W125,"CAQ",IF(MAX(W125:AB125)=X125,"PLQ",IF(MAX(W125:AB125)=Y125,"QS",IF(MAX(W125:AB125)=Z125,"PQ",IF(MAX(W125:AB125)=AA125,"PCQ","Autre")))))</x:f>
        <x:v>PLQ</x:v>
      </x:c>
      <x:c r="AQ125" s="84" t="str">
        <x:f>IF(MAX(AC125:AH125)=AC125,"CAQ",IF(MAX(AC125:AH125)=AD125,"PLQ",IF(MAX(AC125:AH125)=AE125,"QS",IF(MAX(AC125:AH125)=AF125,"PQ",IF(MAX(AC125:AH125)=AG125,"PCQ","Autre")))))</x:f>
        <x:v>PLQ</x:v>
      </x:c>
      <x:c r="AR125" s="84" t="str">
        <x:f>IF(MAX(AI125:AN125)=AI125,"CAQ",IF(MAX(AI125:AN125)=AJ125,"PLQ",IF(MAX(AI125:AN125)=AK125,"QS",IF(MAX(AI125:AN125)=AL125,"PQ",IF(MAX(AI125:AN125)=AM125,"PCQ","Autre")))))</x:f>
        <x:v>PLQ</x:v>
      </x:c>
      <x:c r="AS125" s="88" t="n">
        <x:f>(MAX(K125:P125)-LARGE(K125:P125,2))*100</x:f>
        <x:v>1.4816105978734506</x:v>
      </x:c>
      <x:c r="AT125" s="84" t="str">
        <x:f>IF(AS125&lt;5,"Oui","Non")</x:f>
        <x:v>Oui</x:v>
      </x:c>
      <x:c r="AU125" s="89" t="n">
        <x:v>-4.972816092082747</x:v>
      </x:c>
      <x:c r="AV125" s="89" t="n">
        <x:v>0.9417209384225633</x:v>
      </x:c>
      <x:c r="AW125" s="89" t="n">
        <x:v>11.645477634053453</x:v>
      </x:c>
      <x:c r="AX125" s="90" t="n">
        <x:v>-3.0662840032984113</x:v>
      </x:c>
    </x:row>
    <x:row r="126">
      <x:c r="A126" s="83" t="str">
        <x:v>Viau</x:v>
      </x:c>
      <x:c r="B126" s="84" t="str">
        <x:v>Île de Montréal</x:v>
      </x:c>
      <x:c r="C126" s="84" t="str">
        <x:f>IF(MAX(D126:I126)=D126,"CAQ",IF(MAX(D126:I126)=E126,"PLQ",IF(MAX(D126:I126)=F126,"QS",IF(MAX(D126:I126)=G126,"PQ",IF(MAX(D126:I126)=H126,"PCQ","Autre")))))</x:f>
        <x:v>PLQ</x:v>
      </x:c>
      <x:c r="D126" s="85" t="n">
        <x:v>6300</x:v>
      </x:c>
      <x:c r="E126" s="85" t="n">
        <x:v>15840</x:v>
      </x:c>
      <x:c r="F126" s="85" t="n">
        <x:v>12634</x:v>
      </x:c>
      <x:c r="G126" s="85" t="n">
        <x:v>3819</x:v>
      </x:c>
      <x:c r="H126" s="85" t="n">
        <x:v>2547</x:v>
      </x:c>
      <x:c r="I126" s="85" t="n">
        <x:v>354</x:v>
      </x:c>
      <x:c r="J126" s="86" t="n">
        <x:f>SUM(D126:I126)</x:f>
        <x:v>41494</x:v>
      </x:c>
      <x:c r="K126" s="87" t="n">
        <x:f>IFERROR(D126/J126,0)</x:f>
        <x:v>0.15182918012242733</x:v>
      </x:c>
      <x:c r="L126" s="87" t="n">
        <x:f>IFERROR(E126/J126,0)</x:f>
        <x:v>0.3817419385935316</x:v>
      </x:c>
      <x:c r="M126" s="87" t="n">
        <x:f>IFERROR(F126/J126,0)</x:f>
        <x:v>0.30447775582011855</x:v>
      </x:c>
      <x:c r="N126" s="87" t="n">
        <x:f>IFERROR(G126/J126,0)</x:f>
        <x:v>0.0920374029980238</x:v>
      </x:c>
      <x:c r="O126" s="87" t="n">
        <x:f>IFERROR(H126/J126,0)</x:f>
        <x:v>0.06138236853520991</x:v>
      </x:c>
      <x:c r="P126" s="87" t="n">
        <x:f>IFERROR(I126/J126,0)</x:f>
        <x:v>0.008531353930688775</x:v>
      </x:c>
      <x:c r="Q126" s="86" t="n">
        <x:f>D126*INDEX('Régions'!$T$2:$Y$6,MATCH($B126,'Régions'!$A$2:$A$6,0),1)</x:f>
        <x:v>4718.621646212911</x:v>
      </x:c>
      <x:c r="R126" s="86" t="n">
        <x:f>E126*INDEX('Régions'!$T$2:$Y$6,MATCH($B126,'Régions'!$A$2:$A$6,0),2)</x:f>
        <x:v>15783.087963708964</x:v>
      </x:c>
      <x:c r="S126" s="86" t="n">
        <x:f>F126*INDEX('Régions'!$T$2:$Y$6,MATCH($B126,'Régions'!$A$2:$A$6,0),3)</x:f>
        <x:v>9738.110470789406</x:v>
      </x:c>
      <x:c r="T126" s="86" t="n">
        <x:f>G126*INDEX('Régions'!$T$2:$Y$6,MATCH($B126,'Régions'!$A$2:$A$6,0),4)</x:f>
        <x:v>7388.311970847749</x:v>
      </x:c>
      <x:c r="U126" s="86" t="n">
        <x:f>H126*INDEX('Régions'!$T$2:$Y$6,MATCH($B126,'Régions'!$A$2:$A$6,0),5)</x:f>
        <x:v>2030.1188793087088</x:v>
      </x:c>
      <x:c r="V126" s="86" t="n">
        <x:f>I126*INDEX('Régions'!$T$2:$Y$6,MATCH($B126,'Régions'!$A$2:$A$6,0),6)</x:f>
        <x:v>523.449395859738</x:v>
      </x:c>
      <x:c r="W126" s="86" t="n">
        <x:f>MAX(0,Q126+(AU126/100)*J126*'Régions'!$O$2)</x:f>
        <x:v>5649.878276497129</x:v>
      </x:c>
      <x:c r="X126" s="86" t="n">
        <x:f>MAX(0,R126+(AV126/100)*J126*'Régions'!$O$2)</x:f>
        <x:v>19232.886865427106</x:v>
      </x:c>
      <x:c r="Y126" s="86" t="n">
        <x:f>MAX(0,S126+(AW126/100)*J126*'Régions'!$O$2)</x:f>
        <x:v>6145.496146503679</x:v>
      </x:c>
      <x:c r="Z126" s="86" t="n">
        <x:f>MAX(0,T126+(AX126/100)*J126*'Régions'!$O$2)</x:f>
        <x:v>7783.8488967135545</x:v>
      </x:c>
      <x:c r="AA126" s="86" t="n">
        <x:f>U126</x:f>
        <x:v>2030.1188793087088</x:v>
      </x:c>
      <x:c r="AB126" s="86" t="n">
        <x:f>V126</x:f>
        <x:v>523.449395859738</x:v>
      </x:c>
      <x:c r="AC126" s="86" t="n">
        <x:f>D126*INDEX('Régions'!$Z$2:$AE$6,MATCH($B126,'Régions'!$A$2:$A$6,0),1)</x:f>
        <x:v>5756.718408379752</x:v>
      </x:c>
      <x:c r="AD126" s="86" t="n">
        <x:f>E126*INDEX('Régions'!$Z$2:$AE$6,MATCH($B126,'Régions'!$A$2:$A$6,0),2)</x:f>
        <x:v>17314.975913127775</x:v>
      </x:c>
      <x:c r="AE126" s="86" t="n">
        <x:f>F126*INDEX('Régions'!$Z$2:$AE$6,MATCH($B126,'Régions'!$A$2:$A$6,0),3)</x:f>
        <x:v>11628.44956217794</x:v>
      </x:c>
      <x:c r="AF126" s="86" t="n">
        <x:f>G126*INDEX('Régions'!$Z$2:$AE$6,MATCH($B126,'Régions'!$A$2:$A$6,0),4)</x:f>
        <x:v>8404.204866839314</x:v>
      </x:c>
      <x:c r="AG126" s="86" t="n">
        <x:f>H126*INDEX('Régions'!$Z$2:$AE$6,MATCH($B126,'Régions'!$A$2:$A$6,0),5)</x:f>
        <x:v>2867.5429170235516</x:v>
      </x:c>
      <x:c r="AH126" s="86" t="n">
        <x:f>I126*INDEX('Régions'!$Z$2:$AE$6,MATCH($B126,'Régions'!$A$2:$A$6,0),6)</x:f>
        <x:v>1387.140899028306</x:v>
      </x:c>
      <x:c r="AI126" s="86" t="n">
        <x:f>D126*INDEX('Régions'!$AF$2:$AK$6,MATCH($B126,'Régions'!$A$2:$A$6,0),1)</x:f>
        <x:v>3680.5248840460713</x:v>
      </x:c>
      <x:c r="AJ126" s="86" t="n">
        <x:f>E126*INDEX('Régions'!$AF$2:$AK$6,MATCH($B126,'Régions'!$A$2:$A$6,0),2)</x:f>
        <x:v>14251.200014290152</x:v>
      </x:c>
      <x:c r="AK126" s="86" t="n">
        <x:f>F126*INDEX('Régions'!$AF$2:$AK$6,MATCH($B126,'Régions'!$A$2:$A$6,0),3)</x:f>
        <x:v>7847.771379400875</x:v>
      </x:c>
      <x:c r="AL126" s="86" t="n">
        <x:f>G126*INDEX('Régions'!$AF$2:$AK$6,MATCH($B126,'Régions'!$A$2:$A$6,0),4)</x:f>
        <x:v>6372.419074856183</x:v>
      </x:c>
      <x:c r="AM126" s="86" t="n">
        <x:f>H126*INDEX('Régions'!$AF$2:$AK$6,MATCH($B126,'Régions'!$A$2:$A$6,0),5)</x:f>
        <x:v>1192.6948415938666</x:v>
      </x:c>
      <x:c r="AN126" s="86" t="n">
        <x:f>I126*INDEX('Régions'!$AF$2:$AK$6,MATCH($B126,'Régions'!$A$2:$A$6,0),6)</x:f>
        <x:v>0</x:v>
      </x:c>
      <x:c r="AO126" s="84" t="str">
        <x:f>IF(MAX(Q126:V126)=Q126,"CAQ",IF(MAX(Q126:V126)=R126,"PLQ",IF(MAX(Q126:V126)=S126,"QS",IF(MAX(Q126:V126)=T126,"PQ",IF(MAX(Q126:V126)=U126,"PCQ","Autre")))))</x:f>
        <x:v>PLQ</x:v>
      </x:c>
      <x:c r="AP126" s="84" t="str">
        <x:f>IF(MAX(W126:AB126)=W126,"CAQ",IF(MAX(W126:AB126)=X126,"PLQ",IF(MAX(W126:AB126)=Y126,"QS",IF(MAX(W126:AB126)=Z126,"PQ",IF(MAX(W126:AB126)=AA126,"PCQ","Autre")))))</x:f>
        <x:v>PLQ</x:v>
      </x:c>
      <x:c r="AQ126" s="84" t="str">
        <x:f>IF(MAX(AC126:AH126)=AC126,"CAQ",IF(MAX(AC126:AH126)=AD126,"PLQ",IF(MAX(AC126:AH126)=AE126,"QS",IF(MAX(AC126:AH126)=AF126,"PQ",IF(MAX(AC126:AH126)=AG126,"PCQ","Autre")))))</x:f>
        <x:v>PLQ</x:v>
      </x:c>
      <x:c r="AR126" s="84" t="str">
        <x:f>IF(MAX(AI126:AN126)=AI126,"CAQ",IF(MAX(AI126:AN126)=AJ126,"PLQ",IF(MAX(AI126:AN126)=AK126,"QS",IF(MAX(AI126:AN126)=AL126,"PQ",IF(MAX(AI126:AN126)=AM126,"PCQ","Autre")))))</x:f>
        <x:v>PLQ</x:v>
      </x:c>
      <x:c r="AS126" s="88" t="n">
        <x:f>(MAX(K126:P126)-LARGE(K126:P126,2))*100</x:f>
        <x:v>7.726418277341307</x:v>
      </x:c>
      <x:c r="AT126" s="84" t="str">
        <x:f>IF(AS126&lt;5,"Oui","Non")</x:f>
        <x:v>Non</x:v>
      </x:c>
      <x:c r="AU126" s="89" t="n">
        <x:v>4.488632719353247</x:v>
      </x:c>
      <x:c r="AV126" s="89" t="n">
        <x:v>16.627940915400497</x:v>
      </x:c>
      <x:c r="AW126" s="89" t="n">
        <x:v>-17.31630753499652</x:v>
      </x:c>
      <x:c r="AX126" s="90" t="n">
        <x:v>1.9064776876936682</x:v>
      </x:c>
    </x:row>
    <x:row r="127">
      <x:c r="A127" s="83" t="str">
        <x:v>Vimont-Auteuil</x:v>
      </x:c>
      <x:c r="B127" s="84" t="str">
        <x:v>Banlieue de Montréal</x:v>
      </x:c>
      <x:c r="C127" s="84" t="str">
        <x:f>IF(MAX(D127:I127)=D127,"CAQ",IF(MAX(D127:I127)=E127,"PLQ",IF(MAX(D127:I127)=F127,"QS",IF(MAX(D127:I127)=G127,"PQ",IF(MAX(D127:I127)=H127,"PCQ","Autre")))))</x:f>
        <x:v>CAQ</x:v>
      </x:c>
      <x:c r="D127" s="85" t="n">
        <x:v>22203</x:v>
      </x:c>
      <x:c r="E127" s="85" t="n">
        <x:v>19334</x:v>
      </x:c>
      <x:c r="F127" s="85" t="n">
        <x:v>7435</x:v>
      </x:c>
      <x:c r="G127" s="85" t="n">
        <x:v>7457</x:v>
      </x:c>
      <x:c r="H127" s="85" t="n">
        <x:v>8345</x:v>
      </x:c>
      <x:c r="I127" s="85" t="n">
        <x:v>-1</x:v>
      </x:c>
      <x:c r="J127" s="86" t="n">
        <x:f>SUM(D127:I127)</x:f>
        <x:v>64773</x:v>
      </x:c>
      <x:c r="K127" s="87" t="n">
        <x:f>IFERROR(D127/J127,0)</x:f>
        <x:v>0.3427817146033069</x:v>
      </x:c>
      <x:c r="L127" s="87" t="n">
        <x:f>IFERROR(E127/J127,0)</x:f>
        <x:v>0.298488567767434</x:v>
      </x:c>
      <x:c r="M127" s="87" t="n">
        <x:f>IFERROR(F127/J127,0)</x:f>
        <x:v>0.11478548160498973</x:v>
      </x:c>
      <x:c r="N127" s="87" t="n">
        <x:f>IFERROR(G127/J127,0)</x:f>
        <x:v>0.1151251292977012</x:v>
      </x:c>
      <x:c r="O127" s="87" t="n">
        <x:f>IFERROR(H127/J127,0)</x:f>
        <x:v>0.12883454525805504</x:v>
      </x:c>
      <x:c r="P127" s="87" t="n">
        <x:f>IFERROR(I127/J127,0)</x:f>
        <x:v>-0.000015438531486884966</x:v>
      </x:c>
      <x:c r="Q127" s="86" t="n">
        <x:f>D127*INDEX('Régions'!$T$2:$Y$6,MATCH($B127,'Régions'!$A$2:$A$6,0),1)</x:f>
        <x:v>15697.28313850749</x:v>
      </x:c>
      <x:c r="R127" s="86" t="n">
        <x:f>E127*INDEX('Régions'!$T$2:$Y$6,MATCH($B127,'Régions'!$A$2:$A$6,0),2)</x:f>
        <x:v>24733.2049071791</x:v>
      </x:c>
      <x:c r="S127" s="86" t="n">
        <x:f>F127*INDEX('Régions'!$T$2:$Y$6,MATCH($B127,'Régions'!$A$2:$A$6,0),3)</x:f>
        <x:v>3755.4461795739603</x:v>
      </x:c>
      <x:c r="T127" s="86" t="n">
        <x:f>G127*INDEX('Régions'!$T$2:$Y$6,MATCH($B127,'Régions'!$A$2:$A$6,0),4)</x:f>
        <x:v>13904.324492145048</x:v>
      </x:c>
      <x:c r="U127" s="86" t="n">
        <x:f>H127*INDEX('Régions'!$T$2:$Y$6,MATCH($B127,'Régions'!$A$2:$A$6,0),5)</x:f>
        <x:v>9766.448994308932</x:v>
      </x:c>
      <x:c r="V127" s="86" t="n">
        <x:f>I127*INDEX('Régions'!$T$2:$Y$6,MATCH($B127,'Régions'!$A$2:$A$6,0),6)</x:f>
        <x:v>-2.1470447982228804</x:v>
      </x:c>
      <x:c r="W127" s="86" t="n">
        <x:f>MAX(0,Q127+(AU127/100)*J127*'Régions'!$O$2)</x:f>
        <x:v>10249.437147258315</x:v>
      </x:c>
      <x:c r="X127" s="86" t="n">
        <x:f>MAX(0,R127+(AV127/100)*J127*'Régions'!$O$2)</x:f>
        <x:v>30380.7088400047</x:v>
      </x:c>
      <x:c r="Y127" s="86" t="n">
        <x:f>MAX(0,S127+(AW127/100)*J127*'Régions'!$O$2)</x:f>
        <x:v>2826.1428529642726</x:v>
      </x:c>
      <x:c r="Z127" s="86" t="n">
        <x:f>MAX(0,T127+(AX127/100)*J127*'Régions'!$O$2)</x:f>
        <x:v>13524.161235579399</x:v>
      </x:c>
      <x:c r="AA127" s="86" t="n">
        <x:f>U127</x:f>
        <x:v>9766.448994308932</x:v>
      </x:c>
      <x:c r="AB127" s="86" t="n">
        <x:f>V127</x:f>
        <x:v>-2.1470447982228804</x:v>
      </x:c>
      <x:c r="AC127" s="86" t="n">
        <x:f>D127*INDEX('Régions'!$Z$2:$AE$6,MATCH($B127,'Régions'!$A$2:$A$6,0),1)</x:f>
        <x:v>17316.065462166072</x:v>
      </x:c>
      <x:c r="AD127" s="86" t="n">
        <x:f>E127*INDEX('Régions'!$Z$2:$AE$6,MATCH($B127,'Régions'!$A$2:$A$6,0),2)</x:f>
        <x:v>29267.6258068286</x:v>
      </x:c>
      <x:c r="AE127" s="86" t="n">
        <x:f>F127*INDEX('Régions'!$Z$2:$AE$6,MATCH($B127,'Régions'!$A$2:$A$6,0),3)</x:f>
        <x:v>5525.870807087399</x:v>
      </x:c>
      <x:c r="AF127" s="86" t="n">
        <x:f>G127*INDEX('Régions'!$Z$2:$AE$6,MATCH($B127,'Régions'!$A$2:$A$6,0),4)</x:f>
        <x:v>15433.800186281</x:v>
      </x:c>
      <x:c r="AG127" s="86" t="n">
        <x:f>H127*INDEX('Régions'!$Z$2:$AE$6,MATCH($B127,'Régions'!$A$2:$A$6,0),5)</x:f>
        <x:v>12452.22246774389</x:v>
      </x:c>
      <x:c r="AH127" s="86" t="n">
        <x:f>I127*INDEX('Régions'!$Z$2:$AE$6,MATCH($B127,'Régions'!$A$2:$A$6,0),6)</x:f>
        <x:v>-9.232292632358385</x:v>
      </x:c>
      <x:c r="AI127" s="86" t="n">
        <x:f>D127*INDEX('Régions'!$AF$2:$AK$6,MATCH($B127,'Régions'!$A$2:$A$6,0),1)</x:f>
        <x:v>14078.500814848905</x:v>
      </x:c>
      <x:c r="AJ127" s="86" t="n">
        <x:f>E127*INDEX('Régions'!$AF$2:$AK$6,MATCH($B127,'Régions'!$A$2:$A$6,0),2)</x:f>
        <x:v>20198.784007529597</x:v>
      </x:c>
      <x:c r="AK127" s="86" t="n">
        <x:f>F127*INDEX('Régions'!$AF$2:$AK$6,MATCH($B127,'Régions'!$A$2:$A$6,0),3)</x:f>
        <x:v>1985.0215520605223</x:v>
      </x:c>
      <x:c r="AL127" s="86" t="n">
        <x:f>G127*INDEX('Régions'!$AF$2:$AK$6,MATCH($B127,'Régions'!$A$2:$A$6,0),4)</x:f>
        <x:v>12374.848798009092</x:v>
      </x:c>
      <x:c r="AM127" s="86" t="n">
        <x:f>H127*INDEX('Régions'!$AF$2:$AK$6,MATCH($B127,'Régions'!$A$2:$A$6,0),5)</x:f>
        <x:v>7080.675520873975</x:v>
      </x:c>
      <x:c r="AN127" s="86" t="n">
        <x:f>I127*INDEX('Régions'!$AF$2:$AK$6,MATCH($B127,'Régions'!$A$2:$A$6,0),6)</x:f>
        <x:v>0</x:v>
      </x:c>
      <x:c r="AO127" s="84" t="str">
        <x:f>IF(MAX(Q127:V127)=Q127,"CAQ",IF(MAX(Q127:V127)=R127,"PLQ",IF(MAX(Q127:V127)=S127,"QS",IF(MAX(Q127:V127)=T127,"PQ",IF(MAX(Q127:V127)=U127,"PCQ","Autre")))))</x:f>
        <x:v>PLQ</x:v>
      </x:c>
      <x:c r="AP127" s="84" t="str">
        <x:f>IF(MAX(W127:AB127)=W127,"CAQ",IF(MAX(W127:AB127)=X127,"PLQ",IF(MAX(W127:AB127)=Y127,"QS",IF(MAX(W127:AB127)=Z127,"PQ",IF(MAX(W127:AB127)=AA127,"PCQ","Autre")))))</x:f>
        <x:v>PLQ</x:v>
      </x:c>
      <x:c r="AQ127" s="84" t="str">
        <x:f>IF(MAX(AC127:AH127)=AC127,"CAQ",IF(MAX(AC127:AH127)=AD127,"PLQ",IF(MAX(AC127:AH127)=AE127,"QS",IF(MAX(AC127:AH127)=AF127,"PQ",IF(MAX(AC127:AH127)=AG127,"PCQ","Autre")))))</x:f>
        <x:v>PLQ</x:v>
      </x:c>
      <x:c r="AR127" s="84" t="str">
        <x:f>IF(MAX(AI127:AN127)=AI127,"CAQ",IF(MAX(AI127:AN127)=AJ127,"PLQ",IF(MAX(AI127:AN127)=AK127,"QS",IF(MAX(AI127:AN127)=AL127,"PQ",IF(MAX(AI127:AN127)=AM127,"PCQ","Autre")))))</x:f>
        <x:v>PLQ</x:v>
      </x:c>
      <x:c r="AS127" s="88" t="n">
        <x:f>(MAX(K127:P127)-LARGE(K127:P127,2))*100</x:f>
        <x:v>4.429314683587293</x:v>
      </x:c>
      <x:c r="AT127" s="84" t="str">
        <x:f>IF(AS127&lt;5,"Oui","Non")</x:f>
        <x:v>Oui</x:v>
      </x:c>
      <x:c r="AU127" s="89" t="n">
        <x:v>-16.821348374320085</x:v>
      </x:c>
      <x:c r="AV127" s="89" t="n">
        <x:v>17.43783345784694</x:v>
      </x:c>
      <x:c r="AW127" s="89" t="n">
        <x:v>-2.869415733746121</x:v>
      </x:c>
      <x:c r="AX127" s="90" t="n">
        <x:v>-1.1738324813291026</x:v>
      </x:c>
    </x:row>
    <x:row r="128">
      <x:c r="A128" s="91" t="str">
        <x:v>Westmount-Saint-Louis</x:v>
      </x:c>
      <x:c r="B128" s="92" t="str">
        <x:v>Île de Montréal</x:v>
      </x:c>
      <x:c r="C128" s="92" t="str">
        <x:f>IF(MAX(D128:I128)=D128,"CAQ",IF(MAX(D128:I128)=E128,"PLQ",IF(MAX(D128:I128)=F128,"QS",IF(MAX(D128:I128)=G128,"PQ",IF(MAX(D128:I128)=H128,"PCQ","Autre")))))</x:f>
        <x:v>PLQ</x:v>
      </x:c>
      <x:c r="D128" s="93" t="n">
        <x:v>4716</x:v>
      </x:c>
      <x:c r="E128" s="93" t="n">
        <x:v>23615</x:v>
      </x:c>
      <x:c r="F128" s="93" t="n">
        <x:v>6000</x:v>
      </x:c>
      <x:c r="G128" s="93" t="n">
        <x:v>4205</x:v>
      </x:c>
      <x:c r="H128" s="93" t="n">
        <x:v>6607</x:v>
      </x:c>
      <x:c r="I128" s="93" t="n">
        <x:v>1641</x:v>
      </x:c>
      <x:c r="J128" s="94" t="n">
        <x:f>SUM(D128:I128)</x:f>
        <x:v>46784</x:v>
      </x:c>
      <x:c r="K128" s="95" t="n">
        <x:f>IFERROR(D128/J128,0)</x:f>
        <x:v>0.10080369357045144</x:v>
      </x:c>
      <x:c r="L128" s="95" t="n">
        <x:f>IFERROR(E128/J128,0)</x:f>
        <x:v>0.504766586867305</x:v>
      </x:c>
      <x:c r="M128" s="95" t="n">
        <x:f>IFERROR(F128/J128,0)</x:f>
        <x:v>0.12824897400820792</x:v>
      </x:c>
      <x:c r="N128" s="95" t="n">
        <x:f>IFERROR(G128/J128,0)</x:f>
        <x:v>0.0898811559507524</x:v>
      </x:c>
      <x:c r="O128" s="95" t="n">
        <x:f>IFERROR(H128/J128,0)</x:f>
        <x:v>0.1412234952120383</x:v>
      </x:c>
      <x:c r="P128" s="95" t="n">
        <x:f>IFERROR(I128/J128,0)</x:f>
        <x:v>0.03507609439124487</x:v>
      </x:c>
      <x:c r="Q128" s="94" t="n">
        <x:f>D128*INDEX('Régions'!$T$2:$Y$6,MATCH($B128,'Régions'!$A$2:$A$6,0),1)</x:f>
        <x:v>3532.2253465936656</x:v>
      </x:c>
      <x:c r="R128" s="94" t="n">
        <x:f>E128*INDEX('Régions'!$T$2:$Y$6,MATCH($B128,'Régions'!$A$2:$A$6,0),2)</x:f>
        <x:v>23530.15292064313</x:v>
      </x:c>
      <x:c r="S128" s="94" t="n">
        <x:f>F128*INDEX('Régions'!$T$2:$Y$6,MATCH($B128,'Régions'!$A$2:$A$6,0),3)</x:f>
        <x:v>4624.716069711607</x:v>
      </x:c>
      <x:c r="T128" s="94" t="n">
        <x:f>G128*INDEX('Régions'!$T$2:$Y$6,MATCH($B128,'Régions'!$A$2:$A$6,0),4)</x:f>
        <x:v>8135.075107990255</x:v>
      </x:c>
      <x:c r="U128" s="94" t="n">
        <x:f>H128*INDEX('Régions'!$T$2:$Y$6,MATCH($B128,'Régions'!$A$2:$A$6,0),5)</x:f>
        <x:v>5266.1937320740635</x:v>
      </x:c>
      <x:c r="V128" s="94" t="n">
        <x:f>I128*INDEX('Régions'!$T$2:$Y$6,MATCH($B128,'Régions'!$A$2:$A$6,0),6)</x:f>
        <x:v>2426.498470637938</x:v>
      </x:c>
      <x:c r="W128" s="94" t="n">
        <x:f>MAX(0,Q128+(AU128/100)*J128*'Régions'!$O$2)</x:f>
        <x:v>2205.9674523767153</x:v>
      </x:c>
      <x:c r="X128" s="94" t="n">
        <x:f>MAX(0,R128+(AV128/100)*J128*'Régions'!$O$2)</x:f>
        <x:v>29269.44488691307</x:v>
      </x:c>
      <x:c r="Y128" s="94" t="n">
        <x:f>MAX(0,S128+(AW128/100)*J128*'Régions'!$O$2)</x:f>
        <x:v>0</x:v>
      </x:c>
      <x:c r="Z128" s="94" t="n">
        <x:f>MAX(0,T128+(AX128/100)*J128*'Régions'!$O$2)</x:f>
        <x:v>7159.276278658116</x:v>
      </x:c>
      <x:c r="AA128" s="94" t="n">
        <x:f>U128</x:f>
        <x:v>5266.1937320740635</x:v>
      </x:c>
      <x:c r="AB128" s="94" t="n">
        <x:f>V128</x:f>
        <x:v>2426.498470637938</x:v>
      </x:c>
      <x:c r="AC128" s="94" t="n">
        <x:f>D128*INDEX('Régions'!$Z$2:$AE$6,MATCH($B128,'Régions'!$A$2:$A$6,0),1)</x:f>
        <x:v>4309.314922844272</x:v>
      </x:c>
      <x:c r="AD128" s="94" t="n">
        <x:f>E128*INDEX('Régions'!$Z$2:$AE$6,MATCH($B128,'Régions'!$A$2:$A$6,0),2)</x:f>
        <x:v>25813.961880587904</x:v>
      </x:c>
      <x:c r="AE128" s="94" t="n">
        <x:f>F128*INDEX('Régions'!$Z$2:$AE$6,MATCH($B128,'Régions'!$A$2:$A$6,0),3)</x:f>
        <x:v>5522.455071479155</x:v>
      </x:c>
      <x:c r="AF128" s="94" t="n">
        <x:f>G128*INDEX('Régions'!$Z$2:$AE$6,MATCH($B128,'Régions'!$A$2:$A$6,0),4)</x:f>
        <x:v>9253.647935338915</x:v>
      </x:c>
      <x:c r="AG128" s="94" t="n">
        <x:f>H128*INDEX('Régions'!$Z$2:$AE$6,MATCH($B128,'Régions'!$A$2:$A$6,0),5)</x:f>
        <x:v>7438.498646554615</x:v>
      </x:c>
      <x:c r="AH128" s="94" t="n">
        <x:f>I128*INDEX('Régions'!$Z$2:$AE$6,MATCH($B128,'Régions'!$A$2:$A$6,0),6)</x:f>
        <x:v>6430.220947190536</x:v>
      </x:c>
      <x:c r="AI128" s="94" t="n">
        <x:f>D128*INDEX('Régions'!$AF$2:$AK$6,MATCH($B128,'Régions'!$A$2:$A$6,0),1)</x:f>
        <x:v>2755.135770343059</x:v>
      </x:c>
      <x:c r="AJ128" s="94" t="n">
        <x:f>E128*INDEX('Régions'!$AF$2:$AK$6,MATCH($B128,'Régions'!$A$2:$A$6,0),2)</x:f>
        <x:v>21246.343960698356</x:v>
      </x:c>
      <x:c r="AK128" s="94" t="n">
        <x:f>F128*INDEX('Régions'!$AF$2:$AK$6,MATCH($B128,'Régions'!$A$2:$A$6,0),3)</x:f>
        <x:v>3726.97706794406</x:v>
      </x:c>
      <x:c r="AL128" s="94" t="n">
        <x:f>G128*INDEX('Régions'!$AF$2:$AK$6,MATCH($B128,'Régions'!$A$2:$A$6,0),4)</x:f>
        <x:v>7016.502280641595</x:v>
      </x:c>
      <x:c r="AM128" s="94" t="n">
        <x:f>H128*INDEX('Régions'!$AF$2:$AK$6,MATCH($B128,'Régions'!$A$2:$A$6,0),5)</x:f>
        <x:v>3093.8888175935126</x:v>
      </x:c>
      <x:c r="AN128" s="94" t="n">
        <x:f>I128*INDEX('Régions'!$AF$2:$AK$6,MATCH($B128,'Régions'!$A$2:$A$6,0),6)</x:f>
        <x:v>0</x:v>
      </x:c>
      <x:c r="AO128" s="92" t="str">
        <x:f>IF(MAX(Q128:V128)=Q128,"CAQ",IF(MAX(Q128:V128)=R128,"PLQ",IF(MAX(Q128:V128)=S128,"QS",IF(MAX(Q128:V128)=T128,"PQ",IF(MAX(Q128:V128)=U128,"PCQ","Autre")))))</x:f>
        <x:v>PLQ</x:v>
      </x:c>
      <x:c r="AP128" s="92" t="str">
        <x:f>IF(MAX(W128:AB128)=W128,"CAQ",IF(MAX(W128:AB128)=X128,"PLQ",IF(MAX(W128:AB128)=Y128,"QS",IF(MAX(W128:AB128)=Z128,"PQ",IF(MAX(W128:AB128)=AA128,"PCQ","Autre")))))</x:f>
        <x:v>PLQ</x:v>
      </x:c>
      <x:c r="AQ128" s="92" t="str">
        <x:f>IF(MAX(AC128:AH128)=AC128,"CAQ",IF(MAX(AC128:AH128)=AD128,"PLQ",IF(MAX(AC128:AH128)=AE128,"QS",IF(MAX(AC128:AH128)=AF128,"PQ",IF(MAX(AC128:AH128)=AG128,"PCQ","Autre")))))</x:f>
        <x:v>PLQ</x:v>
      </x:c>
      <x:c r="AR128" s="92" t="str">
        <x:f>IF(MAX(AI128:AN128)=AI128,"CAQ",IF(MAX(AI128:AN128)=AJ128,"PLQ",IF(MAX(AI128:AN128)=AK128,"QS",IF(MAX(AI128:AN128)=AL128,"PQ",IF(MAX(AI128:AN128)=AM128,"PCQ","Autre")))))</x:f>
        <x:v>PLQ</x:v>
      </x:c>
      <x:c r="AS128" s="96" t="n">
        <x:f>(MAX(K128:P128)-LARGE(K128:P128,2))*100</x:f>
        <x:v>36.35430916552667</x:v>
      </x:c>
      <x:c r="AT128" s="92" t="str">
        <x:f>IF(AS128&lt;5,"Oui","Non")</x:f>
        <x:v>Non</x:v>
      </x:c>
      <x:c r="AU128" s="97" t="n">
        <x:v>-5.669707140120342</x:v>
      </x:c>
      <x:c r="AV128" s="97" t="n">
        <x:v>24.535276873589005</x:v>
      </x:c>
      <x:c r="AW128" s="97" t="n">
        <x:v>-20.98928431325564</x:v>
      </x:c>
      <x:c r="AX128" s="98" t="n">
        <x:v>-4.171506623341906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</x:cols>
  <x:sheetData>
    <x:row r="1">
      <x:c r="A1" s="119" t="str">
        <x:v>Région</x:v>
      </x:c>
      <x:c r="B1" s="120" t="str">
        <x:v>Réf. CAQ%</x:v>
      </x:c>
      <x:c r="C1" s="120" t="str">
        <x:v>Réf. PLQ%</x:v>
      </x:c>
      <x:c r="D1" s="120" t="str">
        <x:v>Réf. QS%</x:v>
      </x:c>
      <x:c r="E1" s="120" t="str">
        <x:v>Réf. PQ%</x:v>
      </x:c>
      <x:c r="F1" s="120" t="str">
        <x:v>Réf. PCQ%</x:v>
      </x:c>
      <x:c r="G1" s="120" t="str">
        <x:v>Réf. Autre%</x:v>
      </x:c>
      <x:c r="H1" s="120" t="str">
        <x:v>Sond. CAQ</x:v>
      </x:c>
      <x:c r="I1" s="120" t="str">
        <x:v>Sond. PLQ</x:v>
      </x:c>
      <x:c r="J1" s="120" t="str">
        <x:v>Sond. QS</x:v>
      </x:c>
      <x:c r="K1" s="120" t="str">
        <x:v>Sond. PQ</x:v>
      </x:c>
      <x:c r="L1" s="120" t="str">
        <x:v>Sond. PCQ</x:v>
      </x:c>
      <x:c r="M1" s="120" t="str">
        <x:v>Sond. Autre</x:v>
      </x:c>
      <x:c r="N1" s="120" t="str">
        <x:v>Marge (pp)</x:v>
      </x:c>
      <x:c r="O1" s="120" t="str">
        <x:v>Facteur inertie</x:v>
      </x:c>
      <x:c r="P1" s="120"/>
      <x:c r="Q1" s="120"/>
      <x:c r="R1" s="120"/>
      <x:c r="S1" s="120"/>
      <x:c r="T1" s="120" t="str">
        <x:v>SwA CAQ</x:v>
      </x:c>
      <x:c r="U1" s="120" t="str">
        <x:v>SwA PLQ</x:v>
      </x:c>
      <x:c r="V1" s="120" t="str">
        <x:v>SwA QS</x:v>
      </x:c>
      <x:c r="W1" s="120" t="str">
        <x:v>SwA PQ</x:v>
      </x:c>
      <x:c r="X1" s="120" t="str">
        <x:v>SwA PCQ</x:v>
      </x:c>
      <x:c r="Y1" s="120" t="str">
        <x:v>SwA Autre</x:v>
      </x:c>
      <x:c r="Z1" s="120" t="str">
        <x:v>SwC CAQ</x:v>
      </x:c>
      <x:c r="AA1" s="120" t="str">
        <x:v>SwC PLQ</x:v>
      </x:c>
      <x:c r="AB1" s="120" t="str">
        <x:v>SwC QS</x:v>
      </x:c>
      <x:c r="AC1" s="120" t="str">
        <x:v>SwC PQ</x:v>
      </x:c>
      <x:c r="AD1" s="120" t="str">
        <x:v>SwC PCQ</x:v>
      </x:c>
      <x:c r="AE1" s="120" t="str">
        <x:v>SwC Autre</x:v>
      </x:c>
      <x:c r="AF1" s="120" t="str">
        <x:v>SwD CAQ</x:v>
      </x:c>
      <x:c r="AG1" s="120" t="str">
        <x:v>SwD PLQ</x:v>
      </x:c>
      <x:c r="AH1" s="120" t="str">
        <x:v>SwD QS</x:v>
      </x:c>
      <x:c r="AI1" s="120" t="str">
        <x:v>SwD PQ</x:v>
      </x:c>
      <x:c r="AJ1" s="120" t="str">
        <x:v>SwD PCQ</x:v>
      </x:c>
      <x:c r="AK1" s="121" t="str">
        <x:v>SwD Autre</x:v>
      </x:c>
    </x:row>
    <x:row r="2">
      <x:c r="A2" s="122" t="str">
        <x:v>Montréal RMR</x:v>
      </x:c>
      <x:c r="B2" s="123" t="n">
        <x:f>(SUMIFS('Modèle'!$D$2:$D$128,'Modèle'!$B$2:$B$128,$A$3)+SUMIFS('Modèle'!$D$2:$D$128,'Modèle'!$B$2:$B$128,$A$4))/(SUMIFS('Modèle'!$J$2:$J$128,'Modèle'!$B$2:$B$128,$A$3)+SUMIFS('Modèle'!$J$2:$J$128,'Modèle'!$B$2:$B$128,$A$4))*100</x:f>
        <x:v>36.37980239530326</x:v>
      </x:c>
      <x:c r="C2" s="123" t="n">
        <x:f>(SUMIFS('Modèle'!$E$2:$E$128,'Modèle'!$B$2:$B$128,$A$3)+SUMIFS('Modèle'!$E$2:$E$128,'Modèle'!$B$2:$B$128,$A$4))/(SUMIFS('Modèle'!$J$2:$J$128,'Modèle'!$B$2:$B$128,$A$3)+SUMIFS('Modèle'!$J$2:$J$128,'Modèle'!$B$2:$B$128,$A$4))*100</x:f>
        <x:v>21.128706764195154</x:v>
      </x:c>
      <x:c r="D2" s="123" t="n">
        <x:f>(SUMIFS('Modèle'!$F$2:$F$128,'Modèle'!$B$2:$B$128,$A$3)+SUMIFS('Modèle'!$F$2:$F$128,'Modèle'!$B$2:$B$128,$A$4))/(SUMIFS('Modèle'!$J$2:$J$128,'Modèle'!$B$2:$B$128,$A$3)+SUMIFS('Modèle'!$J$2:$J$128,'Modèle'!$B$2:$B$128,$A$4))*100</x:f>
        <x:v>16.743746354414593</x:v>
      </x:c>
      <x:c r="E2" s="123" t="n">
        <x:f>(SUMIFS('Modèle'!$G$2:$G$128,'Modèle'!$B$2:$B$128,$A$3)+SUMIFS('Modèle'!$G$2:$G$128,'Modèle'!$B$2:$B$128,$A$4))/(SUMIFS('Modèle'!$J$2:$J$128,'Modèle'!$B$2:$B$128,$A$3)+SUMIFS('Modèle'!$J$2:$J$128,'Modèle'!$B$2:$B$128,$A$4))*100</x:f>
        <x:v>14.792617871134562</x:v>
      </x:c>
      <x:c r="F2" s="123" t="n">
        <x:f>(SUMIFS('Modèle'!$H$2:$H$128,'Modèle'!$B$2:$B$128,$A$3)+SUMIFS('Modèle'!$H$2:$H$128,'Modèle'!$B$2:$B$128,$A$4))/(SUMIFS('Modèle'!$J$2:$J$128,'Modèle'!$B$2:$B$128,$A$3)+SUMIFS('Modèle'!$J$2:$J$128,'Modèle'!$B$2:$B$128,$A$4))*100</x:f>
        <x:v>10.17722294109628</x:v>
      </x:c>
      <x:c r="G2" s="123" t="n">
        <x:f>(SUMIFS('Modèle'!$I$2:$I$128,'Modèle'!$B$2:$B$128,$A$3)+SUMIFS('Modèle'!$I$2:$I$128,'Modèle'!$B$2:$B$128,$A$4))/(SUMIFS('Modèle'!$J$2:$J$128,'Modèle'!$B$2:$B$128,$A$3)+SUMIFS('Modèle'!$J$2:$J$128,'Modèle'!$B$2:$B$128,$A$4))*100</x:f>
        <x:v>0.7779036738561521</x:v>
      </x:c>
      <x:c r="H2" s="124" t="n">
        <x:v>23</x:v>
      </x:c>
      <x:c r="I2" s="124" t="n">
        <x:v>26</x:v>
      </x:c>
      <x:c r="J2" s="124" t="n">
        <x:v>12</x:v>
      </x:c>
      <x:c r="K2" s="124" t="n">
        <x:v>27</x:v>
      </x:c>
      <x:c r="L2" s="124" t="n">
        <x:v>10</x:v>
      </x:c>
      <x:c r="M2" s="124" t="n">
        <x:v>2</x:v>
      </x:c>
      <x:c r="N2" s="124" t="n">
        <x:v>3.3</x:v>
      </x:c>
      <x:c r="O2" s="125" t="n">
        <x:v>0.5</x:v>
      </x:c>
      <x:c r="P2" s="126"/>
      <x:c r="Q2" s="126"/>
      <x:c r="R2" s="126"/>
      <x:c r="S2" s="126"/>
      <x:c r="T2" s="126" t="n">
        <x:f>IFERROR(H2/B2,1)</x:f>
        <x:v>0.6322189370376945</x:v>
      </x:c>
      <x:c r="U2" s="126" t="n">
        <x:f>IFERROR(I2/C2,1)</x:f>
        <x:v>1.2305533078844073</x:v>
      </x:c>
      <x:c r="V2" s="126" t="n">
        <x:f>IFERROR(J2/D2,1)</x:f>
        <x:v>0.7166854863897365</x:v>
      </x:c>
      <x:c r="W2" s="126" t="n">
        <x:f>IFERROR(K2/E2,1)</x:f>
        <x:v>1.8252347377056364</x:v>
      </x:c>
      <x:c r="X2" s="126" t="n">
        <x:f>IFERROR(L2/F2,1)</x:f>
        <x:v>0.982586316314184</x:v>
      </x:c>
      <x:c r="Y2" s="126" t="n">
        <x:f>IFERROR(M2/G2,1)</x:f>
        <x:v>2.571012410940014</x:v>
      </x:c>
      <x:c r="Z2" s="126" t="n">
        <x:f>IFERROR((H2+$N$2)/B2,1)</x:f>
        <x:v>0.7229286106126681</x:v>
      </x:c>
      <x:c r="AA2" s="126" t="n">
        <x:f>IFERROR((I2+$N$2)/C2,1)</x:f>
        <x:v>1.3867389200389668</x:v>
      </x:c>
      <x:c r="AB2" s="126" t="n">
        <x:f>IFERROR((J2+$N$2)/D2,1)</x:f>
        <x:v>0.913773995146914</x:v>
      </x:c>
      <x:c r="AC2" s="126" t="n">
        <x:f>IFERROR((K2+$N$2)/E2,1)</x:f>
        <x:v>2.0483189834252142</x:v>
      </x:c>
      <x:c r="AD2" s="126" t="n">
        <x:f>IFERROR((L2+$N$2)/F2,1)</x:f>
        <x:v>1.3068398006978648</x:v>
      </x:c>
      <x:c r="AE2" s="126" t="n">
        <x:f>IFERROR((M2+$N$2)/G2,1)</x:f>
        <x:v>6.813182888991037</x:v>
      </x:c>
      <x:c r="AF2" s="126" t="n">
        <x:f>IFERROR(MAX(H2-$N$2,0)/B2,1)</x:f>
        <x:v>0.541509263462721</x:v>
      </x:c>
      <x:c r="AG2" s="126" t="n">
        <x:f>IFERROR(MAX(I2-$N$2,0)/C2,1)</x:f>
        <x:v>1.074367695729848</x:v>
      </x:c>
      <x:c r="AH2" s="126" t="n">
        <x:f>IFERROR(MAX(J2-$N$2,0)/D2,1)</x:f>
        <x:v>0.5195969776325589</x:v>
      </x:c>
      <x:c r="AI2" s="126" t="n">
        <x:f>IFERROR(MAX(K2-$N$2,0)/E2,1)</x:f>
        <x:v>1.6021504919860585</x:v>
      </x:c>
      <x:c r="AJ2" s="126" t="n">
        <x:f>IFERROR(MAX(L2-$N$2,0)/F2,1)</x:f>
        <x:v>0.6583328319305033</x:v>
      </x:c>
      <x:c r="AK2" s="127" t="n">
        <x:f>IFERROR(MAX(M2-$N$2,0)/G2,1)</x:f>
        <x:v>0</x:v>
      </x:c>
    </x:row>
    <x:row r="3">
      <x:c r="A3" s="122" t="str">
        <x:v>Île de Montréal</x:v>
      </x:c>
      <x:c r="B3" s="123" t="n">
        <x:f>SUMIFS('Modèle'!$D$2:$D$128,'Modèle'!$B$2:$B$128,$A3)/SUMIFS('Modèle'!$J$2:$J$128,'Modèle'!$B$2:$B$128,$A3)*100</x:f>
        <x:v>20.027034817645138</x:v>
      </x:c>
      <x:c r="C3" s="123" t="n">
        <x:f>SUMIFS('Modèle'!$E$2:$E$128,'Modèle'!$B$2:$B$128,$A3)/SUMIFS('Modèle'!$J$2:$J$128,'Modèle'!$B$2:$B$128,$A3)*100</x:f>
        <x:v>34.12260016787238</x:v>
      </x:c>
      <x:c r="D3" s="123" t="n">
        <x:f>SUMIFS('Modèle'!$F$2:$F$128,'Modèle'!$B$2:$B$128,$A3)/SUMIFS('Modèle'!$J$2:$J$128,'Modèle'!$B$2:$B$128,$A3)*100</x:f>
        <x:v>22.055408042889997</x:v>
      </x:c>
      <x:c r="E3" s="123" t="n">
        <x:f>SUMIFS('Modèle'!$G$2:$G$128,'Modèle'!$B$2:$B$128,$A3)/SUMIFS('Modèle'!$J$2:$J$128,'Modèle'!$B$2:$B$128,$A3)*100</x:f>
        <x:v>12.405540042387141</x:v>
      </x:c>
      <x:c r="F3" s="123" t="n">
        <x:f>SUMIFS('Modèle'!$H$2:$H$128,'Modèle'!$B$2:$B$128,$A3)/SUMIFS('Modèle'!$J$2:$J$128,'Modèle'!$B$2:$B$128,$A3)*100</x:f>
        <x:v>10.036850653267352</x:v>
      </x:c>
      <x:c r="G3" s="123" t="n">
        <x:f>SUMIFS('Modèle'!$I$2:$I$128,'Modèle'!$B$2:$B$128,$A3)/SUMIFS('Modèle'!$J$2:$J$128,'Modèle'!$B$2:$B$128,$A3)*100</x:f>
        <x:v>1.3525662759379964</x:v>
      </x:c>
      <x:c r="H3" s="124" t="n">
        <x:v>15</x:v>
      </x:c>
      <x:c r="I3" s="124" t="n">
        <x:v>34</x:v>
      </x:c>
      <x:c r="J3" s="124" t="n">
        <x:v>17</x:v>
      </x:c>
      <x:c r="K3" s="124" t="n">
        <x:v>24</x:v>
      </x:c>
      <x:c r="L3" s="124" t="n">
        <x:v>8</x:v>
      </x:c>
      <x:c r="M3" s="124" t="n">
        <x:v>2</x:v>
      </x:c>
      <x:c r="N3" s="128"/>
      <x:c r="O3" s="129"/>
      <x:c r="P3" s="126"/>
      <x:c r="Q3" s="126"/>
      <x:c r="R3" s="126"/>
      <x:c r="S3" s="126"/>
      <x:c r="T3" s="126" t="n">
        <x:f>IFERROR(H3/B3,1)</x:f>
        <x:v>0.7489875628909384</x:v>
      </x:c>
      <x:c r="U3" s="126" t="n">
        <x:f>IFERROR(I3/C3,1)</x:f>
        <x:v>0.9964070684159699</x:v>
      </x:c>
      <x:c r="V3" s="126" t="n">
        <x:f>IFERROR(J3/D3,1)</x:f>
        <x:v>0.7707860116186012</x:v>
      </x:c>
      <x:c r="W3" s="126" t="n">
        <x:f>IFERROR(K3/E3,1)</x:f>
        <x:v>1.9346195262759227</x:v>
      </x:c>
      <x:c r="X3" s="126" t="n">
        <x:f>IFERROR(L3/F3,1)</x:f>
        <x:v>0.7970627716170824</x:v>
      </x:c>
      <x:c r="Y3" s="126" t="n">
        <x:f>IFERROR(M3/G3,1)</x:f>
        <x:v>1.4786706097732714</x:v>
      </x:c>
      <x:c r="Z3" s="126" t="n">
        <x:f>IFERROR((H3+$N$2)/B3,1)</x:f>
        <x:v>0.9137648267269448</x:v>
      </x:c>
      <x:c r="AA3" s="126" t="n">
        <x:f>IFERROR((I3+$N$2)/C3,1)</x:f>
        <x:v>1.093117166232814</x:v>
      </x:c>
      <x:c r="AB3" s="126" t="n">
        <x:f>IFERROR((J3+$N$2)/D3,1)</x:f>
        <x:v>0.9204091785798592</x:v>
      </x:c>
      <x:c r="AC3" s="126" t="n">
        <x:f>IFERROR((K3+$N$2)/E3,1)</x:f>
        <x:v>2.200629711138862</x:v>
      </x:c>
      <x:c r="AD3" s="126" t="n">
        <x:f>IFERROR((L3+$N$2)/F3,1)</x:f>
        <x:v>1.125851164909129</x:v>
      </x:c>
      <x:c r="AE3" s="126" t="n">
        <x:f>IFERROR((M3+$N$2)/G3,1)</x:f>
        <x:v>3.918477115899169</x:v>
      </x:c>
      <x:c r="AF3" s="126" t="n">
        <x:f>IFERROR(MAX(H3-$N$2,0)/B3,1)</x:f>
        <x:v>0.5842102990549319</x:v>
      </x:c>
      <x:c r="AG3" s="126" t="n">
        <x:f>IFERROR(MAX(I3-$N$2,0)/C3,1)</x:f>
        <x:v>0.8996969705991258</x:v>
      </x:c>
      <x:c r="AH3" s="126" t="n">
        <x:f>IFERROR(MAX(J3-$N$2,0)/D3,1)</x:f>
        <x:v>0.6211628446573433</x:v>
      </x:c>
      <x:c r="AI3" s="126" t="n">
        <x:f>IFERROR(MAX(K3-$N$2,0)/E3,1)</x:f>
        <x:v>1.6686093414129832</x:v>
      </x:c>
      <x:c r="AJ3" s="126" t="n">
        <x:f>IFERROR(MAX(L3-$N$2,0)/F3,1)</x:f>
        <x:v>0.46827437832503593</x:v>
      </x:c>
      <x:c r="AK3" s="127" t="n">
        <x:f>IFERROR(MAX(M3-$N$2,0)/G3,1)</x:f>
        <x:v>0</x:v>
      </x:c>
    </x:row>
    <x:row r="4">
      <x:c r="A4" s="122" t="str">
        <x:v>Banlieue de Montréal</x:v>
      </x:c>
      <x:c r="B4" s="123" t="n">
        <x:f>SUMIFS('Modèle'!$D$2:$D$128,'Modèle'!$B$2:$B$128,$A4)/SUMIFS('Modèle'!$J$2:$J$128,'Modèle'!$B$2:$B$128,$A4)*100</x:f>
        <x:v>45.2623548757339</x:v>
      </x:c>
      <x:c r="C4" s="123" t="n">
        <x:f>SUMIFS('Modèle'!$E$2:$E$128,'Modèle'!$B$2:$B$128,$A4)/SUMIFS('Modèle'!$J$2:$J$128,'Modèle'!$B$2:$B$128,$A4)*100</x:f>
        <x:v>14.070639098574139</x:v>
      </x:c>
      <x:c r="D4" s="123" t="n">
        <x:f>SUMIFS('Modèle'!$F$2:$F$128,'Modèle'!$B$2:$B$128,$A4)/SUMIFS('Modèle'!$J$2:$J$128,'Modèle'!$B$2:$B$128,$A4)*100</x:f>
        <x:v>13.858539707764974</x:v>
      </x:c>
      <x:c r="E4" s="123" t="n">
        <x:f>SUMIFS('Modèle'!$G$2:$G$128,'Modèle'!$B$2:$B$128,$A4)/SUMIFS('Modèle'!$J$2:$J$128,'Modèle'!$B$2:$B$128,$A4)*100</x:f>
        <x:v>16.0892390080784</x:v>
      </x:c>
      <x:c r="F4" s="123" t="n">
        <x:f>SUMIFS('Modèle'!$H$2:$H$128,'Modèle'!$B$2:$B$128,$A4)/SUMIFS('Modèle'!$J$2:$J$128,'Modèle'!$B$2:$B$128,$A4)*100</x:f>
        <x:v>10.25347084271399</x:v>
      </x:c>
      <x:c r="G4" s="123" t="n">
        <x:f>SUMIFS('Modèle'!$I$2:$I$128,'Modèle'!$B$2:$B$128,$A4)/SUMIFS('Modèle'!$J$2:$J$128,'Modèle'!$B$2:$B$128,$A4)*100</x:f>
        <x:v>0.46575646713459584</x:v>
      </x:c>
      <x:c r="H4" s="124" t="n">
        <x:v>32</x:v>
      </x:c>
      <x:c r="I4" s="124" t="n">
        <x:v>18</x:v>
      </x:c>
      <x:c r="J4" s="124" t="n">
        <x:v>7</x:v>
      </x:c>
      <x:c r="K4" s="124" t="n">
        <x:v>30</x:v>
      </x:c>
      <x:c r="L4" s="124" t="n">
        <x:v>12</x:v>
      </x:c>
      <x:c r="M4" s="124" t="n">
        <x:v>1</x:v>
      </x:c>
      <x:c r="N4" s="128"/>
      <x:c r="O4" s="129"/>
      <x:c r="P4" s="126"/>
      <x:c r="Q4" s="126"/>
      <x:c r="R4" s="126"/>
      <x:c r="S4" s="126"/>
      <x:c r="T4" s="126" t="n">
        <x:f>IFERROR(H4/B4,1)</x:f>
        <x:v>0.7069892869660627</x:v>
      </x:c>
      <x:c r="U4" s="126" t="n">
        <x:f>IFERROR(I4/C4,1)</x:f>
        <x:v>1.279259589695826</x:v>
      </x:c>
      <x:c r="V4" s="126" t="n">
        <x:f>IFERROR(J4/D4,1)</x:f>
        <x:v>0.5051037228747761</x:v>
      </x:c>
      <x:c r="W4" s="126" t="n">
        <x:f>IFERROR(K4/E4,1)</x:f>
        <x:v>1.8646003073816613</x:v>
      </x:c>
      <x:c r="X4" s="126" t="n">
        <x:f>IFERROR(L4/F4,1)</x:f>
        <x:v>1.170335409743431</x:v>
      </x:c>
      <x:c r="Y4" s="126" t="n">
        <x:f>IFERROR(M4/G4,1)</x:f>
        <x:v>2.1470447982228804</x:v>
      </x:c>
      <x:c r="Z4" s="126" t="n">
        <x:f>IFERROR((H4+$N$2)/B4,1)</x:f>
        <x:v>0.7798975571844379</x:v>
      </x:c>
      <x:c r="AA4" s="126" t="n">
        <x:f>IFERROR((I4+$N$2)/C4,1)</x:f>
        <x:v>1.513790514473394</x:v>
      </x:c>
      <x:c r="AB4" s="126" t="n">
        <x:f>IFERROR((J4+$N$2)/D4,1)</x:f>
        <x:v>0.7432240493728849</x:v>
      </x:c>
      <x:c r="AC4" s="126" t="n">
        <x:f>IFERROR((K4+$N$2)/E4,1)</x:f>
        <x:v>2.0697063411936436</x:v>
      </x:c>
      <x:c r="AD4" s="126" t="n">
        <x:f>IFERROR((L4+$N$2)/F4,1)</x:f>
        <x:v>1.4921776474228747</x:v>
      </x:c>
      <x:c r="AE4" s="126" t="n">
        <x:f>IFERROR((M4+$N$2)/G4,1)</x:f>
        <x:v>9.232292632358385</x:v>
      </x:c>
      <x:c r="AF4" s="126" t="n">
        <x:f>IFERROR(MAX(H4-$N$2,0)/B4,1)</x:f>
        <x:v>0.6340810167476875</x:v>
      </x:c>
      <x:c r="AG4" s="126" t="n">
        <x:f>IFERROR(MAX(I4-$N$2,0)/C4,1)</x:f>
        <x:v>1.0447286649182579</x:v>
      </x:c>
      <x:c r="AH4" s="126" t="n">
        <x:f>IFERROR(MAX(J4-$N$2,0)/D4,1)</x:f>
        <x:v>0.2669833963766674</x:v>
      </x:c>
      <x:c r="AI4" s="126" t="n">
        <x:f>IFERROR(MAX(K4-$N$2,0)/E4,1)</x:f>
        <x:v>1.6594942735696785</x:v>
      </x:c>
      <x:c r="AJ4" s="126" t="n">
        <x:f>IFERROR(MAX(L4-$N$2,0)/F4,1)</x:f>
        <x:v>0.8484931720639874</x:v>
      </x:c>
      <x:c r="AK4" s="127" t="n">
        <x:f>IFERROR(MAX(M4-$N$2,0)/G4,1)</x:f>
        <x:v>0</x:v>
      </x:c>
    </x:row>
    <x:row r="5">
      <x:c r="A5" s="122" t="str">
        <x:v>Québec RMR</x:v>
      </x:c>
      <x:c r="B5" s="123" t="n">
        <x:f>SUMIFS('Modèle'!$D$2:$D$128,'Modèle'!$B$2:$B$128,$A5)/SUMIFS('Modèle'!$J$2:$J$128,'Modèle'!$B$2:$B$128,$A5)*100</x:f>
        <x:v>43.25864652802372</x:v>
      </x:c>
      <x:c r="C5" s="123" t="n">
        <x:f>SUMIFS('Modèle'!$E$2:$E$128,'Modèle'!$B$2:$B$128,$A5)/SUMIFS('Modèle'!$J$2:$J$128,'Modèle'!$B$2:$B$128,$A5)*100</x:f>
        <x:v>5.832576622409129</x:v>
      </x:c>
      <x:c r="D5" s="123" t="n">
        <x:f>SUMIFS('Modèle'!$F$2:$F$128,'Modèle'!$B$2:$B$128,$A5)/SUMIFS('Modèle'!$J$2:$J$128,'Modèle'!$B$2:$B$128,$A5)*100</x:f>
        <x:v>15.124343446722566</x:v>
      </x:c>
      <x:c r="E5" s="123" t="n">
        <x:f>SUMIFS('Modèle'!$G$2:$G$128,'Modèle'!$B$2:$B$128,$A5)/SUMIFS('Modèle'!$J$2:$J$128,'Modèle'!$B$2:$B$128,$A5)*100</x:f>
        <x:v>13.715172399817424</x:v>
      </x:c>
      <x:c r="F5" s="123" t="n">
        <x:f>SUMIFS('Modèle'!$H$2:$H$128,'Modèle'!$B$2:$B$128,$A5)/SUMIFS('Modèle'!$J$2:$J$128,'Modèle'!$B$2:$B$128,$A5)*100</x:f>
        <x:v>21.483706670861142</x:v>
      </x:c>
      <x:c r="G5" s="123" t="n">
        <x:f>SUMIFS('Modèle'!$I$2:$I$128,'Modèle'!$B$2:$B$128,$A5)/SUMIFS('Modèle'!$J$2:$J$128,'Modèle'!$B$2:$B$128,$A5)*100</x:f>
        <x:v>0.5855543321660204</x:v>
      </x:c>
      <x:c r="H5" s="124" t="n">
        <x:v>36</x:v>
      </x:c>
      <x:c r="I5" s="124" t="n">
        <x:v>7</x:v>
      </x:c>
      <x:c r="J5" s="124" t="n">
        <x:v>6</x:v>
      </x:c>
      <x:c r="K5" s="124" t="n">
        <x:v>28</x:v>
      </x:c>
      <x:c r="L5" s="124" t="n">
        <x:v>22</x:v>
      </x:c>
      <x:c r="M5" s="124" t="n">
        <x:v>1</x:v>
      </x:c>
      <x:c r="N5" s="128"/>
      <x:c r="O5" s="129"/>
      <x:c r="P5" s="126"/>
      <x:c r="Q5" s="126"/>
      <x:c r="R5" s="126"/>
      <x:c r="S5" s="126"/>
      <x:c r="T5" s="126" t="n">
        <x:f>IFERROR(H5/B5,1)</x:f>
        <x:v>0.8322035682896034</x:v>
      </x:c>
      <x:c r="U5" s="126" t="n">
        <x:f>IFERROR(I5/C5,1)</x:f>
        <x:v>1.200155686443202</x:v>
      </x:c>
      <x:c r="V5" s="126" t="n">
        <x:f>IFERROR(J5/D5,1)</x:f>
        <x:v>0.39671143551690474</x:v>
      </x:c>
      <x:c r="W5" s="126" t="n">
        <x:f>IFERROR(K5/E5,1)</x:f>
        <x:v>2.041534672970843</x:v>
      </x:c>
      <x:c r="X5" s="126" t="n">
        <x:f>IFERROR(L5/F5,1)</x:f>
        <x:v>1.0240318552589027</x:v>
      </x:c>
      <x:c r="Y5" s="126" t="n">
        <x:f>IFERROR(M5/G5,1)</x:f>
        <x:v>1.707783454185893</x:v>
      </x:c>
      <x:c r="Z5" s="126" t="n">
        <x:f>IFERROR((H5+$N$2)/B5,1)</x:f>
        <x:v>0.908488895382817</x:v>
      </x:c>
      <x:c r="AA5" s="126" t="n">
        <x:f>IFERROR((I5+$N$2)/C5,1)</x:f>
        <x:v>1.7659433671949971</x:v>
      </x:c>
      <x:c r="AB5" s="126" t="n">
        <x:f>IFERROR((J5+$N$2)/D5,1)</x:f>
        <x:v>0.6149027250512024</x:v>
      </x:c>
      <x:c r="AC5" s="126" t="n">
        <x:f>IFERROR((K5+$N$2)/E5,1)</x:f>
        <x:v>2.2821441165709784</x:v>
      </x:c>
      <x:c r="AD5" s="126" t="n">
        <x:f>IFERROR((L5+$N$2)/F5,1)</x:f>
        <x:v>1.1776366335477382</x:v>
      </x:c>
      <x:c r="AE5" s="126" t="n">
        <x:f>IFERROR((M5+$N$2)/G5,1)</x:f>
        <x:v>7.343468852999339</x:v>
      </x:c>
      <x:c r="AF5" s="126" t="n">
        <x:f>IFERROR(MAX(H5-$N$2,0)/B5,1)</x:f>
        <x:v>0.7559182411963898</x:v>
      </x:c>
      <x:c r="AG5" s="126" t="n">
        <x:f>IFERROR(MAX(I5-$N$2,0)/C5,1)</x:f>
        <x:v>0.6343680056914067</x:v>
      </x:c>
      <x:c r="AH5" s="126" t="n">
        <x:f>IFERROR(MAX(J5-$N$2,0)/D5,1)</x:f>
        <x:v>0.17852014598260715</x:v>
      </x:c>
      <x:c r="AI5" s="126" t="n">
        <x:f>IFERROR(MAX(K5-$N$2,0)/E5,1)</x:f>
        <x:v>1.800925229370708</x:v>
      </x:c>
      <x:c r="AJ5" s="126" t="n">
        <x:f>IFERROR(MAX(L5-$N$2,0)/F5,1)</x:f>
        <x:v>0.8704270769700673</x:v>
      </x:c>
      <x:c r="AK5" s="127" t="n">
        <x:f>IFERROR(MAX(M5-$N$2,0)/G5,1)</x:f>
        <x:v>0</x:v>
      </x:c>
    </x:row>
    <x:row r="6">
      <x:c r="A6" s="130" t="str">
        <x:v>Reste du Québec</x:v>
      </x:c>
      <x:c r="B6" s="131" t="n">
        <x:f>SUMIFS('Modèle'!$D$2:$D$128,'Modèle'!$B$2:$B$128,$A6)/SUMIFS('Modèle'!$J$2:$J$128,'Modèle'!$B$2:$B$128,$A6)*100</x:f>
        <x:v>47.4344034638172</x:v>
      </x:c>
      <x:c r="C6" s="131" t="n">
        <x:f>SUMIFS('Modèle'!$E$2:$E$128,'Modèle'!$B$2:$B$128,$A6)/SUMIFS('Modèle'!$J$2:$J$128,'Modèle'!$B$2:$B$128,$A6)*100</x:f>
        <x:v>6.992235809926912</x:v>
      </x:c>
      <x:c r="D6" s="131" t="n">
        <x:f>SUMIFS('Modèle'!$F$2:$F$128,'Modèle'!$B$2:$B$128,$A6)/SUMIFS('Modèle'!$J$2:$J$128,'Modèle'!$B$2:$B$128,$A6)*100</x:f>
        <x:v>13.322040965057882</x:v>
      </x:c>
      <x:c r="E6" s="131" t="n">
        <x:f>SUMIFS('Modèle'!$G$2:$G$128,'Modèle'!$B$2:$B$128,$A6)/SUMIFS('Modèle'!$J$2:$J$128,'Modèle'!$B$2:$B$128,$A6)*100</x:f>
        <x:v>16.740832935799382</x:v>
      </x:c>
      <x:c r="F6" s="131" t="n">
        <x:f>SUMIFS('Modèle'!$H$2:$H$128,'Modèle'!$B$2:$B$128,$A6)/SUMIFS('Modèle'!$J$2:$J$128,'Modèle'!$B$2:$B$128,$A6)*100</x:f>
        <x:v>15.079742047689649</x:v>
      </x:c>
      <x:c r="G6" s="131" t="n">
        <x:f>SUMIFS('Modèle'!$I$2:$I$128,'Modèle'!$B$2:$B$128,$A6)/SUMIFS('Modèle'!$J$2:$J$128,'Modèle'!$B$2:$B$128,$A6)*100</x:f>
        <x:v>0.4307447777089749</x:v>
      </x:c>
      <x:c r="H6" s="132" t="n">
        <x:v>28</x:v>
      </x:c>
      <x:c r="I6" s="132" t="n">
        <x:v>16</x:v>
      </x:c>
      <x:c r="J6" s="132" t="n">
        <x:v>8</x:v>
      </x:c>
      <x:c r="K6" s="132" t="n">
        <x:v>29</x:v>
      </x:c>
      <x:c r="L6" s="132" t="n">
        <x:v>17</x:v>
      </x:c>
      <x:c r="M6" s="132" t="n">
        <x:v>1</x:v>
      </x:c>
      <x:c r="N6" s="133"/>
      <x:c r="O6" s="134"/>
      <x:c r="P6" s="135"/>
      <x:c r="Q6" s="135"/>
      <x:c r="R6" s="135"/>
      <x:c r="S6" s="135"/>
      <x:c r="T6" s="135" t="n">
        <x:f>IFERROR(H6/B6,1)</x:f>
        <x:v>0.5902888611502894</x:v>
      </x:c>
      <x:c r="U6" s="135" t="n">
        <x:f>IFERROR(I6/C6,1)</x:f>
        <x:v>2.2882523465934486</x:v>
      </x:c>
      <x:c r="V6" s="135" t="n">
        <x:f>IFERROR(J6/D6,1)</x:f>
        <x:v>0.6005085873090349</x:v>
      </x:c>
      <x:c r="W6" s="135" t="n">
        <x:f>IFERROR(K6/E6,1)</x:f>
        <x:v>1.7322913448341652</x:v>
      </x:c>
      <x:c r="X6" s="135" t="n">
        <x:f>IFERROR(L6/F6,1)</x:f>
        <x:v>1.127340238728059</x:v>
      </x:c>
      <x:c r="Y6" s="135" t="n">
        <x:f>IFERROR(M6/G6,1)</x:f>
        <x:v>2.3215603571998087</x:v>
      </x:c>
      <x:c r="Z6" s="135" t="n">
        <x:f>IFERROR((H6+$N$2)/B6,1)</x:f>
        <x:v>0.6598586197858594</x:v>
      </x:c>
      <x:c r="AA6" s="135" t="n">
        <x:f>IFERROR((I6+$N$2)/C6,1)</x:f>
        <x:v>2.7602043930783475</x:v>
      </x:c>
      <x:c r="AB6" s="135" t="n">
        <x:f>IFERROR((J6+$N$2)/D6,1)</x:f>
        <x:v>0.8482183795740118</x:v>
      </x:c>
      <x:c r="AC6" s="135" t="n">
        <x:f>IFERROR((K6+$N$2)/E6,1)</x:f>
        <x:v>1.9294141530394322</x:v>
      </x:c>
      <x:c r="AD6" s="135" t="n">
        <x:f>IFERROR((L6+$N$2)/F6,1)</x:f>
        <x:v>1.3461768733046824</x:v>
      </x:c>
      <x:c r="AE6" s="135" t="n">
        <x:f>IFERROR((M6+$N$2)/G6,1)</x:f>
        <x:v>9.982709535959177</x:v>
      </x:c>
      <x:c r="AF6" s="135" t="n">
        <x:f>IFERROR(MAX(H6-$N$2,0)/B6,1)</x:f>
        <x:v>0.5207191025147196</x:v>
      </x:c>
      <x:c r="AG6" s="135" t="n">
        <x:f>IFERROR(MAX(I6-$N$2,0)/C6,1)</x:f>
        <x:v>1.8163003001085498</x:v>
      </x:c>
      <x:c r="AH6" s="135" t="n">
        <x:f>IFERROR(MAX(J6-$N$2,0)/D6,1)</x:f>
        <x:v>0.352798795044058</x:v>
      </x:c>
      <x:c r="AI6" s="135" t="n">
        <x:f>IFERROR(MAX(K6-$N$2,0)/E6,1)</x:f>
        <x:v>1.5351685366288983</x:v>
      </x:c>
      <x:c r="AJ6" s="135" t="n">
        <x:f>IFERROR(MAX(L6-$N$2,0)/F6,1)</x:f>
        <x:v>0.9085036041514358</x:v>
      </x:c>
      <x:c r="AK6" s="136" t="n">
        <x:f>IFERROR(MAX(M6-$N$2,0)/G6,1)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23" hidden="0" customWidth="1"/>
    <x:col min="4" max="4" width="15" hidden="0" customWidth="1"/>
    <x:col min="5" max="5" width="16" hidden="0" customWidth="1"/>
    <x:col min="6" max="6" width="31" hidden="0" customWidth="1"/>
    <x:col min="7" max="7" width="14" hidden="0" customWidth="1"/>
    <x:col min="8" max="8" width="14" hidden="0" customWidth="1"/>
    <x:col min="9" max="9" width="31" hidden="0" customWidth="1"/>
    <x:col min="10" max="10" width="14" hidden="0" customWidth="1"/>
  </x:cols>
  <x:sheetData>
    <x:row r="1">
      <x:c r="A1" s="139" t="str">
        <x:v>CARTE ÉLECTORALE 2026 – 127 CIRCONSCRIPTIONS</x:v>
      </x:c>
      <x:c r="B1" s="140" t="str">
        <x:v>CARTE ÉLECTORALE 2026 – 127 CIRCONSCRIPTIONS</x:v>
      </x:c>
      <x:c r="C1" s="140" t="str">
        <x:v>CARTE ÉLECTORALE 2026 – 127 CIRCONSCRIPTIONS</x:v>
      </x:c>
      <x:c r="D1" s="140" t="str">
        <x:v>CARTE ÉLECTORALE 2026 – 127 CIRCONSCRIPTIONS</x:v>
      </x:c>
      <x:c r="E1" s="140" t="str">
        <x:v>CARTE ÉLECTORALE 2026 – 127 CIRCONSCRIPTIONS</x:v>
      </x:c>
      <x:c r="F1" s="140" t="str">
        <x:v>CARTE ÉLECTORALE 2026 – 127 CIRCONSCRIPTIONS</x:v>
      </x:c>
      <x:c r="G1" s="140" t="str">
        <x:v>CARTE ÉLECTORALE 2026 – 127 CIRCONSCRIPTIONS</x:v>
      </x:c>
      <x:c r="H1" s="140" t="str">
        <x:v>CARTE ÉLECTORALE 2026 – 127 CIRCONSCRIPTIONS</x:v>
      </x:c>
      <x:c r="I1" s="140" t="str">
        <x:v>CARTE ÉLECTORALE 2026 – 127 CIRCONSCRIPTIONS</x:v>
      </x:c>
      <x:c r="J1" s="141" t="str">
        <x:v>CARTE ÉLECTORALE 2026 – 127 CIRCONSCRIPTIONS</x:v>
      </x:c>
    </x:row>
    <x:row r="2">
      <x:c r="A2" s="142"/>
      <x:c r="B2" s="143"/>
      <x:c r="C2" s="143"/>
      <x:c r="D2" s="143"/>
      <x:c r="E2" s="143"/>
      <x:c r="F2" s="143"/>
      <x:c r="G2" s="143"/>
      <x:c r="H2" s="143"/>
      <x:c r="I2" s="143"/>
      <x:c r="J2" s="144"/>
    </x:row>
    <x:row r="3">
      <x:c r="A3" s="145" t="str">
        <x:v>Code DGEQ</x:v>
      </x:c>
      <x:c r="B3" s="146" t="str">
        <x:v>Circonscription 2026</x:v>
      </x:c>
      <x:c r="C3" s="146" t="str">
        <x:v>Région du modèle</x:v>
      </x:c>
      <x:c r="D3" s="146" t="str">
        <x:v>Électeurs 2026</x:v>
      </x:c>
      <x:c r="E3" s="146" t="str">
        <x:v>Couverture 2022</x:v>
      </x:c>
      <x:c r="F3" s="146" t="str">
        <x:v>Source 2022 principale</x:v>
      </x:c>
      <x:c r="G3" s="146" t="str">
        <x:v>Poids 2022</x:v>
      </x:c>
      <x:c r="H3" s="146" t="str">
        <x:v>Couverture 2017</x:v>
      </x:c>
      <x:c r="I3" s="146" t="str">
        <x:v>Source 2017 principale</x:v>
      </x:c>
      <x:c r="J3" s="147" t="str">
        <x:v>Poids 2017</x:v>
      </x:c>
    </x:row>
    <x:row r="4">
      <x:c r="A4" s="142" t="n">
        <x:v>689</x:v>
      </x:c>
      <x:c r="B4" s="143" t="str">
        <x:v>Abitibi-Est</x:v>
      </x:c>
      <x:c r="C4" s="143" t="str">
        <x:v>Reste du Québec</x:v>
      </x:c>
      <x:c r="D4" s="148" t="n">
        <x:v>33371</x:v>
      </x:c>
      <x:c r="E4" s="149" t="n">
        <x:v>0.9999999999999998</x:v>
      </x:c>
      <x:c r="F4" s="143" t="str">
        <x:v>Abitibi-Est</x:v>
      </x:c>
      <x:c r="G4" s="149" t="n">
        <x:v>0.9999999999999771</x:v>
      </x:c>
      <x:c r="H4" s="149" t="n">
        <x:v>0.9999999999999998</x:v>
      </x:c>
      <x:c r="I4" s="143" t="str">
        <x:v>Abitibi-Est</x:v>
      </x:c>
      <x:c r="J4" s="150" t="n">
        <x:v>0.9999999999999771</x:v>
      </x:c>
    </x:row>
    <x:row r="5">
      <x:c r="A5" s="142" t="n">
        <x:v>681</x:v>
      </x:c>
      <x:c r="B5" s="143" t="str">
        <x:v>Abitibi-Ouest</x:v>
      </x:c>
      <x:c r="C5" s="143" t="str">
        <x:v>Reste du Québec</x:v>
      </x:c>
      <x:c r="D5" s="148" t="n">
        <x:v>35331</x:v>
      </x:c>
      <x:c r="E5" s="149" t="n">
        <x:v>1</x:v>
      </x:c>
      <x:c r="F5" s="143" t="str">
        <x:v>Abitibi-Ouest</x:v>
      </x:c>
      <x:c r="G5" s="149" t="n">
        <x:v>0.9999915468629651</x:v>
      </x:c>
      <x:c r="H5" s="149" t="n">
        <x:v>1</x:v>
      </x:c>
      <x:c r="I5" s="143" t="str">
        <x:v>Abitibi-Ouest</x:v>
      </x:c>
      <x:c r="J5" s="150" t="n">
        <x:v>0.9999915360909871</x:v>
      </x:c>
    </x:row>
    <x:row r="6">
      <x:c r="A6" s="142" t="n">
        <x:v>299</x:v>
      </x:c>
      <x:c r="B6" s="143" t="str">
        <x:v>Acadie</x:v>
      </x:c>
      <x:c r="C6" s="143" t="str">
        <x:v>Île de Montréal</x:v>
      </x:c>
      <x:c r="D6" s="148" t="n">
        <x:v>49793</x:v>
      </x:c>
      <x:c r="E6" s="149" t="n">
        <x:v>1</x:v>
      </x:c>
      <x:c r="F6" s="143" t="str">
        <x:v>Acadie</x:v>
      </x:c>
      <x:c r="G6" s="149" t="n">
        <x:v>0.9999999999992353</x:v>
      </x:c>
      <x:c r="H6" s="149" t="n">
        <x:v>1</x:v>
      </x:c>
      <x:c r="I6" s="143" t="str">
        <x:v>Acadie</x:v>
      </x:c>
      <x:c r="J6" s="150" t="n">
        <x:v>0.9999999999992353</x:v>
      </x:c>
    </x:row>
    <x:row r="7">
      <x:c r="A7" s="142" t="n">
        <x:v>833</x:v>
      </x:c>
      <x:c r="B7" s="143" t="str">
        <x:v>Anjou-Louis-Riel</x:v>
      </x:c>
      <x:c r="C7" s="143" t="str">
        <x:v>Île de Montréal</x:v>
      </x:c>
      <x:c r="D7" s="148" t="n">
        <x:v>41340</x:v>
      </x:c>
      <x:c r="E7" s="149" t="n">
        <x:v>1</x:v>
      </x:c>
      <x:c r="F7" s="143" t="str">
        <x:v>Anjou-Louis-Riel</x:v>
      </x:c>
      <x:c r="G7" s="149" t="n">
        <x:v>0.9999999999988005</x:v>
      </x:c>
      <x:c r="H7" s="149" t="n">
        <x:v>1</x:v>
      </x:c>
      <x:c r="I7" s="143" t="str">
        <x:v>Anjou-Louis-Riel</x:v>
      </x:c>
      <x:c r="J7" s="150" t="n">
        <x:v>0.9999999999988005</x:v>
      </x:c>
    </x:row>
    <x:row r="8">
      <x:c r="A8" s="142" t="n">
        <x:v>589</x:v>
      </x:c>
      <x:c r="B8" s="143" t="str">
        <x:v>Argenteuil</x:v>
      </x:c>
      <x:c r="C8" s="143" t="str">
        <x:v>Reste du Québec</x:v>
      </x:c>
      <x:c r="D8" s="148" t="n">
        <x:v>42752</x:v>
      </x:c>
      <x:c r="E8" s="149" t="n">
        <x:v>1</x:v>
      </x:c>
      <x:c r="F8" s="143" t="str">
        <x:v>Argenteuil</x:v>
      </x:c>
      <x:c r="G8" s="149" t="n">
        <x:v>0.9657558372079517</x:v>
      </x:c>
      <x:c r="H8" s="149" t="n">
        <x:v>1</x:v>
      </x:c>
      <x:c r="I8" s="143" t="str">
        <x:v>Argenteuil</x:v>
      </x:c>
      <x:c r="J8" s="150" t="n">
        <x:v>0.965642889234662</x:v>
      </x:c>
    </x:row>
    <x:row r="9">
      <x:c r="A9" s="142" t="n">
        <x:v>147</x:v>
      </x:c>
      <x:c r="B9" s="143" t="str">
        <x:v>Arthabaska-L'Érable</x:v>
      </x:c>
      <x:c r="C9" s="143" t="str">
        <x:v>Reste du Québec</x:v>
      </x:c>
      <x:c r="D9" s="148" t="n">
        <x:v>61771</x:v>
      </x:c>
      <x:c r="E9" s="149" t="n">
        <x:v>1</x:v>
      </x:c>
      <x:c r="F9" s="143" t="str">
        <x:v>Arthabaska</x:v>
      </x:c>
      <x:c r="G9" s="149" t="n">
        <x:v>0.9946045711779454</x:v>
      </x:c>
      <x:c r="H9" s="149" t="n">
        <x:v>1</x:v>
      </x:c>
      <x:c r="I9" s="143" t="str">
        <x:v>Arthabaska</x:v>
      </x:c>
      <x:c r="J9" s="150" t="n">
        <x:v>0.9946045711769833</x:v>
      </x:c>
    </x:row>
    <x:row r="10">
      <x:c r="A10" s="142" t="n">
        <x:v>781</x:v>
      </x:c>
      <x:c r="B10" s="143" t="str">
        <x:v>Beauce-Nord</x:v>
      </x:c>
      <x:c r="C10" s="143" t="str">
        <x:v>Reste du Québec</x:v>
      </x:c>
      <x:c r="D10" s="148" t="n">
        <x:v>46370</x:v>
      </x:c>
      <x:c r="E10" s="149" t="n">
        <x:v>0.9999999999999999</x:v>
      </x:c>
      <x:c r="F10" s="143" t="str">
        <x:v>Beauce-Nord</x:v>
      </x:c>
      <x:c r="G10" s="149" t="n">
        <x:v>0.9999999999999365</x:v>
      </x:c>
      <x:c r="H10" s="149" t="n">
        <x:v>0.9999999999999999</x:v>
      </x:c>
      <x:c r="I10" s="143" t="str">
        <x:v>Beauce-Nord</x:v>
      </x:c>
      <x:c r="J10" s="150" t="n">
        <x:v>0.9999954469649732</x:v>
      </x:c>
    </x:row>
    <x:row r="11">
      <x:c r="A11" s="142" t="n">
        <x:v>777</x:v>
      </x:c>
      <x:c r="B11" s="143" t="str">
        <x:v>Beauce-Sud</x:v>
      </x:c>
      <x:c r="C11" s="143" t="str">
        <x:v>Reste du Québec</x:v>
      </x:c>
      <x:c r="D11" s="148" t="n">
        <x:v>50607</x:v>
      </x:c>
      <x:c r="E11" s="149" t="n">
        <x:v>1.0000000000000002</x:v>
      </x:c>
      <x:c r="F11" s="143" t="str">
        <x:v>Beauce-Sud</x:v>
      </x:c>
      <x:c r="G11" s="149" t="n">
        <x:v>0.9999999999999726</x:v>
      </x:c>
      <x:c r="H11" s="149" t="n">
        <x:v>1.0000000000000002</x:v>
      </x:c>
      <x:c r="I11" s="143" t="str">
        <x:v>Beauce-Sud</x:v>
      </x:c>
      <x:c r="J11" s="150" t="n">
        <x:v>0.9999275996912399</x:v>
      </x:c>
    </x:row>
    <x:row r="12">
      <x:c r="A12" s="142" t="n">
        <x:v>179</x:v>
      </x:c>
      <x:c r="B12" s="143" t="str">
        <x:v>Beauharnois</x:v>
      </x:c>
      <x:c r="C12" s="143" t="str">
        <x:v>Banlieue de Montréal</x:v>
      </x:c>
      <x:c r="D12" s="148" t="n">
        <x:v>59480</x:v>
      </x:c>
      <x:c r="E12" s="149" t="n">
        <x:v>1</x:v>
      </x:c>
      <x:c r="F12" s="143" t="str">
        <x:v>Beauharnois</x:v>
      </x:c>
      <x:c r="G12" s="149" t="n">
        <x:v>0.8970410221923021</x:v>
      </x:c>
      <x:c r="H12" s="149" t="n">
        <x:v>1</x:v>
      </x:c>
      <x:c r="I12" s="143" t="str">
        <x:v>Beauharnois</x:v>
      </x:c>
      <x:c r="J12" s="150" t="n">
        <x:v>0.8970410221923021</x:v>
      </x:c>
    </x:row>
    <x:row r="13">
      <x:c r="A13" s="142" t="n">
        <x:v>797</x:v>
      </x:c>
      <x:c r="B13" s="143" t="str">
        <x:v>Bellechasse</x:v>
      </x:c>
      <x:c r="C13" s="143" t="str">
        <x:v>Reste du Québec</x:v>
      </x:c>
      <x:c r="D13" s="148" t="n">
        <x:v>46014</x:v>
      </x:c>
      <x:c r="E13" s="149" t="n">
        <x:v>1</x:v>
      </x:c>
      <x:c r="F13" s="143" t="str">
        <x:v>Bellechasse</x:v>
      </x:c>
      <x:c r="G13" s="149" t="n">
        <x:v>0.9999999999999408</x:v>
      </x:c>
      <x:c r="H13" s="149" t="n">
        <x:v>1</x:v>
      </x:c>
      <x:c r="I13" s="143" t="str">
        <x:v>Bellechasse</x:v>
      </x:c>
      <x:c r="J13" s="150" t="n">
        <x:v>0.9999991376151735</x:v>
      </x:c>
    </x:row>
    <x:row r="14">
      <x:c r="A14" s="142" t="n">
        <x:v>591</x:v>
      </x:c>
      <x:c r="B14" s="143" t="str">
        <x:v>Bellefeuille</x:v>
      </x:c>
      <x:c r="C14" s="143" t="str">
        <x:v>Banlieue de Montréal</x:v>
      </x:c>
      <x:c r="D14" s="148" t="n">
        <x:v>45052</x:v>
      </x:c>
      <x:c r="E14" s="149" t="n">
        <x:v>1</x:v>
      </x:c>
      <x:c r="F14" s="143" t="str">
        <x:v>Saint-Jérôme</x:v>
      </x:c>
      <x:c r="G14" s="149" t="n">
        <x:v>0.4266625233063643</x:v>
      </x:c>
      <x:c r="H14" s="149" t="n">
        <x:v>1</x:v>
      </x:c>
      <x:c r="I14" s="143" t="str">
        <x:v>Saint-Jérôme</x:v>
      </x:c>
      <x:c r="J14" s="150" t="n">
        <x:v>0.4266625233063643</x:v>
      </x:c>
    </x:row>
    <x:row r="15">
      <x:c r="A15" s="142" t="n">
        <x:v>627</x:v>
      </x:c>
      <x:c r="B15" s="143" t="str">
        <x:v>Berthier</x:v>
      </x:c>
      <x:c r="C15" s="143" t="str">
        <x:v>Reste du Québec</x:v>
      </x:c>
      <x:c r="D15" s="148" t="n">
        <x:v>53752</x:v>
      </x:c>
      <x:c r="E15" s="149" t="n">
        <x:v>1</x:v>
      </x:c>
      <x:c r="F15" s="143" t="str">
        <x:v>Berthier</x:v>
      </x:c>
      <x:c r="G15" s="149" t="n">
        <x:v>0.9996073966230853</x:v>
      </x:c>
      <x:c r="H15" s="149" t="n">
        <x:v>1</x:v>
      </x:c>
      <x:c r="I15" s="143" t="str">
        <x:v>Berthier</x:v>
      </x:c>
      <x:c r="J15" s="150" t="n">
        <x:v>0.9995961066380152</x:v>
      </x:c>
    </x:row>
    <x:row r="16">
      <x:c r="A16" s="142" t="n">
        <x:v>641</x:v>
      </x:c>
      <x:c r="B16" s="143" t="str">
        <x:v>Bertrand</x:v>
      </x:c>
      <x:c r="C16" s="143" t="str">
        <x:v>Banlieue de Montréal</x:v>
      </x:c>
      <x:c r="D16" s="148" t="n">
        <x:v>59689</x:v>
      </x:c>
      <x:c r="E16" s="149" t="n">
        <x:v>1.0000000000000002</x:v>
      </x:c>
      <x:c r="F16" s="143" t="str">
        <x:v>Bertrand</x:v>
      </x:c>
      <x:c r="G16" s="149" t="n">
        <x:v>0.9997776865017876</x:v>
      </x:c>
      <x:c r="H16" s="149" t="n">
        <x:v>1.0000000000000002</x:v>
      </x:c>
      <x:c r="I16" s="143" t="str">
        <x:v>Bertrand</x:v>
      </x:c>
      <x:c r="J16" s="150" t="n">
        <x:v>0.9997741535913822</x:v>
      </x:c>
    </x:row>
    <x:row r="17">
      <x:c r="A17" s="142" t="n">
        <x:v>607</x:v>
      </x:c>
      <x:c r="B17" s="143" t="str">
        <x:v>Blainville</x:v>
      </x:c>
      <x:c r="C17" s="143" t="str">
        <x:v>Banlieue de Montréal</x:v>
      </x:c>
      <x:c r="D17" s="148" t="n">
        <x:v>62072</x:v>
      </x:c>
      <x:c r="E17" s="149" t="n">
        <x:v>1</x:v>
      </x:c>
      <x:c r="F17" s="143" t="str">
        <x:v>Blainville</x:v>
      </x:c>
      <x:c r="G17" s="149" t="n">
        <x:v>0.9998804044789884</x:v>
      </x:c>
      <x:c r="H17" s="149" t="n">
        <x:v>1</x:v>
      </x:c>
      <x:c r="I17" s="143" t="str">
        <x:v>Blainville</x:v>
      </x:c>
      <x:c r="J17" s="150" t="n">
        <x:v>0.9998804044789884</x:v>
      </x:c>
    </x:row>
    <x:row r="18">
      <x:c r="A18" s="142" t="n">
        <x:v>837</x:v>
      </x:c>
      <x:c r="B18" s="143" t="str">
        <x:v>Bonaventure</x:v>
      </x:c>
      <x:c r="C18" s="143" t="str">
        <x:v>Reste du Québec</x:v>
      </x:c>
      <x:c r="D18" s="148" t="n">
        <x:v>35779</x:v>
      </x:c>
      <x:c r="E18" s="149" t="n">
        <x:v>1</x:v>
      </x:c>
      <x:c r="F18" s="143" t="str">
        <x:v>Bonaventure</x:v>
      </x:c>
      <x:c r="G18" s="149" t="n">
        <x:v>0.9999999999999898</x:v>
      </x:c>
      <x:c r="H18" s="149" t="n">
        <x:v>1</x:v>
      </x:c>
      <x:c r="I18" s="143" t="str">
        <x:v>Bonaventure</x:v>
      </x:c>
      <x:c r="J18" s="150" t="n">
        <x:v>0.9999692936203854</x:v>
      </x:c>
    </x:row>
    <x:row r="19">
      <x:c r="A19" s="142" t="n">
        <x:v>237</x:v>
      </x:c>
      <x:c r="B19" s="143" t="str">
        <x:v>Borduas</x:v>
      </x:c>
      <x:c r="C19" s="143" t="str">
        <x:v>Banlieue de Montréal</x:v>
      </x:c>
      <x:c r="D19" s="148" t="n">
        <x:v>58330</x:v>
      </x:c>
      <x:c r="E19" s="149" t="n">
        <x:v>0.9999999999999999</x:v>
      </x:c>
      <x:c r="F19" s="143" t="str">
        <x:v>Borduas</x:v>
      </x:c>
      <x:c r="G19" s="149" t="n">
        <x:v>0.9999794859184309</x:v>
      </x:c>
      <x:c r="H19" s="149" t="n">
        <x:v>0.9999999999999999</x:v>
      </x:c>
      <x:c r="I19" s="143" t="str">
        <x:v>Borduas</x:v>
      </x:c>
      <x:c r="J19" s="150" t="n">
        <x:v>0.9999794859184309</x:v>
      </x:c>
    </x:row>
    <x:row r="20">
      <x:c r="A20" s="142" t="n">
        <x:v>327</x:v>
      </x:c>
      <x:c r="B20" s="143" t="str">
        <x:v>Bourassa-Sauvé</x:v>
      </x:c>
      <x:c r="C20" s="143" t="str">
        <x:v>Île de Montréal</x:v>
      </x:c>
      <x:c r="D20" s="148" t="n">
        <x:v>44090</x:v>
      </x:c>
      <x:c r="E20" s="149" t="n">
        <x:v>1</x:v>
      </x:c>
      <x:c r="F20" s="143" t="str">
        <x:v>Bourassa-Sauvé</x:v>
      </x:c>
      <x:c r="G20" s="149" t="n">
        <x:v>0.9999999999994615</x:v>
      </x:c>
      <x:c r="H20" s="149" t="n">
        <x:v>1</x:v>
      </x:c>
      <x:c r="I20" s="143" t="str">
        <x:v>Bourassa-Sauvé</x:v>
      </x:c>
      <x:c r="J20" s="150" t="n">
        <x:v>0.9999999999994615</x:v>
      </x:c>
    </x:row>
    <x:row r="21">
      <x:c r="A21" s="142" t="n">
        <x:v>157</x:v>
      </x:c>
      <x:c r="B21" s="143" t="str">
        <x:v>Brome-Missisquoi</x:v>
      </x:c>
      <x:c r="C21" s="143" t="str">
        <x:v>Banlieue de Montréal</x:v>
      </x:c>
      <x:c r="D21" s="148" t="n">
        <x:v>57262</x:v>
      </x:c>
      <x:c r="E21" s="149" t="n">
        <x:v>1</x:v>
      </x:c>
      <x:c r="F21" s="143" t="str">
        <x:v>Brome-Missisquoi</x:v>
      </x:c>
      <x:c r="G21" s="149" t="n">
        <x:v>0.9999962977622207</x:v>
      </x:c>
      <x:c r="H21" s="149" t="n">
        <x:v>1</x:v>
      </x:c>
      <x:c r="I21" s="143" t="str">
        <x:v>Brome-Missisquoi</x:v>
      </x:c>
      <x:c r="J21" s="150" t="n">
        <x:v>0.9999452382061832</x:v>
      </x:c>
    </x:row>
    <x:row r="22">
      <x:c r="A22" s="142" t="n">
        <x:v>337</x:v>
      </x:c>
      <x:c r="B22" s="143" t="str">
        <x:v>Camille-Laurin</x:v>
      </x:c>
      <x:c r="C22" s="143" t="str">
        <x:v>Île de Montréal</x:v>
      </x:c>
      <x:c r="D22" s="148" t="n">
        <x:v>48997</x:v>
      </x:c>
      <x:c r="E22" s="149" t="n">
        <x:v>1</x:v>
      </x:c>
      <x:c r="F22" s="143" t="str">
        <x:v>Camille-Laurin</x:v>
      </x:c>
      <x:c r="G22" s="149" t="n">
        <x:v>0.9999999999992873</x:v>
      </x:c>
      <x:c r="H22" s="149" t="n">
        <x:v>1</x:v>
      </x:c>
      <x:c r="I22" s="143" t="str">
        <x:v>Bourget</x:v>
      </x:c>
      <x:c r="J22" s="150" t="n">
        <x:v>0.9999999999992873</x:v>
      </x:c>
    </x:row>
    <x:row r="23">
      <x:c r="A23" s="142" t="n">
        <x:v>207</x:v>
      </x:c>
      <x:c r="B23" s="143" t="str">
        <x:v>Chambly</x:v>
      </x:c>
      <x:c r="C23" s="143" t="str">
        <x:v>Banlieue de Montréal</x:v>
      </x:c>
      <x:c r="D23" s="148" t="n">
        <x:v>54223</x:v>
      </x:c>
      <x:c r="E23" s="149" t="n">
        <x:v>1</x:v>
      </x:c>
      <x:c r="F23" s="143" t="str">
        <x:v>Chambly</x:v>
      </x:c>
      <x:c r="G23" s="149" t="n">
        <x:v>0.9999015251191733</x:v>
      </x:c>
      <x:c r="H23" s="149" t="n">
        <x:v>1.0000000000000002</x:v>
      </x:c>
      <x:c r="I23" s="143" t="str">
        <x:v>Chambly</x:v>
      </x:c>
      <x:c r="J23" s="150" t="n">
        <x:v>0.9998291829980283</x:v>
      </x:c>
    </x:row>
    <x:row r="24">
      <x:c r="A24" s="142" t="n">
        <x:v>701</x:v>
      </x:c>
      <x:c r="B24" s="143" t="str">
        <x:v>Champlain</x:v>
      </x:c>
      <x:c r="C24" s="143" t="str">
        <x:v>Reste du Québec</x:v>
      </x:c>
      <x:c r="D24" s="148" t="n">
        <x:v>60511</x:v>
      </x:c>
      <x:c r="E24" s="149" t="n">
        <x:v>1</x:v>
      </x:c>
      <x:c r="F24" s="143" t="str">
        <x:v>Champlain</x:v>
      </x:c>
      <x:c r="G24" s="149" t="n">
        <x:v>0.9999979483119442</x:v>
      </x:c>
      <x:c r="H24" s="149" t="n">
        <x:v>1</x:v>
      </x:c>
      <x:c r="I24" s="143" t="str">
        <x:v>Champlain</x:v>
      </x:c>
      <x:c r="J24" s="150" t="n">
        <x:v>0.9999806197311647</x:v>
      </x:c>
    </x:row>
    <x:row r="25">
      <x:c r="A25" s="142" t="n">
        <x:v>667</x:v>
      </x:c>
      <x:c r="B25" s="143" t="str">
        <x:v>Chapleau</x:v>
      </x:c>
      <x:c r="C25" s="143" t="str">
        <x:v>Île de Montréal</x:v>
      </x:c>
      <x:c r="D25" s="148" t="n">
        <x:v>58782</x:v>
      </x:c>
      <x:c r="E25" s="149" t="n">
        <x:v>1.0000000000000002</x:v>
      </x:c>
      <x:c r="F25" s="143" t="str">
        <x:v>Chapleau</x:v>
      </x:c>
      <x:c r="G25" s="149" t="n">
        <x:v>0.9077608791804986</x:v>
      </x:c>
      <x:c r="H25" s="149" t="n">
        <x:v>1.0000000000000002</x:v>
      </x:c>
      <x:c r="I25" s="143" t="str">
        <x:v>Chapleau</x:v>
      </x:c>
      <x:c r="J25" s="150" t="n">
        <x:v>0.9077891661141565</x:v>
      </x:c>
    </x:row>
    <x:row r="26">
      <x:c r="A26" s="142" t="n">
        <x:v>767</x:v>
      </x:c>
      <x:c r="B26" s="143" t="str">
        <x:v>Charlesbourg</x:v>
      </x:c>
      <x:c r="C26" s="143" t="str">
        <x:v>Québec RMR</x:v>
      </x:c>
      <x:c r="D26" s="148" t="n">
        <x:v>57384</x:v>
      </x:c>
      <x:c r="E26" s="149" t="n">
        <x:v>0.9999999999999998</x:v>
      </x:c>
      <x:c r="F26" s="143" t="str">
        <x:v>Charlesbourg</x:v>
      </x:c>
      <x:c r="G26" s="149" t="n">
        <x:v>0.9999999999994729</x:v>
      </x:c>
      <x:c r="H26" s="149" t="n">
        <x:v>0.9999999999999998</x:v>
      </x:c>
      <x:c r="I26" s="143" t="str">
        <x:v>Charlesbourg</x:v>
      </x:c>
      <x:c r="J26" s="150" t="n">
        <x:v>0.9999999999994923</x:v>
      </x:c>
    </x:row>
    <x:row r="27">
      <x:c r="A27" s="142" t="n">
        <x:v>771</x:v>
      </x:c>
      <x:c r="B27" s="143" t="str">
        <x:v>Charlevoix-Côte-de-Beaupré</x:v>
      </x:c>
      <x:c r="C27" s="143" t="str">
        <x:v>Québec RMR</x:v>
      </x:c>
      <x:c r="D27" s="148" t="n">
        <x:v>55810</x:v>
      </x:c>
      <x:c r="E27" s="149" t="n">
        <x:v>1.0000000000000002</x:v>
      </x:c>
      <x:c r="F27" s="143" t="str">
        <x:v>Charlevoix-Côte-de-Beaupré</x:v>
      </x:c>
      <x:c r="G27" s="149" t="n">
        <x:v>0.9999999745448548</x:v>
      </x:c>
      <x:c r="H27" s="149" t="n">
        <x:v>1.0000000000000002</x:v>
      </x:c>
      <x:c r="I27" s="143" t="str">
        <x:v>Charlevoix-Côte-de-Beaupré</x:v>
      </x:c>
      <x:c r="J27" s="150" t="n">
        <x:v>0.9999457876302822</x:v>
      </x:c>
    </x:row>
    <x:row r="28">
      <x:c r="A28" s="142" t="n">
        <x:v>191</x:v>
      </x:c>
      <x:c r="B28" s="143" t="str">
        <x:v>Châteauguay</x:v>
      </x:c>
      <x:c r="C28" s="143" t="str">
        <x:v>Banlieue de Montréal</x:v>
      </x:c>
      <x:c r="D28" s="148" t="n">
        <x:v>56577</x:v>
      </x:c>
      <x:c r="E28" s="149" t="n">
        <x:v>1</x:v>
      </x:c>
      <x:c r="F28" s="143" t="str">
        <x:v>Châteauguay</x:v>
      </x:c>
      <x:c r="G28" s="149" t="n">
        <x:v>0.9999994092293708</x:v>
      </x:c>
      <x:c r="H28" s="149" t="n">
        <x:v>1</x:v>
      </x:c>
      <x:c r="I28" s="143" t="str">
        <x:v>Châteauguay</x:v>
      </x:c>
      <x:c r="J28" s="150" t="n">
        <x:v>0.9999964692736791</x:v>
      </x:c>
    </x:row>
    <x:row r="29">
      <x:c r="A29" s="142" t="n">
        <x:v>769</x:v>
      </x:c>
      <x:c r="B29" s="143" t="str">
        <x:v>Chauveau</x:v>
      </x:c>
      <x:c r="C29" s="143" t="str">
        <x:v>Québec RMR</x:v>
      </x:c>
      <x:c r="D29" s="148" t="n">
        <x:v>59636</x:v>
      </x:c>
      <x:c r="E29" s="149" t="n">
        <x:v>0.9999999999999999</x:v>
      </x:c>
      <x:c r="F29" s="143" t="str">
        <x:v>Chauveau</x:v>
      </x:c>
      <x:c r="G29" s="149" t="n">
        <x:v>0.999999999760986</x:v>
      </x:c>
      <x:c r="H29" s="149" t="n">
        <x:v>0.9999999999999999</x:v>
      </x:c>
      <x:c r="I29" s="143" t="str">
        <x:v>Chauveau</x:v>
      </x:c>
      <x:c r="J29" s="150" t="n">
        <x:v>0.9999957500521991</x:v>
      </x:c>
    </x:row>
    <x:row r="30">
      <x:c r="A30" s="142" t="n">
        <x:v>821</x:v>
      </x:c>
      <x:c r="B30" s="143" t="str">
        <x:v>Chicoutimi</x:v>
      </x:c>
      <x:c r="C30" s="143" t="str">
        <x:v>Reste du Québec</x:v>
      </x:c>
      <x:c r="D30" s="148" t="n">
        <x:v>45641</x:v>
      </x:c>
      <x:c r="E30" s="149" t="n">
        <x:v>0.9999999999999999</x:v>
      </x:c>
      <x:c r="F30" s="143" t="str">
        <x:v>Chicoutimi</x:v>
      </x:c>
      <x:c r="G30" s="149" t="n">
        <x:v>0.9996128189393122</x:v>
      </x:c>
      <x:c r="H30" s="149" t="n">
        <x:v>0.9999999999999999</x:v>
      </x:c>
      <x:c r="I30" s="143" t="str">
        <x:v>Chicoutimi</x:v>
      </x:c>
      <x:c r="J30" s="150" t="n">
        <x:v>0.9996128189380479</x:v>
      </x:c>
    </x:row>
    <x:row r="31">
      <x:c r="A31" s="142" t="n">
        <x:v>351</x:v>
      </x:c>
      <x:c r="B31" s="143" t="str">
        <x:v>Chomedey</x:v>
      </x:c>
      <x:c r="C31" s="143" t="str">
        <x:v>Banlieue de Montréal</x:v>
      </x:c>
      <x:c r="D31" s="148" t="n">
        <x:v>56656</x:v>
      </x:c>
      <x:c r="E31" s="149" t="n">
        <x:v>1</x:v>
      </x:c>
      <x:c r="F31" s="143" t="str">
        <x:v>Chomedey</x:v>
      </x:c>
      <x:c r="G31" s="149" t="n">
        <x:v>0.9999999999995756</x:v>
      </x:c>
      <x:c r="H31" s="149" t="n">
        <x:v>1</x:v>
      </x:c>
      <x:c r="I31" s="143" t="str">
        <x:v>Chomedey</x:v>
      </x:c>
      <x:c r="J31" s="150" t="n">
        <x:v>0.9999999999995756</x:v>
      </x:c>
    </x:row>
    <x:row r="32">
      <x:c r="A32" s="142" t="n">
        <x:v>789</x:v>
      </x:c>
      <x:c r="B32" s="143" t="str">
        <x:v>Chutes-de-la-Chaudière</x:v>
      </x:c>
      <x:c r="C32" s="143" t="str">
        <x:v>Québec RMR</x:v>
      </x:c>
      <x:c r="D32" s="148" t="n">
        <x:v>61776</x:v>
      </x:c>
      <x:c r="E32" s="149" t="n">
        <x:v>1.0000000000000002</x:v>
      </x:c>
      <x:c r="F32" s="143" t="str">
        <x:v>Chutes-de-la-Chaudière</x:v>
      </x:c>
      <x:c r="G32" s="149" t="n">
        <x:v>0.9999999999998505</x:v>
      </x:c>
      <x:c r="H32" s="149" t="n">
        <x:v>1.0000000000000002</x:v>
      </x:c>
      <x:c r="I32" s="143" t="str">
        <x:v>Chutes-de-la-Chaudière</x:v>
      </x:c>
      <x:c r="J32" s="150" t="n">
        <x:v>0.9999999999998505</x:v>
      </x:c>
    </x:row>
    <x:row r="33">
      <x:c r="A33" s="142" t="n">
        <x:v>799</x:v>
      </x:c>
      <x:c r="B33" s="143" t="str">
        <x:v>Côte-du-Sud</x:v>
      </x:c>
      <x:c r="C33" s="143" t="str">
        <x:v>Reste du Québec</x:v>
      </x:c>
      <x:c r="D33" s="148" t="n">
        <x:v>50443</x:v>
      </x:c>
      <x:c r="E33" s="149" t="n">
        <x:v>1</x:v>
      </x:c>
      <x:c r="F33" s="143" t="str">
        <x:v>Côte-du-Sud</x:v>
      </x:c>
      <x:c r="G33" s="149" t="n">
        <x:v>0.9999999999999837</x:v>
      </x:c>
      <x:c r="H33" s="149" t="n">
        <x:v>1</x:v>
      </x:c>
      <x:c r="I33" s="143" t="str">
        <x:v>Côte-du-Sud</x:v>
      </x:c>
      <x:c r="J33" s="150" t="n">
        <x:v>0.9999999990867507</x:v>
      </x:c>
    </x:row>
    <x:row r="34">
      <x:c r="A34" s="142" t="n">
        <x:v>131</x:v>
      </x:c>
      <x:c r="B34" s="143" t="str">
        <x:v>Daniel-Johnson</x:v>
      </x:c>
      <x:c r="C34" s="143" t="str">
        <x:v>Banlieue de Montréal</x:v>
      </x:c>
      <x:c r="D34" s="148" t="n">
        <x:v>49261</x:v>
      </x:c>
      <x:c r="E34" s="149" t="n">
        <x:v>0.9999999999999997</x:v>
      </x:c>
      <x:c r="F34" s="143" t="str">
        <x:v>Johnson</x:v>
      </x:c>
      <x:c r="G34" s="149" t="n">
        <x:v>0.4604554297471854</x:v>
      </x:c>
      <x:c r="H34" s="149" t="n">
        <x:v>0.9999999999999997</x:v>
      </x:c>
      <x:c r="I34" s="143" t="str">
        <x:v>Johnson</x:v>
      </x:c>
      <x:c r="J34" s="150" t="n">
        <x:v>0.4604554297471854</x:v>
      </x:c>
    </x:row>
    <x:row r="35">
      <x:c r="A35" s="142" t="n">
        <x:v>277</x:v>
      </x:c>
      <x:c r="B35" s="143" t="str">
        <x:v>D'Arcy-McGee</x:v>
      </x:c>
      <x:c r="C35" s="143" t="str">
        <x:v>Île de Montréal</x:v>
      </x:c>
      <x:c r="D35" s="148" t="n">
        <x:v>56447</x:v>
      </x:c>
      <x:c r="E35" s="149" t="n">
        <x:v>0.9999999999999999</x:v>
      </x:c>
      <x:c r="F35" s="143" t="str">
        <x:v>D'Arcy-McGee</x:v>
      </x:c>
      <x:c r="G35" s="149" t="n">
        <x:v>0.9999999775208085</x:v>
      </x:c>
      <x:c r="H35" s="149" t="n">
        <x:v>0.9999999999999999</x:v>
      </x:c>
      <x:c r="I35" s="143" t="str">
        <x:v>D'Arcy-McGee</x:v>
      </x:c>
      <x:c r="J35" s="150" t="n">
        <x:v>0.9999999775208085</x:v>
      </x:c>
    </x:row>
    <x:row r="36">
      <x:c r="A36" s="142" t="n">
        <x:v>581</x:v>
      </x:c>
      <x:c r="B36" s="143" t="str">
        <x:v>Deux-Montagnes</x:v>
      </x:c>
      <x:c r="C36" s="143" t="str">
        <x:v>Banlieue de Montréal</x:v>
      </x:c>
      <x:c r="D36" s="148" t="n">
        <x:v>50210</x:v>
      </x:c>
      <x:c r="E36" s="149" t="n">
        <x:v>1</x:v>
      </x:c>
      <x:c r="F36" s="143" t="str">
        <x:v>Deux-Montagnes</x:v>
      </x:c>
      <x:c r="G36" s="149" t="n">
        <x:v>0.9999577510942832</x:v>
      </x:c>
      <x:c r="H36" s="149" t="n">
        <x:v>1</x:v>
      </x:c>
      <x:c r="I36" s="143" t="str">
        <x:v>Deux-Montagnes</x:v>
      </x:c>
      <x:c r="J36" s="150" t="n">
        <x:v>0.9998230569736685</x:v>
      </x:c>
    </x:row>
    <x:row r="37">
      <x:c r="A37" s="142" t="n">
        <x:v>141</x:v>
      </x:c>
      <x:c r="B37" s="143" t="str">
        <x:v>Drummond-Bois-Francs</x:v>
      </x:c>
      <x:c r="C37" s="143" t="str">
        <x:v>Reste du Québec</x:v>
      </x:c>
      <x:c r="D37" s="148" t="n">
        <x:v>53386</x:v>
      </x:c>
      <x:c r="E37" s="149" t="n">
        <x:v>1.0000000000000002</x:v>
      </x:c>
      <x:c r="F37" s="143" t="str">
        <x:v>Drummond-Bois-Francs</x:v>
      </x:c>
      <x:c r="G37" s="149" t="n">
        <x:v>0.9885366891049118</x:v>
      </x:c>
      <x:c r="H37" s="149" t="n">
        <x:v>1.0000000000000002</x:v>
      </x:c>
      <x:c r="I37" s="143" t="str">
        <x:v>Drummond-Bois-Francs</x:v>
      </x:c>
      <x:c r="J37" s="150" t="n">
        <x:v>0.9885004567905777</x:v>
      </x:c>
    </x:row>
    <x:row r="38">
      <x:c r="A38" s="142" t="n">
        <x:v>819</x:v>
      </x:c>
      <x:c r="B38" s="143" t="str">
        <x:v>Dubuc</x:v>
      </x:c>
      <x:c r="C38" s="143" t="str">
        <x:v>Reste du Québec</x:v>
      </x:c>
      <x:c r="D38" s="148" t="n">
        <x:v>43023</x:v>
      </x:c>
      <x:c r="E38" s="149" t="n">
        <x:v>1</x:v>
      </x:c>
      <x:c r="F38" s="143" t="str">
        <x:v>Dubuc</x:v>
      </x:c>
      <x:c r="G38" s="149" t="n">
        <x:v>0.9970025801832412</x:v>
      </x:c>
      <x:c r="H38" s="149" t="n">
        <x:v>1</x:v>
      </x:c>
      <x:c r="I38" s="143" t="str">
        <x:v>Dubuc</x:v>
      </x:c>
      <x:c r="J38" s="150" t="n">
        <x:v>0.9969012951989585</x:v>
      </x:c>
    </x:row>
    <x:row r="39">
      <x:c r="A39" s="142" t="n">
        <x:v>813</x:v>
      </x:c>
      <x:c r="B39" s="143" t="str">
        <x:v>Duplessis</x:v>
      </x:c>
      <x:c r="C39" s="143" t="str">
        <x:v>Reste du Québec</x:v>
      </x:c>
      <x:c r="D39" s="148" t="n">
        <x:v>37069</x:v>
      </x:c>
      <x:c r="E39" s="149" t="n">
        <x:v>1</x:v>
      </x:c>
      <x:c r="F39" s="143" t="str">
        <x:v>Duplessis</x:v>
      </x:c>
      <x:c r="G39" s="149" t="n">
        <x:v>0.9999999999999998</x:v>
      </x:c>
      <x:c r="H39" s="149" t="n">
        <x:v>1</x:v>
      </x:c>
      <x:c r="I39" s="143" t="str">
        <x:v>Duplessis</x:v>
      </x:c>
      <x:c r="J39" s="150" t="n">
        <x:v>0.9999999999999998</x:v>
      </x:c>
    </x:row>
    <x:row r="40">
      <x:c r="A40" s="142" t="n">
        <x:v>357</x:v>
      </x:c>
      <x:c r="B40" s="143" t="str">
        <x:v>Fabre</x:v>
      </x:c>
      <x:c r="C40" s="143" t="str">
        <x:v>Banlieue de Montréal</x:v>
      </x:c>
      <x:c r="D40" s="148" t="n">
        <x:v>58186</x:v>
      </x:c>
      <x:c r="E40" s="149" t="n">
        <x:v>1</x:v>
      </x:c>
      <x:c r="F40" s="143" t="str">
        <x:v>Fabre</x:v>
      </x:c>
      <x:c r="G40" s="149" t="n">
        <x:v>0.9999999999975779</x:v>
      </x:c>
      <x:c r="H40" s="149" t="n">
        <x:v>1</x:v>
      </x:c>
      <x:c r="I40" s="143" t="str">
        <x:v>Fabre</x:v>
      </x:c>
      <x:c r="J40" s="150" t="n">
        <x:v>0.9999999999975779</x:v>
      </x:c>
    </x:row>
    <x:row r="41">
      <x:c r="A41" s="142" t="n">
        <x:v>809</x:v>
      </x:c>
      <x:c r="B41" s="143" t="str">
        <x:v>Gaspé</x:v>
      </x:c>
      <x:c r="C41" s="143" t="str">
        <x:v>Reste du Québec</x:v>
      </x:c>
      <x:c r="D41" s="148" t="n">
        <x:v>30022</x:v>
      </x:c>
      <x:c r="E41" s="149" t="n">
        <x:v>1</x:v>
      </x:c>
      <x:c r="F41" s="143" t="str">
        <x:v>Gaspé</x:v>
      </x:c>
      <x:c r="G41" s="149" t="n">
        <x:v>0.9999999999999937</x:v>
      </x:c>
      <x:c r="H41" s="149" t="n">
        <x:v>1</x:v>
      </x:c>
      <x:c r="I41" s="143" t="str">
        <x:v>Gaspé</x:v>
      </x:c>
      <x:c r="J41" s="150" t="n">
        <x:v>0.999874987390236</x:v>
      </x:c>
    </x:row>
    <x:row r="42">
      <x:c r="A42" s="142" t="n">
        <x:v>661</x:v>
      </x:c>
      <x:c r="B42" s="143" t="str">
        <x:v>Gatineau</x:v>
      </x:c>
      <x:c r="C42" s="143" t="str">
        <x:v>Reste du Québec</x:v>
      </x:c>
      <x:c r="D42" s="148" t="n">
        <x:v>61561</x:v>
      </x:c>
      <x:c r="E42" s="149" t="n">
        <x:v>1</x:v>
      </x:c>
      <x:c r="F42" s="143" t="str">
        <x:v>Gatineau</x:v>
      </x:c>
      <x:c r="G42" s="149" t="n">
        <x:v>0.9998557638106362</x:v>
      </x:c>
      <x:c r="H42" s="149" t="n">
        <x:v>1</x:v>
      </x:c>
      <x:c r="I42" s="143" t="str">
        <x:v>Gatineau</x:v>
      </x:c>
      <x:c r="J42" s="150" t="n">
        <x:v>0.9998168194953245</x:v>
      </x:c>
    </x:row>
    <x:row r="43">
      <x:c r="A43" s="142" t="n">
        <x:v>311</x:v>
      </x:c>
      <x:c r="B43" s="143" t="str">
        <x:v>Gouin</x:v>
      </x:c>
      <x:c r="C43" s="143" t="str">
        <x:v>Île de Montréal</x:v>
      </x:c>
      <x:c r="D43" s="148" t="n">
        <x:v>42477</x:v>
      </x:c>
      <x:c r="E43" s="149" t="n">
        <x:v>0.9999999999999998</x:v>
      </x:c>
      <x:c r="F43" s="143" t="str">
        <x:v>Gouin</x:v>
      </x:c>
      <x:c r="G43" s="149" t="n">
        <x:v>0.9999999998325284</x:v>
      </x:c>
      <x:c r="H43" s="149" t="n">
        <x:v>0.9999999999999998</x:v>
      </x:c>
      <x:c r="I43" s="143" t="str">
        <x:v>Gouin</x:v>
      </x:c>
      <x:c r="J43" s="150" t="n">
        <x:v>0.9999999998325284</x:v>
      </x:c>
    </x:row>
    <x:row r="44">
      <x:c r="A44" s="142" t="n">
        <x:v>159</x:v>
      </x:c>
      <x:c r="B44" s="143" t="str">
        <x:v>Granby</x:v>
      </x:c>
      <x:c r="C44" s="143" t="str">
        <x:v>Reste du Québec</x:v>
      </x:c>
      <x:c r="D44" s="148" t="n">
        <x:v>58660</x:v>
      </x:c>
      <x:c r="E44" s="149" t="n">
        <x:v>1</x:v>
      </x:c>
      <x:c r="F44" s="143" t="str">
        <x:v>Granby</x:v>
      </x:c>
      <x:c r="G44" s="149" t="n">
        <x:v>0.9545652308115679</x:v>
      </x:c>
      <x:c r="H44" s="149" t="n">
        <x:v>1</x:v>
      </x:c>
      <x:c r="I44" s="143" t="str">
        <x:v>Granby</x:v>
      </x:c>
      <x:c r="J44" s="150" t="n">
        <x:v>0.9545652308115679</x:v>
      </x:c>
    </x:row>
    <x:row r="45">
      <x:c r="A45" s="142" t="n">
        <x:v>577</x:v>
      </x:c>
      <x:c r="B45" s="143" t="str">
        <x:v>Groulx</x:v>
      </x:c>
      <x:c r="C45" s="143" t="str">
        <x:v>Banlieue de Montréal</x:v>
      </x:c>
      <x:c r="D45" s="148" t="n">
        <x:v>54024</x:v>
      </x:c>
      <x:c r="E45" s="149" t="n">
        <x:v>0.9999999999999998</x:v>
      </x:c>
      <x:c r="F45" s="143" t="str">
        <x:v>Groulx</x:v>
      </x:c>
      <x:c r="G45" s="149" t="n">
        <x:v>0.9999999999082917</x:v>
      </x:c>
      <x:c r="H45" s="149" t="n">
        <x:v>0.9999999999999998</x:v>
      </x:c>
      <x:c r="I45" s="143" t="str">
        <x:v>Groulx</x:v>
      </x:c>
      <x:c r="J45" s="150" t="n">
        <x:v>0.9999618013837034</x:v>
      </x:c>
    </x:row>
    <x:row r="46">
      <x:c r="A46" s="142" t="n">
        <x:v>317</x:v>
      </x:c>
      <x:c r="B46" s="143" t="str">
        <x:v>Hochelaga-Maisonneuve</x:v>
      </x:c>
      <x:c r="C46" s="143" t="str">
        <x:v>Île de Montréal</x:v>
      </x:c>
      <x:c r="D46" s="148" t="n">
        <x:v>40321</x:v>
      </x:c>
      <x:c r="E46" s="149" t="n">
        <x:v>1.0000000000000002</x:v>
      </x:c>
      <x:c r="F46" s="143" t="str">
        <x:v>Hochelaga-Maisonneuve</x:v>
      </x:c>
      <x:c r="G46" s="149" t="n">
        <x:v>0.9999316976765115</x:v>
      </x:c>
      <x:c r="H46" s="149" t="n">
        <x:v>1.0000000000000002</x:v>
      </x:c>
      <x:c r="I46" s="143" t="str">
        <x:v>Hochelaga-Maisonneuve</x:v>
      </x:c>
      <x:c r="J46" s="150" t="n">
        <x:v>0.9999316976765115</x:v>
      </x:c>
    </x:row>
    <x:row r="47">
      <x:c r="A47" s="142" t="n">
        <x:v>651</x:v>
      </x:c>
      <x:c r="B47" s="143" t="str">
        <x:v>Hull</x:v>
      </x:c>
      <x:c r="C47" s="143" t="str">
        <x:v>Reste du Québec</x:v>
      </x:c>
      <x:c r="D47" s="148" t="n">
        <x:v>60470</x:v>
      </x:c>
      <x:c r="E47" s="149" t="n">
        <x:v>1</x:v>
      </x:c>
      <x:c r="F47" s="143" t="str">
        <x:v>Hull</x:v>
      </x:c>
      <x:c r="G47" s="149" t="n">
        <x:v>0.9291934660715068</x:v>
      </x:c>
      <x:c r="H47" s="149" t="n">
        <x:v>1</x:v>
      </x:c>
      <x:c r="I47" s="143" t="str">
        <x:v>Hull</x:v>
      </x:c>
      <x:c r="J47" s="150" t="n">
        <x:v>0.929193463157797</x:v>
      </x:c>
    </x:row>
    <x:row r="48">
      <x:c r="A48" s="142" t="n">
        <x:v>171</x:v>
      </x:c>
      <x:c r="B48" s="143" t="str">
        <x:v>Huntingdon</x:v>
      </x:c>
      <x:c r="C48" s="143" t="str">
        <x:v>Banlieue de Montréal</x:v>
      </x:c>
      <x:c r="D48" s="148" t="n">
        <x:v>50082</x:v>
      </x:c>
      <x:c r="E48" s="149" t="n">
        <x:v>0.9999999999999999</x:v>
      </x:c>
      <x:c r="F48" s="143" t="str">
        <x:v>Huntingdon</x:v>
      </x:c>
      <x:c r="G48" s="149" t="n">
        <x:v>0.9660756359569719</x:v>
      </x:c>
      <x:c r="H48" s="149" t="n">
        <x:v>0.9999999999999999</x:v>
      </x:c>
      <x:c r="I48" s="143" t="str">
        <x:v>Huntingdon</x:v>
      </x:c>
      <x:c r="J48" s="150" t="n">
        <x:v>0.9660586200752536</x:v>
      </x:c>
    </x:row>
    <x:row r="49">
      <x:c r="A49" s="142" t="n">
        <x:v>161</x:v>
      </x:c>
      <x:c r="B49" s="143" t="str">
        <x:v>Iberville</x:v>
      </x:c>
      <x:c r="C49" s="143" t="str">
        <x:v>Banlieue de Montréal</x:v>
      </x:c>
      <x:c r="D49" s="148" t="n">
        <x:v>51227</x:v>
      </x:c>
      <x:c r="E49" s="149" t="n">
        <x:v>1</x:v>
      </x:c>
      <x:c r="F49" s="143" t="str">
        <x:v>Iberville</x:v>
      </x:c>
      <x:c r="G49" s="149" t="n">
        <x:v>0.9998560110118033</x:v>
      </x:c>
      <x:c r="H49" s="149" t="n">
        <x:v>1</x:v>
      </x:c>
      <x:c r="I49" s="143" t="str">
        <x:v>Iberville</x:v>
      </x:c>
      <x:c r="J49" s="150" t="n">
        <x:v>0.9986869526430553</x:v>
      </x:c>
    </x:row>
    <x:row r="50">
      <x:c r="A50" s="142" t="n">
        <x:v>811</x:v>
      </x:c>
      <x:c r="B50" s="143" t="str">
        <x:v>Îles-de-la-Madeleine</x:v>
      </x:c>
      <x:c r="C50" s="143" t="str">
        <x:v>Reste du Québec</x:v>
      </x:c>
      <x:c r="D50" s="148" t="n">
        <x:v>11146</x:v>
      </x:c>
      <x:c r="E50" s="149" t="n">
        <x:v>1</x:v>
      </x:c>
      <x:c r="F50" s="143" t="str">
        <x:v>Îles-de-la-Madeleine</x:v>
      </x:c>
      <x:c r="G50" s="149" t="n">
        <x:v>0.9999999999999999</x:v>
      </x:c>
      <x:c r="H50" s="149" t="n">
        <x:v>1</x:v>
      </x:c>
      <x:c r="I50" s="143" t="str">
        <x:v>Îles-de-la-Madeleine</x:v>
      </x:c>
      <x:c r="J50" s="150" t="n">
        <x:v>0.9999999999999999</x:v>
      </x:c>
    </x:row>
    <x:row r="51">
      <x:c r="A51" s="142" t="n">
        <x:v>259</x:v>
      </x:c>
      <x:c r="B51" s="143" t="str">
        <x:v>Jacques-Cartier</x:v>
      </x:c>
      <x:c r="C51" s="143" t="str">
        <x:v>Île de Montréal</x:v>
      </x:c>
      <x:c r="D51" s="148" t="n">
        <x:v>48021</x:v>
      </x:c>
      <x:c r="E51" s="149" t="n">
        <x:v>1</x:v>
      </x:c>
      <x:c r="F51" s="143" t="str">
        <x:v>Jacques-Cartier</x:v>
      </x:c>
      <x:c r="G51" s="149" t="n">
        <x:v>0.9999999999994637</x:v>
      </x:c>
      <x:c r="H51" s="149" t="n">
        <x:v>1</x:v>
      </x:c>
      <x:c r="I51" s="143" t="str">
        <x:v>Jacques-Cartier</x:v>
      </x:c>
      <x:c r="J51" s="150" t="n">
        <x:v>0.9999999999994637</x:v>
      </x:c>
    </x:row>
    <x:row r="52">
      <x:c r="A52" s="142" t="n">
        <x:v>757</x:v>
      </x:c>
      <x:c r="B52" s="143" t="str">
        <x:v>Jean-Lesage</x:v>
      </x:c>
      <x:c r="C52" s="143" t="str">
        <x:v>Québec RMR</x:v>
      </x:c>
      <x:c r="D52" s="148" t="n">
        <x:v>44191</x:v>
      </x:c>
      <x:c r="E52" s="149" t="n">
        <x:v>1</x:v>
      </x:c>
      <x:c r="F52" s="143" t="str">
        <x:v>Jean-Lesage</x:v>
      </x:c>
      <x:c r="G52" s="149" t="n">
        <x:v>0.9999980548055416</x:v>
      </x:c>
      <x:c r="H52" s="149" t="n">
        <x:v>1</x:v>
      </x:c>
      <x:c r="I52" s="143" t="str">
        <x:v>Jean-Lesage</x:v>
      </x:c>
      <x:c r="J52" s="150" t="n">
        <x:v>0.9999980544545533</x:v>
      </x:c>
    </x:row>
    <x:row r="53">
      <x:c r="A53" s="142" t="n">
        <x:v>331</x:v>
      </x:c>
      <x:c r="B53" s="143" t="str">
        <x:v>Jeanne-Mance-Viger</x:v>
      </x:c>
      <x:c r="C53" s="143" t="str">
        <x:v>Île de Montréal</x:v>
      </x:c>
      <x:c r="D53" s="148" t="n">
        <x:v>49663</x:v>
      </x:c>
      <x:c r="E53" s="149" t="n">
        <x:v>1</x:v>
      </x:c>
      <x:c r="F53" s="143" t="str">
        <x:v>Jeanne-Mance-Viger</x:v>
      </x:c>
      <x:c r="G53" s="149" t="n">
        <x:v>0.9999999999992708</x:v>
      </x:c>
      <x:c r="H53" s="149" t="n">
        <x:v>1</x:v>
      </x:c>
      <x:c r="I53" s="143" t="str">
        <x:v>Jeanne-Mance-Viger</x:v>
      </x:c>
      <x:c r="J53" s="150" t="n">
        <x:v>0.9999999247650457</x:v>
      </x:c>
    </x:row>
    <x:row r="54">
      <x:c r="A54" s="142" t="n">
        <x:v>707</x:v>
      </x:c>
      <x:c r="B54" s="143" t="str">
        <x:v>Jean-Talon</x:v>
      </x:c>
      <x:c r="C54" s="143" t="str">
        <x:v>Québec RMR</x:v>
      </x:c>
      <x:c r="D54" s="148" t="n">
        <x:v>47189</x:v>
      </x:c>
      <x:c r="E54" s="149" t="n">
        <x:v>1</x:v>
      </x:c>
      <x:c r="F54" s="143" t="str">
        <x:v>Jean-Talon</x:v>
      </x:c>
      <x:c r="G54" s="149" t="n">
        <x:v>0.99999999872733</x:v>
      </x:c>
      <x:c r="H54" s="149" t="n">
        <x:v>1</x:v>
      </x:c>
      <x:c r="I54" s="143" t="str">
        <x:v>Jean-Talon</x:v>
      </x:c>
      <x:c r="J54" s="150" t="n">
        <x:v>0.99999999872733</x:v>
      </x:c>
    </x:row>
    <x:row r="55">
      <x:c r="A55" s="142" t="n">
        <x:v>629</x:v>
      </x:c>
      <x:c r="B55" s="143" t="str">
        <x:v>Joliette</x:v>
      </x:c>
      <x:c r="C55" s="143" t="str">
        <x:v>Reste du Québec</x:v>
      </x:c>
      <x:c r="D55" s="148" t="n">
        <x:v>59132</x:v>
      </x:c>
      <x:c r="E55" s="149" t="n">
        <x:v>1</x:v>
      </x:c>
      <x:c r="F55" s="143" t="str">
        <x:v>Joliette</x:v>
      </x:c>
      <x:c r="G55" s="149" t="n">
        <x:v>0.9999820419110493</x:v>
      </x:c>
      <x:c r="H55" s="149" t="n">
        <x:v>1</x:v>
      </x:c>
      <x:c r="I55" s="143" t="str">
        <x:v>Joliette</x:v>
      </x:c>
      <x:c r="J55" s="150" t="n">
        <x:v>0.9999444672366528</x:v>
      </x:c>
    </x:row>
    <x:row r="56">
      <x:c r="A56" s="142" t="n">
        <x:v>823</x:v>
      </x:c>
      <x:c r="B56" s="143" t="str">
        <x:v>Jonquière</x:v>
      </x:c>
      <x:c r="C56" s="143" t="str">
        <x:v>Reste du Québec</x:v>
      </x:c>
      <x:c r="D56" s="148" t="n">
        <x:v>45211</x:v>
      </x:c>
      <x:c r="E56" s="149" t="n">
        <x:v>0.9999999999999999</x:v>
      </x:c>
      <x:c r="F56" s="143" t="str">
        <x:v>Jonquière</x:v>
      </x:c>
      <x:c r="G56" s="149" t="n">
        <x:v>0.9999999999999399</x:v>
      </x:c>
      <x:c r="H56" s="149" t="n">
        <x:v>0.9999999999999999</x:v>
      </x:c>
      <x:c r="I56" s="143" t="str">
        <x:v>Jonquière</x:v>
      </x:c>
      <x:c r="J56" s="150" t="n">
        <x:v>0.9999999999999399</x:v>
      </x:c>
    </x:row>
    <x:row r="57">
      <x:c r="A57" s="142" t="n">
        <x:v>649</x:v>
      </x:c>
      <x:c r="B57" s="143" t="str">
        <x:v>Labelle</x:v>
      </x:c>
      <x:c r="C57" s="143" t="str">
        <x:v>Reste du Québec</x:v>
      </x:c>
      <x:c r="D57" s="148" t="n">
        <x:v>54176</x:v>
      </x:c>
      <x:c r="E57" s="149" t="n">
        <x:v>1.0000000000000002</x:v>
      </x:c>
      <x:c r="F57" s="143" t="str">
        <x:v>Labelle</x:v>
      </x:c>
      <x:c r="G57" s="149" t="n">
        <x:v>0.9999059784743385</x:v>
      </x:c>
      <x:c r="H57" s="149" t="n">
        <x:v>1.0000000000000002</x:v>
      </x:c>
      <x:c r="I57" s="143" t="str">
        <x:v>Labelle</x:v>
      </x:c>
      <x:c r="J57" s="150" t="n">
        <x:v>0.9999059595303982</x:v>
      </x:c>
    </x:row>
    <x:row r="58">
      <x:c r="A58" s="142" t="n">
        <x:v>827</x:v>
      </x:c>
      <x:c r="B58" s="143" t="str">
        <x:v>Lac-Saint-Jean</x:v>
      </x:c>
      <x:c r="C58" s="143" t="str">
        <x:v>Reste du Québec</x:v>
      </x:c>
      <x:c r="D58" s="148" t="n">
        <x:v>44568</x:v>
      </x:c>
      <x:c r="E58" s="149" t="n">
        <x:v>1</x:v>
      </x:c>
      <x:c r="F58" s="143" t="str">
        <x:v>Lac-Saint-Jean</x:v>
      </x:c>
      <x:c r="G58" s="149" t="n">
        <x:v>0.9999999999824429</x:v>
      </x:c>
      <x:c r="H58" s="149" t="n">
        <x:v>1</x:v>
      </x:c>
      <x:c r="I58" s="143" t="str">
        <x:v>Lac-Saint-Jean</x:v>
      </x:c>
      <x:c r="J58" s="150" t="n">
        <x:v>0.9999999999806088</x:v>
      </x:c>
    </x:row>
    <x:row r="59">
      <x:c r="A59" s="142" t="n">
        <x:v>339</x:v>
      </x:c>
      <x:c r="B59" s="143" t="str">
        <x:v>LaFontaine</x:v>
      </x:c>
      <x:c r="C59" s="143" t="str">
        <x:v>Île de Montréal</x:v>
      </x:c>
      <x:c r="D59" s="148" t="n">
        <x:v>42294</x:v>
      </x:c>
      <x:c r="E59" s="149" t="n">
        <x:v>0.9999999999999998</x:v>
      </x:c>
      <x:c r="F59" s="143" t="str">
        <x:v>LaFontaine</x:v>
      </x:c>
      <x:c r="G59" s="149" t="n">
        <x:v>0.9999999999997277</x:v>
      </x:c>
      <x:c r="H59" s="149" t="n">
        <x:v>1</x:v>
      </x:c>
      <x:c r="I59" s="143" t="str">
        <x:v>LaFontaine</x:v>
      </x:c>
      <x:c r="J59" s="150" t="n">
        <x:v>0.9999999999997277</x:v>
      </x:c>
    </x:row>
    <x:row r="60">
      <x:c r="A60" s="142" t="n">
        <x:v>729</x:v>
      </x:c>
      <x:c r="B60" s="143" t="str">
        <x:v>La Peltrie</x:v>
      </x:c>
      <x:c r="C60" s="143" t="str">
        <x:v>Québec RMR</x:v>
      </x:c>
      <x:c r="D60" s="148" t="n">
        <x:v>59214</x:v>
      </x:c>
      <x:c r="E60" s="149" t="n">
        <x:v>1</x:v>
      </x:c>
      <x:c r="F60" s="143" t="str">
        <x:v>La Peltrie</x:v>
      </x:c>
      <x:c r="G60" s="149" t="n">
        <x:v>0.9205086458299236</x:v>
      </x:c>
      <x:c r="H60" s="149" t="n">
        <x:v>1</x:v>
      </x:c>
      <x:c r="I60" s="143" t="str">
        <x:v>La Peltrie</x:v>
      </x:c>
      <x:c r="J60" s="150" t="n">
        <x:v>0.9205086458299236</x:v>
      </x:c>
    </x:row>
    <x:row r="61">
      <x:c r="A61" s="142" t="n">
        <x:v>201</x:v>
      </x:c>
      <x:c r="B61" s="143" t="str">
        <x:v>La Pinière</x:v>
      </x:c>
      <x:c r="C61" s="143" t="str">
        <x:v>Banlieue de Montréal</x:v>
      </x:c>
      <x:c r="D61" s="148" t="n">
        <x:v>58309</x:v>
      </x:c>
      <x:c r="E61" s="149" t="n">
        <x:v>1</x:v>
      </x:c>
      <x:c r="F61" s="143" t="str">
        <x:v>La Pinière</x:v>
      </x:c>
      <x:c r="G61" s="149" t="n">
        <x:v>0.9999999999996891</x:v>
      </x:c>
      <x:c r="H61" s="149" t="n">
        <x:v>1</x:v>
      </x:c>
      <x:c r="I61" s="143" t="str">
        <x:v>La Pinière</x:v>
      </x:c>
      <x:c r="J61" s="150" t="n">
        <x:v>0.9999999999996891</x:v>
      </x:c>
    </x:row>
    <x:row r="62">
      <x:c r="A62" s="142" t="n">
        <x:v>199</x:v>
      </x:c>
      <x:c r="B62" s="143" t="str">
        <x:v>La Prairie</x:v>
      </x:c>
      <x:c r="C62" s="143" t="str">
        <x:v>Banlieue de Montréal</x:v>
      </x:c>
      <x:c r="D62" s="148" t="n">
        <x:v>50879</x:v>
      </x:c>
      <x:c r="E62" s="149" t="n">
        <x:v>1</x:v>
      </x:c>
      <x:c r="F62" s="143" t="str">
        <x:v>La Prairie</x:v>
      </x:c>
      <x:c r="G62" s="149" t="n">
        <x:v>0.9992858069666993</x:v>
      </x:c>
      <x:c r="H62" s="149" t="n">
        <x:v>1</x:v>
      </x:c>
      <x:c r="I62" s="143" t="str">
        <x:v>La Prairie</x:v>
      </x:c>
      <x:c r="J62" s="150" t="n">
        <x:v>0.9992613743556501</x:v>
      </x:c>
    </x:row>
    <x:row r="63">
      <x:c r="A63" s="142" t="n">
        <x:v>621</x:v>
      </x:c>
      <x:c r="B63" s="143" t="str">
        <x:v>L'Assomption</x:v>
      </x:c>
      <x:c r="C63" s="143" t="str">
        <x:v>Banlieue de Montréal</x:v>
      </x:c>
      <x:c r="D63" s="148" t="n">
        <x:v>56838</x:v>
      </x:c>
      <x:c r="E63" s="149" t="n">
        <x:v>0.9999999999999999</x:v>
      </x:c>
      <x:c r="F63" s="143" t="str">
        <x:v>L'Assomption</x:v>
      </x:c>
      <x:c r="G63" s="149" t="n">
        <x:v>0.732455612829582</x:v>
      </x:c>
      <x:c r="H63" s="149" t="n">
        <x:v>0.9999999999999999</x:v>
      </x:c>
      <x:c r="I63" s="143" t="str">
        <x:v>L'Assomption</x:v>
      </x:c>
      <x:c r="J63" s="150" t="n">
        <x:v>0.7318957855855187</x:v>
      </x:c>
    </x:row>
    <x:row r="64">
      <x:c r="A64" s="142" t="n">
        <x:v>307</x:v>
      </x:c>
      <x:c r="B64" s="143" t="str">
        <x:v>Laurier-Dorion</x:v>
      </x:c>
      <x:c r="C64" s="143" t="str">
        <x:v>Île de Montréal</x:v>
      </x:c>
      <x:c r="D64" s="148" t="n">
        <x:v>43940</x:v>
      </x:c>
      <x:c r="E64" s="149" t="n">
        <x:v>1.0000000000000002</x:v>
      </x:c>
      <x:c r="F64" s="143" t="str">
        <x:v>Laurier-Dorion</x:v>
      </x:c>
      <x:c r="G64" s="149" t="n">
        <x:v>0.9999820942205665</x:v>
      </x:c>
      <x:c r="H64" s="149" t="n">
        <x:v>1.0000000000000002</x:v>
      </x:c>
      <x:c r="I64" s="143" t="str">
        <x:v>Laurier-Dorion</x:v>
      </x:c>
      <x:c r="J64" s="150" t="n">
        <x:v>0.9999820942205665</x:v>
      </x:c>
    </x:row>
    <x:row r="65">
      <x:c r="A65" s="142" t="n">
        <x:v>347</x:v>
      </x:c>
      <x:c r="B65" s="143" t="str">
        <x:v>Laval-des-Rapides</x:v>
      </x:c>
      <x:c r="C65" s="143" t="str">
        <x:v>Banlieue de Montréal</x:v>
      </x:c>
      <x:c r="D65" s="148" t="n">
        <x:v>56315</x:v>
      </x:c>
      <x:c r="E65" s="149" t="n">
        <x:v>0.9999999999999999</x:v>
      </x:c>
      <x:c r="F65" s="143" t="str">
        <x:v>Laval-des-Rapides</x:v>
      </x:c>
      <x:c r="G65" s="149" t="n">
        <x:v>0.8838320156935424</x:v>
      </x:c>
      <x:c r="H65" s="149" t="n">
        <x:v>0.9999999999999999</x:v>
      </x:c>
      <x:c r="I65" s="143" t="str">
        <x:v>Laval-des-Rapides</x:v>
      </x:c>
      <x:c r="J65" s="150" t="n">
        <x:v>0.8838320177031803</x:v>
      </x:c>
    </x:row>
    <x:row r="66">
      <x:c r="A66" s="142" t="n">
        <x:v>697</x:v>
      </x:c>
      <x:c r="B66" s="143" t="str">
        <x:v>Laviolette-Saint-Maurice</x:v>
      </x:c>
      <x:c r="C66" s="143" t="str">
        <x:v>Reste du Québec</x:v>
      </x:c>
      <x:c r="D66" s="148" t="n">
        <x:v>60666</x:v>
      </x:c>
      <x:c r="E66" s="149" t="n">
        <x:v>0.9999999999999999</x:v>
      </x:c>
      <x:c r="F66" s="143" t="str">
        <x:v>Laviolette-Saint-Maurice</x:v>
      </x:c>
      <x:c r="G66" s="149" t="n">
        <x:v>0.9999986609749189</x:v>
      </x:c>
      <x:c r="H66" s="149" t="n">
        <x:v>0.9999999999999999</x:v>
      </x:c>
      <x:c r="I66" s="143" t="str">
        <x:v>Laviolette-Saint-Maurice</x:v>
      </x:c>
      <x:c r="J66" s="150" t="n">
        <x:v>0.9999981022581274</x:v>
      </x:c>
    </x:row>
    <x:row r="67">
      <x:c r="A67" s="142" t="n">
        <x:v>601</x:v>
      </x:c>
      <x:c r="B67" s="143" t="str">
        <x:v>Les Plaines</x:v>
      </x:c>
      <x:c r="C67" s="143" t="str">
        <x:v>Banlieue de Montréal</x:v>
      </x:c>
      <x:c r="D67" s="148" t="n">
        <x:v>49540</x:v>
      </x:c>
      <x:c r="E67" s="149" t="n">
        <x:v>1.0000000000000002</x:v>
      </x:c>
      <x:c r="F67" s="143" t="str">
        <x:v>Les Plaines</x:v>
      </x:c>
      <x:c r="G67" s="149" t="n">
        <x:v>0.858128962681635</x:v>
      </x:c>
      <x:c r="H67" s="149" t="n">
        <x:v>1.0000000000000002</x:v>
      </x:c>
      <x:c r="I67" s="143" t="str">
        <x:v>Les Plaines</x:v>
      </x:c>
      <x:c r="J67" s="150" t="n">
        <x:v>0.8581289626816354</x:v>
      </x:c>
    </x:row>
    <x:row r="68">
      <x:c r="A68" s="142" t="n">
        <x:v>791</x:v>
      </x:c>
      <x:c r="B68" s="143" t="str">
        <x:v>Lévis</x:v>
      </x:c>
      <x:c r="C68" s="143" t="str">
        <x:v>Québec RMR</x:v>
      </x:c>
      <x:c r="D68" s="148" t="n">
        <x:v>53411</x:v>
      </x:c>
      <x:c r="E68" s="149" t="n">
        <x:v>0.9999999999999999</x:v>
      </x:c>
      <x:c r="F68" s="143" t="str">
        <x:v>Lévis</x:v>
      </x:c>
      <x:c r="G68" s="149" t="n">
        <x:v>0.9999999999998375</x:v>
      </x:c>
      <x:c r="H68" s="149" t="n">
        <x:v>0.9999999999999999</x:v>
      </x:c>
      <x:c r="I68" s="143" t="str">
        <x:v>Lévis</x:v>
      </x:c>
      <x:c r="J68" s="150" t="n">
        <x:v>0.9999999999998375</x:v>
      </x:c>
    </x:row>
    <x:row r="69">
      <x:c r="A69" s="142" t="n">
        <x:v>787</x:v>
      </x:c>
      <x:c r="B69" s="143" t="str">
        <x:v>Lotbinière-Frontenac</x:v>
      </x:c>
      <x:c r="C69" s="143" t="str">
        <x:v>Reste du Québec</x:v>
      </x:c>
      <x:c r="D69" s="148" t="n">
        <x:v>59431</x:v>
      </x:c>
      <x:c r="E69" s="149" t="n">
        <x:v>1</x:v>
      </x:c>
      <x:c r="F69" s="143" t="str">
        <x:v>Lotbinière-Frontenac</x:v>
      </x:c>
      <x:c r="G69" s="149" t="n">
        <x:v>0.9999546514356666</x:v>
      </x:c>
      <x:c r="H69" s="149" t="n">
        <x:v>1</x:v>
      </x:c>
      <x:c r="I69" s="143" t="str">
        <x:v>Lotbinière-Frontenac</x:v>
      </x:c>
      <x:c r="J69" s="150" t="n">
        <x:v>0.9999519374553023</x:v>
      </x:c>
    </x:row>
    <x:row r="70">
      <x:c r="A70" s="142" t="n">
        <x:v>709</x:v>
      </x:c>
      <x:c r="B70" s="143" t="str">
        <x:v>Louis-Hébert</x:v>
      </x:c>
      <x:c r="C70" s="143" t="str">
        <x:v>Québec RMR</x:v>
      </x:c>
      <x:c r="D70" s="148" t="n">
        <x:v>47996</x:v>
      </x:c>
      <x:c r="E70" s="149" t="n">
        <x:v>1</x:v>
      </x:c>
      <x:c r="F70" s="143" t="str">
        <x:v>Louis-Hébert</x:v>
      </x:c>
      <x:c r="G70" s="149" t="n">
        <x:v>0.9999999999998531</x:v>
      </x:c>
      <x:c r="H70" s="149" t="n">
        <x:v>1</x:v>
      </x:c>
      <x:c r="I70" s="143" t="str">
        <x:v>Louis-Hébert</x:v>
      </x:c>
      <x:c r="J70" s="150" t="n">
        <x:v>0.9999999999998561</x:v>
      </x:c>
    </x:row>
    <x:row r="71">
      <x:c r="A71" s="142" t="n">
        <x:v>251</x:v>
      </x:c>
      <x:c r="B71" s="143" t="str">
        <x:v>Marguerite-Bourgeoys</x:v>
      </x:c>
      <x:c r="C71" s="143" t="str">
        <x:v>Île de Montréal</x:v>
      </x:c>
      <x:c r="D71" s="148" t="n">
        <x:v>52801</x:v>
      </x:c>
      <x:c r="E71" s="149" t="n">
        <x:v>1.0000000000000002</x:v>
      </x:c>
      <x:c r="F71" s="143" t="str">
        <x:v>Marguerite-Bourgeoys</x:v>
      </x:c>
      <x:c r="G71" s="149" t="n">
        <x:v>0.9999999999993733</x:v>
      </x:c>
      <x:c r="H71" s="149" t="n">
        <x:v>1.0000000000000002</x:v>
      </x:c>
      <x:c r="I71" s="143" t="str">
        <x:v>Marguerite-Bourgeoys</x:v>
      </x:c>
      <x:c r="J71" s="150" t="n">
        <x:v>0.9999999999993733</x:v>
      </x:c>
    </x:row>
    <x:row r="72">
      <x:c r="A72" s="142" t="n">
        <x:v>139</x:v>
      </x:c>
      <x:c r="B72" s="143" t="str">
        <x:v>Marie-Lacoste-Gérin-Lajoie</x:v>
      </x:c>
      <x:c r="C72" s="143" t="str">
        <x:v>Reste du Québec</x:v>
      </x:c>
      <x:c r="D72" s="148" t="n">
        <x:v>46190</x:v>
      </x:c>
      <x:c r="E72" s="149" t="n">
        <x:v>0.9999999999999999</x:v>
      </x:c>
      <x:c r="F72" s="143" t="str">
        <x:v>Johnson</x:v>
      </x:c>
      <x:c r="G72" s="149" t="n">
        <x:v>0.9136054083984205</x:v>
      </x:c>
      <x:c r="H72" s="149" t="n">
        <x:v>0.9999999999999999</x:v>
      </x:c>
      <x:c r="I72" s="143" t="str">
        <x:v>Johnson</x:v>
      </x:c>
      <x:c r="J72" s="150" t="n">
        <x:v>0.9135778350267192</x:v>
      </x:c>
    </x:row>
    <x:row r="73">
      <x:c r="A73" s="142" t="n">
        <x:v>219</x:v>
      </x:c>
      <x:c r="B73" s="143" t="str">
        <x:v>Marie-Victorin</x:v>
      </x:c>
      <x:c r="C73" s="143" t="str">
        <x:v>Banlieue de Montréal</x:v>
      </x:c>
      <x:c r="D73" s="148" t="n">
        <x:v>44322</x:v>
      </x:c>
      <x:c r="E73" s="149" t="n">
        <x:v>1</x:v>
      </x:c>
      <x:c r="F73" s="143" t="str">
        <x:v>Marie-Victorin</x:v>
      </x:c>
      <x:c r="G73" s="149" t="n">
        <x:v>0.9999999999994486</x:v>
      </x:c>
      <x:c r="H73" s="149" t="n">
        <x:v>1</x:v>
      </x:c>
      <x:c r="I73" s="143" t="str">
        <x:v>Marie-Victorin</x:v>
      </x:c>
      <x:c r="J73" s="150" t="n">
        <x:v>0.9999999983824636</x:v>
      </x:c>
    </x:row>
    <x:row r="74">
      <x:c r="A74" s="142" t="n">
        <x:v>257</x:v>
      </x:c>
      <x:c r="B74" s="143" t="str">
        <x:v>Marquette</x:v>
      </x:c>
      <x:c r="C74" s="143" t="str">
        <x:v>Île de Montréal</x:v>
      </x:c>
      <x:c r="D74" s="148" t="n">
        <x:v>45310</x:v>
      </x:c>
      <x:c r="E74" s="149" t="n">
        <x:v>0.9999999999999999</x:v>
      </x:c>
      <x:c r="F74" s="143" t="str">
        <x:v>Marquette</x:v>
      </x:c>
      <x:c r="G74" s="149" t="n">
        <x:v>0.9999999994626357</x:v>
      </x:c>
      <x:c r="H74" s="149" t="n">
        <x:v>0.9999999999999999</x:v>
      </x:c>
      <x:c r="I74" s="143" t="str">
        <x:v>Marquette</x:v>
      </x:c>
      <x:c r="J74" s="150" t="n">
        <x:v>0.9999999994626357</x:v>
      </x:c>
    </x:row>
    <x:row r="75">
      <x:c r="A75" s="142" t="n">
        <x:v>693</x:v>
      </x:c>
      <x:c r="B75" s="143" t="str">
        <x:v>Maskinongé</x:v>
      </x:c>
      <x:c r="C75" s="143" t="str">
        <x:v>Reste du Québec</x:v>
      </x:c>
      <x:c r="D75" s="148" t="n">
        <x:v>48050</x:v>
      </x:c>
      <x:c r="E75" s="149" t="n">
        <x:v>1.0000000000000002</x:v>
      </x:c>
      <x:c r="F75" s="143" t="str">
        <x:v>Maskinongé</x:v>
      </x:c>
      <x:c r="G75" s="149" t="n">
        <x:v>0.9999974605839157</x:v>
      </x:c>
      <x:c r="H75" s="149" t="n">
        <x:v>1.0000000000000002</x:v>
      </x:c>
      <x:c r="I75" s="143" t="str">
        <x:v>Maskinongé</x:v>
      </x:c>
      <x:c r="J75" s="150" t="n">
        <x:v>0.9999974605839157</x:v>
      </x:c>
    </x:row>
    <x:row r="76">
      <x:c r="A76" s="142" t="n">
        <x:v>611</x:v>
      </x:c>
      <x:c r="B76" s="143" t="str">
        <x:v>Masson</x:v>
      </x:c>
      <x:c r="C76" s="143" t="str">
        <x:v>Banlieue de Montréal</x:v>
      </x:c>
      <x:c r="D76" s="148" t="n">
        <x:v>55017</x:v>
      </x:c>
      <x:c r="E76" s="149" t="n">
        <x:v>1.0000000000000002</x:v>
      </x:c>
      <x:c r="F76" s="143" t="str">
        <x:v>Masson</x:v>
      </x:c>
      <x:c r="G76" s="149" t="n">
        <x:v>0.999991761539911</x:v>
      </x:c>
      <x:c r="H76" s="149" t="n">
        <x:v>1.0000000000000002</x:v>
      </x:c>
      <x:c r="I76" s="143" t="str">
        <x:v>Masson</x:v>
      </x:c>
      <x:c r="J76" s="150" t="n">
        <x:v>0.999991761539911</x:v>
      </x:c>
    </x:row>
    <x:row r="77">
      <x:c r="A77" s="142" t="n">
        <x:v>807</x:v>
      </x:c>
      <x:c r="B77" s="143" t="str">
        <x:v>Matane-Matapédia-Mitis</x:v>
      </x:c>
      <x:c r="C77" s="143" t="str">
        <x:v>Reste du Québec</x:v>
      </x:c>
      <x:c r="D77" s="148" t="n">
        <x:v>46422</x:v>
      </x:c>
      <x:c r="E77" s="149" t="n">
        <x:v>1</x:v>
      </x:c>
      <x:c r="F77" s="143" t="str">
        <x:v>Matane-Matapédia</x:v>
      </x:c>
      <x:c r="G77" s="149" t="n">
        <x:v>0.9999966697743843</x:v>
      </x:c>
      <x:c r="H77" s="149" t="n">
        <x:v>1</x:v>
      </x:c>
      <x:c r="I77" s="143" t="str">
        <x:v>Matane-Matapédia</x:v>
      </x:c>
      <x:c r="J77" s="150" t="n">
        <x:v>0.9999966264589459</x:v>
      </x:c>
    </x:row>
    <x:row r="78">
      <x:c r="A78" s="142" t="n">
        <x:v>301</x:v>
      </x:c>
      <x:c r="B78" s="143" t="str">
        <x:v>Maurice-Richard</x:v>
      </x:c>
      <x:c r="C78" s="143" t="str">
        <x:v>Île de Montréal</x:v>
      </x:c>
      <x:c r="D78" s="148" t="n">
        <x:v>45662</x:v>
      </x:c>
      <x:c r="E78" s="149" t="n">
        <x:v>1</x:v>
      </x:c>
      <x:c r="F78" s="143" t="str">
        <x:v>Maurice-Richard</x:v>
      </x:c>
      <x:c r="G78" s="149" t="n">
        <x:v>0.9999999999993016</x:v>
      </x:c>
      <x:c r="H78" s="149" t="n">
        <x:v>1</x:v>
      </x:c>
      <x:c r="I78" s="143" t="str">
        <x:v>Maurice-Richard</x:v>
      </x:c>
      <x:c r="J78" s="150" t="n">
        <x:v>0.9999999999993016</x:v>
      </x:c>
    </x:row>
    <x:row r="79">
      <x:c r="A79" s="142" t="n">
        <x:v>117</x:v>
      </x:c>
      <x:c r="B79" s="143" t="str">
        <x:v>Mégantic</x:v>
      </x:c>
      <x:c r="C79" s="143" t="str">
        <x:v>Reste du Québec</x:v>
      </x:c>
      <x:c r="D79" s="148" t="n">
        <x:v>51718</x:v>
      </x:c>
      <x:c r="E79" s="149" t="n">
        <x:v>0.9999999999999999</x:v>
      </x:c>
      <x:c r="F79" s="143" t="str">
        <x:v>Mégantic</x:v>
      </x:c>
      <x:c r="G79" s="149" t="n">
        <x:v>0.7683398429946883</x:v>
      </x:c>
      <x:c r="H79" s="149" t="n">
        <x:v>0.9999999999999999</x:v>
      </x:c>
      <x:c r="I79" s="143" t="str">
        <x:v>Mégantic</x:v>
      </x:c>
      <x:c r="J79" s="150" t="n">
        <x:v>0.7683175417446171</x:v>
      </x:c>
    </x:row>
    <x:row r="80">
      <x:c r="A80" s="142" t="n">
        <x:v>313</x:v>
      </x:c>
      <x:c r="B80" s="143" t="str">
        <x:v>Mercier</x:v>
      </x:c>
      <x:c r="C80" s="143" t="str">
        <x:v>Île de Montréal</x:v>
      </x:c>
      <x:c r="D80" s="148" t="n">
        <x:v>44748</x:v>
      </x:c>
      <x:c r="E80" s="149" t="n">
        <x:v>1</x:v>
      </x:c>
      <x:c r="F80" s="143" t="str">
        <x:v>Mercier</x:v>
      </x:c>
      <x:c r="G80" s="149" t="n">
        <x:v>0.999967165047234</x:v>
      </x:c>
      <x:c r="H80" s="149" t="n">
        <x:v>1</x:v>
      </x:c>
      <x:c r="I80" s="143" t="str">
        <x:v>Mercier</x:v>
      </x:c>
      <x:c r="J80" s="150" t="n">
        <x:v>0.999967165047234</x:v>
      </x:c>
    </x:row>
    <x:row r="81">
      <x:c r="A81" s="142" t="n">
        <x:v>571</x:v>
      </x:c>
      <x:c r="B81" s="143" t="str">
        <x:v>Mille-Îles</x:v>
      </x:c>
      <x:c r="C81" s="143" t="str">
        <x:v>Banlieue de Montréal</x:v>
      </x:c>
      <x:c r="D81" s="148" t="n">
        <x:v>49728</x:v>
      </x:c>
      <x:c r="E81" s="149" t="n">
        <x:v>1</x:v>
      </x:c>
      <x:c r="F81" s="143" t="str">
        <x:v>Mille-Îles</x:v>
      </x:c>
      <x:c r="G81" s="149" t="n">
        <x:v>0.9105333011579494</x:v>
      </x:c>
      <x:c r="H81" s="149" t="n">
        <x:v>1</x:v>
      </x:c>
      <x:c r="I81" s="143" t="str">
        <x:v>Mille-Îles</x:v>
      </x:c>
      <x:c r="J81" s="150" t="n">
        <x:v>0.9105333011579494</x:v>
      </x:c>
    </x:row>
    <x:row r="82">
      <x:c r="A82" s="142" t="n">
        <x:v>587</x:v>
      </x:c>
      <x:c r="B82" s="143" t="str">
        <x:v>Mirabel</x:v>
      </x:c>
      <x:c r="C82" s="143" t="str">
        <x:v>Banlieue de Montréal</x:v>
      </x:c>
      <x:c r="D82" s="148" t="n">
        <x:v>54978</x:v>
      </x:c>
      <x:c r="E82" s="149" t="n">
        <x:v>1</x:v>
      </x:c>
      <x:c r="F82" s="143" t="str">
        <x:v>Mirabel</x:v>
      </x:c>
      <x:c r="G82" s="149" t="n">
        <x:v>0.9999474635599614</x:v>
      </x:c>
      <x:c r="H82" s="149" t="n">
        <x:v>1</x:v>
      </x:c>
      <x:c r="I82" s="143" t="str">
        <x:v>Mirabel</x:v>
      </x:c>
      <x:c r="J82" s="150" t="n">
        <x:v>0.9999474635599614</x:v>
      </x:c>
    </x:row>
    <x:row r="83">
      <x:c r="A83" s="142" t="n">
        <x:v>227</x:v>
      </x:c>
      <x:c r="B83" s="143" t="str">
        <x:v>Montarville</x:v>
      </x:c>
      <x:c r="C83" s="143" t="str">
        <x:v>Banlieue de Montréal</x:v>
      </x:c>
      <x:c r="D83" s="148" t="n">
        <x:v>53573</x:v>
      </x:c>
      <x:c r="E83" s="149" t="n">
        <x:v>0.9999999999999999</x:v>
      </x:c>
      <x:c r="F83" s="143" t="str">
        <x:v>Montarville</x:v>
      </x:c>
      <x:c r="G83" s="149" t="n">
        <x:v>0.9999999999998664</x:v>
      </x:c>
      <x:c r="H83" s="149" t="n">
        <x:v>0.9999999999999999</x:v>
      </x:c>
      <x:c r="I83" s="143" t="str">
        <x:v>Montarville</x:v>
      </x:c>
      <x:c r="J83" s="150" t="n">
        <x:v>0.999527911536662</x:v>
      </x:c>
    </x:row>
    <x:row r="84">
      <x:c r="A84" s="142" t="n">
        <x:v>761</x:v>
      </x:c>
      <x:c r="B84" s="143" t="str">
        <x:v>Montmorency</x:v>
      </x:c>
      <x:c r="C84" s="143" t="str">
        <x:v>Québec RMR</x:v>
      </x:c>
      <x:c r="D84" s="148" t="n">
        <x:v>58018</x:v>
      </x:c>
      <x:c r="E84" s="149" t="n">
        <x:v>1</x:v>
      </x:c>
      <x:c r="F84" s="143" t="str">
        <x:v>Montmorency</x:v>
      </x:c>
      <x:c r="G84" s="149" t="n">
        <x:v>0.999983411536557</x:v>
      </x:c>
      <x:c r="H84" s="149" t="n">
        <x:v>1</x:v>
      </x:c>
      <x:c r="I84" s="143" t="str">
        <x:v>Montmorency</x:v>
      </x:c>
      <x:c r="J84" s="150" t="n">
        <x:v>0.9999695700538285</x:v>
      </x:c>
    </x:row>
    <x:row r="85">
      <x:c r="A85" s="142" t="n">
        <x:v>297</x:v>
      </x:c>
      <x:c r="B85" s="143" t="str">
        <x:v>Mont-Royal-Outremont</x:v>
      </x:c>
      <x:c r="C85" s="143" t="str">
        <x:v>Île de Montréal</x:v>
      </x:c>
      <x:c r="D85" s="148" t="n">
        <x:v>58352</x:v>
      </x:c>
      <x:c r="E85" s="149" t="n">
        <x:v>1</x:v>
      </x:c>
      <x:c r="F85" s="143" t="str">
        <x:v>Mont-Royal-Outremont</x:v>
      </x:c>
      <x:c r="G85" s="149" t="n">
        <x:v>0.999999994080044</x:v>
      </x:c>
      <x:c r="H85" s="149" t="n">
        <x:v>1</x:v>
      </x:c>
      <x:c r="I85" s="143" t="str">
        <x:v>Mont-Royal-Outremont</x:v>
      </x:c>
      <x:c r="J85" s="150" t="n">
        <x:v>0.999999984259995</x:v>
      </x:c>
    </x:row>
    <x:row r="86">
      <x:c r="A86" s="142" t="n">
        <x:v>261</x:v>
      </x:c>
      <x:c r="B86" s="143" t="str">
        <x:v>Nelligan</x:v>
      </x:c>
      <x:c r="C86" s="143" t="str">
        <x:v>Île de Montréal</x:v>
      </x:c>
      <x:c r="D86" s="148" t="n">
        <x:v>57949</x:v>
      </x:c>
      <x:c r="E86" s="149" t="n">
        <x:v>0.9999999999999999</x:v>
      </x:c>
      <x:c r="F86" s="143" t="str">
        <x:v>Nelligan</x:v>
      </x:c>
      <x:c r="G86" s="149" t="n">
        <x:v>0.9999326071193891</x:v>
      </x:c>
      <x:c r="H86" s="149" t="n">
        <x:v>0.9999999999999999</x:v>
      </x:c>
      <x:c r="I86" s="143" t="str">
        <x:v>Nelligan</x:v>
      </x:c>
      <x:c r="J86" s="150" t="n">
        <x:v>0.9999326071193891</x:v>
      </x:c>
    </x:row>
    <x:row r="87">
      <x:c r="A87" s="142" t="n">
        <x:v>151</x:v>
      </x:c>
      <x:c r="B87" s="143" t="str">
        <x:v>Nicolet-Bécancour</x:v>
      </x:c>
      <x:c r="C87" s="143" t="str">
        <x:v>Reste du Québec</x:v>
      </x:c>
      <x:c r="D87" s="148" t="n">
        <x:v>41028</x:v>
      </x:c>
      <x:c r="E87" s="149" t="n">
        <x:v>1</x:v>
      </x:c>
      <x:c r="F87" s="143" t="str">
        <x:v>Nicolet-Bécancour</x:v>
      </x:c>
      <x:c r="G87" s="149" t="n">
        <x:v>0.9620893549296967</x:v>
      </x:c>
      <x:c r="H87" s="149" t="n">
        <x:v>1</x:v>
      </x:c>
      <x:c r="I87" s="143" t="str">
        <x:v>Nicolet-Bécancour</x:v>
      </x:c>
      <x:c r="J87" s="150" t="n">
        <x:v>0.9620893549296967</x:v>
      </x:c>
    </x:row>
    <x:row r="88">
      <x:c r="A88" s="142" t="n">
        <x:v>279</x:v>
      </x:c>
      <x:c r="B88" s="143" t="str">
        <x:v>Notre-Dame-de-Grâce</x:v>
      </x:c>
      <x:c r="C88" s="143" t="str">
        <x:v>Île de Montréal</x:v>
      </x:c>
      <x:c r="D88" s="148" t="n">
        <x:v>46956</x:v>
      </x:c>
      <x:c r="E88" s="149" t="n">
        <x:v>1.0000000000000002</x:v>
      </x:c>
      <x:c r="F88" s="143" t="str">
        <x:v>Notre-Dame-de-Grâce</x:v>
      </x:c>
      <x:c r="G88" s="149" t="n">
        <x:v>0.9999999993447667</x:v>
      </x:c>
      <x:c r="H88" s="149" t="n">
        <x:v>1.0000000000000002</x:v>
      </x:c>
      <x:c r="I88" s="143" t="str">
        <x:v>Notre-Dame-de-Grâce</x:v>
      </x:c>
      <x:c r="J88" s="150" t="n">
        <x:v>0.9999999993447667</x:v>
      </x:c>
    </x:row>
    <x:row r="89">
      <x:c r="A89" s="142" t="n">
        <x:v>127</x:v>
      </x:c>
      <x:c r="B89" s="143" t="str">
        <x:v>Orford</x:v>
      </x:c>
      <x:c r="C89" s="143" t="str">
        <x:v>Reste du Québec</x:v>
      </x:c>
      <x:c r="D89" s="148" t="n">
        <x:v>47621</x:v>
      </x:c>
      <x:c r="E89" s="149" t="n">
        <x:v>1</x:v>
      </x:c>
      <x:c r="F89" s="143" t="str">
        <x:v>Orford</x:v>
      </x:c>
      <x:c r="G89" s="149" t="n">
        <x:v>0.9999890161028874</x:v>
      </x:c>
      <x:c r="H89" s="149" t="n">
        <x:v>1</x:v>
      </x:c>
      <x:c r="I89" s="143" t="str">
        <x:v>Orford</x:v>
      </x:c>
      <x:c r="J89" s="150" t="n">
        <x:v>0.9999136610124596</x:v>
      </x:c>
    </x:row>
    <x:row r="90">
      <x:c r="A90" s="142" t="n">
        <x:v>669</x:v>
      </x:c>
      <x:c r="B90" s="143" t="str">
        <x:v>Papineau</x:v>
      </x:c>
      <x:c r="C90" s="143" t="str">
        <x:v>Banlieue de Montréal</x:v>
      </x:c>
      <x:c r="D90" s="148" t="n">
        <x:v>60571</x:v>
      </x:c>
      <x:c r="E90" s="149" t="n">
        <x:v>1.0000000000000002</x:v>
      </x:c>
      <x:c r="F90" s="143" t="str">
        <x:v>Papineau</x:v>
      </x:c>
      <x:c r="G90" s="149" t="n">
        <x:v>0.9999357756450343</x:v>
      </x:c>
      <x:c r="H90" s="149" t="n">
        <x:v>1.0000000000000002</x:v>
      </x:c>
      <x:c r="I90" s="143" t="str">
        <x:v>Papineau</x:v>
      </x:c>
      <x:c r="J90" s="150" t="n">
        <x:v>0.999930959024131</x:v>
      </x:c>
    </x:row>
    <x:row r="91">
      <x:c r="A91" s="142" t="n">
        <x:v>217</x:v>
      </x:c>
      <x:c r="B91" s="143" t="str">
        <x:v>Pierre-Laporte</x:v>
      </x:c>
      <x:c r="C91" s="143" t="str">
        <x:v>Banlieue de Montréal</x:v>
      </x:c>
      <x:c r="D91" s="148" t="n">
        <x:v>52851</x:v>
      </x:c>
      <x:c r="E91" s="149" t="n">
        <x:v>1</x:v>
      </x:c>
      <x:c r="F91" s="143" t="str">
        <x:v>Laporte</x:v>
      </x:c>
      <x:c r="G91" s="149" t="n">
        <x:v>0.9999999999988796</x:v>
      </x:c>
      <x:c r="H91" s="149" t="n">
        <x:v>1</x:v>
      </x:c>
      <x:c r="I91" s="143" t="str">
        <x:v>Laporte</x:v>
      </x:c>
      <x:c r="J91" s="150" t="n">
        <x:v>0.9997568989074797</x:v>
      </x:c>
    </x:row>
    <x:row r="92">
      <x:c r="A92" s="142" t="n">
        <x:v>341</x:v>
      </x:c>
      <x:c r="B92" s="143" t="str">
        <x:v>Pointe-aux-Trembles</x:v>
      </x:c>
      <x:c r="C92" s="143" t="str">
        <x:v>Île de Montréal</x:v>
      </x:c>
      <x:c r="D92" s="148" t="n">
        <x:v>41365</x:v>
      </x:c>
      <x:c r="E92" s="149" t="n">
        <x:v>1</x:v>
      </x:c>
      <x:c r="F92" s="143" t="str">
        <x:v>Pointe-aux-Trembles</x:v>
      </x:c>
      <x:c r="G92" s="149" t="n">
        <x:v>0.9999999999582615</x:v>
      </x:c>
      <x:c r="H92" s="149" t="n">
        <x:v>1</x:v>
      </x:c>
      <x:c r="I92" s="143" t="str">
        <x:v>Pointe-aux-Trembles</x:v>
      </x:c>
      <x:c r="J92" s="150" t="n">
        <x:v>0.99999999880216</x:v>
      </x:c>
    </x:row>
    <x:row r="93">
      <x:c r="A93" s="142" t="n">
        <x:v>657</x:v>
      </x:c>
      <x:c r="B93" s="143" t="str">
        <x:v>Pontiac</x:v>
      </x:c>
      <x:c r="C93" s="143" t="str">
        <x:v>Reste du Québec</x:v>
      </x:c>
      <x:c r="D93" s="148" t="n">
        <x:v>56082</x:v>
      </x:c>
      <x:c r="E93" s="149" t="n">
        <x:v>1</x:v>
      </x:c>
      <x:c r="F93" s="143" t="str">
        <x:v>Pontiac</x:v>
      </x:c>
      <x:c r="G93" s="149" t="n">
        <x:v>0.999931342651428</x:v>
      </x:c>
      <x:c r="H93" s="149" t="n">
        <x:v>1</x:v>
      </x:c>
      <x:c r="I93" s="143" t="str">
        <x:v>Pontiac</x:v>
      </x:c>
      <x:c r="J93" s="150" t="n">
        <x:v>0.9999010925202753</x:v>
      </x:c>
    </x:row>
    <x:row r="94">
      <x:c r="A94" s="142" t="n">
        <x:v>727</x:v>
      </x:c>
      <x:c r="B94" s="143" t="str">
        <x:v>Portneuf</x:v>
      </x:c>
      <x:c r="C94" s="143" t="str">
        <x:v>Québec RMR</x:v>
      </x:c>
      <x:c r="D94" s="148" t="n">
        <x:v>55874</x:v>
      </x:c>
      <x:c r="E94" s="149" t="n">
        <x:v>0.9999999999999998</x:v>
      </x:c>
      <x:c r="F94" s="143" t="str">
        <x:v>Portneuf</x:v>
      </x:c>
      <x:c r="G94" s="149" t="n">
        <x:v>0.8356659627017631</x:v>
      </x:c>
      <x:c r="H94" s="149" t="n">
        <x:v>0.9999999999999999</x:v>
      </x:c>
      <x:c r="I94" s="143" t="str">
        <x:v>Portneuf</x:v>
      </x:c>
      <x:c r="J94" s="150" t="n">
        <x:v>0.8355809785520014</x:v>
      </x:c>
    </x:row>
    <x:row r="95">
      <x:c r="A95" s="142" t="n">
        <x:v>637</x:v>
      </x:c>
      <x:c r="B95" s="143" t="str">
        <x:v>Prévost</x:v>
      </x:c>
      <x:c r="C95" s="143" t="str">
        <x:v>Banlieue de Montréal</x:v>
      </x:c>
      <x:c r="D95" s="148" t="n">
        <x:v>53145</x:v>
      </x:c>
      <x:c r="E95" s="149" t="n">
        <x:v>1</x:v>
      </x:c>
      <x:c r="F95" s="143" t="str">
        <x:v>Prévost</x:v>
      </x:c>
      <x:c r="G95" s="149" t="n">
        <x:v>0.9991186872360301</x:v>
      </x:c>
      <x:c r="H95" s="149" t="n">
        <x:v>1</x:v>
      </x:c>
      <x:c r="I95" s="143" t="str">
        <x:v>Prévost</x:v>
      </x:c>
      <x:c r="J95" s="150" t="n">
        <x:v>0.9991186872360301</x:v>
      </x:c>
    </x:row>
    <x:row r="96">
      <x:c r="A96" s="142" t="n">
        <x:v>817</x:v>
      </x:c>
      <x:c r="B96" s="143" t="str">
        <x:v>René-Lévesque</x:v>
      </x:c>
      <x:c r="C96" s="143" t="str">
        <x:v>Reste du Québec</x:v>
      </x:c>
      <x:c r="D96" s="148" t="n">
        <x:v>31966</x:v>
      </x:c>
      <x:c r="E96" s="149" t="n">
        <x:v>1</x:v>
      </x:c>
      <x:c r="F96" s="143" t="str">
        <x:v>René-Lévesque</x:v>
      </x:c>
      <x:c r="G96" s="149" t="n">
        <x:v>0.9999999999999967</x:v>
      </x:c>
      <x:c r="H96" s="149" t="n">
        <x:v>1</x:v>
      </x:c>
      <x:c r="I96" s="143" t="str">
        <x:v>René-Lévesque</x:v>
      </x:c>
      <x:c r="J96" s="150" t="n">
        <x:v>0.9999999999999967</x:v>
      </x:c>
    </x:row>
    <x:row r="97">
      <x:c r="A97" s="142" t="n">
        <x:v>617</x:v>
      </x:c>
      <x:c r="B97" s="143" t="str">
        <x:v>Repentigny</x:v>
      </x:c>
      <x:c r="C97" s="143" t="str">
        <x:v>Banlieue de Montréal</x:v>
      </x:c>
      <x:c r="D97" s="148" t="n">
        <x:v>56379</x:v>
      </x:c>
      <x:c r="E97" s="149" t="n">
        <x:v>1.0000000000000002</x:v>
      </x:c>
      <x:c r="F97" s="143" t="str">
        <x:v>Repentigny</x:v>
      </x:c>
      <x:c r="G97" s="149" t="n">
        <x:v>0.9080686065513773</x:v>
      </x:c>
      <x:c r="H97" s="149" t="n">
        <x:v>1.0000000000000002</x:v>
      </x:c>
      <x:c r="I97" s="143" t="str">
        <x:v>Repentigny</x:v>
      </x:c>
      <x:c r="J97" s="150" t="n">
        <x:v>0.9074319912823164</x:v>
      </x:c>
    </x:row>
    <x:row r="98">
      <x:c r="A98" s="142" t="n">
        <x:v>241</x:v>
      </x:c>
      <x:c r="B98" s="143" t="str">
        <x:v>Richelieu</x:v>
      </x:c>
      <x:c r="C98" s="143" t="str">
        <x:v>Banlieue de Montréal</x:v>
      </x:c>
      <x:c r="D98" s="148" t="n">
        <x:v>54021</x:v>
      </x:c>
      <x:c r="E98" s="149" t="n">
        <x:v>1</x:v>
      </x:c>
      <x:c r="F98" s="143" t="str">
        <x:v>Richelieu</x:v>
      </x:c>
      <x:c r="G98" s="149" t="n">
        <x:v>0.8574807352004895</x:v>
      </x:c>
      <x:c r="H98" s="149" t="n">
        <x:v>1</x:v>
      </x:c>
      <x:c r="I98" s="143" t="str">
        <x:v>Richelieu</x:v>
      </x:c>
      <x:c r="J98" s="150" t="n">
        <x:v>0.8574807352004895</x:v>
      </x:c>
    </x:row>
    <x:row r="99">
      <x:c r="A99" s="142" t="n">
        <x:v>137</x:v>
      </x:c>
      <x:c r="B99" s="143" t="str">
        <x:v>Richmond</x:v>
      </x:c>
      <x:c r="C99" s="143" t="str">
        <x:v>Reste du Québec</x:v>
      </x:c>
      <x:c r="D99" s="148" t="n">
        <x:v>58966</x:v>
      </x:c>
      <x:c r="E99" s="149" t="n">
        <x:v>0.9999999999999999</x:v>
      </x:c>
      <x:c r="F99" s="143" t="str">
        <x:v>Richmond</x:v>
      </x:c>
      <x:c r="G99" s="149" t="n">
        <x:v>0.8619882644234347</x:v>
      </x:c>
      <x:c r="H99" s="149" t="n">
        <x:v>0.9999999999999999</x:v>
      </x:c>
      <x:c r="I99" s="143" t="str">
        <x:v>Richmond</x:v>
      </x:c>
      <x:c r="J99" s="150" t="n">
        <x:v>0.8619882647255006</x:v>
      </x:c>
    </x:row>
    <x:row r="100">
      <x:c r="A100" s="142" t="n">
        <x:v>803</x:v>
      </x:c>
      <x:c r="B100" s="143" t="str">
        <x:v>Rimouski</x:v>
      </x:c>
      <x:c r="C100" s="143" t="str">
        <x:v>Reste du Québec</x:v>
      </x:c>
      <x:c r="D100" s="148" t="n">
        <x:v>46343</x:v>
      </x:c>
      <x:c r="E100" s="149" t="n">
        <x:v>1</x:v>
      </x:c>
      <x:c r="F100" s="143" t="str">
        <x:v>Rimouski</x:v>
      </x:c>
      <x:c r="G100" s="149" t="n">
        <x:v>0.999999999987145</x:v>
      </x:c>
      <x:c r="H100" s="149" t="n">
        <x:v>1</x:v>
      </x:c>
      <x:c r="I100" s="143" t="str">
        <x:v>Rimouski</x:v>
      </x:c>
      <x:c r="J100" s="150" t="n">
        <x:v>0.999999999987145</x:v>
      </x:c>
    </x:row>
    <x:row r="101">
      <x:c r="A101" s="142" t="n">
        <x:v>801</x:v>
      </x:c>
      <x:c r="B101" s="143" t="str">
        <x:v>Rivière-du-Loup–Témiscouata–Les Basques</x:v>
      </x:c>
      <x:c r="C101" s="143" t="str">
        <x:v>Reste du Québec</x:v>
      </x:c>
      <x:c r="D101" s="148" t="n">
        <x:v>51933</x:v>
      </x:c>
      <x:c r="E101" s="149" t="n">
        <x:v>1</x:v>
      </x:c>
      <x:c r="F101" s="143" t="str">
        <x:v>Rivière-du-Loup-Témiscouata</x:v>
      </x:c>
      <x:c r="G101" s="149" t="n">
        <x:v>0.9999999999999891</x:v>
      </x:c>
      <x:c r="H101" s="149" t="n">
        <x:v>1</x:v>
      </x:c>
      <x:c r="I101" s="143" t="str">
        <x:v>Rivière-du-Loup-Témiscouata</x:v>
      </x:c>
      <x:c r="J101" s="150" t="n">
        <x:v>0.9999999998638172</x:v>
      </x:c>
    </x:row>
    <x:row r="102">
      <x:c r="A102" s="142" t="n">
        <x:v>267</x:v>
      </x:c>
      <x:c r="B102" s="143" t="str">
        <x:v>Robert-Baldwin</x:v>
      </x:c>
      <x:c r="C102" s="143" t="str">
        <x:v>Île de Montréal</x:v>
      </x:c>
      <x:c r="D102" s="148" t="n">
        <x:v>54871</x:v>
      </x:c>
      <x:c r="E102" s="149" t="n">
        <x:v>1</x:v>
      </x:c>
      <x:c r="F102" s="143" t="str">
        <x:v>Robert-Baldwin</x:v>
      </x:c>
      <x:c r="G102" s="149" t="n">
        <x:v>0.9998924910973966</x:v>
      </x:c>
      <x:c r="H102" s="149" t="n">
        <x:v>0.9999999999999999</x:v>
      </x:c>
      <x:c r="I102" s="143" t="str">
        <x:v>Robert-Baldwin</x:v>
      </x:c>
      <x:c r="J102" s="150" t="n">
        <x:v>0.9998924640493021</x:v>
      </x:c>
    </x:row>
    <x:row r="103">
      <x:c r="A103" s="142" t="n">
        <x:v>829</x:v>
      </x:c>
      <x:c r="B103" s="143" t="str">
        <x:v>Roberval</x:v>
      </x:c>
      <x:c r="C103" s="143" t="str">
        <x:v>Reste du Québec</x:v>
      </x:c>
      <x:c r="D103" s="148" t="n">
        <x:v>44510</x:v>
      </x:c>
      <x:c r="E103" s="149" t="n">
        <x:v>1</x:v>
      </x:c>
      <x:c r="F103" s="143" t="str">
        <x:v>Roberval</x:v>
      </x:c>
      <x:c r="G103" s="149" t="n">
        <x:v>0.9999999999991097</x:v>
      </x:c>
      <x:c r="H103" s="149" t="n">
        <x:v>1</x:v>
      </x:c>
      <x:c r="I103" s="143" t="str">
        <x:v>Roberval</x:v>
      </x:c>
      <x:c r="J103" s="150" t="n">
        <x:v>0.9999999999991097</x:v>
      </x:c>
    </x:row>
    <x:row r="104">
      <x:c r="A104" s="142" t="n">
        <x:v>319</x:v>
      </x:c>
      <x:c r="B104" s="143" t="str">
        <x:v>Rosemont</x:v>
      </x:c>
      <x:c r="C104" s="143" t="str">
        <x:v>Île de Montréal</x:v>
      </x:c>
      <x:c r="D104" s="148" t="n">
        <x:v>51659</x:v>
      </x:c>
      <x:c r="E104" s="149" t="n">
        <x:v>0.9999999999999999</x:v>
      </x:c>
      <x:c r="F104" s="143" t="str">
        <x:v>Rosemont</x:v>
      </x:c>
      <x:c r="G104" s="149" t="n">
        <x:v>0.9999999997481231</x:v>
      </x:c>
      <x:c r="H104" s="149" t="n">
        <x:v>0.9999999999999999</x:v>
      </x:c>
      <x:c r="I104" s="143" t="str">
        <x:v>Rosemont</x:v>
      </x:c>
      <x:c r="J104" s="150" t="n">
        <x:v>0.9999999997481231</x:v>
      </x:c>
    </x:row>
    <x:row r="105">
      <x:c r="A105" s="142" t="n">
        <x:v>631</x:v>
      </x:c>
      <x:c r="B105" s="143" t="str">
        <x:v>Rousseau</x:v>
      </x:c>
      <x:c r="C105" s="143" t="str">
        <x:v>Banlieue de Montréal</x:v>
      </x:c>
      <x:c r="D105" s="148" t="n">
        <x:v>49265</x:v>
      </x:c>
      <x:c r="E105" s="149" t="n">
        <x:v>1</x:v>
      </x:c>
      <x:c r="F105" s="143" t="str">
        <x:v>Rousseau</x:v>
      </x:c>
      <x:c r="G105" s="149" t="n">
        <x:v>0.9990699279823196</x:v>
      </x:c>
      <x:c r="H105" s="149" t="n">
        <x:v>1</x:v>
      </x:c>
      <x:c r="I105" s="143" t="str">
        <x:v>Rousseau</x:v>
      </x:c>
      <x:c r="J105" s="150" t="n">
        <x:v>0.9990408525172163</x:v>
      </x:c>
    </x:row>
    <x:row r="106">
      <x:c r="A106" s="142" t="n">
        <x:v>671</x:v>
      </x:c>
      <x:c r="B106" s="143" t="str">
        <x:v>Rouyn-Noranda-Témiscamingue</x:v>
      </x:c>
      <x:c r="C106" s="143" t="str">
        <x:v>Reste du Québec</x:v>
      </x:c>
      <x:c r="D106" s="148" t="n">
        <x:v>44427</x:v>
      </x:c>
      <x:c r="E106" s="149" t="n">
        <x:v>1.0000000000000002</x:v>
      </x:c>
      <x:c r="F106" s="143" t="str">
        <x:v>Rouyn-Noranda-Témiscamingue</x:v>
      </x:c>
      <x:c r="G106" s="149" t="n">
        <x:v>0.9999999999999969</x:v>
      </x:c>
      <x:c r="H106" s="149" t="n">
        <x:v>1.0000000000000002</x:v>
      </x:c>
      <x:c r="I106" s="143" t="str">
        <x:v>Rouyn-Noranda-Témiscamingue</x:v>
      </x:c>
      <x:c r="J106" s="150" t="n">
        <x:v>0.9999999999960002</x:v>
      </x:c>
    </x:row>
    <x:row r="107">
      <x:c r="A107" s="142" t="n">
        <x:v>119</x:v>
      </x:c>
      <x:c r="B107" s="143" t="str">
        <x:v>Saint-François</x:v>
      </x:c>
      <x:c r="C107" s="143" t="str">
        <x:v>Reste du Québec</x:v>
      </x:c>
      <x:c r="D107" s="148" t="n">
        <x:v>54720</x:v>
      </x:c>
      <x:c r="E107" s="149" t="n">
        <x:v>0.9999999999999999</x:v>
      </x:c>
      <x:c r="F107" s="143" t="str">
        <x:v>Saint-François</x:v>
      </x:c>
      <x:c r="G107" s="149" t="n">
        <x:v>0.9999999999998006</x:v>
      </x:c>
      <x:c r="H107" s="149" t="n">
        <x:v>0.9999999999999999</x:v>
      </x:c>
      <x:c r="I107" s="143" t="str">
        <x:v>Saint-François</x:v>
      </x:c>
      <x:c r="J107" s="150" t="n">
        <x:v>0.9999924503107548</x:v>
      </x:c>
    </x:row>
    <x:row r="108">
      <x:c r="A108" s="142" t="n">
        <x:v>281</x:v>
      </x:c>
      <x:c r="B108" s="143" t="str">
        <x:v>Saint-Henri-Sainte-Anne</x:v>
      </x:c>
      <x:c r="C108" s="143" t="str">
        <x:v>Île de Montréal</x:v>
      </x:c>
      <x:c r="D108" s="148" t="n">
        <x:v>59379</x:v>
      </x:c>
      <x:c r="E108" s="149" t="n">
        <x:v>0.9999999999999999</x:v>
      </x:c>
      <x:c r="F108" s="143" t="str">
        <x:v>Saint-Henri-Sainte-Anne</x:v>
      </x:c>
      <x:c r="G108" s="149" t="n">
        <x:v>0.9999999999655732</x:v>
      </x:c>
      <x:c r="H108" s="149" t="n">
        <x:v>0.9999999999999999</x:v>
      </x:c>
      <x:c r="I108" s="143" t="str">
        <x:v>Saint-Henri-Sainte-Anne</x:v>
      </x:c>
      <x:c r="J108" s="150" t="n">
        <x:v>0.9999999997328687</x:v>
      </x:c>
    </x:row>
    <x:row r="109">
      <x:c r="A109" s="142" t="n">
        <x:v>239</x:v>
      </x:c>
      <x:c r="B109" s="143" t="str">
        <x:v>Saint-Hyacinthe</x:v>
      </x:c>
      <x:c r="C109" s="143" t="str">
        <x:v>Reste du Québec</x:v>
      </x:c>
      <x:c r="D109" s="148" t="n">
        <x:v>55483</x:v>
      </x:c>
      <x:c r="E109" s="149" t="n">
        <x:v>1</x:v>
      </x:c>
      <x:c r="F109" s="143" t="str">
        <x:v>Saint-Hyacinthe</x:v>
      </x:c>
      <x:c r="G109" s="149" t="n">
        <x:v>0.9260359827519233</x:v>
      </x:c>
      <x:c r="H109" s="149" t="n">
        <x:v>1</x:v>
      </x:c>
      <x:c r="I109" s="143" t="str">
        <x:v>Saint-Hyacinthe</x:v>
      </x:c>
      <x:c r="J109" s="150" t="n">
        <x:v>0.9260358888864745</x:v>
      </x:c>
    </x:row>
    <x:row r="110">
      <x:c r="A110" s="142" t="n">
        <x:v>167</x:v>
      </x:c>
      <x:c r="B110" s="143" t="str">
        <x:v>Saint-Jean</x:v>
      </x:c>
      <x:c r="C110" s="143" t="str">
        <x:v>Banlieue de Montréal</x:v>
      </x:c>
      <x:c r="D110" s="148" t="n">
        <x:v>61288</x:v>
      </x:c>
      <x:c r="E110" s="149" t="n">
        <x:v>1</x:v>
      </x:c>
      <x:c r="F110" s="143" t="str">
        <x:v>Saint-Jean</x:v>
      </x:c>
      <x:c r="G110" s="149" t="n">
        <x:v>0.9999847147857226</x:v>
      </x:c>
      <x:c r="H110" s="149" t="n">
        <x:v>1</x:v>
      </x:c>
      <x:c r="I110" s="143" t="str">
        <x:v>Saint-Jean</x:v>
      </x:c>
      <x:c r="J110" s="150" t="n">
        <x:v>0.9999847147274713</x:v>
      </x:c>
    </x:row>
    <x:row r="111">
      <x:c r="A111" s="142" t="n">
        <x:v>597</x:v>
      </x:c>
      <x:c r="B111" s="143" t="str">
        <x:v>Saint-Jérôme</x:v>
      </x:c>
      <x:c r="C111" s="143" t="str">
        <x:v>Reste du Québec</x:v>
      </x:c>
      <x:c r="D111" s="148" t="n">
        <x:v>45854</x:v>
      </x:c>
      <x:c r="E111" s="149" t="n">
        <x:v>1</x:v>
      </x:c>
      <x:c r="F111" s="143" t="str">
        <x:v>Saint-Jérôme</x:v>
      </x:c>
      <x:c r="G111" s="149" t="n">
        <x:v>0.9998912552214497</x:v>
      </x:c>
      <x:c r="H111" s="149" t="n">
        <x:v>1</x:v>
      </x:c>
      <x:c r="I111" s="143" t="str">
        <x:v>Saint-Jérôme</x:v>
      </x:c>
      <x:c r="J111" s="150" t="n">
        <x:v>0.9998912552214497</x:v>
      </x:c>
    </x:row>
    <x:row r="112">
      <x:c r="A112" s="142" t="n">
        <x:v>271</x:v>
      </x:c>
      <x:c r="B112" s="143" t="str">
        <x:v>Saint-Laurent</x:v>
      </x:c>
      <x:c r="C112" s="143" t="str">
        <x:v>Île de Montréal</x:v>
      </x:c>
      <x:c r="D112" s="148" t="n">
        <x:v>59166</x:v>
      </x:c>
      <x:c r="E112" s="149" t="n">
        <x:v>0.9999999999999999</x:v>
      </x:c>
      <x:c r="F112" s="143" t="str">
        <x:v>Saint-Laurent</x:v>
      </x:c>
      <x:c r="G112" s="149" t="n">
        <x:v>0.999999999980389</x:v>
      </x:c>
      <x:c r="H112" s="149" t="n">
        <x:v>0.9999999999999999</x:v>
      </x:c>
      <x:c r="I112" s="143" t="str">
        <x:v>Saint-Laurent</x:v>
      </x:c>
      <x:c r="J112" s="150" t="n">
        <x:v>0.9999999999995461</x:v>
      </x:c>
    </x:row>
    <x:row r="113">
      <x:c r="A113" s="142" t="n">
        <x:v>287</x:v>
      </x:c>
      <x:c r="B113" s="143" t="str">
        <x:v>Sainte-Marie-Saint-Jacques</x:v>
      </x:c>
      <x:c r="C113" s="143" t="str">
        <x:v>Île de Montréal</x:v>
      </x:c>
      <x:c r="D113" s="148" t="n">
        <x:v>42197</x:v>
      </x:c>
      <x:c r="E113" s="149" t="n">
        <x:v>1</x:v>
      </x:c>
      <x:c r="F113" s="143" t="str">
        <x:v>Sainte-Marie-Saint-Jacques</x:v>
      </x:c>
      <x:c r="G113" s="149" t="n">
        <x:v>0.9998156379745569</x:v>
      </x:c>
      <x:c r="H113" s="149" t="n">
        <x:v>1</x:v>
      </x:c>
      <x:c r="I113" s="143" t="str">
        <x:v>Sainte-Marie-Saint-Jacques</x:v>
      </x:c>
      <x:c r="J113" s="150" t="n">
        <x:v>0.9998156379294801</x:v>
      </x:c>
    </x:row>
    <x:row r="114">
      <x:c r="A114" s="142" t="n">
        <x:v>359</x:v>
      </x:c>
      <x:c r="B114" s="143" t="str">
        <x:v>Sainte-Rose</x:v>
      </x:c>
      <x:c r="C114" s="143" t="str">
        <x:v>Banlieue de Montréal</x:v>
      </x:c>
      <x:c r="D114" s="148" t="n">
        <x:v>57850</x:v>
      </x:c>
      <x:c r="E114" s="149" t="n">
        <x:v>1</x:v>
      </x:c>
      <x:c r="F114" s="143" t="str">
        <x:v>Sainte-Rose</x:v>
      </x:c>
      <x:c r="G114" s="149" t="n">
        <x:v>0.9999996803117583</x:v>
      </x:c>
      <x:c r="H114" s="149" t="n">
        <x:v>1</x:v>
      </x:c>
      <x:c r="I114" s="143" t="str">
        <x:v>Sainte-Rose</x:v>
      </x:c>
      <x:c r="J114" s="150" t="n">
        <x:v>0.9999996803117583</x:v>
      </x:c>
    </x:row>
    <x:row r="115">
      <x:c r="A115" s="142" t="n">
        <x:v>197</x:v>
      </x:c>
      <x:c r="B115" s="143" t="str">
        <x:v>Sanguinet</x:v>
      </x:c>
      <x:c r="C115" s="143" t="str">
        <x:v>Banlieue de Montréal</x:v>
      </x:c>
      <x:c r="D115" s="148" t="n">
        <x:v>45171</x:v>
      </x:c>
      <x:c r="E115" s="149" t="n">
        <x:v>0.9999999999999999</x:v>
      </x:c>
      <x:c r="F115" s="143" t="str">
        <x:v>Sanguinet</x:v>
      </x:c>
      <x:c r="G115" s="149" t="n">
        <x:v>0.9986958655192422</x:v>
      </x:c>
      <x:c r="H115" s="149" t="n">
        <x:v>0.9999999999999999</x:v>
      </x:c>
      <x:c r="I115" s="143" t="str">
        <x:v>Sanguinet</x:v>
      </x:c>
      <x:c r="J115" s="150" t="n">
        <x:v>0.9985839958119621</x:v>
      </x:c>
    </x:row>
    <x:row r="116">
      <x:c r="A116" s="142" t="n">
        <x:v>121</x:v>
      </x:c>
      <x:c r="B116" s="143" t="str">
        <x:v>Sherbrooke</x:v>
      </x:c>
      <x:c r="C116" s="143" t="str">
        <x:v>Reste du Québec</x:v>
      </x:c>
      <x:c r="D116" s="148" t="n">
        <x:v>53186</x:v>
      </x:c>
      <x:c r="E116" s="149" t="n">
        <x:v>1</x:v>
      </x:c>
      <x:c r="F116" s="143" t="str">
        <x:v>Sherbrooke</x:v>
      </x:c>
      <x:c r="G116" s="149" t="n">
        <x:v>0.9999999999997282</x:v>
      </x:c>
      <x:c r="H116" s="149" t="n">
        <x:v>1</x:v>
      </x:c>
      <x:c r="I116" s="143" t="str">
        <x:v>Sherbrooke</x:v>
      </x:c>
      <x:c r="J116" s="150" t="n">
        <x:v>0.9999999999997282</x:v>
      </x:c>
    </x:row>
    <x:row r="117">
      <x:c r="A117" s="142" t="n">
        <x:v>181</x:v>
      </x:c>
      <x:c r="B117" s="143" t="str">
        <x:v>Soulanges</x:v>
      </x:c>
      <x:c r="C117" s="143" t="str">
        <x:v>Banlieue de Montréal</x:v>
      </x:c>
      <x:c r="D117" s="148" t="n">
        <x:v>58695</x:v>
      </x:c>
      <x:c r="E117" s="149" t="n">
        <x:v>0.9999999999999999</x:v>
      </x:c>
      <x:c r="F117" s="143" t="str">
        <x:v>Soulanges</x:v>
      </x:c>
      <x:c r="G117" s="149" t="n">
        <x:v>0.963642558991259</x:v>
      </x:c>
      <x:c r="H117" s="149" t="n">
        <x:v>0.9999999999999999</x:v>
      </x:c>
      <x:c r="I117" s="143" t="str">
        <x:v>Soulanges</x:v>
      </x:c>
      <x:c r="J117" s="150" t="n">
        <x:v>0.9636395128221823</x:v>
      </x:c>
    </x:row>
    <x:row r="118">
      <x:c r="A118" s="142" t="n">
        <x:v>221</x:v>
      </x:c>
      <x:c r="B118" s="143" t="str">
        <x:v>Taillon</x:v>
      </x:c>
      <x:c r="C118" s="143" t="str">
        <x:v>Banlieue de Montréal</x:v>
      </x:c>
      <x:c r="D118" s="148" t="n">
        <x:v>52001</x:v>
      </x:c>
      <x:c r="E118" s="149" t="n">
        <x:v>0.9999999999999999</x:v>
      </x:c>
      <x:c r="F118" s="143" t="str">
        <x:v>Taillon</x:v>
      </x:c>
      <x:c r="G118" s="149" t="n">
        <x:v>0.9999999999996199</x:v>
      </x:c>
      <x:c r="H118" s="149" t="n">
        <x:v>0.9999999999999999</x:v>
      </x:c>
      <x:c r="I118" s="143" t="str">
        <x:v>Taillon</x:v>
      </x:c>
      <x:c r="J118" s="150" t="n">
        <x:v>0.9999999991621171</x:v>
      </x:c>
    </x:row>
    <x:row r="119">
      <x:c r="A119" s="142" t="n">
        <x:v>751</x:v>
      </x:c>
      <x:c r="B119" s="143" t="str">
        <x:v>Taschereau</x:v>
      </x:c>
      <x:c r="C119" s="143" t="str">
        <x:v>Québec RMR</x:v>
      </x:c>
      <x:c r="D119" s="148" t="n">
        <x:v>47993</x:v>
      </x:c>
      <x:c r="E119" s="149" t="n">
        <x:v>1</x:v>
      </x:c>
      <x:c r="F119" s="143" t="str">
        <x:v>Taschereau</x:v>
      </x:c>
      <x:c r="G119" s="149" t="n">
        <x:v>0.9999999999994592</x:v>
      </x:c>
      <x:c r="H119" s="149" t="n">
        <x:v>1</x:v>
      </x:c>
      <x:c r="I119" s="143" t="str">
        <x:v>Taschereau</x:v>
      </x:c>
      <x:c r="J119" s="150" t="n">
        <x:v>0.9999999999994592</x:v>
      </x:c>
    </x:row>
    <x:row r="120">
      <x:c r="A120" s="142" t="n">
        <x:v>609</x:v>
      </x:c>
      <x:c r="B120" s="143" t="str">
        <x:v>Terrebonne</x:v>
      </x:c>
      <x:c r="C120" s="143" t="str">
        <x:v>Banlieue de Montréal</x:v>
      </x:c>
      <x:c r="D120" s="148" t="n">
        <x:v>55051</x:v>
      </x:c>
      <x:c r="E120" s="149" t="n">
        <x:v>0.9999999999999999</x:v>
      </x:c>
      <x:c r="F120" s="143" t="str">
        <x:v>Terrebonne</x:v>
      </x:c>
      <x:c r="G120" s="149" t="n">
        <x:v>0.9999361836106522</x:v>
      </x:c>
      <x:c r="H120" s="149" t="n">
        <x:v>0.9999999999999999</x:v>
      </x:c>
      <x:c r="I120" s="143" t="str">
        <x:v>Terrebonne</x:v>
      </x:c>
      <x:c r="J120" s="150" t="n">
        <x:v>0.9999361836106522</x:v>
      </x:c>
    </x:row>
    <x:row r="121">
      <x:c r="A121" s="142" t="n">
        <x:v>691</x:v>
      </x:c>
      <x:c r="B121" s="143" t="str">
        <x:v>Trois-Rivières</x:v>
      </x:c>
      <x:c r="C121" s="143" t="str">
        <x:v>Reste du Québec</x:v>
      </x:c>
      <x:c r="D121" s="148" t="n">
        <x:v>53826</x:v>
      </x:c>
      <x:c r="E121" s="149" t="n">
        <x:v>1</x:v>
      </x:c>
      <x:c r="F121" s="143" t="str">
        <x:v>Trois-Rivières</x:v>
      </x:c>
      <x:c r="G121" s="149" t="n">
        <x:v>0.9999999999998324</x:v>
      </x:c>
      <x:c r="H121" s="149" t="n">
        <x:v>1</x:v>
      </x:c>
      <x:c r="I121" s="143" t="str">
        <x:v>Trois-Rivières</x:v>
      </x:c>
      <x:c r="J121" s="150" t="n">
        <x:v>0.9999999999998324</x:v>
      </x:c>
    </x:row>
    <x:row r="122">
      <x:c r="A122" s="142" t="n">
        <x:v>831</x:v>
      </x:c>
      <x:c r="B122" s="143" t="str">
        <x:v>Ungava</x:v>
      </x:c>
      <x:c r="C122" s="143" t="str">
        <x:v>Reste du Québec</x:v>
      </x:c>
      <x:c r="D122" s="148" t="n">
        <x:v>31748</x:v>
      </x:c>
      <x:c r="E122" s="149" t="n">
        <x:v>1</x:v>
      </x:c>
      <x:c r="F122" s="143" t="str">
        <x:v>Ungava</x:v>
      </x:c>
      <x:c r="G122" s="149" t="n">
        <x:v>0.9999991049603527</x:v>
      </x:c>
      <x:c r="H122" s="149" t="n">
        <x:v>1</x:v>
      </x:c>
      <x:c r="I122" s="143" t="str">
        <x:v>Ungava</x:v>
      </x:c>
      <x:c r="J122" s="150" t="n">
        <x:v>0.9999991005947233</x:v>
      </x:c>
    </x:row>
    <x:row r="123">
      <x:c r="A123" s="142" t="n">
        <x:v>211</x:v>
      </x:c>
      <x:c r="B123" s="143" t="str">
        <x:v>Vachon</x:v>
      </x:c>
      <x:c r="C123" s="143" t="str">
        <x:v>Reste du Québec</x:v>
      </x:c>
      <x:c r="D123" s="148" t="n">
        <x:v>53824</x:v>
      </x:c>
      <x:c r="E123" s="149" t="n">
        <x:v>1.0000000000000002</x:v>
      </x:c>
      <x:c r="F123" s="143" t="str">
        <x:v>Vachon</x:v>
      </x:c>
      <x:c r="G123" s="149" t="n">
        <x:v>0.9999999999996222</x:v>
      </x:c>
      <x:c r="H123" s="149" t="n">
        <x:v>1.0000000000000002</x:v>
      </x:c>
      <x:c r="I123" s="143" t="str">
        <x:v>Vachon</x:v>
      </x:c>
      <x:c r="J123" s="150" t="n">
        <x:v>0.9999999999996222</x:v>
      </x:c>
    </x:row>
    <x:row r="124">
      <x:c r="A124" s="142" t="n">
        <x:v>749</x:v>
      </x:c>
      <x:c r="B124" s="143" t="str">
        <x:v>Vanier-Les Rivières</x:v>
      </x:c>
      <x:c r="C124" s="143" t="str">
        <x:v>Québec RMR</x:v>
      </x:c>
      <x:c r="D124" s="148" t="n">
        <x:v>59090</x:v>
      </x:c>
      <x:c r="E124" s="149" t="n">
        <x:v>1</x:v>
      </x:c>
      <x:c r="F124" s="143" t="str">
        <x:v>Vanier-Les Rivières</x:v>
      </x:c>
      <x:c r="G124" s="149" t="n">
        <x:v>0.9999999999996765</x:v>
      </x:c>
      <x:c r="H124" s="149" t="n">
        <x:v>1</x:v>
      </x:c>
      <x:c r="I124" s="143" t="str">
        <x:v>Vanier-Les Rivières</x:v>
      </x:c>
      <x:c r="J124" s="150" t="n">
        <x:v>0.9999999999996765</x:v>
      </x:c>
    </x:row>
    <x:row r="125">
      <x:c r="A125" s="142" t="n">
        <x:v>187</x:v>
      </x:c>
      <x:c r="B125" s="143" t="str">
        <x:v>Vaudreuil</x:v>
      </x:c>
      <x:c r="C125" s="143" t="str">
        <x:v>Banlieue de Montréal</x:v>
      </x:c>
      <x:c r="D125" s="148" t="n">
        <x:v>62075</x:v>
      </x:c>
      <x:c r="E125" s="149" t="n">
        <x:v>1</x:v>
      </x:c>
      <x:c r="F125" s="143" t="str">
        <x:v>Vaudreuil</x:v>
      </x:c>
      <x:c r="G125" s="149" t="n">
        <x:v>0.999999999999976</x:v>
      </x:c>
      <x:c r="H125" s="149" t="n">
        <x:v>1</x:v>
      </x:c>
      <x:c r="I125" s="143" t="str">
        <x:v>Vaudreuil</x:v>
      </x:c>
      <x:c r="J125" s="150" t="n">
        <x:v>0.999999999999976</x:v>
      </x:c>
    </x:row>
    <x:row r="126">
      <x:c r="A126" s="142" t="n">
        <x:v>231</x:v>
      </x:c>
      <x:c r="B126" s="143" t="str">
        <x:v>Verchères</x:v>
      </x:c>
      <x:c r="C126" s="143" t="str">
        <x:v>Banlieue de Montréal</x:v>
      </x:c>
      <x:c r="D126" s="148" t="n">
        <x:v>56237</x:v>
      </x:c>
      <x:c r="E126" s="149" t="n">
        <x:v>1</x:v>
      </x:c>
      <x:c r="F126" s="143" t="str">
        <x:v>Verchères</x:v>
      </x:c>
      <x:c r="G126" s="149" t="n">
        <x:v>0.9999999999998225</x:v>
      </x:c>
      <x:c r="H126" s="149" t="n">
        <x:v>1</x:v>
      </x:c>
      <x:c r="I126" s="143" t="str">
        <x:v>Verchères</x:v>
      </x:c>
      <x:c r="J126" s="150" t="n">
        <x:v>0.9995848784141419</x:v>
      </x:c>
    </x:row>
    <x:row r="127">
      <x:c r="A127" s="142" t="n">
        <x:v>247</x:v>
      </x:c>
      <x:c r="B127" s="143" t="str">
        <x:v>Verdun</x:v>
      </x:c>
      <x:c r="C127" s="143" t="str">
        <x:v>Île de Montréal</x:v>
      </x:c>
      <x:c r="D127" s="148" t="n">
        <x:v>49379</x:v>
      </x:c>
      <x:c r="E127" s="149" t="n">
        <x:v>1.0000000000000002</x:v>
      </x:c>
      <x:c r="F127" s="143" t="str">
        <x:v>Verdun</x:v>
      </x:c>
      <x:c r="G127" s="149" t="n">
        <x:v>0.9999999999979126</x:v>
      </x:c>
      <x:c r="H127" s="149" t="n">
        <x:v>1.0000000000000002</x:v>
      </x:c>
      <x:c r="I127" s="143" t="str">
        <x:v>Verdun</x:v>
      </x:c>
      <x:c r="J127" s="150" t="n">
        <x:v>0.9999999999979163</x:v>
      </x:c>
    </x:row>
    <x:row r="128">
      <x:c r="A128" s="142" t="n">
        <x:v>321</x:v>
      </x:c>
      <x:c r="B128" s="143" t="str">
        <x:v>Viau</x:v>
      </x:c>
      <x:c r="C128" s="143" t="str">
        <x:v>Île de Montréal</x:v>
      </x:c>
      <x:c r="D128" s="148" t="n">
        <x:v>39247</x:v>
      </x:c>
      <x:c r="E128" s="149" t="n">
        <x:v>1</x:v>
      </x:c>
      <x:c r="F128" s="143" t="str">
        <x:v>Viau</x:v>
      </x:c>
      <x:c r="G128" s="149" t="n">
        <x:v>0.9996973208305867</x:v>
      </x:c>
      <x:c r="H128" s="149" t="n">
        <x:v>1</x:v>
      </x:c>
      <x:c r="I128" s="143" t="str">
        <x:v>Viau</x:v>
      </x:c>
      <x:c r="J128" s="150" t="n">
        <x:v>0.9996973133333699</x:v>
      </x:c>
    </x:row>
    <x:row r="129">
      <x:c r="A129" s="142" t="n">
        <x:v>569</x:v>
      </x:c>
      <x:c r="B129" s="143" t="str">
        <x:v>Vimont-Auteuil</x:v>
      </x:c>
      <x:c r="C129" s="143" t="str">
        <x:v>Banlieue de Montréal</x:v>
      </x:c>
      <x:c r="D129" s="148" t="n">
        <x:v>46794</x:v>
      </x:c>
      <x:c r="E129" s="149" t="n">
        <x:v>1</x:v>
      </x:c>
      <x:c r="F129" s="143" t="str">
        <x:v>Vimont</x:v>
      </x:c>
      <x:c r="G129" s="149" t="n">
        <x:v>0.9999995763857426</x:v>
      </x:c>
      <x:c r="H129" s="149" t="n">
        <x:v>1</x:v>
      </x:c>
      <x:c r="I129" s="143" t="str">
        <x:v>Vimont</x:v>
      </x:c>
      <x:c r="J129" s="150" t="n">
        <x:v>0.9999995763857426</x:v>
      </x:c>
    </x:row>
    <x:row r="130">
      <x:c r="A130" s="151" t="n">
        <x:v>291</x:v>
      </x:c>
      <x:c r="B130" s="152" t="str">
        <x:v>Westmount-Saint-Louis</x:v>
      </x:c>
      <x:c r="C130" s="152" t="str">
        <x:v>Île de Montréal</x:v>
      </x:c>
      <x:c r="D130" s="153" t="n">
        <x:v>52383</x:v>
      </x:c>
      <x:c r="E130" s="154" t="n">
        <x:v>1</x:v>
      </x:c>
      <x:c r="F130" s="152" t="str">
        <x:v>Westmount-Saint-Louis</x:v>
      </x:c>
      <x:c r="G130" s="154" t="n">
        <x:v>0.9999999999988413</x:v>
      </x:c>
      <x:c r="H130" s="154" t="n">
        <x:v>1</x:v>
      </x:c>
      <x:c r="I130" s="152" t="str">
        <x:v>Westmount-Saint-Louis</x:v>
      </x:c>
      <x:c r="J130" s="155" t="n">
        <x:v>0.9999999999988413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13" hidden="0" customWidth="1"/>
    <x:col min="4" max="4" width="13" hidden="0" customWidth="1"/>
    <x:col min="5" max="5" width="34" hidden="0" customWidth="1"/>
    <x:col min="6" max="6" width="14" hidden="0" customWidth="1"/>
    <x:col min="7" max="7" width="14" hidden="0" customWidth="1"/>
  </x:cols>
  <x:sheetData>
    <x:row r="1">
      <x:c r="A1" s="139" t="str">
        <x:v>MATRICE DE CORRESPONDANCE GÉOGRAPHIQUE</x:v>
      </x:c>
      <x:c r="B1" s="140" t="str">
        <x:v>MATRICE DE CORRESPONDANCE GÉOGRAPHIQUE</x:v>
      </x:c>
      <x:c r="C1" s="140" t="str">
        <x:v>MATRICE DE CORRESPONDANCE GÉOGRAPHIQUE</x:v>
      </x:c>
      <x:c r="D1" s="140" t="str">
        <x:v>MATRICE DE CORRESPONDANCE GÉOGRAPHIQUE</x:v>
      </x:c>
      <x:c r="E1" s="140" t="str">
        <x:v>MATRICE DE CORRESPONDANCE GÉOGRAPHIQUE</x:v>
      </x:c>
      <x:c r="F1" s="140" t="str">
        <x:v>MATRICE DE CORRESPONDANCE GÉOGRAPHIQUE</x:v>
      </x:c>
      <x:c r="G1" s="141" t="str">
        <x:v>MATRICE DE CORRESPONDANCE GÉOGRAPHIQUE</x:v>
      </x:c>
    </x:row>
    <x:row r="2">
      <x:c r="A2" s="142"/>
      <x:c r="B2" s="143"/>
      <x:c r="C2" s="143"/>
      <x:c r="D2" s="143"/>
      <x:c r="E2" s="143"/>
      <x:c r="F2" s="143"/>
      <x:c r="G2" s="144"/>
    </x:row>
    <x:row r="3">
      <x:c r="A3" s="145" t="str">
        <x:v>Circonscription 2026</x:v>
      </x:c>
      <x:c r="B3" s="146" t="str">
        <x:v>Région</x:v>
      </x:c>
      <x:c r="C3" s="146" t="str">
        <x:v>Carte source</x:v>
      </x:c>
      <x:c r="D3" s="146" t="str">
        <x:v>Code source</x:v>
      </x:c>
      <x:c r="E3" s="146" t="str">
        <x:v>Circonscription source</x:v>
      </x:c>
      <x:c r="F3" s="146" t="str">
        <x:v>Poids électoral</x:v>
      </x:c>
      <x:c r="G3" s="147" t="str">
        <x:v>Rang</x:v>
      </x:c>
    </x:row>
    <x:row r="4">
      <x:c r="A4" s="142" t="str">
        <x:v>Abitibi-Est</x:v>
      </x:c>
      <x:c r="B4" s="143" t="str">
        <x:v>Reste du Québec</x:v>
      </x:c>
      <x:c r="C4" s="143" t="str">
        <x:v>2022</x:v>
      </x:c>
      <x:c r="D4" s="143" t="n">
        <x:v>648</x:v>
      </x:c>
      <x:c r="E4" s="143" t="str">
        <x:v>Abitibi-Est</x:v>
      </x:c>
      <x:c r="F4" s="149" t="n">
        <x:v>0.9999999999999771</x:v>
      </x:c>
      <x:c r="G4" s="144" t="n">
        <x:v>1</x:v>
      </x:c>
    </x:row>
    <x:row r="5">
      <x:c r="A5" s="142" t="str">
        <x:v>Abitibi-Est</x:v>
      </x:c>
      <x:c r="B5" s="143" t="str">
        <x:v>Reste du Québec</x:v>
      </x:c>
      <x:c r="C5" s="143" t="str">
        <x:v>2017</x:v>
      </x:c>
      <x:c r="D5" s="143" t="n">
        <x:v>648</x:v>
      </x:c>
      <x:c r="E5" s="143" t="str">
        <x:v>Abitibi-Est</x:v>
      </x:c>
      <x:c r="F5" s="149" t="n">
        <x:v>0.9999999999999771</x:v>
      </x:c>
      <x:c r="G5" s="144" t="n">
        <x:v>1</x:v>
      </x:c>
    </x:row>
    <x:row r="6">
      <x:c r="A6" s="142" t="str">
        <x:v>Abitibi-Ouest</x:v>
      </x:c>
      <x:c r="B6" s="143" t="str">
        <x:v>Reste du Québec</x:v>
      </x:c>
      <x:c r="C6" s="143" t="str">
        <x:v>2022</x:v>
      </x:c>
      <x:c r="D6" s="143" t="n">
        <x:v>642</x:v>
      </x:c>
      <x:c r="E6" s="143" t="str">
        <x:v>Abitibi-Ouest</x:v>
      </x:c>
      <x:c r="F6" s="149" t="n">
        <x:v>0.9999915468629651</x:v>
      </x:c>
      <x:c r="G6" s="144" t="n">
        <x:v>1</x:v>
      </x:c>
    </x:row>
    <x:row r="7">
      <x:c r="A7" s="142" t="str">
        <x:v>Abitibi-Ouest</x:v>
      </x:c>
      <x:c r="B7" s="143" t="str">
        <x:v>Reste du Québec</x:v>
      </x:c>
      <x:c r="C7" s="143" t="str">
        <x:v>2017</x:v>
      </x:c>
      <x:c r="D7" s="143" t="n">
        <x:v>642</x:v>
      </x:c>
      <x:c r="E7" s="143" t="str">
        <x:v>Abitibi-Ouest</x:v>
      </x:c>
      <x:c r="F7" s="149" t="n">
        <x:v>0.9999915360909871</x:v>
      </x:c>
      <x:c r="G7" s="144" t="n">
        <x:v>1</x:v>
      </x:c>
    </x:row>
    <x:row r="8">
      <x:c r="A8" s="142" t="str">
        <x:v>Acadie</x:v>
      </x:c>
      <x:c r="B8" s="143" t="str">
        <x:v>Île de Montréal</x:v>
      </x:c>
      <x:c r="C8" s="143" t="str">
        <x:v>2022</x:v>
      </x:c>
      <x:c r="D8" s="143" t="n">
        <x:v>338</x:v>
      </x:c>
      <x:c r="E8" s="143" t="str">
        <x:v>Acadie</x:v>
      </x:c>
      <x:c r="F8" s="149" t="n">
        <x:v>0.9999999999992353</x:v>
      </x:c>
      <x:c r="G8" s="144" t="n">
        <x:v>1</x:v>
      </x:c>
    </x:row>
    <x:row r="9">
      <x:c r="A9" s="142" t="str">
        <x:v>Acadie</x:v>
      </x:c>
      <x:c r="B9" s="143" t="str">
        <x:v>Île de Montréal</x:v>
      </x:c>
      <x:c r="C9" s="143" t="str">
        <x:v>2017</x:v>
      </x:c>
      <x:c r="D9" s="143" t="n">
        <x:v>338</x:v>
      </x:c>
      <x:c r="E9" s="143" t="str">
        <x:v>Acadie</x:v>
      </x:c>
      <x:c r="F9" s="149" t="n">
        <x:v>0.9999999999992353</x:v>
      </x:c>
      <x:c r="G9" s="144" t="n">
        <x:v>1</x:v>
      </x:c>
    </x:row>
    <x:row r="10">
      <x:c r="A10" s="142" t="str">
        <x:v>Anjou-Louis-Riel</x:v>
      </x:c>
      <x:c r="B10" s="143" t="str">
        <x:v>Île de Montréal</x:v>
      </x:c>
      <x:c r="C10" s="143" t="str">
        <x:v>2022</x:v>
      </x:c>
      <x:c r="D10" s="143" t="n">
        <x:v>366</x:v>
      </x:c>
      <x:c r="E10" s="143" t="str">
        <x:v>Anjou-Louis-Riel</x:v>
      </x:c>
      <x:c r="F10" s="149" t="n">
        <x:v>0.9999999999988005</x:v>
      </x:c>
      <x:c r="G10" s="144" t="n">
        <x:v>1</x:v>
      </x:c>
    </x:row>
    <x:row r="11">
      <x:c r="A11" s="142" t="str">
        <x:v>Anjou-Louis-Riel</x:v>
      </x:c>
      <x:c r="B11" s="143" t="str">
        <x:v>Île de Montréal</x:v>
      </x:c>
      <x:c r="C11" s="143" t="str">
        <x:v>2017</x:v>
      </x:c>
      <x:c r="D11" s="143" t="n">
        <x:v>366</x:v>
      </x:c>
      <x:c r="E11" s="143" t="str">
        <x:v>Anjou-Louis-Riel</x:v>
      </x:c>
      <x:c r="F11" s="149" t="n">
        <x:v>0.9999999999988005</x:v>
      </x:c>
      <x:c r="G11" s="144" t="n">
        <x:v>1</x:v>
      </x:c>
    </x:row>
    <x:row r="12">
      <x:c r="A12" s="142" t="str">
        <x:v>Argenteuil</x:v>
      </x:c>
      <x:c r="B12" s="143" t="str">
        <x:v>Reste du Québec</x:v>
      </x:c>
      <x:c r="C12" s="143" t="str">
        <x:v>2022</x:v>
      </x:c>
      <x:c r="D12" s="143" t="n">
        <x:v>520</x:v>
      </x:c>
      <x:c r="E12" s="143" t="str">
        <x:v>Argenteuil</x:v>
      </x:c>
      <x:c r="F12" s="149" t="n">
        <x:v>0.9657558372079517</x:v>
      </x:c>
      <x:c r="G12" s="144" t="n">
        <x:v>1</x:v>
      </x:c>
    </x:row>
    <x:row r="13">
      <x:c r="A13" s="142" t="str">
        <x:v>Argenteuil</x:v>
      </x:c>
      <x:c r="B13" s="143" t="str">
        <x:v>Reste du Québec</x:v>
      </x:c>
      <x:c r="C13" s="143" t="str">
        <x:v>2022</x:v>
      </x:c>
      <x:c r="D13" s="143" t="n">
        <x:v>514</x:v>
      </x:c>
      <x:c r="E13" s="143" t="str">
        <x:v>Mirabel</x:v>
      </x:c>
      <x:c r="F13" s="149" t="n">
        <x:v>0.034244011976053715</x:v>
      </x:c>
      <x:c r="G13" s="144" t="n">
        <x:v>2</x:v>
      </x:c>
    </x:row>
    <x:row r="14">
      <x:c r="A14" s="142" t="str">
        <x:v>Argenteuil</x:v>
      </x:c>
      <x:c r="B14" s="143" t="str">
        <x:v>Reste du Québec</x:v>
      </x:c>
      <x:c r="C14" s="143" t="str">
        <x:v>2017</x:v>
      </x:c>
      <x:c r="D14" s="143" t="n">
        <x:v>520</x:v>
      </x:c>
      <x:c r="E14" s="143" t="str">
        <x:v>Argenteuil</x:v>
      </x:c>
      <x:c r="F14" s="149" t="n">
        <x:v>0.965642889234662</x:v>
      </x:c>
      <x:c r="G14" s="144" t="n">
        <x:v>1</x:v>
      </x:c>
    </x:row>
    <x:row r="15">
      <x:c r="A15" s="142" t="str">
        <x:v>Argenteuil</x:v>
      </x:c>
      <x:c r="B15" s="143" t="str">
        <x:v>Reste du Québec</x:v>
      </x:c>
      <x:c r="C15" s="143" t="str">
        <x:v>2017</x:v>
      </x:c>
      <x:c r="D15" s="143" t="n">
        <x:v>514</x:v>
      </x:c>
      <x:c r="E15" s="143" t="str">
        <x:v>Mirabel</x:v>
      </x:c>
      <x:c r="F15" s="149" t="n">
        <x:v>0.034244011976053715</x:v>
      </x:c>
      <x:c r="G15" s="144" t="n">
        <x:v>2</x:v>
      </x:c>
    </x:row>
    <x:row r="16">
      <x:c r="A16" s="142" t="str">
        <x:v>Argenteuil</x:v>
      </x:c>
      <x:c r="B16" s="143" t="str">
        <x:v>Reste du Québec</x:v>
      </x:c>
      <x:c r="C16" s="143" t="str">
        <x:v>2017</x:v>
      </x:c>
      <x:c r="D16" s="143" t="n">
        <x:v>220</x:v>
      </x:c>
      <x:c r="E16" s="143" t="str">
        <x:v>Soulanges</x:v>
      </x:c>
      <x:c r="F16" s="149" t="n">
        <x:v>0.00011143620368859738</x:v>
      </x:c>
      <x:c r="G16" s="144" t="n">
        <x:v>3</x:v>
      </x:c>
    </x:row>
    <x:row r="17">
      <x:c r="A17" s="142" t="str">
        <x:v>Arthabaska-L'Érable</x:v>
      </x:c>
      <x:c r="B17" s="143" t="str">
        <x:v>Reste du Québec</x:v>
      </x:c>
      <x:c r="C17" s="143" t="str">
        <x:v>2022</x:v>
      </x:c>
      <x:c r="D17" s="143" t="n">
        <x:v>144</x:v>
      </x:c>
      <x:c r="E17" s="143" t="str">
        <x:v>Arthabaska</x:v>
      </x:c>
      <x:c r="F17" s="149" t="n">
        <x:v>0.9946045711779454</x:v>
      </x:c>
      <x:c r="G17" s="144" t="n">
        <x:v>1</x:v>
      </x:c>
    </x:row>
    <x:row r="18">
      <x:c r="A18" s="142" t="str">
        <x:v>Arthabaska-L'Érable</x:v>
      </x:c>
      <x:c r="B18" s="143" t="str">
        <x:v>Reste du Québec</x:v>
      </x:c>
      <x:c r="C18" s="143" t="str">
        <x:v>2022</x:v>
      </x:c>
      <x:c r="D18" s="143" t="n">
        <x:v>138</x:v>
      </x:c>
      <x:c r="E18" s="143" t="str">
        <x:v>Drummond-Bois-Francs</x:v>
      </x:c>
      <x:c r="F18" s="149" t="n">
        <x:v>0.005379956738409278</x:v>
      </x:c>
      <x:c r="G18" s="144" t="n">
        <x:v>2</x:v>
      </x:c>
    </x:row>
    <x:row r="19">
      <x:c r="A19" s="142" t="str">
        <x:v>Arthabaska-L'Érable</x:v>
      </x:c>
      <x:c r="B19" s="143" t="str">
        <x:v>Reste du Québec</x:v>
      </x:c>
      <x:c r="C19" s="143" t="str">
        <x:v>2017</x:v>
      </x:c>
      <x:c r="D19" s="143" t="n">
        <x:v>144</x:v>
      </x:c>
      <x:c r="E19" s="143" t="str">
        <x:v>Arthabaska</x:v>
      </x:c>
      <x:c r="F19" s="149" t="n">
        <x:v>0.9946045711769833</x:v>
      </x:c>
      <x:c r="G19" s="144" t="n">
        <x:v>1</x:v>
      </x:c>
    </x:row>
    <x:row r="20">
      <x:c r="A20" s="142" t="str">
        <x:v>Arthabaska-L'Érable</x:v>
      </x:c>
      <x:c r="B20" s="143" t="str">
        <x:v>Reste du Québec</x:v>
      </x:c>
      <x:c r="C20" s="143" t="str">
        <x:v>2017</x:v>
      </x:c>
      <x:c r="D20" s="143" t="n">
        <x:v>138</x:v>
      </x:c>
      <x:c r="E20" s="143" t="str">
        <x:v>Drummond-Bois-Francs</x:v>
      </x:c>
      <x:c r="F20" s="149" t="n">
        <x:v>0.005379956739371463</x:v>
      </x:c>
      <x:c r="G20" s="144" t="n">
        <x:v>2</x:v>
      </x:c>
    </x:row>
    <x:row r="21">
      <x:c r="A21" s="142" t="str">
        <x:v>Beauce-Nord</x:v>
      </x:c>
      <x:c r="B21" s="143" t="str">
        <x:v>Reste du Québec</x:v>
      </x:c>
      <x:c r="C21" s="143" t="str">
        <x:v>2022</x:v>
      </x:c>
      <x:c r="D21" s="143" t="n">
        <x:v>806</x:v>
      </x:c>
      <x:c r="E21" s="143" t="str">
        <x:v>Beauce-Nord</x:v>
      </x:c>
      <x:c r="F21" s="149" t="n">
        <x:v>0.9999999999999365</x:v>
      </x:c>
      <x:c r="G21" s="144" t="n">
        <x:v>1</x:v>
      </x:c>
    </x:row>
    <x:row r="22">
      <x:c r="A22" s="142" t="str">
        <x:v>Beauce-Nord</x:v>
      </x:c>
      <x:c r="B22" s="143" t="str">
        <x:v>Reste du Québec</x:v>
      </x:c>
      <x:c r="C22" s="143" t="str">
        <x:v>2017</x:v>
      </x:c>
      <x:c r="D22" s="143" t="n">
        <x:v>806</x:v>
      </x:c>
      <x:c r="E22" s="143" t="str">
        <x:v>Beauce-Nord</x:v>
      </x:c>
      <x:c r="F22" s="149" t="n">
        <x:v>0.9999954469649732</x:v>
      </x:c>
      <x:c r="G22" s="144" t="n">
        <x:v>1</x:v>
      </x:c>
    </x:row>
    <x:row r="23">
      <x:c r="A23" s="142" t="str">
        <x:v>Beauce-Sud</x:v>
      </x:c>
      <x:c r="B23" s="143" t="str">
        <x:v>Reste du Québec</x:v>
      </x:c>
      <x:c r="C23" s="143" t="str">
        <x:v>2022</x:v>
      </x:c>
      <x:c r="D23" s="143" t="n">
        <x:v>802</x:v>
      </x:c>
      <x:c r="E23" s="143" t="str">
        <x:v>Beauce-Sud</x:v>
      </x:c>
      <x:c r="F23" s="149" t="n">
        <x:v>0.9999999999999726</x:v>
      </x:c>
      <x:c r="G23" s="144" t="n">
        <x:v>1</x:v>
      </x:c>
    </x:row>
    <x:row r="24">
      <x:c r="A24" s="142" t="str">
        <x:v>Beauce-Sud</x:v>
      </x:c>
      <x:c r="B24" s="143" t="str">
        <x:v>Reste du Québec</x:v>
      </x:c>
      <x:c r="C24" s="143" t="str">
        <x:v>2017</x:v>
      </x:c>
      <x:c r="D24" s="143" t="n">
        <x:v>802</x:v>
      </x:c>
      <x:c r="E24" s="143" t="str">
        <x:v>Beauce-Sud</x:v>
      </x:c>
      <x:c r="F24" s="149" t="n">
        <x:v>0.9999275996912399</x:v>
      </x:c>
      <x:c r="G24" s="144" t="n">
        <x:v>1</x:v>
      </x:c>
    </x:row>
    <x:row r="25">
      <x:c r="A25" s="142" t="str">
        <x:v>Beauharnois</x:v>
      </x:c>
      <x:c r="B25" s="143" t="str">
        <x:v>Banlieue de Montréal</x:v>
      </x:c>
      <x:c r="C25" s="143" t="str">
        <x:v>2022</x:v>
      </x:c>
      <x:c r="D25" s="143" t="n">
        <x:v>218</x:v>
      </x:c>
      <x:c r="E25" s="143" t="str">
        <x:v>Beauharnois</x:v>
      </x:c>
      <x:c r="F25" s="149" t="n">
        <x:v>0.8970410221923021</x:v>
      </x:c>
      <x:c r="G25" s="144" t="n">
        <x:v>1</x:v>
      </x:c>
    </x:row>
    <x:row r="26">
      <x:c r="A26" s="142" t="str">
        <x:v>Beauharnois</x:v>
      </x:c>
      <x:c r="B26" s="143" t="str">
        <x:v>Banlieue de Montréal</x:v>
      </x:c>
      <x:c r="C26" s="143" t="str">
        <x:v>2022</x:v>
      </x:c>
      <x:c r="D26" s="143" t="n">
        <x:v>220</x:v>
      </x:c>
      <x:c r="E26" s="143" t="str">
        <x:v>Soulanges</x:v>
      </x:c>
      <x:c r="F26" s="149" t="n">
        <x:v>0.10295897780767466</x:v>
      </x:c>
      <x:c r="G26" s="144" t="n">
        <x:v>2</x:v>
      </x:c>
    </x:row>
    <x:row r="27">
      <x:c r="A27" s="142" t="str">
        <x:v>Beauharnois</x:v>
      </x:c>
      <x:c r="B27" s="143" t="str">
        <x:v>Banlieue de Montréal</x:v>
      </x:c>
      <x:c r="C27" s="143" t="str">
        <x:v>2017</x:v>
      </x:c>
      <x:c r="D27" s="143" t="n">
        <x:v>218</x:v>
      </x:c>
      <x:c r="E27" s="143" t="str">
        <x:v>Beauharnois</x:v>
      </x:c>
      <x:c r="F27" s="149" t="n">
        <x:v>0.8970410221923021</x:v>
      </x:c>
      <x:c r="G27" s="144" t="n">
        <x:v>1</x:v>
      </x:c>
    </x:row>
    <x:row r="28">
      <x:c r="A28" s="142" t="str">
        <x:v>Beauharnois</x:v>
      </x:c>
      <x:c r="B28" s="143" t="str">
        <x:v>Banlieue de Montréal</x:v>
      </x:c>
      <x:c r="C28" s="143" t="str">
        <x:v>2017</x:v>
      </x:c>
      <x:c r="D28" s="143" t="n">
        <x:v>220</x:v>
      </x:c>
      <x:c r="E28" s="143" t="str">
        <x:v>Soulanges</x:v>
      </x:c>
      <x:c r="F28" s="149" t="n">
        <x:v>0.10295897780767466</x:v>
      </x:c>
      <x:c r="G28" s="144" t="n">
        <x:v>2</x:v>
      </x:c>
    </x:row>
    <x:row r="29">
      <x:c r="A29" s="142" t="str">
        <x:v>Bellechasse</x:v>
      </x:c>
      <x:c r="B29" s="143" t="str">
        <x:v>Reste du Québec</x:v>
      </x:c>
      <x:c r="C29" s="143" t="str">
        <x:v>2022</x:v>
      </x:c>
      <x:c r="D29" s="143" t="n">
        <x:v>822</x:v>
      </x:c>
      <x:c r="E29" s="143" t="str">
        <x:v>Bellechasse</x:v>
      </x:c>
      <x:c r="F29" s="149" t="n">
        <x:v>0.9999999999999408</x:v>
      </x:c>
      <x:c r="G29" s="144" t="n">
        <x:v>1</x:v>
      </x:c>
    </x:row>
    <x:row r="30">
      <x:c r="A30" s="142" t="str">
        <x:v>Bellechasse</x:v>
      </x:c>
      <x:c r="B30" s="143" t="str">
        <x:v>Reste du Québec</x:v>
      </x:c>
      <x:c r="C30" s="143" t="str">
        <x:v>2017</x:v>
      </x:c>
      <x:c r="D30" s="143" t="n">
        <x:v>822</x:v>
      </x:c>
      <x:c r="E30" s="143" t="str">
        <x:v>Bellechasse</x:v>
      </x:c>
      <x:c r="F30" s="149" t="n">
        <x:v>0.9999991376151735</x:v>
      </x:c>
      <x:c r="G30" s="144" t="n">
        <x:v>1</x:v>
      </x:c>
    </x:row>
    <x:row r="31">
      <x:c r="A31" s="142" t="str">
        <x:v>Bellefeuille</x:v>
      </x:c>
      <x:c r="B31" s="143" t="str">
        <x:v>Banlieue de Montréal</x:v>
      </x:c>
      <x:c r="C31" s="143" t="str">
        <x:v>2022</x:v>
      </x:c>
      <x:c r="D31" s="143" t="n">
        <x:v>526</x:v>
      </x:c>
      <x:c r="E31" s="143" t="str">
        <x:v>Saint-Jérôme</x:v>
      </x:c>
      <x:c r="F31" s="149" t="n">
        <x:v>0.4266625233063643</x:v>
      </x:c>
      <x:c r="G31" s="144" t="n">
        <x:v>1</x:v>
      </x:c>
    </x:row>
    <x:row r="32">
      <x:c r="A32" s="142" t="str">
        <x:v>Bellefeuille</x:v>
      </x:c>
      <x:c r="B32" s="143" t="str">
        <x:v>Banlieue de Montréal</x:v>
      </x:c>
      <x:c r="C32" s="143" t="str">
        <x:v>2022</x:v>
      </x:c>
      <x:c r="D32" s="143" t="n">
        <x:v>520</x:v>
      </x:c>
      <x:c r="E32" s="143" t="str">
        <x:v>Argenteuil</x:v>
      </x:c>
      <x:c r="F32" s="149" t="n">
        <x:v>0.3161013939448882</x:v>
      </x:c>
      <x:c r="G32" s="144" t="n">
        <x:v>2</x:v>
      </x:c>
    </x:row>
    <x:row r="33">
      <x:c r="A33" s="142" t="str">
        <x:v>Bellefeuille</x:v>
      </x:c>
      <x:c r="B33" s="143" t="str">
        <x:v>Banlieue de Montréal</x:v>
      </x:c>
      <x:c r="C33" s="143" t="str">
        <x:v>2022</x:v>
      </x:c>
      <x:c r="D33" s="143" t="n">
        <x:v>514</x:v>
      </x:c>
      <x:c r="E33" s="143" t="str">
        <x:v>Mirabel</x:v>
      </x:c>
      <x:c r="F33" s="149" t="n">
        <x:v>0.25723608274872983</x:v>
      </x:c>
      <x:c r="G33" s="144" t="n">
        <x:v>3</x:v>
      </x:c>
    </x:row>
    <x:row r="34">
      <x:c r="A34" s="142" t="str">
        <x:v>Bellefeuille</x:v>
      </x:c>
      <x:c r="B34" s="143" t="str">
        <x:v>Banlieue de Montréal</x:v>
      </x:c>
      <x:c r="C34" s="143" t="str">
        <x:v>2017</x:v>
      </x:c>
      <x:c r="D34" s="143" t="n">
        <x:v>526</x:v>
      </x:c>
      <x:c r="E34" s="143" t="str">
        <x:v>Saint-Jérôme</x:v>
      </x:c>
      <x:c r="F34" s="149" t="n">
        <x:v>0.4266625233063643</x:v>
      </x:c>
      <x:c r="G34" s="144" t="n">
        <x:v>1</x:v>
      </x:c>
    </x:row>
    <x:row r="35">
      <x:c r="A35" s="142" t="str">
        <x:v>Bellefeuille</x:v>
      </x:c>
      <x:c r="B35" s="143" t="str">
        <x:v>Banlieue de Montréal</x:v>
      </x:c>
      <x:c r="C35" s="143" t="str">
        <x:v>2017</x:v>
      </x:c>
      <x:c r="D35" s="143" t="n">
        <x:v>520</x:v>
      </x:c>
      <x:c r="E35" s="143" t="str">
        <x:v>Argenteuil</x:v>
      </x:c>
      <x:c r="F35" s="149" t="n">
        <x:v>0.3161013939448882</x:v>
      </x:c>
      <x:c r="G35" s="144" t="n">
        <x:v>2</x:v>
      </x:c>
    </x:row>
    <x:row r="36">
      <x:c r="A36" s="142" t="str">
        <x:v>Bellefeuille</x:v>
      </x:c>
      <x:c r="B36" s="143" t="str">
        <x:v>Banlieue de Montréal</x:v>
      </x:c>
      <x:c r="C36" s="143" t="str">
        <x:v>2017</x:v>
      </x:c>
      <x:c r="D36" s="143" t="n">
        <x:v>514</x:v>
      </x:c>
      <x:c r="E36" s="143" t="str">
        <x:v>Mirabel</x:v>
      </x:c>
      <x:c r="F36" s="149" t="n">
        <x:v>0.25723608274872983</x:v>
      </x:c>
      <x:c r="G36" s="144" t="n">
        <x:v>3</x:v>
      </x:c>
    </x:row>
    <x:row r="37">
      <x:c r="A37" s="142" t="str">
        <x:v>Berthier</x:v>
      </x:c>
      <x:c r="B37" s="143" t="str">
        <x:v>Reste du Québec</x:v>
      </x:c>
      <x:c r="C37" s="143" t="str">
        <x:v>2022</x:v>
      </x:c>
      <x:c r="D37" s="143" t="n">
        <x:v>566</x:v>
      </x:c>
      <x:c r="E37" s="143" t="str">
        <x:v>Berthier</x:v>
      </x:c>
      <x:c r="F37" s="149" t="n">
        <x:v>0.9996073966230853</x:v>
      </x:c>
      <x:c r="G37" s="144" t="n">
        <x:v>1</x:v>
      </x:c>
    </x:row>
    <x:row r="38">
      <x:c r="A38" s="142" t="str">
        <x:v>Berthier</x:v>
      </x:c>
      <x:c r="B38" s="143" t="str">
        <x:v>Reste du Québec</x:v>
      </x:c>
      <x:c r="C38" s="143" t="str">
        <x:v>2022</x:v>
      </x:c>
      <x:c r="D38" s="143" t="n">
        <x:v>588</x:v>
      </x:c>
      <x:c r="E38" s="143" t="str">
        <x:v>Bertrand</x:v>
      </x:c>
      <x:c r="F38" s="149" t="n">
        <x:v>0.00021671971450992137</x:v>
      </x:c>
      <x:c r="G38" s="144" t="n">
        <x:v>2</x:v>
      </x:c>
    </x:row>
    <x:row r="39">
      <x:c r="A39" s="142" t="str">
        <x:v>Berthier</x:v>
      </x:c>
      <x:c r="B39" s="143" t="str">
        <x:v>Reste du Québec</x:v>
      </x:c>
      <x:c r="C39" s="143" t="str">
        <x:v>2022</x:v>
      </x:c>
      <x:c r="D39" s="143" t="n">
        <x:v>570</x:v>
      </x:c>
      <x:c r="E39" s="143" t="str">
        <x:v>Joliette</x:v>
      </x:c>
      <x:c r="F39" s="149" t="n">
        <x:v>0.00010011683863202488</x:v>
      </x:c>
      <x:c r="G39" s="144" t="n">
        <x:v>3</x:v>
      </x:c>
    </x:row>
    <x:row r="40">
      <x:c r="A40" s="142" t="str">
        <x:v>Berthier</x:v>
      </x:c>
      <x:c r="B40" s="143" t="str">
        <x:v>Reste du Québec</x:v>
      </x:c>
      <x:c r="C40" s="143" t="str">
        <x:v>2017</x:v>
      </x:c>
      <x:c r="D40" s="143" t="n">
        <x:v>566</x:v>
      </x:c>
      <x:c r="E40" s="143" t="str">
        <x:v>Berthier</x:v>
      </x:c>
      <x:c r="F40" s="149" t="n">
        <x:v>0.9995961066380152</x:v>
      </x:c>
      <x:c r="G40" s="144" t="n">
        <x:v>1</x:v>
      </x:c>
    </x:row>
    <x:row r="41">
      <x:c r="A41" s="142" t="str">
        <x:v>Berthier</x:v>
      </x:c>
      <x:c r="B41" s="143" t="str">
        <x:v>Reste du Québec</x:v>
      </x:c>
      <x:c r="C41" s="143" t="str">
        <x:v>2017</x:v>
      </x:c>
      <x:c r="D41" s="143" t="n">
        <x:v>588</x:v>
      </x:c>
      <x:c r="E41" s="143" t="str">
        <x:v>Bertrand</x:v>
      </x:c>
      <x:c r="F41" s="149" t="n">
        <x:v>0.0002167282210524983</x:v>
      </x:c>
      <x:c r="G41" s="144" t="n">
        <x:v>2</x:v>
      </x:c>
    </x:row>
    <x:row r="42">
      <x:c r="A42" s="142" t="str">
        <x:v>Berthier</x:v>
      </x:c>
      <x:c r="B42" s="143" t="str">
        <x:v>Reste du Québec</x:v>
      </x:c>
      <x:c r="C42" s="143" t="str">
        <x:v>2017</x:v>
      </x:c>
      <x:c r="D42" s="143" t="n">
        <x:v>570</x:v>
      </x:c>
      <x:c r="E42" s="143" t="str">
        <x:v>Joliette</x:v>
      </x:c>
      <x:c r="F42" s="149" t="n">
        <x:v>0.0001113983171594621</x:v>
      </x:c>
      <x:c r="G42" s="144" t="n">
        <x:v>3</x:v>
      </x:c>
    </x:row>
    <x:row r="43">
      <x:c r="A43" s="142" t="str">
        <x:v>Bertrand</x:v>
      </x:c>
      <x:c r="B43" s="143" t="str">
        <x:v>Banlieue de Montréal</x:v>
      </x:c>
      <x:c r="C43" s="143" t="str">
        <x:v>2022</x:v>
      </x:c>
      <x:c r="D43" s="143" t="n">
        <x:v>588</x:v>
      </x:c>
      <x:c r="E43" s="143" t="str">
        <x:v>Bertrand</x:v>
      </x:c>
      <x:c r="F43" s="149" t="n">
        <x:v>0.9997776865017876</x:v>
      </x:c>
      <x:c r="G43" s="144" t="n">
        <x:v>1</x:v>
      </x:c>
    </x:row>
    <x:row r="44">
      <x:c r="A44" s="142" t="str">
        <x:v>Bertrand</x:v>
      </x:c>
      <x:c r="B44" s="143" t="str">
        <x:v>Banlieue de Montréal</x:v>
      </x:c>
      <x:c r="C44" s="143" t="str">
        <x:v>2022</x:v>
      </x:c>
      <x:c r="D44" s="143" t="n">
        <x:v>576</x:v>
      </x:c>
      <x:c r="E44" s="143" t="str">
        <x:v>Rousseau</x:v>
      </x:c>
      <x:c r="F44" s="149" t="n">
        <x:v>0.00018262927638823518</x:v>
      </x:c>
      <x:c r="G44" s="144" t="n">
        <x:v>2</x:v>
      </x:c>
    </x:row>
    <x:row r="45">
      <x:c r="A45" s="142" t="str">
        <x:v>Bertrand</x:v>
      </x:c>
      <x:c r="B45" s="143" t="str">
        <x:v>Banlieue de Montréal</x:v>
      </x:c>
      <x:c r="C45" s="143" t="str">
        <x:v>2017</x:v>
      </x:c>
      <x:c r="D45" s="143" t="n">
        <x:v>588</x:v>
      </x:c>
      <x:c r="E45" s="143" t="str">
        <x:v>Bertrand</x:v>
      </x:c>
      <x:c r="F45" s="149" t="n">
        <x:v>0.9997741535913822</x:v>
      </x:c>
      <x:c r="G45" s="144" t="n">
        <x:v>1</x:v>
      </x:c>
    </x:row>
    <x:row r="46">
      <x:c r="A46" s="142" t="str">
        <x:v>Bertrand</x:v>
      </x:c>
      <x:c r="B46" s="143" t="str">
        <x:v>Banlieue de Montréal</x:v>
      </x:c>
      <x:c r="C46" s="143" t="str">
        <x:v>2017</x:v>
      </x:c>
      <x:c r="D46" s="143" t="n">
        <x:v>576</x:v>
      </x:c>
      <x:c r="E46" s="143" t="str">
        <x:v>Rousseau</x:v>
      </x:c>
      <x:c r="F46" s="149" t="n">
        <x:v>0.00018262927638823518</x:v>
      </x:c>
      <x:c r="G46" s="144" t="n">
        <x:v>2</x:v>
      </x:c>
    </x:row>
    <x:row r="47">
      <x:c r="A47" s="142" t="str">
        <x:v>Blainville</x:v>
      </x:c>
      <x:c r="B47" s="143" t="str">
        <x:v>Banlieue de Montréal</x:v>
      </x:c>
      <x:c r="C47" s="143" t="str">
        <x:v>2022</x:v>
      </x:c>
      <x:c r="D47" s="143" t="n">
        <x:v>536</x:v>
      </x:c>
      <x:c r="E47" s="143" t="str">
        <x:v>Blainville</x:v>
      </x:c>
      <x:c r="F47" s="149" t="n">
        <x:v>0.9998804044789884</x:v>
      </x:c>
      <x:c r="G47" s="144" t="n">
        <x:v>1</x:v>
      </x:c>
    </x:row>
    <x:row r="48">
      <x:c r="A48" s="142" t="str">
        <x:v>Blainville</x:v>
      </x:c>
      <x:c r="B48" s="143" t="str">
        <x:v>Banlieue de Montréal</x:v>
      </x:c>
      <x:c r="C48" s="143" t="str">
        <x:v>2022</x:v>
      </x:c>
      <x:c r="D48" s="143" t="n">
        <x:v>542</x:v>
      </x:c>
      <x:c r="E48" s="143" t="str">
        <x:v>Terrebonne</x:v>
      </x:c>
      <x:c r="F48" s="149" t="n">
        <x:v>0.00011959552052764891</x:v>
      </x:c>
      <x:c r="G48" s="144" t="n">
        <x:v>2</x:v>
      </x:c>
    </x:row>
    <x:row r="49">
      <x:c r="A49" s="142" t="str">
        <x:v>Blainville</x:v>
      </x:c>
      <x:c r="B49" s="143" t="str">
        <x:v>Banlieue de Montréal</x:v>
      </x:c>
      <x:c r="C49" s="143" t="str">
        <x:v>2017</x:v>
      </x:c>
      <x:c r="D49" s="143" t="n">
        <x:v>536</x:v>
      </x:c>
      <x:c r="E49" s="143" t="str">
        <x:v>Blainville</x:v>
      </x:c>
      <x:c r="F49" s="149" t="n">
        <x:v>0.9998804044789884</x:v>
      </x:c>
      <x:c r="G49" s="144" t="n">
        <x:v>1</x:v>
      </x:c>
    </x:row>
    <x:row r="50">
      <x:c r="A50" s="142" t="str">
        <x:v>Blainville</x:v>
      </x:c>
      <x:c r="B50" s="143" t="str">
        <x:v>Banlieue de Montréal</x:v>
      </x:c>
      <x:c r="C50" s="143" t="str">
        <x:v>2017</x:v>
      </x:c>
      <x:c r="D50" s="143" t="n">
        <x:v>542</x:v>
      </x:c>
      <x:c r="E50" s="143" t="str">
        <x:v>Terrebonne</x:v>
      </x:c>
      <x:c r="F50" s="149" t="n">
        <x:v>0.00011959552052764891</x:v>
      </x:c>
      <x:c r="G50" s="144" t="n">
        <x:v>2</x:v>
      </x:c>
    </x:row>
    <x:row r="51">
      <x:c r="A51" s="142" t="str">
        <x:v>Bonaventure</x:v>
      </x:c>
      <x:c r="B51" s="143" t="str">
        <x:v>Reste du Québec</x:v>
      </x:c>
      <x:c r="C51" s="143" t="str">
        <x:v>2022</x:v>
      </x:c>
      <x:c r="D51" s="143" t="n">
        <x:v>850</x:v>
      </x:c>
      <x:c r="E51" s="143" t="str">
        <x:v>Bonaventure</x:v>
      </x:c>
      <x:c r="F51" s="149" t="n">
        <x:v>0.9999999999999898</x:v>
      </x:c>
      <x:c r="G51" s="144" t="n">
        <x:v>1</x:v>
      </x:c>
    </x:row>
    <x:row r="52">
      <x:c r="A52" s="142" t="str">
        <x:v>Bonaventure</x:v>
      </x:c>
      <x:c r="B52" s="143" t="str">
        <x:v>Reste du Québec</x:v>
      </x:c>
      <x:c r="C52" s="143" t="str">
        <x:v>2017</x:v>
      </x:c>
      <x:c r="D52" s="143" t="n">
        <x:v>850</x:v>
      </x:c>
      <x:c r="E52" s="143" t="str">
        <x:v>Bonaventure</x:v>
      </x:c>
      <x:c r="F52" s="149" t="n">
        <x:v>0.9999692936203854</x:v>
      </x:c>
      <x:c r="G52" s="144" t="n">
        <x:v>1</x:v>
      </x:c>
    </x:row>
    <x:row r="53">
      <x:c r="A53" s="142" t="str">
        <x:v>Borduas</x:v>
      </x:c>
      <x:c r="B53" s="143" t="str">
        <x:v>Banlieue de Montréal</x:v>
      </x:c>
      <x:c r="C53" s="143" t="str">
        <x:v>2022</x:v>
      </x:c>
      <x:c r="D53" s="143" t="n">
        <x:v>258</x:v>
      </x:c>
      <x:c r="E53" s="143" t="str">
        <x:v>Borduas</x:v>
      </x:c>
      <x:c r="F53" s="149" t="n">
        <x:v>0.9999794859184309</x:v>
      </x:c>
      <x:c r="G53" s="144" t="n">
        <x:v>1</x:v>
      </x:c>
    </x:row>
    <x:row r="54">
      <x:c r="A54" s="142" t="str">
        <x:v>Borduas</x:v>
      </x:c>
      <x:c r="B54" s="143" t="str">
        <x:v>Banlieue de Montréal</x:v>
      </x:c>
      <x:c r="C54" s="143" t="str">
        <x:v>2017</x:v>
      </x:c>
      <x:c r="D54" s="143" t="n">
        <x:v>258</x:v>
      </x:c>
      <x:c r="E54" s="143" t="str">
        <x:v>Borduas</x:v>
      </x:c>
      <x:c r="F54" s="149" t="n">
        <x:v>0.9999794859184309</x:v>
      </x:c>
      <x:c r="G54" s="144" t="n">
        <x:v>1</x:v>
      </x:c>
    </x:row>
    <x:row r="55">
      <x:c r="A55" s="142" t="str">
        <x:v>Bourassa-Sauvé</x:v>
      </x:c>
      <x:c r="B55" s="143" t="str">
        <x:v>Île de Montréal</x:v>
      </x:c>
      <x:c r="C55" s="143" t="str">
        <x:v>2022</x:v>
      </x:c>
      <x:c r="D55" s="143" t="n">
        <x:v>360</x:v>
      </x:c>
      <x:c r="E55" s="143" t="str">
        <x:v>Bourassa-Sauvé</x:v>
      </x:c>
      <x:c r="F55" s="149" t="n">
        <x:v>0.9999999999994615</x:v>
      </x:c>
      <x:c r="G55" s="144" t="n">
        <x:v>1</x:v>
      </x:c>
    </x:row>
    <x:row r="56">
      <x:c r="A56" s="142" t="str">
        <x:v>Bourassa-Sauvé</x:v>
      </x:c>
      <x:c r="B56" s="143" t="str">
        <x:v>Île de Montréal</x:v>
      </x:c>
      <x:c r="C56" s="143" t="str">
        <x:v>2017</x:v>
      </x:c>
      <x:c r="D56" s="143" t="n">
        <x:v>360</x:v>
      </x:c>
      <x:c r="E56" s="143" t="str">
        <x:v>Bourassa-Sauvé</x:v>
      </x:c>
      <x:c r="F56" s="149" t="n">
        <x:v>0.9999999999994615</x:v>
      </x:c>
      <x:c r="G56" s="144" t="n">
        <x:v>1</x:v>
      </x:c>
    </x:row>
    <x:row r="57">
      <x:c r="A57" s="142" t="str">
        <x:v>Brome-Missisquoi</x:v>
      </x:c>
      <x:c r="B57" s="143" t="str">
        <x:v>Banlieue de Montréal</x:v>
      </x:c>
      <x:c r="C57" s="143" t="str">
        <x:v>2022</x:v>
      </x:c>
      <x:c r="D57" s="143" t="n">
        <x:v>204</x:v>
      </x:c>
      <x:c r="E57" s="143" t="str">
        <x:v>Brome-Missisquoi</x:v>
      </x:c>
      <x:c r="F57" s="149" t="n">
        <x:v>0.9999962977622207</x:v>
      </x:c>
      <x:c r="G57" s="144" t="n">
        <x:v>1</x:v>
      </x:c>
    </x:row>
    <x:row r="58">
      <x:c r="A58" s="142" t="str">
        <x:v>Brome-Missisquoi</x:v>
      </x:c>
      <x:c r="B58" s="143" t="str">
        <x:v>Banlieue de Montréal</x:v>
      </x:c>
      <x:c r="C58" s="143" t="str">
        <x:v>2017</x:v>
      </x:c>
      <x:c r="D58" s="143" t="n">
        <x:v>204</x:v>
      </x:c>
      <x:c r="E58" s="143" t="str">
        <x:v>Brome-Missisquoi</x:v>
      </x:c>
      <x:c r="F58" s="149" t="n">
        <x:v>0.9999452382061832</x:v>
      </x:c>
      <x:c r="G58" s="144" t="n">
        <x:v>1</x:v>
      </x:c>
    </x:row>
    <x:row r="59">
      <x:c r="A59" s="142" t="str">
        <x:v>Camille-Laurin</x:v>
      </x:c>
      <x:c r="B59" s="143" t="str">
        <x:v>Île de Montréal</x:v>
      </x:c>
      <x:c r="C59" s="143" t="str">
        <x:v>2022</x:v>
      </x:c>
      <x:c r="D59" s="143" t="n">
        <x:v>370</x:v>
      </x:c>
      <x:c r="E59" s="143" t="str">
        <x:v>Camille-Laurin</x:v>
      </x:c>
      <x:c r="F59" s="149" t="n">
        <x:v>0.9999999999992873</x:v>
      </x:c>
      <x:c r="G59" s="144" t="n">
        <x:v>1</x:v>
      </x:c>
    </x:row>
    <x:row r="60">
      <x:c r="A60" s="142" t="str">
        <x:v>Camille-Laurin</x:v>
      </x:c>
      <x:c r="B60" s="143" t="str">
        <x:v>Île de Montréal</x:v>
      </x:c>
      <x:c r="C60" s="143" t="str">
        <x:v>2017</x:v>
      </x:c>
      <x:c r="D60" s="143" t="n">
        <x:v>370</x:v>
      </x:c>
      <x:c r="E60" s="143" t="str">
        <x:v>Bourget</x:v>
      </x:c>
      <x:c r="F60" s="149" t="n">
        <x:v>0.9999999999992873</x:v>
      </x:c>
      <x:c r="G60" s="144" t="n">
        <x:v>1</x:v>
      </x:c>
    </x:row>
    <x:row r="61">
      <x:c r="A61" s="142" t="str">
        <x:v>Chambly</x:v>
      </x:c>
      <x:c r="B61" s="143" t="str">
        <x:v>Banlieue de Montréal</x:v>
      </x:c>
      <x:c r="C61" s="143" t="str">
        <x:v>2022</x:v>
      </x:c>
      <x:c r="D61" s="143" t="n">
        <x:v>238</x:v>
      </x:c>
      <x:c r="E61" s="143" t="str">
        <x:v>Chambly</x:v>
      </x:c>
      <x:c r="F61" s="149" t="n">
        <x:v>0.9999015251191733</x:v>
      </x:c>
      <x:c r="G61" s="144" t="n">
        <x:v>1</x:v>
      </x:c>
    </x:row>
    <x:row r="62">
      <x:c r="A62" s="142" t="str">
        <x:v>Chambly</x:v>
      </x:c>
      <x:c r="B62" s="143" t="str">
        <x:v>Banlieue de Montréal</x:v>
      </x:c>
      <x:c r="C62" s="143" t="str">
        <x:v>2017</x:v>
      </x:c>
      <x:c r="D62" s="143" t="n">
        <x:v>238</x:v>
      </x:c>
      <x:c r="E62" s="143" t="str">
        <x:v>Chambly</x:v>
      </x:c>
      <x:c r="F62" s="149" t="n">
        <x:v>0.9998291829980283</x:v>
      </x:c>
      <x:c r="G62" s="144" t="n">
        <x:v>1</x:v>
      </x:c>
    </x:row>
    <x:row r="63">
      <x:c r="A63" s="142" t="str">
        <x:v>Champlain</x:v>
      </x:c>
      <x:c r="B63" s="143" t="str">
        <x:v>Reste du Québec</x:v>
      </x:c>
      <x:c r="C63" s="143" t="str">
        <x:v>2022</x:v>
      </x:c>
      <x:c r="D63" s="143" t="n">
        <x:v>676</x:v>
      </x:c>
      <x:c r="E63" s="143" t="str">
        <x:v>Champlain</x:v>
      </x:c>
      <x:c r="F63" s="149" t="n">
        <x:v>0.9999979483119442</x:v>
      </x:c>
      <x:c r="G63" s="144" t="n">
        <x:v>1</x:v>
      </x:c>
    </x:row>
    <x:row r="64">
      <x:c r="A64" s="142" t="str">
        <x:v>Champlain</x:v>
      </x:c>
      <x:c r="B64" s="143" t="str">
        <x:v>Reste du Québec</x:v>
      </x:c>
      <x:c r="C64" s="143" t="str">
        <x:v>2017</x:v>
      </x:c>
      <x:c r="D64" s="143" t="n">
        <x:v>676</x:v>
      </x:c>
      <x:c r="E64" s="143" t="str">
        <x:v>Champlain</x:v>
      </x:c>
      <x:c r="F64" s="149" t="n">
        <x:v>0.9999806197311647</x:v>
      </x:c>
      <x:c r="G64" s="144" t="n">
        <x:v>1</x:v>
      </x:c>
    </x:row>
    <x:row r="65">
      <x:c r="A65" s="142" t="str">
        <x:v>Chapleau</x:v>
      </x:c>
      <x:c r="B65" s="143" t="str">
        <x:v>Île de Montréal</x:v>
      </x:c>
      <x:c r="C65" s="143" t="str">
        <x:v>2022</x:v>
      </x:c>
      <x:c r="D65" s="143" t="n">
        <x:v>620</x:v>
      </x:c>
      <x:c r="E65" s="143" t="str">
        <x:v>Chapleau</x:v>
      </x:c>
      <x:c r="F65" s="149" t="n">
        <x:v>0.9077608791804986</x:v>
      </x:c>
      <x:c r="G65" s="144" t="n">
        <x:v>1</x:v>
      </x:c>
    </x:row>
    <x:row r="66">
      <x:c r="A66" s="142" t="str">
        <x:v>Chapleau</x:v>
      </x:c>
      <x:c r="B66" s="143" t="str">
        <x:v>Île de Montréal</x:v>
      </x:c>
      <x:c r="C66" s="143" t="str">
        <x:v>2022</x:v>
      </x:c>
      <x:c r="D66" s="143" t="n">
        <x:v>626</x:v>
      </x:c>
      <x:c r="E66" s="143" t="str">
        <x:v>Papineau</x:v>
      </x:c>
      <x:c r="F66" s="149" t="n">
        <x:v>0.09223912081928798</x:v>
      </x:c>
      <x:c r="G66" s="144" t="n">
        <x:v>2</x:v>
      </x:c>
    </x:row>
    <x:row r="67">
      <x:c r="A67" s="142" t="str">
        <x:v>Chapleau</x:v>
      </x:c>
      <x:c r="B67" s="143" t="str">
        <x:v>Île de Montréal</x:v>
      </x:c>
      <x:c r="C67" s="143" t="str">
        <x:v>2017</x:v>
      </x:c>
      <x:c r="D67" s="143" t="n">
        <x:v>620</x:v>
      </x:c>
      <x:c r="E67" s="143" t="str">
        <x:v>Chapleau</x:v>
      </x:c>
      <x:c r="F67" s="149" t="n">
        <x:v>0.9077891661141565</x:v>
      </x:c>
      <x:c r="G67" s="144" t="n">
        <x:v>1</x:v>
      </x:c>
    </x:row>
    <x:row r="68">
      <x:c r="A68" s="142" t="str">
        <x:v>Chapleau</x:v>
      </x:c>
      <x:c r="B68" s="143" t="str">
        <x:v>Île de Montréal</x:v>
      </x:c>
      <x:c r="C68" s="143" t="str">
        <x:v>2017</x:v>
      </x:c>
      <x:c r="D68" s="143" t="n">
        <x:v>626</x:v>
      </x:c>
      <x:c r="E68" s="143" t="str">
        <x:v>Papineau</x:v>
      </x:c>
      <x:c r="F68" s="149" t="n">
        <x:v>0.09219145891037706</x:v>
      </x:c>
      <x:c r="G68" s="144" t="n">
        <x:v>2</x:v>
      </x:c>
    </x:row>
    <x:row r="69">
      <x:c r="A69" s="142" t="str">
        <x:v>Charlesbourg</x:v>
      </x:c>
      <x:c r="B69" s="143" t="str">
        <x:v>Québec RMR</x:v>
      </x:c>
      <x:c r="C69" s="143" t="str">
        <x:v>2022</x:v>
      </x:c>
      <x:c r="D69" s="143" t="n">
        <x:v>748</x:v>
      </x:c>
      <x:c r="E69" s="143" t="str">
        <x:v>Charlesbourg</x:v>
      </x:c>
      <x:c r="F69" s="149" t="n">
        <x:v>0.9999999999994729</x:v>
      </x:c>
      <x:c r="G69" s="144" t="n">
        <x:v>1</x:v>
      </x:c>
    </x:row>
    <x:row r="70">
      <x:c r="A70" s="142" t="str">
        <x:v>Charlesbourg</x:v>
      </x:c>
      <x:c r="B70" s="143" t="str">
        <x:v>Québec RMR</x:v>
      </x:c>
      <x:c r="C70" s="143" t="str">
        <x:v>2017</x:v>
      </x:c>
      <x:c r="D70" s="143" t="n">
        <x:v>748</x:v>
      </x:c>
      <x:c r="E70" s="143" t="str">
        <x:v>Charlesbourg</x:v>
      </x:c>
      <x:c r="F70" s="149" t="n">
        <x:v>0.9999999999994923</x:v>
      </x:c>
      <x:c r="G70" s="144" t="n">
        <x:v>1</x:v>
      </x:c>
    </x:row>
    <x:row r="71">
      <x:c r="A71" s="142" t="str">
        <x:v>Charlevoix-Côte-de-Beaupré</x:v>
      </x:c>
      <x:c r="B71" s="143" t="str">
        <x:v>Québec RMR</x:v>
      </x:c>
      <x:c r="C71" s="143" t="str">
        <x:v>2022</x:v>
      </x:c>
      <x:c r="D71" s="143" t="n">
        <x:v>760</x:v>
      </x:c>
      <x:c r="E71" s="143" t="str">
        <x:v>Charlevoix-Côte-de-Beaupré</x:v>
      </x:c>
      <x:c r="F71" s="149" t="n">
        <x:v>0.9999999745448548</x:v>
      </x:c>
      <x:c r="G71" s="144" t="n">
        <x:v>1</x:v>
      </x:c>
    </x:row>
    <x:row r="72">
      <x:c r="A72" s="142" t="str">
        <x:v>Charlevoix-Côte-de-Beaupré</x:v>
      </x:c>
      <x:c r="B72" s="143" t="str">
        <x:v>Québec RMR</x:v>
      </x:c>
      <x:c r="C72" s="143" t="str">
        <x:v>2017</x:v>
      </x:c>
      <x:c r="D72" s="143" t="n">
        <x:v>760</x:v>
      </x:c>
      <x:c r="E72" s="143" t="str">
        <x:v>Charlevoix-Côte-de-Beaupré</x:v>
      </x:c>
      <x:c r="F72" s="149" t="n">
        <x:v>0.9999457876302822</x:v>
      </x:c>
      <x:c r="G72" s="144" t="n">
        <x:v>1</x:v>
      </x:c>
    </x:row>
    <x:row r="73">
      <x:c r="A73" s="142" t="str">
        <x:v>Châteauguay</x:v>
      </x:c>
      <x:c r="B73" s="143" t="str">
        <x:v>Banlieue de Montréal</x:v>
      </x:c>
      <x:c r="C73" s="143" t="str">
        <x:v>2022</x:v>
      </x:c>
      <x:c r="D73" s="143" t="n">
        <x:v>226</x:v>
      </x:c>
      <x:c r="E73" s="143" t="str">
        <x:v>Châteauguay</x:v>
      </x:c>
      <x:c r="F73" s="149" t="n">
        <x:v>0.9999994092293708</x:v>
      </x:c>
      <x:c r="G73" s="144" t="n">
        <x:v>1</x:v>
      </x:c>
    </x:row>
    <x:row r="74">
      <x:c r="A74" s="142" t="str">
        <x:v>Châteauguay</x:v>
      </x:c>
      <x:c r="B74" s="143" t="str">
        <x:v>Banlieue de Montréal</x:v>
      </x:c>
      <x:c r="C74" s="143" t="str">
        <x:v>2017</x:v>
      </x:c>
      <x:c r="D74" s="143" t="n">
        <x:v>226</x:v>
      </x:c>
      <x:c r="E74" s="143" t="str">
        <x:v>Châteauguay</x:v>
      </x:c>
      <x:c r="F74" s="149" t="n">
        <x:v>0.9999964692736791</x:v>
      </x:c>
      <x:c r="G74" s="144" t="n">
        <x:v>1</x:v>
      </x:c>
    </x:row>
    <x:row r="75">
      <x:c r="A75" s="142" t="str">
        <x:v>Chauveau</x:v>
      </x:c>
      <x:c r="B75" s="143" t="str">
        <x:v>Québec RMR</x:v>
      </x:c>
      <x:c r="C75" s="143" t="str">
        <x:v>2022</x:v>
      </x:c>
      <x:c r="D75" s="143" t="n">
        <x:v>754</x:v>
      </x:c>
      <x:c r="E75" s="143" t="str">
        <x:v>Chauveau</x:v>
      </x:c>
      <x:c r="F75" s="149" t="n">
        <x:v>0.999999999760986</x:v>
      </x:c>
      <x:c r="G75" s="144" t="n">
        <x:v>1</x:v>
      </x:c>
    </x:row>
    <x:row r="76">
      <x:c r="A76" s="142" t="str">
        <x:v>Chauveau</x:v>
      </x:c>
      <x:c r="B76" s="143" t="str">
        <x:v>Québec RMR</x:v>
      </x:c>
      <x:c r="C76" s="143" t="str">
        <x:v>2017</x:v>
      </x:c>
      <x:c r="D76" s="143" t="n">
        <x:v>754</x:v>
      </x:c>
      <x:c r="E76" s="143" t="str">
        <x:v>Chauveau</x:v>
      </x:c>
      <x:c r="F76" s="149" t="n">
        <x:v>0.9999957500521991</x:v>
      </x:c>
      <x:c r="G76" s="144" t="n">
        <x:v>1</x:v>
      </x:c>
    </x:row>
    <x:row r="77">
      <x:c r="A77" s="142" t="str">
        <x:v>Chicoutimi</x:v>
      </x:c>
      <x:c r="B77" s="143" t="str">
        <x:v>Reste du Québec</x:v>
      </x:c>
      <x:c r="C77" s="143" t="str">
        <x:v>2022</x:v>
      </x:c>
      <x:c r="D77" s="143" t="n">
        <x:v>918</x:v>
      </x:c>
      <x:c r="E77" s="143" t="str">
        <x:v>Chicoutimi</x:v>
      </x:c>
      <x:c r="F77" s="149" t="n">
        <x:v>0.9996128189393122</x:v>
      </x:c>
      <x:c r="G77" s="144" t="n">
        <x:v>1</x:v>
      </x:c>
    </x:row>
    <x:row r="78">
      <x:c r="A78" s="142" t="str">
        <x:v>Chicoutimi</x:v>
      </x:c>
      <x:c r="B78" s="143" t="str">
        <x:v>Reste du Québec</x:v>
      </x:c>
      <x:c r="C78" s="143" t="str">
        <x:v>2022</x:v>
      </x:c>
      <x:c r="D78" s="143" t="n">
        <x:v>914</x:v>
      </x:c>
      <x:c r="E78" s="143" t="str">
        <x:v>Dubuc</x:v>
      </x:c>
      <x:c r="F78" s="149" t="n">
        <x:v>0.0003871810606327783</x:v>
      </x:c>
      <x:c r="G78" s="144" t="n">
        <x:v>2</x:v>
      </x:c>
    </x:row>
    <x:row r="79">
      <x:c r="A79" s="142" t="str">
        <x:v>Chicoutimi</x:v>
      </x:c>
      <x:c r="B79" s="143" t="str">
        <x:v>Reste du Québec</x:v>
      </x:c>
      <x:c r="C79" s="143" t="str">
        <x:v>2017</x:v>
      </x:c>
      <x:c r="D79" s="143" t="n">
        <x:v>918</x:v>
      </x:c>
      <x:c r="E79" s="143" t="str">
        <x:v>Chicoutimi</x:v>
      </x:c>
      <x:c r="F79" s="149" t="n">
        <x:v>0.9996128189380479</x:v>
      </x:c>
      <x:c r="G79" s="144" t="n">
        <x:v>1</x:v>
      </x:c>
    </x:row>
    <x:row r="80">
      <x:c r="A80" s="142" t="str">
        <x:v>Chicoutimi</x:v>
      </x:c>
      <x:c r="B80" s="143" t="str">
        <x:v>Reste du Québec</x:v>
      </x:c>
      <x:c r="C80" s="143" t="str">
        <x:v>2017</x:v>
      </x:c>
      <x:c r="D80" s="143" t="n">
        <x:v>914</x:v>
      </x:c>
      <x:c r="E80" s="143" t="str">
        <x:v>Dubuc</x:v>
      </x:c>
      <x:c r="F80" s="149" t="n">
        <x:v>0.0003871810618970113</x:v>
      </x:c>
      <x:c r="G80" s="144" t="n">
        <x:v>2</x:v>
      </x:c>
    </x:row>
    <x:row r="81">
      <x:c r="A81" s="142" t="str">
        <x:v>Chomedey</x:v>
      </x:c>
      <x:c r="B81" s="143" t="str">
        <x:v>Banlieue de Montréal</x:v>
      </x:c>
      <x:c r="C81" s="143" t="str">
        <x:v>2022</x:v>
      </x:c>
      <x:c r="D81" s="143" t="n">
        <x:v>460</x:v>
      </x:c>
      <x:c r="E81" s="143" t="str">
        <x:v>Chomedey</x:v>
      </x:c>
      <x:c r="F81" s="149" t="n">
        <x:v>0.9999999999995756</x:v>
      </x:c>
      <x:c r="G81" s="144" t="n">
        <x:v>1</x:v>
      </x:c>
    </x:row>
    <x:row r="82">
      <x:c r="A82" s="142" t="str">
        <x:v>Chomedey</x:v>
      </x:c>
      <x:c r="B82" s="143" t="str">
        <x:v>Banlieue de Montréal</x:v>
      </x:c>
      <x:c r="C82" s="143" t="str">
        <x:v>2017</x:v>
      </x:c>
      <x:c r="D82" s="143" t="n">
        <x:v>460</x:v>
      </x:c>
      <x:c r="E82" s="143" t="str">
        <x:v>Chomedey</x:v>
      </x:c>
      <x:c r="F82" s="149" t="n">
        <x:v>0.9999999999995756</x:v>
      </x:c>
      <x:c r="G82" s="144" t="n">
        <x:v>1</x:v>
      </x:c>
    </x:row>
    <x:row r="83">
      <x:c r="A83" s="142" t="str">
        <x:v>Chutes-de-la-Chaudière</x:v>
      </x:c>
      <x:c r="B83" s="143" t="str">
        <x:v>Québec RMR</x:v>
      </x:c>
      <x:c r="C83" s="143" t="str">
        <x:v>2022</x:v>
      </x:c>
      <x:c r="D83" s="143" t="n">
        <x:v>814</x:v>
      </x:c>
      <x:c r="E83" s="143" t="str">
        <x:v>Chutes-de-la-Chaudière</x:v>
      </x:c>
      <x:c r="F83" s="149" t="n">
        <x:v>0.9999999999998505</x:v>
      </x:c>
      <x:c r="G83" s="144" t="n">
        <x:v>1</x:v>
      </x:c>
    </x:row>
    <x:row r="84">
      <x:c r="A84" s="142" t="str">
        <x:v>Chutes-de-la-Chaudière</x:v>
      </x:c>
      <x:c r="B84" s="143" t="str">
        <x:v>Québec RMR</x:v>
      </x:c>
      <x:c r="C84" s="143" t="str">
        <x:v>2017</x:v>
      </x:c>
      <x:c r="D84" s="143" t="n">
        <x:v>814</x:v>
      </x:c>
      <x:c r="E84" s="143" t="str">
        <x:v>Chutes-de-la-Chaudière</x:v>
      </x:c>
      <x:c r="F84" s="149" t="n">
        <x:v>0.9999999999998505</x:v>
      </x:c>
      <x:c r="G84" s="144" t="n">
        <x:v>1</x:v>
      </x:c>
    </x:row>
    <x:row r="85">
      <x:c r="A85" s="142" t="str">
        <x:v>Côte-du-Sud</x:v>
      </x:c>
      <x:c r="B85" s="143" t="str">
        <x:v>Reste du Québec</x:v>
      </x:c>
      <x:c r="C85" s="143" t="str">
        <x:v>2022</x:v>
      </x:c>
      <x:c r="D85" s="143" t="n">
        <x:v>826</x:v>
      </x:c>
      <x:c r="E85" s="143" t="str">
        <x:v>Côte-du-Sud</x:v>
      </x:c>
      <x:c r="F85" s="149" t="n">
        <x:v>0.9999999999999837</x:v>
      </x:c>
      <x:c r="G85" s="144" t="n">
        <x:v>1</x:v>
      </x:c>
    </x:row>
    <x:row r="86">
      <x:c r="A86" s="142" t="str">
        <x:v>Côte-du-Sud</x:v>
      </x:c>
      <x:c r="B86" s="143" t="str">
        <x:v>Reste du Québec</x:v>
      </x:c>
      <x:c r="C86" s="143" t="str">
        <x:v>2017</x:v>
      </x:c>
      <x:c r="D86" s="143" t="n">
        <x:v>826</x:v>
      </x:c>
      <x:c r="E86" s="143" t="str">
        <x:v>Côte-du-Sud</x:v>
      </x:c>
      <x:c r="F86" s="149" t="n">
        <x:v>0.9999999990867507</x:v>
      </x:c>
      <x:c r="G86" s="144" t="n">
        <x:v>1</x:v>
      </x:c>
    </x:row>
    <x:row r="87">
      <x:c r="A87" s="142" t="str">
        <x:v>Daniel-Johnson</x:v>
      </x:c>
      <x:c r="B87" s="143" t="str">
        <x:v>Banlieue de Montréal</x:v>
      </x:c>
      <x:c r="C87" s="143" t="str">
        <x:v>2022</x:v>
      </x:c>
      <x:c r="D87" s="143" t="n">
        <x:v>126</x:v>
      </x:c>
      <x:c r="E87" s="143" t="str">
        <x:v>Johnson</x:v>
      </x:c>
      <x:c r="F87" s="149" t="n">
        <x:v>0.4604554297471854</x:v>
      </x:c>
      <x:c r="G87" s="144" t="n">
        <x:v>1</x:v>
      </x:c>
    </x:row>
    <x:row r="88">
      <x:c r="A88" s="142" t="str">
        <x:v>Daniel-Johnson</x:v>
      </x:c>
      <x:c r="B88" s="143" t="str">
        <x:v>Banlieue de Montréal</x:v>
      </x:c>
      <x:c r="C88" s="143" t="str">
        <x:v>2022</x:v>
      </x:c>
      <x:c r="D88" s="143" t="n">
        <x:v>204</x:v>
      </x:c>
      <x:c r="E88" s="143" t="str">
        <x:v>Brome-Missisquoi</x:v>
      </x:c>
      <x:c r="F88" s="149" t="n">
        <x:v>0.23510936294758156</x:v>
      </x:c>
      <x:c r="G88" s="144" t="n">
        <x:v>2</x:v>
      </x:c>
    </x:row>
    <x:row r="89">
      <x:c r="A89" s="142" t="str">
        <x:v>Daniel-Johnson</x:v>
      </x:c>
      <x:c r="B89" s="143" t="str">
        <x:v>Banlieue de Montréal</x:v>
      </x:c>
      <x:c r="C89" s="143" t="str">
        <x:v>2022</x:v>
      </x:c>
      <x:c r="D89" s="143" t="n">
        <x:v>260</x:v>
      </x:c>
      <x:c r="E89" s="143" t="str">
        <x:v>Saint-Hyacinthe</x:v>
      </x:c>
      <x:c r="F89" s="149" t="n">
        <x:v>0.18673322692993144</x:v>
      </x:c>
      <x:c r="G89" s="144" t="n">
        <x:v>3</x:v>
      </x:c>
    </x:row>
    <x:row r="90">
      <x:c r="A90" s="142" t="str">
        <x:v>Daniel-Johnson</x:v>
      </x:c>
      <x:c r="B90" s="143" t="str">
        <x:v>Banlieue de Montréal</x:v>
      </x:c>
      <x:c r="C90" s="143" t="str">
        <x:v>2022</x:v>
      </x:c>
      <x:c r="D90" s="143" t="n">
        <x:v>132</x:v>
      </x:c>
      <x:c r="E90" s="143" t="str">
        <x:v>Richmond</x:v>
      </x:c>
      <x:c r="F90" s="149" t="n">
        <x:v>0.0862142465642164</x:v>
      </x:c>
      <x:c r="G90" s="144" t="n">
        <x:v>4</x:v>
      </x:c>
    </x:row>
    <x:row r="91">
      <x:c r="A91" s="142" t="str">
        <x:v>Daniel-Johnson</x:v>
      </x:c>
      <x:c r="B91" s="143" t="str">
        <x:v>Banlieue de Montréal</x:v>
      </x:c>
      <x:c r="C91" s="143" t="str">
        <x:v>2022</x:v>
      </x:c>
      <x:c r="D91" s="143" t="n">
        <x:v>120</x:v>
      </x:c>
      <x:c r="E91" s="143" t="str">
        <x:v>Orford</x:v>
      </x:c>
      <x:c r="F91" s="149" t="n">
        <x:v>0.03135691337445279</x:v>
      </x:c>
      <x:c r="G91" s="144" t="n">
        <x:v>5</x:v>
      </x:c>
    </x:row>
    <x:row r="92">
      <x:c r="A92" s="142" t="str">
        <x:v>Daniel-Johnson</x:v>
      </x:c>
      <x:c r="B92" s="143" t="str">
        <x:v>Banlieue de Montréal</x:v>
      </x:c>
      <x:c r="C92" s="143" t="str">
        <x:v>2022</x:v>
      </x:c>
      <x:c r="D92" s="143" t="n">
        <x:v>210</x:v>
      </x:c>
      <x:c r="E92" s="143" t="str">
        <x:v>Iberville</x:v>
      </x:c>
      <x:c r="F92" s="149" t="n">
        <x:v>0.00013082043659218731</x:v>
      </x:c>
      <x:c r="G92" s="144" t="n">
        <x:v>6</x:v>
      </x:c>
    </x:row>
    <x:row r="93">
      <x:c r="A93" s="142" t="str">
        <x:v>Daniel-Johnson</x:v>
      </x:c>
      <x:c r="B93" s="143" t="str">
        <x:v>Banlieue de Montréal</x:v>
      </x:c>
      <x:c r="C93" s="143" t="str">
        <x:v>2017</x:v>
      </x:c>
      <x:c r="D93" s="143" t="n">
        <x:v>126</x:v>
      </x:c>
      <x:c r="E93" s="143" t="str">
        <x:v>Johnson</x:v>
      </x:c>
      <x:c r="F93" s="149" t="n">
        <x:v>0.4604554297471854</x:v>
      </x:c>
      <x:c r="G93" s="144" t="n">
        <x:v>1</x:v>
      </x:c>
    </x:row>
    <x:row r="94">
      <x:c r="A94" s="142" t="str">
        <x:v>Daniel-Johnson</x:v>
      </x:c>
      <x:c r="B94" s="143" t="str">
        <x:v>Banlieue de Montréal</x:v>
      </x:c>
      <x:c r="C94" s="143" t="str">
        <x:v>2017</x:v>
      </x:c>
      <x:c r="D94" s="143" t="n">
        <x:v>204</x:v>
      </x:c>
      <x:c r="E94" s="143" t="str">
        <x:v>Brome-Missisquoi</x:v>
      </x:c>
      <x:c r="F94" s="149" t="n">
        <x:v>0.23510936294758156</x:v>
      </x:c>
      <x:c r="G94" s="144" t="n">
        <x:v>2</x:v>
      </x:c>
    </x:row>
    <x:row r="95">
      <x:c r="A95" s="142" t="str">
        <x:v>Daniel-Johnson</x:v>
      </x:c>
      <x:c r="B95" s="143" t="str">
        <x:v>Banlieue de Montréal</x:v>
      </x:c>
      <x:c r="C95" s="143" t="str">
        <x:v>2017</x:v>
      </x:c>
      <x:c r="D95" s="143" t="n">
        <x:v>260</x:v>
      </x:c>
      <x:c r="E95" s="143" t="str">
        <x:v>Saint-Hyacinthe</x:v>
      </x:c>
      <x:c r="F95" s="149" t="n">
        <x:v>0.18673322692993144</x:v>
      </x:c>
      <x:c r="G95" s="144" t="n">
        <x:v>3</x:v>
      </x:c>
    </x:row>
    <x:row r="96">
      <x:c r="A96" s="142" t="str">
        <x:v>Daniel-Johnson</x:v>
      </x:c>
      <x:c r="B96" s="143" t="str">
        <x:v>Banlieue de Montréal</x:v>
      </x:c>
      <x:c r="C96" s="143" t="str">
        <x:v>2017</x:v>
      </x:c>
      <x:c r="D96" s="143" t="n">
        <x:v>132</x:v>
      </x:c>
      <x:c r="E96" s="143" t="str">
        <x:v>Richmond</x:v>
      </x:c>
      <x:c r="F96" s="149" t="n">
        <x:v>0.0862142465642164</x:v>
      </x:c>
      <x:c r="G96" s="144" t="n">
        <x:v>4</x:v>
      </x:c>
    </x:row>
    <x:row r="97">
      <x:c r="A97" s="142" t="str">
        <x:v>Daniel-Johnson</x:v>
      </x:c>
      <x:c r="B97" s="143" t="str">
        <x:v>Banlieue de Montréal</x:v>
      </x:c>
      <x:c r="C97" s="143" t="str">
        <x:v>2017</x:v>
      </x:c>
      <x:c r="D97" s="143" t="n">
        <x:v>120</x:v>
      </x:c>
      <x:c r="E97" s="143" t="str">
        <x:v>Orford</x:v>
      </x:c>
      <x:c r="F97" s="149" t="n">
        <x:v>0.03135691337445279</x:v>
      </x:c>
      <x:c r="G97" s="144" t="n">
        <x:v>5</x:v>
      </x:c>
    </x:row>
    <x:row r="98">
      <x:c r="A98" s="142" t="str">
        <x:v>Daniel-Johnson</x:v>
      </x:c>
      <x:c r="B98" s="143" t="str">
        <x:v>Banlieue de Montréal</x:v>
      </x:c>
      <x:c r="C98" s="143" t="str">
        <x:v>2017</x:v>
      </x:c>
      <x:c r="D98" s="143" t="n">
        <x:v>210</x:v>
      </x:c>
      <x:c r="E98" s="143" t="str">
        <x:v>Iberville</x:v>
      </x:c>
      <x:c r="F98" s="149" t="n">
        <x:v>0.00013082043659218731</x:v>
      </x:c>
      <x:c r="G98" s="144" t="n">
        <x:v>6</x:v>
      </x:c>
    </x:row>
    <x:row r="99">
      <x:c r="A99" s="142" t="str">
        <x:v>D'Arcy-McGee</x:v>
      </x:c>
      <x:c r="B99" s="143" t="str">
        <x:v>Île de Montréal</x:v>
      </x:c>
      <x:c r="C99" s="143" t="str">
        <x:v>2022</x:v>
      </x:c>
      <x:c r="D99" s="143" t="n">
        <x:v>320</x:v>
      </x:c>
      <x:c r="E99" s="143" t="str">
        <x:v>D'Arcy-McGee</x:v>
      </x:c>
      <x:c r="F99" s="149" t="n">
        <x:v>0.9999999775208085</x:v>
      </x:c>
      <x:c r="G99" s="144" t="n">
        <x:v>1</x:v>
      </x:c>
    </x:row>
    <x:row r="100">
      <x:c r="A100" s="142" t="str">
        <x:v>D'Arcy-McGee</x:v>
      </x:c>
      <x:c r="B100" s="143" t="str">
        <x:v>Île de Montréal</x:v>
      </x:c>
      <x:c r="C100" s="143" t="str">
        <x:v>2017</x:v>
      </x:c>
      <x:c r="D100" s="143" t="n">
        <x:v>320</x:v>
      </x:c>
      <x:c r="E100" s="143" t="str">
        <x:v>D'Arcy-McGee</x:v>
      </x:c>
      <x:c r="F100" s="149" t="n">
        <x:v>0.9999999775208085</x:v>
      </x:c>
      <x:c r="G100" s="144" t="n">
        <x:v>1</x:v>
      </x:c>
    </x:row>
    <x:row r="101">
      <x:c r="A101" s="142" t="str">
        <x:v>Deux-Montagnes</x:v>
      </x:c>
      <x:c r="B101" s="143" t="str">
        <x:v>Banlieue de Montréal</x:v>
      </x:c>
      <x:c r="C101" s="143" t="str">
        <x:v>2022</x:v>
      </x:c>
      <x:c r="D101" s="143" t="n">
        <x:v>508</x:v>
      </x:c>
      <x:c r="E101" s="143" t="str">
        <x:v>Deux-Montagnes</x:v>
      </x:c>
      <x:c r="F101" s="149" t="n">
        <x:v>0.9999577510942832</x:v>
      </x:c>
      <x:c r="G101" s="144" t="n">
        <x:v>1</x:v>
      </x:c>
    </x:row>
    <x:row r="102">
      <x:c r="A102" s="142" t="str">
        <x:v>Deux-Montagnes</x:v>
      </x:c>
      <x:c r="B102" s="143" t="str">
        <x:v>Banlieue de Montréal</x:v>
      </x:c>
      <x:c r="C102" s="143" t="str">
        <x:v>2017</x:v>
      </x:c>
      <x:c r="D102" s="143" t="n">
        <x:v>508</x:v>
      </x:c>
      <x:c r="E102" s="143" t="str">
        <x:v>Deux-Montagnes</x:v>
      </x:c>
      <x:c r="F102" s="149" t="n">
        <x:v>0.9998230569736685</x:v>
      </x:c>
      <x:c r="G102" s="144" t="n">
        <x:v>1</x:v>
      </x:c>
    </x:row>
    <x:row r="103">
      <x:c r="A103" s="142" t="str">
        <x:v>Deux-Montagnes</x:v>
      </x:c>
      <x:c r="B103" s="143" t="str">
        <x:v>Banlieue de Montréal</x:v>
      </x:c>
      <x:c r="C103" s="143" t="str">
        <x:v>2017</x:v>
      </x:c>
      <x:c r="D103" s="143" t="n">
        <x:v>502</x:v>
      </x:c>
      <x:c r="E103" s="143" t="str">
        <x:v>Groulx</x:v>
      </x:c>
      <x:c r="F103" s="149" t="n">
        <x:v>0.00013469412063930793</x:v>
      </x:c>
      <x:c r="G103" s="144" t="n">
        <x:v>2</x:v>
      </x:c>
    </x:row>
    <x:row r="104">
      <x:c r="A104" s="142" t="str">
        <x:v>Drummond-Bois-Francs</x:v>
      </x:c>
      <x:c r="B104" s="143" t="str">
        <x:v>Reste du Québec</x:v>
      </x:c>
      <x:c r="C104" s="143" t="str">
        <x:v>2022</x:v>
      </x:c>
      <x:c r="D104" s="143" t="n">
        <x:v>138</x:v>
      </x:c>
      <x:c r="E104" s="143" t="str">
        <x:v>Drummond-Bois-Francs</x:v>
      </x:c>
      <x:c r="F104" s="149" t="n">
        <x:v>0.9885366891049118</x:v>
      </x:c>
      <x:c r="G104" s="144" t="n">
        <x:v>1</x:v>
      </x:c>
    </x:row>
    <x:row r="105">
      <x:c r="A105" s="142" t="str">
        <x:v>Drummond-Bois-Francs</x:v>
      </x:c>
      <x:c r="B105" s="143" t="str">
        <x:v>Reste du Québec</x:v>
      </x:c>
      <x:c r="C105" s="143" t="str">
        <x:v>2022</x:v>
      </x:c>
      <x:c r="D105" s="143" t="n">
        <x:v>150</x:v>
      </x:c>
      <x:c r="E105" s="143" t="str">
        <x:v>Nicolet-Bécancour</x:v>
      </x:c>
      <x:c r="F105" s="149" t="n">
        <x:v>0.011383643112217021</x:v>
      </x:c>
      <x:c r="G105" s="144" t="n">
        <x:v>2</x:v>
      </x:c>
    </x:row>
    <x:row r="106">
      <x:c r="A106" s="142" t="str">
        <x:v>Drummond-Bois-Francs</x:v>
      </x:c>
      <x:c r="B106" s="143" t="str">
        <x:v>Reste du Québec</x:v>
      </x:c>
      <x:c r="C106" s="143" t="str">
        <x:v>2017</x:v>
      </x:c>
      <x:c r="D106" s="143" t="n">
        <x:v>138</x:v>
      </x:c>
      <x:c r="E106" s="143" t="str">
        <x:v>Drummond-Bois-Francs</x:v>
      </x:c>
      <x:c r="F106" s="149" t="n">
        <x:v>0.9885004567905777</x:v>
      </x:c>
      <x:c r="G106" s="144" t="n">
        <x:v>1</x:v>
      </x:c>
    </x:row>
    <x:row r="107">
      <x:c r="A107" s="142" t="str">
        <x:v>Drummond-Bois-Francs</x:v>
      </x:c>
      <x:c r="B107" s="143" t="str">
        <x:v>Reste du Québec</x:v>
      </x:c>
      <x:c r="C107" s="143" t="str">
        <x:v>2017</x:v>
      </x:c>
      <x:c r="D107" s="143" t="n">
        <x:v>150</x:v>
      </x:c>
      <x:c r="E107" s="143" t="str">
        <x:v>Nicolet-Bécancour</x:v>
      </x:c>
      <x:c r="F107" s="149" t="n">
        <x:v>0.01138364311221702</x:v>
      </x:c>
      <x:c r="G107" s="144" t="n">
        <x:v>2</x:v>
      </x:c>
    </x:row>
    <x:row r="108">
      <x:c r="A108" s="142" t="str">
        <x:v>Dubuc</x:v>
      </x:c>
      <x:c r="B108" s="143" t="str">
        <x:v>Reste du Québec</x:v>
      </x:c>
      <x:c r="C108" s="143" t="str">
        <x:v>2022</x:v>
      </x:c>
      <x:c r="D108" s="143" t="n">
        <x:v>914</x:v>
      </x:c>
      <x:c r="E108" s="143" t="str">
        <x:v>Dubuc</x:v>
      </x:c>
      <x:c r="F108" s="149" t="n">
        <x:v>0.9970025801832412</x:v>
      </x:c>
      <x:c r="G108" s="144" t="n">
        <x:v>1</x:v>
      </x:c>
    </x:row>
    <x:row r="109">
      <x:c r="A109" s="142" t="str">
        <x:v>Dubuc</x:v>
      </x:c>
      <x:c r="B109" s="143" t="str">
        <x:v>Reste du Québec</x:v>
      </x:c>
      <x:c r="C109" s="143" t="str">
        <x:v>2022</x:v>
      </x:c>
      <x:c r="D109" s="143" t="n">
        <x:v>918</x:v>
      </x:c>
      <x:c r="E109" s="143" t="str">
        <x:v>Chicoutimi</x:v>
      </x:c>
      <x:c r="F109" s="149" t="n">
        <x:v>0.0029974198167387555</x:v>
      </x:c>
      <x:c r="G109" s="144" t="n">
        <x:v>2</x:v>
      </x:c>
    </x:row>
    <x:row r="110">
      <x:c r="A110" s="142" t="str">
        <x:v>Dubuc</x:v>
      </x:c>
      <x:c r="B110" s="143" t="str">
        <x:v>Reste du Québec</x:v>
      </x:c>
      <x:c r="C110" s="143" t="str">
        <x:v>2017</x:v>
      </x:c>
      <x:c r="D110" s="143" t="n">
        <x:v>914</x:v>
      </x:c>
      <x:c r="E110" s="143" t="str">
        <x:v>Dubuc</x:v>
      </x:c>
      <x:c r="F110" s="149" t="n">
        <x:v>0.9969012951989585</x:v>
      </x:c>
      <x:c r="G110" s="144" t="n">
        <x:v>1</x:v>
      </x:c>
    </x:row>
    <x:row r="111">
      <x:c r="A111" s="142" t="str">
        <x:v>Dubuc</x:v>
      </x:c>
      <x:c r="B111" s="143" t="str">
        <x:v>Reste du Québec</x:v>
      </x:c>
      <x:c r="C111" s="143" t="str">
        <x:v>2017</x:v>
      </x:c>
      <x:c r="D111" s="143" t="n">
        <x:v>918</x:v>
      </x:c>
      <x:c r="E111" s="143" t="str">
        <x:v>Chicoutimi</x:v>
      </x:c>
      <x:c r="F111" s="149" t="n">
        <x:v>0.0029974198167387555</x:v>
      </x:c>
      <x:c r="G111" s="144" t="n">
        <x:v>2</x:v>
      </x:c>
    </x:row>
    <x:row r="112">
      <x:c r="A112" s="142" t="str">
        <x:v>Dubuc</x:v>
      </x:c>
      <x:c r="B112" s="143" t="str">
        <x:v>Reste du Québec</x:v>
      </x:c>
      <x:c r="C112" s="143" t="str">
        <x:v>2017</x:v>
      </x:c>
      <x:c r="D112" s="143" t="n">
        <x:v>926</x:v>
      </x:c>
      <x:c r="E112" s="143" t="str">
        <x:v>Lac-Saint-Jean</x:v>
      </x:c>
      <x:c r="F112" s="149" t="n">
        <x:v>0.00010128498428786591</x:v>
      </x:c>
      <x:c r="G112" s="144" t="n">
        <x:v>3</x:v>
      </x:c>
    </x:row>
    <x:row r="113">
      <x:c r="A113" s="142" t="str">
        <x:v>Duplessis</x:v>
      </x:c>
      <x:c r="B113" s="143" t="str">
        <x:v>Reste du Québec</x:v>
      </x:c>
      <x:c r="C113" s="143" t="str">
        <x:v>2022</x:v>
      </x:c>
      <x:c r="D113" s="143" t="n">
        <x:v>902</x:v>
      </x:c>
      <x:c r="E113" s="143" t="str">
        <x:v>Duplessis</x:v>
      </x:c>
      <x:c r="F113" s="149" t="n">
        <x:v>0.9999999999999998</x:v>
      </x:c>
      <x:c r="G113" s="144" t="n">
        <x:v>1</x:v>
      </x:c>
    </x:row>
    <x:row r="114">
      <x:c r="A114" s="142" t="str">
        <x:v>Duplessis</x:v>
      </x:c>
      <x:c r="B114" s="143" t="str">
        <x:v>Reste du Québec</x:v>
      </x:c>
      <x:c r="C114" s="143" t="str">
        <x:v>2017</x:v>
      </x:c>
      <x:c r="D114" s="143" t="n">
        <x:v>902</x:v>
      </x:c>
      <x:c r="E114" s="143" t="str">
        <x:v>Duplessis</x:v>
      </x:c>
      <x:c r="F114" s="149" t="n">
        <x:v>0.9999999999999998</x:v>
      </x:c>
      <x:c r="G114" s="144" t="n">
        <x:v>1</x:v>
      </x:c>
    </x:row>
    <x:row r="115">
      <x:c r="A115" s="142" t="str">
        <x:v>Fabre</x:v>
      </x:c>
      <x:c r="B115" s="143" t="str">
        <x:v>Banlieue de Montréal</x:v>
      </x:c>
      <x:c r="C115" s="143" t="str">
        <x:v>2022</x:v>
      </x:c>
      <x:c r="D115" s="143" t="n">
        <x:v>466</x:v>
      </x:c>
      <x:c r="E115" s="143" t="str">
        <x:v>Fabre</x:v>
      </x:c>
      <x:c r="F115" s="149" t="n">
        <x:v>0.9999999999975779</x:v>
      </x:c>
      <x:c r="G115" s="144" t="n">
        <x:v>1</x:v>
      </x:c>
    </x:row>
    <x:row r="116">
      <x:c r="A116" s="142" t="str">
        <x:v>Fabre</x:v>
      </x:c>
      <x:c r="B116" s="143" t="str">
        <x:v>Banlieue de Montréal</x:v>
      </x:c>
      <x:c r="C116" s="143" t="str">
        <x:v>2017</x:v>
      </x:c>
      <x:c r="D116" s="143" t="n">
        <x:v>466</x:v>
      </x:c>
      <x:c r="E116" s="143" t="str">
        <x:v>Fabre</x:v>
      </x:c>
      <x:c r="F116" s="149" t="n">
        <x:v>0.9999999999975779</x:v>
      </x:c>
      <x:c r="G116" s="144" t="n">
        <x:v>1</x:v>
      </x:c>
    </x:row>
    <x:row r="117">
      <x:c r="A117" s="142" t="str">
        <x:v>Gaspé</x:v>
      </x:c>
      <x:c r="B117" s="143" t="str">
        <x:v>Reste du Québec</x:v>
      </x:c>
      <x:c r="C117" s="143" t="str">
        <x:v>2022</x:v>
      </x:c>
      <x:c r="D117" s="143" t="n">
        <x:v>854</x:v>
      </x:c>
      <x:c r="E117" s="143" t="str">
        <x:v>Gaspé</x:v>
      </x:c>
      <x:c r="F117" s="149" t="n">
        <x:v>0.9999999999999937</x:v>
      </x:c>
      <x:c r="G117" s="144" t="n">
        <x:v>1</x:v>
      </x:c>
    </x:row>
    <x:row r="118">
      <x:c r="A118" s="142" t="str">
        <x:v>Gaspé</x:v>
      </x:c>
      <x:c r="B118" s="143" t="str">
        <x:v>Reste du Québec</x:v>
      </x:c>
      <x:c r="C118" s="143" t="str">
        <x:v>2017</x:v>
      </x:c>
      <x:c r="D118" s="143" t="n">
        <x:v>854</x:v>
      </x:c>
      <x:c r="E118" s="143" t="str">
        <x:v>Gaspé</x:v>
      </x:c>
      <x:c r="F118" s="149" t="n">
        <x:v>0.999874987390236</x:v>
      </x:c>
      <x:c r="G118" s="144" t="n">
        <x:v>1</x:v>
      </x:c>
    </x:row>
    <x:row r="119">
      <x:c r="A119" s="142" t="str">
        <x:v>Gaspé</x:v>
      </x:c>
      <x:c r="B119" s="143" t="str">
        <x:v>Reste du Québec</x:v>
      </x:c>
      <x:c r="C119" s="143" t="str">
        <x:v>2017</x:v>
      </x:c>
      <x:c r="D119" s="143" t="n">
        <x:v>850</x:v>
      </x:c>
      <x:c r="E119" s="143" t="str">
        <x:v>Bonaventure</x:v>
      </x:c>
      <x:c r="F119" s="149" t="n">
        <x:v>0.00012501260976245592</x:v>
      </x:c>
      <x:c r="G119" s="144" t="n">
        <x:v>2</x:v>
      </x:c>
    </x:row>
    <x:row r="120">
      <x:c r="A120" s="142" t="str">
        <x:v>Gatineau</x:v>
      </x:c>
      <x:c r="B120" s="143" t="str">
        <x:v>Reste du Québec</x:v>
      </x:c>
      <x:c r="C120" s="143" t="str">
        <x:v>2022</x:v>
      </x:c>
      <x:c r="D120" s="143" t="n">
        <x:v>614</x:v>
      </x:c>
      <x:c r="E120" s="143" t="str">
        <x:v>Gatineau</x:v>
      </x:c>
      <x:c r="F120" s="149" t="n">
        <x:v>0.9998557638106362</x:v>
      </x:c>
      <x:c r="G120" s="144" t="n">
        <x:v>1</x:v>
      </x:c>
    </x:row>
    <x:row r="121">
      <x:c r="A121" s="142" t="str">
        <x:v>Gatineau</x:v>
      </x:c>
      <x:c r="B121" s="143" t="str">
        <x:v>Reste du Québec</x:v>
      </x:c>
      <x:c r="C121" s="143" t="str">
        <x:v>2022</x:v>
      </x:c>
      <x:c r="D121" s="143" t="n">
        <x:v>608</x:v>
      </x:c>
      <x:c r="E121" s="143" t="str">
        <x:v>Pontiac</x:v>
      </x:c>
      <x:c r="F121" s="149" t="n">
        <x:v>0.00011978646086449199</x:v>
      </x:c>
      <x:c r="G121" s="144" t="n">
        <x:v>2</x:v>
      </x:c>
    </x:row>
    <x:row r="122">
      <x:c r="A122" s="142" t="str">
        <x:v>Gatineau</x:v>
      </x:c>
      <x:c r="B122" s="143" t="str">
        <x:v>Reste du Québec</x:v>
      </x:c>
      <x:c r="C122" s="143" t="str">
        <x:v>2017</x:v>
      </x:c>
      <x:c r="D122" s="143" t="n">
        <x:v>614</x:v>
      </x:c>
      <x:c r="E122" s="143" t="str">
        <x:v>Gatineau</x:v>
      </x:c>
      <x:c r="F122" s="149" t="n">
        <x:v>0.9998168194953245</x:v>
      </x:c>
      <x:c r="G122" s="144" t="n">
        <x:v>1</x:v>
      </x:c>
    </x:row>
    <x:row r="123">
      <x:c r="A123" s="142" t="str">
        <x:v>Gatineau</x:v>
      </x:c>
      <x:c r="B123" s="143" t="str">
        <x:v>Reste du Québec</x:v>
      </x:c>
      <x:c r="C123" s="143" t="str">
        <x:v>2017</x:v>
      </x:c>
      <x:c r="D123" s="143" t="n">
        <x:v>608</x:v>
      </x:c>
      <x:c r="E123" s="143" t="str">
        <x:v>Pontiac</x:v>
      </x:c>
      <x:c r="F123" s="149" t="n">
        <x:v>0.00015873052752966401</x:v>
      </x:c>
      <x:c r="G123" s="144" t="n">
        <x:v>2</x:v>
      </x:c>
    </x:row>
    <x:row r="124">
      <x:c r="A124" s="142" t="str">
        <x:v>Gouin</x:v>
      </x:c>
      <x:c r="B124" s="143" t="str">
        <x:v>Île de Montréal</x:v>
      </x:c>
      <x:c r="C124" s="143" t="str">
        <x:v>2022</x:v>
      </x:c>
      <x:c r="D124" s="143" t="n">
        <x:v>346</x:v>
      </x:c>
      <x:c r="E124" s="143" t="str">
        <x:v>Gouin</x:v>
      </x:c>
      <x:c r="F124" s="149" t="n">
        <x:v>0.9999999998325284</x:v>
      </x:c>
      <x:c r="G124" s="144" t="n">
        <x:v>1</x:v>
      </x:c>
    </x:row>
    <x:row r="125">
      <x:c r="A125" s="142" t="str">
        <x:v>Gouin</x:v>
      </x:c>
      <x:c r="B125" s="143" t="str">
        <x:v>Île de Montréal</x:v>
      </x:c>
      <x:c r="C125" s="143" t="str">
        <x:v>2017</x:v>
      </x:c>
      <x:c r="D125" s="143" t="n">
        <x:v>346</x:v>
      </x:c>
      <x:c r="E125" s="143" t="str">
        <x:v>Gouin</x:v>
      </x:c>
      <x:c r="F125" s="149" t="n">
        <x:v>0.9999999998325284</x:v>
      </x:c>
      <x:c r="G125" s="144" t="n">
        <x:v>1</x:v>
      </x:c>
    </x:row>
    <x:row r="126">
      <x:c r="A126" s="142" t="str">
        <x:v>Granby</x:v>
      </x:c>
      <x:c r="B126" s="143" t="str">
        <x:v>Reste du Québec</x:v>
      </x:c>
      <x:c r="C126" s="143" t="str">
        <x:v>2022</x:v>
      </x:c>
      <x:c r="D126" s="143" t="n">
        <x:v>206</x:v>
      </x:c>
      <x:c r="E126" s="143" t="str">
        <x:v>Granby</x:v>
      </x:c>
      <x:c r="F126" s="149" t="n">
        <x:v>0.9545652308115679</x:v>
      </x:c>
      <x:c r="G126" s="144" t="n">
        <x:v>1</x:v>
      </x:c>
    </x:row>
    <x:row r="127">
      <x:c r="A127" s="142" t="str">
        <x:v>Granby</x:v>
      </x:c>
      <x:c r="B127" s="143" t="str">
        <x:v>Reste du Québec</x:v>
      </x:c>
      <x:c r="C127" s="143" t="str">
        <x:v>2022</x:v>
      </x:c>
      <x:c r="D127" s="143" t="n">
        <x:v>204</x:v>
      </x:c>
      <x:c r="E127" s="143" t="str">
        <x:v>Brome-Missisquoi</x:v>
      </x:c>
      <x:c r="F127" s="149" t="n">
        <x:v>0.045419652931810946</x:v>
      </x:c>
      <x:c r="G127" s="144" t="n">
        <x:v>2</x:v>
      </x:c>
    </x:row>
    <x:row r="128">
      <x:c r="A128" s="142" t="str">
        <x:v>Granby</x:v>
      </x:c>
      <x:c r="B128" s="143" t="str">
        <x:v>Reste du Québec</x:v>
      </x:c>
      <x:c r="C128" s="143" t="str">
        <x:v>2017</x:v>
      </x:c>
      <x:c r="D128" s="143" t="n">
        <x:v>206</x:v>
      </x:c>
      <x:c r="E128" s="143" t="str">
        <x:v>Granby</x:v>
      </x:c>
      <x:c r="F128" s="149" t="n">
        <x:v>0.9545652308115679</x:v>
      </x:c>
      <x:c r="G128" s="144" t="n">
        <x:v>1</x:v>
      </x:c>
    </x:row>
    <x:row r="129">
      <x:c r="A129" s="142" t="str">
        <x:v>Granby</x:v>
      </x:c>
      <x:c r="B129" s="143" t="str">
        <x:v>Reste du Québec</x:v>
      </x:c>
      <x:c r="C129" s="143" t="str">
        <x:v>2017</x:v>
      </x:c>
      <x:c r="D129" s="143" t="n">
        <x:v>204</x:v>
      </x:c>
      <x:c r="E129" s="143" t="str">
        <x:v>Brome-Missisquoi</x:v>
      </x:c>
      <x:c r="F129" s="149" t="n">
        <x:v>0.045419652931810946</x:v>
      </x:c>
      <x:c r="G129" s="144" t="n">
        <x:v>2</x:v>
      </x:c>
    </x:row>
    <x:row r="130">
      <x:c r="A130" s="142" t="str">
        <x:v>Groulx</x:v>
      </x:c>
      <x:c r="B130" s="143" t="str">
        <x:v>Banlieue de Montréal</x:v>
      </x:c>
      <x:c r="C130" s="143" t="str">
        <x:v>2022</x:v>
      </x:c>
      <x:c r="D130" s="143" t="n">
        <x:v>502</x:v>
      </x:c>
      <x:c r="E130" s="143" t="str">
        <x:v>Groulx</x:v>
      </x:c>
      <x:c r="F130" s="149" t="n">
        <x:v>0.9999999999082917</x:v>
      </x:c>
      <x:c r="G130" s="144" t="n">
        <x:v>1</x:v>
      </x:c>
    </x:row>
    <x:row r="131">
      <x:c r="A131" s="142" t="str">
        <x:v>Groulx</x:v>
      </x:c>
      <x:c r="B131" s="143" t="str">
        <x:v>Banlieue de Montréal</x:v>
      </x:c>
      <x:c r="C131" s="143" t="str">
        <x:v>2017</x:v>
      </x:c>
      <x:c r="D131" s="143" t="n">
        <x:v>502</x:v>
      </x:c>
      <x:c r="E131" s="143" t="str">
        <x:v>Groulx</x:v>
      </x:c>
      <x:c r="F131" s="149" t="n">
        <x:v>0.9999618013837034</x:v>
      </x:c>
      <x:c r="G131" s="144" t="n">
        <x:v>1</x:v>
      </x:c>
    </x:row>
    <x:row r="132">
      <x:c r="A132" s="142" t="str">
        <x:v>Hochelaga-Maisonneuve</x:v>
      </x:c>
      <x:c r="B132" s="143" t="str">
        <x:v>Île de Montréal</x:v>
      </x:c>
      <x:c r="C132" s="143" t="str">
        <x:v>2022</x:v>
      </x:c>
      <x:c r="D132" s="143" t="n">
        <x:v>352</x:v>
      </x:c>
      <x:c r="E132" s="143" t="str">
        <x:v>Hochelaga-Maisonneuve</x:v>
      </x:c>
      <x:c r="F132" s="149" t="n">
        <x:v>0.9999316976765115</x:v>
      </x:c>
      <x:c r="G132" s="144" t="n">
        <x:v>1</x:v>
      </x:c>
    </x:row>
    <x:row r="133">
      <x:c r="A133" s="142" t="str">
        <x:v>Hochelaga-Maisonneuve</x:v>
      </x:c>
      <x:c r="B133" s="143" t="str">
        <x:v>Île de Montréal</x:v>
      </x:c>
      <x:c r="C133" s="143" t="str">
        <x:v>2017</x:v>
      </x:c>
      <x:c r="D133" s="143" t="n">
        <x:v>352</x:v>
      </x:c>
      <x:c r="E133" s="143" t="str">
        <x:v>Hochelaga-Maisonneuve</x:v>
      </x:c>
      <x:c r="F133" s="149" t="n">
        <x:v>0.9999316976765115</x:v>
      </x:c>
      <x:c r="G133" s="144" t="n">
        <x:v>1</x:v>
      </x:c>
    </x:row>
    <x:row r="134">
      <x:c r="A134" s="142" t="str">
        <x:v>Hull</x:v>
      </x:c>
      <x:c r="B134" s="143" t="str">
        <x:v>Reste du Québec</x:v>
      </x:c>
      <x:c r="C134" s="143" t="str">
        <x:v>2022</x:v>
      </x:c>
      <x:c r="D134" s="143" t="n">
        <x:v>602</x:v>
      </x:c>
      <x:c r="E134" s="143" t="str">
        <x:v>Hull</x:v>
      </x:c>
      <x:c r="F134" s="149" t="n">
        <x:v>0.9291934660715068</x:v>
      </x:c>
      <x:c r="G134" s="144" t="n">
        <x:v>1</x:v>
      </x:c>
    </x:row>
    <x:row r="135">
      <x:c r="A135" s="142" t="str">
        <x:v>Hull</x:v>
      </x:c>
      <x:c r="B135" s="143" t="str">
        <x:v>Reste du Québec</x:v>
      </x:c>
      <x:c r="C135" s="143" t="str">
        <x:v>2022</x:v>
      </x:c>
      <x:c r="D135" s="143" t="n">
        <x:v>614</x:v>
      </x:c>
      <x:c r="E135" s="143" t="str">
        <x:v>Gatineau</x:v>
      </x:c>
      <x:c r="F135" s="149" t="n">
        <x:v>0.07080651404166777</x:v>
      </x:c>
      <x:c r="G135" s="144" t="n">
        <x:v>2</x:v>
      </x:c>
    </x:row>
    <x:row r="136">
      <x:c r="A136" s="142" t="str">
        <x:v>Hull</x:v>
      </x:c>
      <x:c r="B136" s="143" t="str">
        <x:v>Reste du Québec</x:v>
      </x:c>
      <x:c r="C136" s="143" t="str">
        <x:v>2017</x:v>
      </x:c>
      <x:c r="D136" s="143" t="n">
        <x:v>602</x:v>
      </x:c>
      <x:c r="E136" s="143" t="str">
        <x:v>Hull</x:v>
      </x:c>
      <x:c r="F136" s="149" t="n">
        <x:v>0.929193463157797</x:v>
      </x:c>
      <x:c r="G136" s="144" t="n">
        <x:v>1</x:v>
      </x:c>
    </x:row>
    <x:row r="137">
      <x:c r="A137" s="142" t="str">
        <x:v>Hull</x:v>
      </x:c>
      <x:c r="B137" s="143" t="str">
        <x:v>Reste du Québec</x:v>
      </x:c>
      <x:c r="C137" s="143" t="str">
        <x:v>2017</x:v>
      </x:c>
      <x:c r="D137" s="143" t="n">
        <x:v>614</x:v>
      </x:c>
      <x:c r="E137" s="143" t="str">
        <x:v>Gatineau</x:v>
      </x:c>
      <x:c r="F137" s="149" t="n">
        <x:v>0.07080651404166778</x:v>
      </x:c>
      <x:c r="G137" s="144" t="n">
        <x:v>2</x:v>
      </x:c>
    </x:row>
    <x:row r="138">
      <x:c r="A138" s="142" t="str">
        <x:v>Huntingdon</x:v>
      </x:c>
      <x:c r="B138" s="143" t="str">
        <x:v>Banlieue de Montréal</x:v>
      </x:c>
      <x:c r="C138" s="143" t="str">
        <x:v>2022</x:v>
      </x:c>
      <x:c r="D138" s="143" t="n">
        <x:v>216</x:v>
      </x:c>
      <x:c r="E138" s="143" t="str">
        <x:v>Huntingdon</x:v>
      </x:c>
      <x:c r="F138" s="149" t="n">
        <x:v>0.9660756359569719</x:v>
      </x:c>
      <x:c r="G138" s="144" t="n">
        <x:v>1</x:v>
      </x:c>
    </x:row>
    <x:row r="139">
      <x:c r="A139" s="142" t="str">
        <x:v>Huntingdon</x:v>
      </x:c>
      <x:c r="B139" s="143" t="str">
        <x:v>Banlieue de Montréal</x:v>
      </x:c>
      <x:c r="C139" s="143" t="str">
        <x:v>2022</x:v>
      </x:c>
      <x:c r="D139" s="143" t="n">
        <x:v>212</x:v>
      </x:c>
      <x:c r="E139" s="143" t="str">
        <x:v>Saint-Jean</x:v>
      </x:c>
      <x:c r="F139" s="149" t="n">
        <x:v>0.03392436404296393</x:v>
      </x:c>
      <x:c r="G139" s="144" t="n">
        <x:v>2</x:v>
      </x:c>
    </x:row>
    <x:row r="140">
      <x:c r="A140" s="142" t="str">
        <x:v>Huntingdon</x:v>
      </x:c>
      <x:c r="B140" s="143" t="str">
        <x:v>Banlieue de Montréal</x:v>
      </x:c>
      <x:c r="C140" s="143" t="str">
        <x:v>2017</x:v>
      </x:c>
      <x:c r="D140" s="143" t="n">
        <x:v>216</x:v>
      </x:c>
      <x:c r="E140" s="143" t="str">
        <x:v>Huntingdon</x:v>
      </x:c>
      <x:c r="F140" s="149" t="n">
        <x:v>0.9660586200752536</x:v>
      </x:c>
      <x:c r="G140" s="144" t="n">
        <x:v>1</x:v>
      </x:c>
    </x:row>
    <x:row r="141">
      <x:c r="A141" s="142" t="str">
        <x:v>Huntingdon</x:v>
      </x:c>
      <x:c r="B141" s="143" t="str">
        <x:v>Banlieue de Montréal</x:v>
      </x:c>
      <x:c r="C141" s="143" t="str">
        <x:v>2017</x:v>
      </x:c>
      <x:c r="D141" s="143" t="n">
        <x:v>212</x:v>
      </x:c>
      <x:c r="E141" s="143" t="str">
        <x:v>Saint-Jean</x:v>
      </x:c>
      <x:c r="F141" s="149" t="n">
        <x:v>0.03392436404296393</x:v>
      </x:c>
      <x:c r="G141" s="144" t="n">
        <x:v>2</x:v>
      </x:c>
    </x:row>
    <x:row r="142">
      <x:c r="A142" s="142" t="str">
        <x:v>Iberville</x:v>
      </x:c>
      <x:c r="B142" s="143" t="str">
        <x:v>Banlieue de Montréal</x:v>
      </x:c>
      <x:c r="C142" s="143" t="str">
        <x:v>2022</x:v>
      </x:c>
      <x:c r="D142" s="143" t="n">
        <x:v>210</x:v>
      </x:c>
      <x:c r="E142" s="143" t="str">
        <x:v>Iberville</x:v>
      </x:c>
      <x:c r="F142" s="149" t="n">
        <x:v>0.9998560110118033</x:v>
      </x:c>
      <x:c r="G142" s="144" t="n">
        <x:v>1</x:v>
      </x:c>
    </x:row>
    <x:row r="143">
      <x:c r="A143" s="142" t="str">
        <x:v>Iberville</x:v>
      </x:c>
      <x:c r="B143" s="143" t="str">
        <x:v>Banlieue de Montréal</x:v>
      </x:c>
      <x:c r="C143" s="143" t="str">
        <x:v>2022</x:v>
      </x:c>
      <x:c r="D143" s="143" t="n">
        <x:v>260</x:v>
      </x:c>
      <x:c r="E143" s="143" t="str">
        <x:v>Saint-Hyacinthe</x:v>
      </x:c>
      <x:c r="F143" s="149" t="n">
        <x:v>0.00010460871408782575</x:v>
      </x:c>
      <x:c r="G143" s="144" t="n">
        <x:v>2</x:v>
      </x:c>
    </x:row>
    <x:row r="144">
      <x:c r="A144" s="142" t="str">
        <x:v>Iberville</x:v>
      </x:c>
      <x:c r="B144" s="143" t="str">
        <x:v>Banlieue de Montréal</x:v>
      </x:c>
      <x:c r="C144" s="143" t="str">
        <x:v>2017</x:v>
      </x:c>
      <x:c r="D144" s="143" t="n">
        <x:v>210</x:v>
      </x:c>
      <x:c r="E144" s="143" t="str">
        <x:v>Iberville</x:v>
      </x:c>
      <x:c r="F144" s="149" t="n">
        <x:v>0.9986869526430553</x:v>
      </x:c>
      <x:c r="G144" s="144" t="n">
        <x:v>1</x:v>
      </x:c>
    </x:row>
    <x:row r="145">
      <x:c r="A145" s="142" t="str">
        <x:v>Iberville</x:v>
      </x:c>
      <x:c r="B145" s="143" t="str">
        <x:v>Banlieue de Montréal</x:v>
      </x:c>
      <x:c r="C145" s="143" t="str">
        <x:v>2017</x:v>
      </x:c>
      <x:c r="D145" s="143" t="n">
        <x:v>238</x:v>
      </x:c>
      <x:c r="E145" s="143" t="str">
        <x:v>Chambly</x:v>
      </x:c>
      <x:c r="F145" s="149" t="n">
        <x:v>0.001170447246033061</x:v>
      </x:c>
      <x:c r="G145" s="144" t="n">
        <x:v>2</x:v>
      </x:c>
    </x:row>
    <x:row r="146">
      <x:c r="A146" s="142" t="str">
        <x:v>Iberville</x:v>
      </x:c>
      <x:c r="B146" s="143" t="str">
        <x:v>Banlieue de Montréal</x:v>
      </x:c>
      <x:c r="C146" s="143" t="str">
        <x:v>2017</x:v>
      </x:c>
      <x:c r="D146" s="143" t="n">
        <x:v>260</x:v>
      </x:c>
      <x:c r="E146" s="143" t="str">
        <x:v>Saint-Hyacinthe</x:v>
      </x:c>
      <x:c r="F146" s="149" t="n">
        <x:v>0.00010460871408782572</x:v>
      </x:c>
      <x:c r="G146" s="144" t="n">
        <x:v>3</x:v>
      </x:c>
    </x:row>
    <x:row r="147">
      <x:c r="A147" s="142" t="str">
        <x:v>Îles-de-la-Madeleine</x:v>
      </x:c>
      <x:c r="B147" s="143" t="str">
        <x:v>Reste du Québec</x:v>
      </x:c>
      <x:c r="C147" s="143" t="str">
        <x:v>2022</x:v>
      </x:c>
      <x:c r="D147" s="143" t="n">
        <x:v>858</x:v>
      </x:c>
      <x:c r="E147" s="143" t="str">
        <x:v>Îles-de-la-Madeleine</x:v>
      </x:c>
      <x:c r="F147" s="149" t="n">
        <x:v>0.9999999999999999</x:v>
      </x:c>
      <x:c r="G147" s="144" t="n">
        <x:v>1</x:v>
      </x:c>
    </x:row>
    <x:row r="148">
      <x:c r="A148" s="142" t="str">
        <x:v>Îles-de-la-Madeleine</x:v>
      </x:c>
      <x:c r="B148" s="143" t="str">
        <x:v>Reste du Québec</x:v>
      </x:c>
      <x:c r="C148" s="143" t="str">
        <x:v>2017</x:v>
      </x:c>
      <x:c r="D148" s="143" t="n">
        <x:v>858</x:v>
      </x:c>
      <x:c r="E148" s="143" t="str">
        <x:v>Îles-de-la-Madeleine</x:v>
      </x:c>
      <x:c r="F148" s="149" t="n">
        <x:v>0.9999999999999999</x:v>
      </x:c>
      <x:c r="G148" s="144" t="n">
        <x:v>1</x:v>
      </x:c>
    </x:row>
    <x:row r="149">
      <x:c r="A149" s="142" t="str">
        <x:v>Jacques-Cartier</x:v>
      </x:c>
      <x:c r="B149" s="143" t="str">
        <x:v>Île de Montréal</x:v>
      </x:c>
      <x:c r="C149" s="143" t="str">
        <x:v>2022</x:v>
      </x:c>
      <x:c r="D149" s="143" t="n">
        <x:v>310</x:v>
      </x:c>
      <x:c r="E149" s="143" t="str">
        <x:v>Jacques-Cartier</x:v>
      </x:c>
      <x:c r="F149" s="149" t="n">
        <x:v>0.9999999999994637</x:v>
      </x:c>
      <x:c r="G149" s="144" t="n">
        <x:v>1</x:v>
      </x:c>
    </x:row>
    <x:row r="150">
      <x:c r="A150" s="142" t="str">
        <x:v>Jacques-Cartier</x:v>
      </x:c>
      <x:c r="B150" s="143" t="str">
        <x:v>Île de Montréal</x:v>
      </x:c>
      <x:c r="C150" s="143" t="str">
        <x:v>2017</x:v>
      </x:c>
      <x:c r="D150" s="143" t="n">
        <x:v>310</x:v>
      </x:c>
      <x:c r="E150" s="143" t="str">
        <x:v>Jacques-Cartier</x:v>
      </x:c>
      <x:c r="F150" s="149" t="n">
        <x:v>0.9999999999994637</x:v>
      </x:c>
      <x:c r="G150" s="144" t="n">
        <x:v>1</x:v>
      </x:c>
    </x:row>
    <x:row r="151">
      <x:c r="A151" s="142" t="str">
        <x:v>Jean-Lesage</x:v>
      </x:c>
      <x:c r="B151" s="143" t="str">
        <x:v>Québec RMR</x:v>
      </x:c>
      <x:c r="C151" s="143" t="str">
        <x:v>2022</x:v>
      </x:c>
      <x:c r="D151" s="143" t="n">
        <x:v>736</x:v>
      </x:c>
      <x:c r="E151" s="143" t="str">
        <x:v>Jean-Lesage</x:v>
      </x:c>
      <x:c r="F151" s="149" t="n">
        <x:v>0.9999980548055416</x:v>
      </x:c>
      <x:c r="G151" s="144" t="n">
        <x:v>1</x:v>
      </x:c>
    </x:row>
    <x:row r="152">
      <x:c r="A152" s="142" t="str">
        <x:v>Jean-Lesage</x:v>
      </x:c>
      <x:c r="B152" s="143" t="str">
        <x:v>Québec RMR</x:v>
      </x:c>
      <x:c r="C152" s="143" t="str">
        <x:v>2017</x:v>
      </x:c>
      <x:c r="D152" s="143" t="n">
        <x:v>736</x:v>
      </x:c>
      <x:c r="E152" s="143" t="str">
        <x:v>Jean-Lesage</x:v>
      </x:c>
      <x:c r="F152" s="149" t="n">
        <x:v>0.9999980544545533</x:v>
      </x:c>
      <x:c r="G152" s="144" t="n">
        <x:v>1</x:v>
      </x:c>
    </x:row>
    <x:row r="153">
      <x:c r="A153" s="142" t="str">
        <x:v>Jeanne-Mance-Viger</x:v>
      </x:c>
      <x:c r="B153" s="143" t="str">
        <x:v>Île de Montréal</x:v>
      </x:c>
      <x:c r="C153" s="143" t="str">
        <x:v>2022</x:v>
      </x:c>
      <x:c r="D153" s="143" t="n">
        <x:v>364</x:v>
      </x:c>
      <x:c r="E153" s="143" t="str">
        <x:v>Jeanne-Mance-Viger</x:v>
      </x:c>
      <x:c r="F153" s="149" t="n">
        <x:v>0.9999999999992708</x:v>
      </x:c>
      <x:c r="G153" s="144" t="n">
        <x:v>1</x:v>
      </x:c>
    </x:row>
    <x:row r="154">
      <x:c r="A154" s="142" t="str">
        <x:v>Jeanne-Mance-Viger</x:v>
      </x:c>
      <x:c r="B154" s="143" t="str">
        <x:v>Île de Montréal</x:v>
      </x:c>
      <x:c r="C154" s="143" t="str">
        <x:v>2017</x:v>
      </x:c>
      <x:c r="D154" s="143" t="n">
        <x:v>364</x:v>
      </x:c>
      <x:c r="E154" s="143" t="str">
        <x:v>Jeanne-Mance-Viger</x:v>
      </x:c>
      <x:c r="F154" s="149" t="n">
        <x:v>0.9999999247650457</x:v>
      </x:c>
      <x:c r="G154" s="144" t="n">
        <x:v>1</x:v>
      </x:c>
    </x:row>
    <x:row r="155">
      <x:c r="A155" s="142" t="str">
        <x:v>Jean-Talon</x:v>
      </x:c>
      <x:c r="B155" s="143" t="str">
        <x:v>Québec RMR</x:v>
      </x:c>
      <x:c r="C155" s="143" t="str">
        <x:v>2022</x:v>
      </x:c>
      <x:c r="D155" s="143" t="n">
        <x:v>702</x:v>
      </x:c>
      <x:c r="E155" s="143" t="str">
        <x:v>Jean-Talon</x:v>
      </x:c>
      <x:c r="F155" s="149" t="n">
        <x:v>0.99999999872733</x:v>
      </x:c>
      <x:c r="G155" s="144" t="n">
        <x:v>1</x:v>
      </x:c>
    </x:row>
    <x:row r="156">
      <x:c r="A156" s="142" t="str">
        <x:v>Jean-Talon</x:v>
      </x:c>
      <x:c r="B156" s="143" t="str">
        <x:v>Québec RMR</x:v>
      </x:c>
      <x:c r="C156" s="143" t="str">
        <x:v>2017</x:v>
      </x:c>
      <x:c r="D156" s="143" t="n">
        <x:v>702</x:v>
      </x:c>
      <x:c r="E156" s="143" t="str">
        <x:v>Jean-Talon</x:v>
      </x:c>
      <x:c r="F156" s="149" t="n">
        <x:v>0.99999999872733</x:v>
      </x:c>
      <x:c r="G156" s="144" t="n">
        <x:v>1</x:v>
      </x:c>
    </x:row>
    <x:row r="157">
      <x:c r="A157" s="142" t="str">
        <x:v>Joliette</x:v>
      </x:c>
      <x:c r="B157" s="143" t="str">
        <x:v>Reste du Québec</x:v>
      </x:c>
      <x:c r="C157" s="143" t="str">
        <x:v>2022</x:v>
      </x:c>
      <x:c r="D157" s="143" t="n">
        <x:v>570</x:v>
      </x:c>
      <x:c r="E157" s="143" t="str">
        <x:v>Joliette</x:v>
      </x:c>
      <x:c r="F157" s="149" t="n">
        <x:v>0.9999820419110493</x:v>
      </x:c>
      <x:c r="G157" s="144" t="n">
        <x:v>1</x:v>
      </x:c>
    </x:row>
    <x:row r="158">
      <x:c r="A158" s="142" t="str">
        <x:v>Joliette</x:v>
      </x:c>
      <x:c r="B158" s="143" t="str">
        <x:v>Reste du Québec</x:v>
      </x:c>
      <x:c r="C158" s="143" t="str">
        <x:v>2017</x:v>
      </x:c>
      <x:c r="D158" s="143" t="n">
        <x:v>570</x:v>
      </x:c>
      <x:c r="E158" s="143" t="str">
        <x:v>Joliette</x:v>
      </x:c>
      <x:c r="F158" s="149" t="n">
        <x:v>0.9999444672366528</x:v>
      </x:c>
      <x:c r="G158" s="144" t="n">
        <x:v>1</x:v>
      </x:c>
    </x:row>
    <x:row r="159">
      <x:c r="A159" s="142" t="str">
        <x:v>Jonquière</x:v>
      </x:c>
      <x:c r="B159" s="143" t="str">
        <x:v>Reste du Québec</x:v>
      </x:c>
      <x:c r="C159" s="143" t="str">
        <x:v>2022</x:v>
      </x:c>
      <x:c r="D159" s="143" t="n">
        <x:v>922</x:v>
      </x:c>
      <x:c r="E159" s="143" t="str">
        <x:v>Jonquière</x:v>
      </x:c>
      <x:c r="F159" s="149" t="n">
        <x:v>0.9999999999999399</x:v>
      </x:c>
      <x:c r="G159" s="144" t="n">
        <x:v>1</x:v>
      </x:c>
    </x:row>
    <x:row r="160">
      <x:c r="A160" s="142" t="str">
        <x:v>Jonquière</x:v>
      </x:c>
      <x:c r="B160" s="143" t="str">
        <x:v>Reste du Québec</x:v>
      </x:c>
      <x:c r="C160" s="143" t="str">
        <x:v>2017</x:v>
      </x:c>
      <x:c r="D160" s="143" t="n">
        <x:v>922</x:v>
      </x:c>
      <x:c r="E160" s="143" t="str">
        <x:v>Jonquière</x:v>
      </x:c>
      <x:c r="F160" s="149" t="n">
        <x:v>0.9999999999999399</x:v>
      </x:c>
      <x:c r="G160" s="144" t="n">
        <x:v>1</x:v>
      </x:c>
    </x:row>
    <x:row r="161">
      <x:c r="A161" s="142" t="str">
        <x:v>Labelle</x:v>
      </x:c>
      <x:c r="B161" s="143" t="str">
        <x:v>Reste du Québec</x:v>
      </x:c>
      <x:c r="C161" s="143" t="str">
        <x:v>2022</x:v>
      </x:c>
      <x:c r="D161" s="143" t="n">
        <x:v>594</x:v>
      </x:c>
      <x:c r="E161" s="143" t="str">
        <x:v>Labelle</x:v>
      </x:c>
      <x:c r="F161" s="149" t="n">
        <x:v>0.9999059784743385</x:v>
      </x:c>
      <x:c r="G161" s="144" t="n">
        <x:v>1</x:v>
      </x:c>
    </x:row>
    <x:row r="162">
      <x:c r="A162" s="142" t="str">
        <x:v>Labelle</x:v>
      </x:c>
      <x:c r="B162" s="143" t="str">
        <x:v>Reste du Québec</x:v>
      </x:c>
      <x:c r="C162" s="143" t="str">
        <x:v>2017</x:v>
      </x:c>
      <x:c r="D162" s="143" t="n">
        <x:v>594</x:v>
      </x:c>
      <x:c r="E162" s="143" t="str">
        <x:v>Labelle</x:v>
      </x:c>
      <x:c r="F162" s="149" t="n">
        <x:v>0.9999059595303982</x:v>
      </x:c>
      <x:c r="G162" s="144" t="n">
        <x:v>1</x:v>
      </x:c>
    </x:row>
    <x:row r="163">
      <x:c r="A163" s="142" t="str">
        <x:v>Lac-Saint-Jean</x:v>
      </x:c>
      <x:c r="B163" s="143" t="str">
        <x:v>Reste du Québec</x:v>
      </x:c>
      <x:c r="C163" s="143" t="str">
        <x:v>2022</x:v>
      </x:c>
      <x:c r="D163" s="143" t="n">
        <x:v>926</x:v>
      </x:c>
      <x:c r="E163" s="143" t="str">
        <x:v>Lac-Saint-Jean</x:v>
      </x:c>
      <x:c r="F163" s="149" t="n">
        <x:v>0.9999999999824429</x:v>
      </x:c>
      <x:c r="G163" s="144" t="n">
        <x:v>1</x:v>
      </x:c>
    </x:row>
    <x:row r="164">
      <x:c r="A164" s="142" t="str">
        <x:v>Lac-Saint-Jean</x:v>
      </x:c>
      <x:c r="B164" s="143" t="str">
        <x:v>Reste du Québec</x:v>
      </x:c>
      <x:c r="C164" s="143" t="str">
        <x:v>2017</x:v>
      </x:c>
      <x:c r="D164" s="143" t="n">
        <x:v>926</x:v>
      </x:c>
      <x:c r="E164" s="143" t="str">
        <x:v>Lac-Saint-Jean</x:v>
      </x:c>
      <x:c r="F164" s="149" t="n">
        <x:v>0.9999999999806088</x:v>
      </x:c>
      <x:c r="G164" s="144" t="n">
        <x:v>1</x:v>
      </x:c>
    </x:row>
    <x:row r="165">
      <x:c r="A165" s="142" t="str">
        <x:v>LaFontaine</x:v>
      </x:c>
      <x:c r="B165" s="143" t="str">
        <x:v>Île de Montréal</x:v>
      </x:c>
      <x:c r="C165" s="143" t="str">
        <x:v>2022</x:v>
      </x:c>
      <x:c r="D165" s="143" t="n">
        <x:v>390</x:v>
      </x:c>
      <x:c r="E165" s="143" t="str">
        <x:v>LaFontaine</x:v>
      </x:c>
      <x:c r="F165" s="149" t="n">
        <x:v>0.9999999999997277</x:v>
      </x:c>
      <x:c r="G165" s="144" t="n">
        <x:v>1</x:v>
      </x:c>
    </x:row>
    <x:row r="166">
      <x:c r="A166" s="142" t="str">
        <x:v>LaFontaine</x:v>
      </x:c>
      <x:c r="B166" s="143" t="str">
        <x:v>Île de Montréal</x:v>
      </x:c>
      <x:c r="C166" s="143" t="str">
        <x:v>2017</x:v>
      </x:c>
      <x:c r="D166" s="143" t="n">
        <x:v>390</x:v>
      </x:c>
      <x:c r="E166" s="143" t="str">
        <x:v>LaFontaine</x:v>
      </x:c>
      <x:c r="F166" s="149" t="n">
        <x:v>0.9999999999997277</x:v>
      </x:c>
      <x:c r="G166" s="144" t="n">
        <x:v>1</x:v>
      </x:c>
    </x:row>
    <x:row r="167">
      <x:c r="A167" s="142" t="str">
        <x:v>La Peltrie</x:v>
      </x:c>
      <x:c r="B167" s="143" t="str">
        <x:v>Québec RMR</x:v>
      </x:c>
      <x:c r="C167" s="143" t="str">
        <x:v>2022</x:v>
      </x:c>
      <x:c r="D167" s="143" t="n">
        <x:v>720</x:v>
      </x:c>
      <x:c r="E167" s="143" t="str">
        <x:v>La Peltrie</x:v>
      </x:c>
      <x:c r="F167" s="149" t="n">
        <x:v>0.9205086458299236</x:v>
      </x:c>
      <x:c r="G167" s="144" t="n">
        <x:v>1</x:v>
      </x:c>
    </x:row>
    <x:row r="168">
      <x:c r="A168" s="142" t="str">
        <x:v>La Peltrie</x:v>
      </x:c>
      <x:c r="B168" s="143" t="str">
        <x:v>Québec RMR</x:v>
      </x:c>
      <x:c r="C168" s="143" t="str">
        <x:v>2022</x:v>
      </x:c>
      <x:c r="D168" s="143" t="n">
        <x:v>726</x:v>
      </x:c>
      <x:c r="E168" s="143" t="str">
        <x:v>Vanier-Les Rivières</x:v>
      </x:c>
      <x:c r="F168" s="149" t="n">
        <x:v>0.07949133650838043</x:v>
      </x:c>
      <x:c r="G168" s="144" t="n">
        <x:v>2</x:v>
      </x:c>
    </x:row>
    <x:row r="169">
      <x:c r="A169" s="142" t="str">
        <x:v>La Peltrie</x:v>
      </x:c>
      <x:c r="B169" s="143" t="str">
        <x:v>Québec RMR</x:v>
      </x:c>
      <x:c r="C169" s="143" t="str">
        <x:v>2017</x:v>
      </x:c>
      <x:c r="D169" s="143" t="n">
        <x:v>720</x:v>
      </x:c>
      <x:c r="E169" s="143" t="str">
        <x:v>La Peltrie</x:v>
      </x:c>
      <x:c r="F169" s="149" t="n">
        <x:v>0.9205086458299236</x:v>
      </x:c>
      <x:c r="G169" s="144" t="n">
        <x:v>1</x:v>
      </x:c>
    </x:row>
    <x:row r="170">
      <x:c r="A170" s="142" t="str">
        <x:v>La Peltrie</x:v>
      </x:c>
      <x:c r="B170" s="143" t="str">
        <x:v>Québec RMR</x:v>
      </x:c>
      <x:c r="C170" s="143" t="str">
        <x:v>2017</x:v>
      </x:c>
      <x:c r="D170" s="143" t="n">
        <x:v>726</x:v>
      </x:c>
      <x:c r="E170" s="143" t="str">
        <x:v>Vanier-Les Rivières</x:v>
      </x:c>
      <x:c r="F170" s="149" t="n">
        <x:v>0.07949133650838043</x:v>
      </x:c>
      <x:c r="G170" s="144" t="n">
        <x:v>2</x:v>
      </x:c>
    </x:row>
    <x:row r="171">
      <x:c r="A171" s="142" t="str">
        <x:v>La Pinière</x:v>
      </x:c>
      <x:c r="B171" s="143" t="str">
        <x:v>Banlieue de Montréal</x:v>
      </x:c>
      <x:c r="C171" s="143" t="str">
        <x:v>2022</x:v>
      </x:c>
      <x:c r="D171" s="143" t="n">
        <x:v>236</x:v>
      </x:c>
      <x:c r="E171" s="143" t="str">
        <x:v>La Pinière</x:v>
      </x:c>
      <x:c r="F171" s="149" t="n">
        <x:v>0.9999999999996891</x:v>
      </x:c>
      <x:c r="G171" s="144" t="n">
        <x:v>1</x:v>
      </x:c>
    </x:row>
    <x:row r="172">
      <x:c r="A172" s="142" t="str">
        <x:v>La Pinière</x:v>
      </x:c>
      <x:c r="B172" s="143" t="str">
        <x:v>Banlieue de Montréal</x:v>
      </x:c>
      <x:c r="C172" s="143" t="str">
        <x:v>2017</x:v>
      </x:c>
      <x:c r="D172" s="143" t="n">
        <x:v>236</x:v>
      </x:c>
      <x:c r="E172" s="143" t="str">
        <x:v>La Pinière</x:v>
      </x:c>
      <x:c r="F172" s="149" t="n">
        <x:v>0.9999999999996891</x:v>
      </x:c>
      <x:c r="G172" s="144" t="n">
        <x:v>1</x:v>
      </x:c>
    </x:row>
    <x:row r="173">
      <x:c r="A173" s="142" t="str">
        <x:v>La Prairie</x:v>
      </x:c>
      <x:c r="B173" s="143" t="str">
        <x:v>Banlieue de Montréal</x:v>
      </x:c>
      <x:c r="C173" s="143" t="str">
        <x:v>2022</x:v>
      </x:c>
      <x:c r="D173" s="143" t="n">
        <x:v>232</x:v>
      </x:c>
      <x:c r="E173" s="143" t="str">
        <x:v>La Prairie</x:v>
      </x:c>
      <x:c r="F173" s="149" t="n">
        <x:v>0.9992858069666993</x:v>
      </x:c>
      <x:c r="G173" s="144" t="n">
        <x:v>1</x:v>
      </x:c>
    </x:row>
    <x:row r="174">
      <x:c r="A174" s="142" t="str">
        <x:v>La Prairie</x:v>
      </x:c>
      <x:c r="B174" s="143" t="str">
        <x:v>Banlieue de Montréal</x:v>
      </x:c>
      <x:c r="C174" s="143" t="str">
        <x:v>2022</x:v>
      </x:c>
      <x:c r="D174" s="143" t="n">
        <x:v>230</x:v>
      </x:c>
      <x:c r="E174" s="143" t="str">
        <x:v>Sanguinet</x:v>
      </x:c>
      <x:c r="F174" s="149" t="n">
        <x:v>0.0007141930332275046</x:v>
      </x:c>
      <x:c r="G174" s="144" t="n">
        <x:v>2</x:v>
      </x:c>
    </x:row>
    <x:row r="175">
      <x:c r="A175" s="142" t="str">
        <x:v>La Prairie</x:v>
      </x:c>
      <x:c r="B175" s="143" t="str">
        <x:v>Banlieue de Montréal</x:v>
      </x:c>
      <x:c r="C175" s="143" t="str">
        <x:v>2017</x:v>
      </x:c>
      <x:c r="D175" s="143" t="n">
        <x:v>232</x:v>
      </x:c>
      <x:c r="E175" s="143" t="str">
        <x:v>La Prairie</x:v>
      </x:c>
      <x:c r="F175" s="149" t="n">
        <x:v>0.9992613743556501</x:v>
      </x:c>
      <x:c r="G175" s="144" t="n">
        <x:v>1</x:v>
      </x:c>
    </x:row>
    <x:row r="176">
      <x:c r="A176" s="142" t="str">
        <x:v>La Prairie</x:v>
      </x:c>
      <x:c r="B176" s="143" t="str">
        <x:v>Banlieue de Montréal</x:v>
      </x:c>
      <x:c r="C176" s="143" t="str">
        <x:v>2017</x:v>
      </x:c>
      <x:c r="D176" s="143" t="n">
        <x:v>230</x:v>
      </x:c>
      <x:c r="E176" s="143" t="str">
        <x:v>Sanguinet</x:v>
      </x:c>
      <x:c r="F176" s="149" t="n">
        <x:v>0.0007306014397800859</x:v>
      </x:c>
      <x:c r="G176" s="144" t="n">
        <x:v>2</x:v>
      </x:c>
    </x:row>
    <x:row r="177">
      <x:c r="A177" s="142" t="str">
        <x:v>L'Assomption</x:v>
      </x:c>
      <x:c r="B177" s="143" t="str">
        <x:v>Banlieue de Montréal</x:v>
      </x:c>
      <x:c r="C177" s="143" t="str">
        <x:v>2022</x:v>
      </x:c>
      <x:c r="D177" s="143" t="n">
        <x:v>554</x:v>
      </x:c>
      <x:c r="E177" s="143" t="str">
        <x:v>L'Assomption</x:v>
      </x:c>
      <x:c r="F177" s="149" t="n">
        <x:v>0.732455612829582</x:v>
      </x:c>
      <x:c r="G177" s="144" t="n">
        <x:v>1</x:v>
      </x:c>
    </x:row>
    <x:row r="178">
      <x:c r="A178" s="142" t="str">
        <x:v>L'Assomption</x:v>
      </x:c>
      <x:c r="B178" s="143" t="str">
        <x:v>Banlieue de Montréal</x:v>
      </x:c>
      <x:c r="C178" s="143" t="str">
        <x:v>2022</x:v>
      </x:c>
      <x:c r="D178" s="143" t="n">
        <x:v>566</x:v>
      </x:c>
      <x:c r="E178" s="143" t="str">
        <x:v>Berthier</x:v>
      </x:c>
      <x:c r="F178" s="149" t="n">
        <x:v>0.21540166788167428</x:v>
      </x:c>
      <x:c r="G178" s="144" t="n">
        <x:v>2</x:v>
      </x:c>
    </x:row>
    <x:row r="179">
      <x:c r="A179" s="142" t="str">
        <x:v>L'Assomption</x:v>
      </x:c>
      <x:c r="B179" s="143" t="str">
        <x:v>Banlieue de Montréal</x:v>
      </x:c>
      <x:c r="C179" s="143" t="str">
        <x:v>2022</x:v>
      </x:c>
      <x:c r="D179" s="143" t="n">
        <x:v>560</x:v>
      </x:c>
      <x:c r="E179" s="143" t="str">
        <x:v>Repentigny</x:v>
      </x:c>
      <x:c r="F179" s="149" t="n">
        <x:v>0.05207783543937627</x:v>
      </x:c>
      <x:c r="G179" s="144" t="n">
        <x:v>3</x:v>
      </x:c>
    </x:row>
    <x:row r="180">
      <x:c r="A180" s="142" t="str">
        <x:v>L'Assomption</x:v>
      </x:c>
      <x:c r="B180" s="143" t="str">
        <x:v>Banlieue de Montréal</x:v>
      </x:c>
      <x:c r="C180" s="143" t="str">
        <x:v>2017</x:v>
      </x:c>
      <x:c r="D180" s="143" t="n">
        <x:v>554</x:v>
      </x:c>
      <x:c r="E180" s="143" t="str">
        <x:v>L'Assomption</x:v>
      </x:c>
      <x:c r="F180" s="149" t="n">
        <x:v>0.7318957855855187</x:v>
      </x:c>
      <x:c r="G180" s="144" t="n">
        <x:v>1</x:v>
      </x:c>
    </x:row>
    <x:row r="181">
      <x:c r="A181" s="142" t="str">
        <x:v>L'Assomption</x:v>
      </x:c>
      <x:c r="B181" s="143" t="str">
        <x:v>Banlieue de Montréal</x:v>
      </x:c>
      <x:c r="C181" s="143" t="str">
        <x:v>2017</x:v>
      </x:c>
      <x:c r="D181" s="143" t="n">
        <x:v>566</x:v>
      </x:c>
      <x:c r="E181" s="143" t="str">
        <x:v>Berthier</x:v>
      </x:c>
      <x:c r="F181" s="149" t="n">
        <x:v>0.21540166788167428</x:v>
      </x:c>
      <x:c r="G181" s="144" t="n">
        <x:v>2</x:v>
      </x:c>
    </x:row>
    <x:row r="182">
      <x:c r="A182" s="142" t="str">
        <x:v>L'Assomption</x:v>
      </x:c>
      <x:c r="B182" s="143" t="str">
        <x:v>Banlieue de Montréal</x:v>
      </x:c>
      <x:c r="C182" s="143" t="str">
        <x:v>2017</x:v>
      </x:c>
      <x:c r="D182" s="143" t="n">
        <x:v>560</x:v>
      </x:c>
      <x:c r="E182" s="143" t="str">
        <x:v>Repentigny</x:v>
      </x:c>
      <x:c r="F182" s="149" t="n">
        <x:v>0.052637662683439626</x:v>
      </x:c>
      <x:c r="G182" s="144" t="n">
        <x:v>3</x:v>
      </x:c>
    </x:row>
    <x:row r="183">
      <x:c r="A183" s="142" t="str">
        <x:v>Laurier-Dorion</x:v>
      </x:c>
      <x:c r="B183" s="143" t="str">
        <x:v>Île de Montréal</x:v>
      </x:c>
      <x:c r="C183" s="143" t="str">
        <x:v>2022</x:v>
      </x:c>
      <x:c r="D183" s="143" t="n">
        <x:v>344</x:v>
      </x:c>
      <x:c r="E183" s="143" t="str">
        <x:v>Laurier-Dorion</x:v>
      </x:c>
      <x:c r="F183" s="149" t="n">
        <x:v>0.9999820942205665</x:v>
      </x:c>
      <x:c r="G183" s="144" t="n">
        <x:v>1</x:v>
      </x:c>
    </x:row>
    <x:row r="184">
      <x:c r="A184" s="142" t="str">
        <x:v>Laurier-Dorion</x:v>
      </x:c>
      <x:c r="B184" s="143" t="str">
        <x:v>Île de Montréal</x:v>
      </x:c>
      <x:c r="C184" s="143" t="str">
        <x:v>2017</x:v>
      </x:c>
      <x:c r="D184" s="143" t="n">
        <x:v>344</x:v>
      </x:c>
      <x:c r="E184" s="143" t="str">
        <x:v>Laurier-Dorion</x:v>
      </x:c>
      <x:c r="F184" s="149" t="n">
        <x:v>0.9999820942205665</x:v>
      </x:c>
      <x:c r="G184" s="144" t="n">
        <x:v>1</x:v>
      </x:c>
    </x:row>
    <x:row r="185">
      <x:c r="A185" s="142" t="str">
        <x:v>Laval-des-Rapides</x:v>
      </x:c>
      <x:c r="B185" s="143" t="str">
        <x:v>Banlieue de Montréal</x:v>
      </x:c>
      <x:c r="C185" s="143" t="str">
        <x:v>2022</x:v>
      </x:c>
      <x:c r="D185" s="143" t="n">
        <x:v>454</x:v>
      </x:c>
      <x:c r="E185" s="143" t="str">
        <x:v>Laval-des-Rapides</x:v>
      </x:c>
      <x:c r="F185" s="149" t="n">
        <x:v>0.8838320156935424</x:v>
      </x:c>
      <x:c r="G185" s="144" t="n">
        <x:v>1</x:v>
      </x:c>
    </x:row>
    <x:row r="186">
      <x:c r="A186" s="142" t="str">
        <x:v>Laval-des-Rapides</x:v>
      </x:c>
      <x:c r="B186" s="143" t="str">
        <x:v>Banlieue de Montréal</x:v>
      </x:c>
      <x:c r="C186" s="143" t="str">
        <x:v>2022</x:v>
      </x:c>
      <x:c r="D186" s="143" t="n">
        <x:v>460</x:v>
      </x:c>
      <x:c r="E186" s="143" t="str">
        <x:v>Chomedey</x:v>
      </x:c>
      <x:c r="F186" s="149" t="n">
        <x:v>0.11616798430635755</x:v>
      </x:c>
      <x:c r="G186" s="144" t="n">
        <x:v>2</x:v>
      </x:c>
    </x:row>
    <x:row r="187">
      <x:c r="A187" s="142" t="str">
        <x:v>Laval-des-Rapides</x:v>
      </x:c>
      <x:c r="B187" s="143" t="str">
        <x:v>Banlieue de Montréal</x:v>
      </x:c>
      <x:c r="C187" s="143" t="str">
        <x:v>2017</x:v>
      </x:c>
      <x:c r="D187" s="143" t="n">
        <x:v>454</x:v>
      </x:c>
      <x:c r="E187" s="143" t="str">
        <x:v>Laval-des-Rapides</x:v>
      </x:c>
      <x:c r="F187" s="149" t="n">
        <x:v>0.8838320177031803</x:v>
      </x:c>
      <x:c r="G187" s="144" t="n">
        <x:v>1</x:v>
      </x:c>
    </x:row>
    <x:row r="188">
      <x:c r="A188" s="142" t="str">
        <x:v>Laval-des-Rapides</x:v>
      </x:c>
      <x:c r="B188" s="143" t="str">
        <x:v>Banlieue de Montréal</x:v>
      </x:c>
      <x:c r="C188" s="143" t="str">
        <x:v>2017</x:v>
      </x:c>
      <x:c r="D188" s="143" t="n">
        <x:v>460</x:v>
      </x:c>
      <x:c r="E188" s="143" t="str">
        <x:v>Chomedey</x:v>
      </x:c>
      <x:c r="F188" s="149" t="n">
        <x:v>0.11616798229671954</x:v>
      </x:c>
      <x:c r="G188" s="144" t="n">
        <x:v>2</x:v>
      </x:c>
    </x:row>
    <x:row r="189">
      <x:c r="A189" s="142" t="str">
        <x:v>Laviolette-Saint-Maurice</x:v>
      </x:c>
      <x:c r="B189" s="143" t="str">
        <x:v>Reste du Québec</x:v>
      </x:c>
      <x:c r="C189" s="143" t="str">
        <x:v>2022</x:v>
      </x:c>
      <x:c r="D189" s="143" t="n">
        <x:v>670</x:v>
      </x:c>
      <x:c r="E189" s="143" t="str">
        <x:v>Laviolette-Saint-Maurice</x:v>
      </x:c>
      <x:c r="F189" s="149" t="n">
        <x:v>0.9999986609749189</x:v>
      </x:c>
      <x:c r="G189" s="144" t="n">
        <x:v>1</x:v>
      </x:c>
    </x:row>
    <x:row r="190">
      <x:c r="A190" s="142" t="str">
        <x:v>Laviolette-Saint-Maurice</x:v>
      </x:c>
      <x:c r="B190" s="143" t="str">
        <x:v>Reste du Québec</x:v>
      </x:c>
      <x:c r="C190" s="143" t="str">
        <x:v>2017</x:v>
      </x:c>
      <x:c r="D190" s="143" t="n">
        <x:v>670</x:v>
      </x:c>
      <x:c r="E190" s="143" t="str">
        <x:v>Laviolette-Saint-Maurice</x:v>
      </x:c>
      <x:c r="F190" s="149" t="n">
        <x:v>0.9999981022581274</x:v>
      </x:c>
      <x:c r="G190" s="144" t="n">
        <x:v>1</x:v>
      </x:c>
    </x:row>
    <x:row r="191">
      <x:c r="A191" s="142" t="str">
        <x:v>Les Plaines</x:v>
      </x:c>
      <x:c r="B191" s="143" t="str">
        <x:v>Banlieue de Montréal</x:v>
      </x:c>
      <x:c r="C191" s="143" t="str">
        <x:v>2022</x:v>
      </x:c>
      <x:c r="D191" s="143" t="n">
        <x:v>530</x:v>
      </x:c>
      <x:c r="E191" s="143" t="str">
        <x:v>Les Plaines</x:v>
      </x:c>
      <x:c r="F191" s="149" t="n">
        <x:v>0.858128962681635</x:v>
      </x:c>
      <x:c r="G191" s="144" t="n">
        <x:v>1</x:v>
      </x:c>
    </x:row>
    <x:row r="192">
      <x:c r="A192" s="142" t="str">
        <x:v>Les Plaines</x:v>
      </x:c>
      <x:c r="B192" s="143" t="str">
        <x:v>Banlieue de Montréal</x:v>
      </x:c>
      <x:c r="C192" s="143" t="str">
        <x:v>2022</x:v>
      </x:c>
      <x:c r="D192" s="143" t="n">
        <x:v>542</x:v>
      </x:c>
      <x:c r="E192" s="143" t="str">
        <x:v>Terrebonne</x:v>
      </x:c>
      <x:c r="F192" s="149" t="n">
        <x:v>0.14184497375858846</x:v>
      </x:c>
      <x:c r="G192" s="144" t="n">
        <x:v>2</x:v>
      </x:c>
    </x:row>
    <x:row r="193">
      <x:c r="A193" s="142" t="str">
        <x:v>Les Plaines</x:v>
      </x:c>
      <x:c r="B193" s="143" t="str">
        <x:v>Banlieue de Montréal</x:v>
      </x:c>
      <x:c r="C193" s="143" t="str">
        <x:v>2017</x:v>
      </x:c>
      <x:c r="D193" s="143" t="n">
        <x:v>530</x:v>
      </x:c>
      <x:c r="E193" s="143" t="str">
        <x:v>Les Plaines</x:v>
      </x:c>
      <x:c r="F193" s="149" t="n">
        <x:v>0.8581289626816354</x:v>
      </x:c>
      <x:c r="G193" s="144" t="n">
        <x:v>1</x:v>
      </x:c>
    </x:row>
    <x:row r="194">
      <x:c r="A194" s="142" t="str">
        <x:v>Les Plaines</x:v>
      </x:c>
      <x:c r="B194" s="143" t="str">
        <x:v>Banlieue de Montréal</x:v>
      </x:c>
      <x:c r="C194" s="143" t="str">
        <x:v>2017</x:v>
      </x:c>
      <x:c r="D194" s="143" t="n">
        <x:v>542</x:v>
      </x:c>
      <x:c r="E194" s="143" t="str">
        <x:v>Terrebonne</x:v>
      </x:c>
      <x:c r="F194" s="149" t="n">
        <x:v>0.14184497375858843</x:v>
      </x:c>
      <x:c r="G194" s="144" t="n">
        <x:v>2</x:v>
      </x:c>
    </x:row>
    <x:row r="195">
      <x:c r="A195" s="142" t="str">
        <x:v>Lévis</x:v>
      </x:c>
      <x:c r="B195" s="143" t="str">
        <x:v>Québec RMR</x:v>
      </x:c>
      <x:c r="C195" s="143" t="str">
        <x:v>2022</x:v>
      </x:c>
      <x:c r="D195" s="143" t="n">
        <x:v>818</x:v>
      </x:c>
      <x:c r="E195" s="143" t="str">
        <x:v>Lévis</x:v>
      </x:c>
      <x:c r="F195" s="149" t="n">
        <x:v>0.9999999999998375</x:v>
      </x:c>
      <x:c r="G195" s="144" t="n">
        <x:v>1</x:v>
      </x:c>
    </x:row>
    <x:row r="196">
      <x:c r="A196" s="142" t="str">
        <x:v>Lévis</x:v>
      </x:c>
      <x:c r="B196" s="143" t="str">
        <x:v>Québec RMR</x:v>
      </x:c>
      <x:c r="C196" s="143" t="str">
        <x:v>2017</x:v>
      </x:c>
      <x:c r="D196" s="143" t="n">
        <x:v>818</x:v>
      </x:c>
      <x:c r="E196" s="143" t="str">
        <x:v>Lévis</x:v>
      </x:c>
      <x:c r="F196" s="149" t="n">
        <x:v>0.9999999999998375</x:v>
      </x:c>
      <x:c r="G196" s="144" t="n">
        <x:v>1</x:v>
      </x:c>
    </x:row>
    <x:row r="197">
      <x:c r="A197" s="142" t="str">
        <x:v>Lotbinière-Frontenac</x:v>
      </x:c>
      <x:c r="B197" s="143" t="str">
        <x:v>Reste du Québec</x:v>
      </x:c>
      <x:c r="C197" s="143" t="str">
        <x:v>2022</x:v>
      </x:c>
      <x:c r="D197" s="143" t="n">
        <x:v>810</x:v>
      </x:c>
      <x:c r="E197" s="143" t="str">
        <x:v>Lotbinière-Frontenac</x:v>
      </x:c>
      <x:c r="F197" s="149" t="n">
        <x:v>0.9999546514356666</x:v>
      </x:c>
      <x:c r="G197" s="144" t="n">
        <x:v>1</x:v>
      </x:c>
    </x:row>
    <x:row r="198">
      <x:c r="A198" s="142" t="str">
        <x:v>Lotbinière-Frontenac</x:v>
      </x:c>
      <x:c r="B198" s="143" t="str">
        <x:v>Reste du Québec</x:v>
      </x:c>
      <x:c r="C198" s="143" t="str">
        <x:v>2017</x:v>
      </x:c>
      <x:c r="D198" s="143" t="n">
        <x:v>810</x:v>
      </x:c>
      <x:c r="E198" s="143" t="str">
        <x:v>Lotbinière-Frontenac</x:v>
      </x:c>
      <x:c r="F198" s="149" t="n">
        <x:v>0.9999519374553023</x:v>
      </x:c>
      <x:c r="G198" s="144" t="n">
        <x:v>1</x:v>
      </x:c>
    </x:row>
    <x:row r="199">
      <x:c r="A199" s="142" t="str">
        <x:v>Louis-Hébert</x:v>
      </x:c>
      <x:c r="B199" s="143" t="str">
        <x:v>Québec RMR</x:v>
      </x:c>
      <x:c r="C199" s="143" t="str">
        <x:v>2022</x:v>
      </x:c>
      <x:c r="D199" s="143" t="n">
        <x:v>708</x:v>
      </x:c>
      <x:c r="E199" s="143" t="str">
        <x:v>Louis-Hébert</x:v>
      </x:c>
      <x:c r="F199" s="149" t="n">
        <x:v>0.9999999999998531</x:v>
      </x:c>
      <x:c r="G199" s="144" t="n">
        <x:v>1</x:v>
      </x:c>
    </x:row>
    <x:row r="200">
      <x:c r="A200" s="142" t="str">
        <x:v>Louis-Hébert</x:v>
      </x:c>
      <x:c r="B200" s="143" t="str">
        <x:v>Québec RMR</x:v>
      </x:c>
      <x:c r="C200" s="143" t="str">
        <x:v>2017</x:v>
      </x:c>
      <x:c r="D200" s="143" t="n">
        <x:v>708</x:v>
      </x:c>
      <x:c r="E200" s="143" t="str">
        <x:v>Louis-Hébert</x:v>
      </x:c>
      <x:c r="F200" s="149" t="n">
        <x:v>0.9999999999998561</x:v>
      </x:c>
      <x:c r="G200" s="144" t="n">
        <x:v>1</x:v>
      </x:c>
    </x:row>
    <x:row r="201">
      <x:c r="A201" s="142" t="str">
        <x:v>Marguerite-Bourgeoys</x:v>
      </x:c>
      <x:c r="B201" s="143" t="str">
        <x:v>Île de Montréal</x:v>
      </x:c>
      <x:c r="C201" s="143" t="str">
        <x:v>2022</x:v>
      </x:c>
      <x:c r="D201" s="143" t="n">
        <x:v>304</x:v>
      </x:c>
      <x:c r="E201" s="143" t="str">
        <x:v>Marguerite-Bourgeoys</x:v>
      </x:c>
      <x:c r="F201" s="149" t="n">
        <x:v>0.9999999999993733</x:v>
      </x:c>
      <x:c r="G201" s="144" t="n">
        <x:v>1</x:v>
      </x:c>
    </x:row>
    <x:row r="202">
      <x:c r="A202" s="142" t="str">
        <x:v>Marguerite-Bourgeoys</x:v>
      </x:c>
      <x:c r="B202" s="143" t="str">
        <x:v>Île de Montréal</x:v>
      </x:c>
      <x:c r="C202" s="143" t="str">
        <x:v>2017</x:v>
      </x:c>
      <x:c r="D202" s="143" t="n">
        <x:v>304</x:v>
      </x:c>
      <x:c r="E202" s="143" t="str">
        <x:v>Marguerite-Bourgeoys</x:v>
      </x:c>
      <x:c r="F202" s="149" t="n">
        <x:v>0.9999999999993733</x:v>
      </x:c>
      <x:c r="G202" s="144" t="n">
        <x:v>1</x:v>
      </x:c>
    </x:row>
    <x:row r="203">
      <x:c r="A203" s="142" t="str">
        <x:v>Marie-Lacoste-Gérin-Lajoie</x:v>
      </x:c>
      <x:c r="B203" s="143" t="str">
        <x:v>Reste du Québec</x:v>
      </x:c>
      <x:c r="C203" s="143" t="str">
        <x:v>2022</x:v>
      </x:c>
      <x:c r="D203" s="143" t="n">
        <x:v>126</x:v>
      </x:c>
      <x:c r="E203" s="143" t="str">
        <x:v>Johnson</x:v>
      </x:c>
      <x:c r="F203" s="149" t="n">
        <x:v>0.9136054083984205</x:v>
      </x:c>
      <x:c r="G203" s="144" t="n">
        <x:v>1</x:v>
      </x:c>
    </x:row>
    <x:row r="204">
      <x:c r="A204" s="142" t="str">
        <x:v>Marie-Lacoste-Gérin-Lajoie</x:v>
      </x:c>
      <x:c r="B204" s="143" t="str">
        <x:v>Reste du Québec</x:v>
      </x:c>
      <x:c r="C204" s="143" t="str">
        <x:v>2022</x:v>
      </x:c>
      <x:c r="D204" s="143" t="n">
        <x:v>150</x:v>
      </x:c>
      <x:c r="E204" s="143" t="str">
        <x:v>Nicolet-Bécancour</x:v>
      </x:c>
      <x:c r="F204" s="149" t="n">
        <x:v>0.050537335325800646</x:v>
      </x:c>
      <x:c r="G204" s="144" t="n">
        <x:v>2</x:v>
      </x:c>
    </x:row>
    <x:row r="205">
      <x:c r="A205" s="142" t="str">
        <x:v>Marie-Lacoste-Gérin-Lajoie</x:v>
      </x:c>
      <x:c r="B205" s="143" t="str">
        <x:v>Reste du Québec</x:v>
      </x:c>
      <x:c r="C205" s="143" t="str">
        <x:v>2022</x:v>
      </x:c>
      <x:c r="D205" s="143" t="n">
        <x:v>138</x:v>
      </x:c>
      <x:c r="E205" s="143" t="str">
        <x:v>Drummond-Bois-Francs</x:v>
      </x:c>
      <x:c r="F205" s="149" t="n">
        <x:v>0.035809118439390046</x:v>
      </x:c>
      <x:c r="G205" s="144" t="n">
        <x:v>3</x:v>
      </x:c>
    </x:row>
    <x:row r="206">
      <x:c r="A206" s="142" t="str">
        <x:v>Marie-Lacoste-Gérin-Lajoie</x:v>
      </x:c>
      <x:c r="B206" s="143" t="str">
        <x:v>Reste du Québec</x:v>
      </x:c>
      <x:c r="C206" s="143" t="str">
        <x:v>2017</x:v>
      </x:c>
      <x:c r="D206" s="143" t="n">
        <x:v>126</x:v>
      </x:c>
      <x:c r="E206" s="143" t="str">
        <x:v>Johnson</x:v>
      </x:c>
      <x:c r="F206" s="149" t="n">
        <x:v>0.9135778350267192</x:v>
      </x:c>
      <x:c r="G206" s="144" t="n">
        <x:v>1</x:v>
      </x:c>
    </x:row>
    <x:row r="207">
      <x:c r="A207" s="142" t="str">
        <x:v>Marie-Lacoste-Gérin-Lajoie</x:v>
      </x:c>
      <x:c r="B207" s="143" t="str">
        <x:v>Reste du Québec</x:v>
      </x:c>
      <x:c r="C207" s="143" t="str">
        <x:v>2017</x:v>
      </x:c>
      <x:c r="D207" s="143" t="n">
        <x:v>150</x:v>
      </x:c>
      <x:c r="E207" s="143" t="str">
        <x:v>Nicolet-Bécancour</x:v>
      </x:c>
      <x:c r="F207" s="149" t="n">
        <x:v>0.05053733532580064</x:v>
      </x:c>
      <x:c r="G207" s="144" t="n">
        <x:v>2</x:v>
      </x:c>
    </x:row>
    <x:row r="208">
      <x:c r="A208" s="142" t="str">
        <x:v>Marie-Lacoste-Gérin-Lajoie</x:v>
      </x:c>
      <x:c r="B208" s="143" t="str">
        <x:v>Reste du Québec</x:v>
      </x:c>
      <x:c r="C208" s="143" t="str">
        <x:v>2017</x:v>
      </x:c>
      <x:c r="D208" s="143" t="n">
        <x:v>138</x:v>
      </x:c>
      <x:c r="E208" s="143" t="str">
        <x:v>Drummond-Bois-Francs</x:v>
      </x:c>
      <x:c r="F208" s="149" t="n">
        <x:v>0.03583669181109146</x:v>
      </x:c>
      <x:c r="G208" s="144" t="n">
        <x:v>3</x:v>
      </x:c>
    </x:row>
    <x:row r="209">
      <x:c r="A209" s="142" t="str">
        <x:v>Marie-Victorin</x:v>
      </x:c>
      <x:c r="B209" s="143" t="str">
        <x:v>Banlieue de Montréal</x:v>
      </x:c>
      <x:c r="C209" s="143" t="str">
        <x:v>2022</x:v>
      </x:c>
      <x:c r="D209" s="143" t="n">
        <x:v>246</x:v>
      </x:c>
      <x:c r="E209" s="143" t="str">
        <x:v>Marie-Victorin</x:v>
      </x:c>
      <x:c r="F209" s="149" t="n">
        <x:v>0.9999999999994486</x:v>
      </x:c>
      <x:c r="G209" s="144" t="n">
        <x:v>1</x:v>
      </x:c>
    </x:row>
    <x:row r="210">
      <x:c r="A210" s="142" t="str">
        <x:v>Marie-Victorin</x:v>
      </x:c>
      <x:c r="B210" s="143" t="str">
        <x:v>Banlieue de Montréal</x:v>
      </x:c>
      <x:c r="C210" s="143" t="str">
        <x:v>2017</x:v>
      </x:c>
      <x:c r="D210" s="143" t="n">
        <x:v>246</x:v>
      </x:c>
      <x:c r="E210" s="143" t="str">
        <x:v>Marie-Victorin</x:v>
      </x:c>
      <x:c r="F210" s="149" t="n">
        <x:v>0.9999999983824636</x:v>
      </x:c>
      <x:c r="G210" s="144" t="n">
        <x:v>1</x:v>
      </x:c>
    </x:row>
    <x:row r="211">
      <x:c r="A211" s="142" t="str">
        <x:v>Marquette</x:v>
      </x:c>
      <x:c r="B211" s="143" t="str">
        <x:v>Île de Montréal</x:v>
      </x:c>
      <x:c r="C211" s="143" t="str">
        <x:v>2022</x:v>
      </x:c>
      <x:c r="D211" s="143" t="n">
        <x:v>306</x:v>
      </x:c>
      <x:c r="E211" s="143" t="str">
        <x:v>Marquette</x:v>
      </x:c>
      <x:c r="F211" s="149" t="n">
        <x:v>0.9999999994626357</x:v>
      </x:c>
      <x:c r="G211" s="144" t="n">
        <x:v>1</x:v>
      </x:c>
    </x:row>
    <x:row r="212">
      <x:c r="A212" s="142" t="str">
        <x:v>Marquette</x:v>
      </x:c>
      <x:c r="B212" s="143" t="str">
        <x:v>Île de Montréal</x:v>
      </x:c>
      <x:c r="C212" s="143" t="str">
        <x:v>2017</x:v>
      </x:c>
      <x:c r="D212" s="143" t="n">
        <x:v>306</x:v>
      </x:c>
      <x:c r="E212" s="143" t="str">
        <x:v>Marquette</x:v>
      </x:c>
      <x:c r="F212" s="149" t="n">
        <x:v>0.9999999994626357</x:v>
      </x:c>
      <x:c r="G212" s="144" t="n">
        <x:v>1</x:v>
      </x:c>
    </x:row>
    <x:row r="213">
      <x:c r="A213" s="142" t="str">
        <x:v>Maskinongé</x:v>
      </x:c>
      <x:c r="B213" s="143" t="str">
        <x:v>Reste du Québec</x:v>
      </x:c>
      <x:c r="C213" s="143" t="str">
        <x:v>2022</x:v>
      </x:c>
      <x:c r="D213" s="143" t="n">
        <x:v>666</x:v>
      </x:c>
      <x:c r="E213" s="143" t="str">
        <x:v>Maskinongé</x:v>
      </x:c>
      <x:c r="F213" s="149" t="n">
        <x:v>0.9999974605839157</x:v>
      </x:c>
      <x:c r="G213" s="144" t="n">
        <x:v>1</x:v>
      </x:c>
    </x:row>
    <x:row r="214">
      <x:c r="A214" s="142" t="str">
        <x:v>Maskinongé</x:v>
      </x:c>
      <x:c r="B214" s="143" t="str">
        <x:v>Reste du Québec</x:v>
      </x:c>
      <x:c r="C214" s="143" t="str">
        <x:v>2017</x:v>
      </x:c>
      <x:c r="D214" s="143" t="n">
        <x:v>666</x:v>
      </x:c>
      <x:c r="E214" s="143" t="str">
        <x:v>Maskinongé</x:v>
      </x:c>
      <x:c r="F214" s="149" t="n">
        <x:v>0.9999974605839157</x:v>
      </x:c>
      <x:c r="G214" s="144" t="n">
        <x:v>1</x:v>
      </x:c>
    </x:row>
    <x:row r="215">
      <x:c r="A215" s="142" t="str">
        <x:v>Masson</x:v>
      </x:c>
      <x:c r="B215" s="143" t="str">
        <x:v>Banlieue de Montréal</x:v>
      </x:c>
      <x:c r="C215" s="143" t="str">
        <x:v>2022</x:v>
      </x:c>
      <x:c r="D215" s="143" t="n">
        <x:v>548</x:v>
      </x:c>
      <x:c r="E215" s="143" t="str">
        <x:v>Masson</x:v>
      </x:c>
      <x:c r="F215" s="149" t="n">
        <x:v>0.999991761539911</x:v>
      </x:c>
      <x:c r="G215" s="144" t="n">
        <x:v>1</x:v>
      </x:c>
    </x:row>
    <x:row r="216">
      <x:c r="A216" s="142" t="str">
        <x:v>Masson</x:v>
      </x:c>
      <x:c r="B216" s="143" t="str">
        <x:v>Banlieue de Montréal</x:v>
      </x:c>
      <x:c r="C216" s="143" t="str">
        <x:v>2017</x:v>
      </x:c>
      <x:c r="D216" s="143" t="n">
        <x:v>548</x:v>
      </x:c>
      <x:c r="E216" s="143" t="str">
        <x:v>Masson</x:v>
      </x:c>
      <x:c r="F216" s="149" t="n">
        <x:v>0.999991761539911</x:v>
      </x:c>
      <x:c r="G216" s="144" t="n">
        <x:v>1</x:v>
      </x:c>
    </x:row>
    <x:row r="217">
      <x:c r="A217" s="142" t="str">
        <x:v>Matane-Matapédia-Mitis</x:v>
      </x:c>
      <x:c r="B217" s="143" t="str">
        <x:v>Reste du Québec</x:v>
      </x:c>
      <x:c r="C217" s="143" t="str">
        <x:v>2022</x:v>
      </x:c>
      <x:c r="D217" s="143" t="n">
        <x:v>842</x:v>
      </x:c>
      <x:c r="E217" s="143" t="str">
        <x:v>Matane-Matapédia</x:v>
      </x:c>
      <x:c r="F217" s="149" t="n">
        <x:v>0.9999966697743843</x:v>
      </x:c>
      <x:c r="G217" s="144" t="n">
        <x:v>1</x:v>
      </x:c>
    </x:row>
    <x:row r="218">
      <x:c r="A218" s="142" t="str">
        <x:v>Matane-Matapédia-Mitis</x:v>
      </x:c>
      <x:c r="B218" s="143" t="str">
        <x:v>Reste du Québec</x:v>
      </x:c>
      <x:c r="C218" s="143" t="str">
        <x:v>2017</x:v>
      </x:c>
      <x:c r="D218" s="143" t="n">
        <x:v>842</x:v>
      </x:c>
      <x:c r="E218" s="143" t="str">
        <x:v>Matane-Matapédia</x:v>
      </x:c>
      <x:c r="F218" s="149" t="n">
        <x:v>0.9999966264589459</x:v>
      </x:c>
      <x:c r="G218" s="144" t="n">
        <x:v>1</x:v>
      </x:c>
    </x:row>
    <x:row r="219">
      <x:c r="A219" s="142" t="str">
        <x:v>Maurice-Richard</x:v>
      </x:c>
      <x:c r="B219" s="143" t="str">
        <x:v>Île de Montréal</x:v>
      </x:c>
      <x:c r="C219" s="143" t="str">
        <x:v>2022</x:v>
      </x:c>
      <x:c r="D219" s="143" t="n">
        <x:v>340</x:v>
      </x:c>
      <x:c r="E219" s="143" t="str">
        <x:v>Maurice-Richard</x:v>
      </x:c>
      <x:c r="F219" s="149" t="n">
        <x:v>0.9999999999993016</x:v>
      </x:c>
      <x:c r="G219" s="144" t="n">
        <x:v>1</x:v>
      </x:c>
    </x:row>
    <x:row r="220">
      <x:c r="A220" s="142" t="str">
        <x:v>Maurice-Richard</x:v>
      </x:c>
      <x:c r="B220" s="143" t="str">
        <x:v>Île de Montréal</x:v>
      </x:c>
      <x:c r="C220" s="143" t="str">
        <x:v>2017</x:v>
      </x:c>
      <x:c r="D220" s="143" t="n">
        <x:v>340</x:v>
      </x:c>
      <x:c r="E220" s="143" t="str">
        <x:v>Maurice-Richard</x:v>
      </x:c>
      <x:c r="F220" s="149" t="n">
        <x:v>0.9999999999993016</x:v>
      </x:c>
      <x:c r="G220" s="144" t="n">
        <x:v>1</x:v>
      </x:c>
    </x:row>
    <x:row r="221">
      <x:c r="A221" s="142" t="str">
        <x:v>Mégantic</x:v>
      </x:c>
      <x:c r="B221" s="143" t="str">
        <x:v>Reste du Québec</x:v>
      </x:c>
      <x:c r="C221" s="143" t="str">
        <x:v>2022</x:v>
      </x:c>
      <x:c r="D221" s="143" t="n">
        <x:v>104</x:v>
      </x:c>
      <x:c r="E221" s="143" t="str">
        <x:v>Mégantic</x:v>
      </x:c>
      <x:c r="F221" s="149" t="n">
        <x:v>0.7683398429946883</x:v>
      </x:c>
      <x:c r="G221" s="144" t="n">
        <x:v>1</x:v>
      </x:c>
    </x:row>
    <x:row r="222">
      <x:c r="A222" s="142" t="str">
        <x:v>Mégantic</x:v>
      </x:c>
      <x:c r="B222" s="143" t="str">
        <x:v>Reste du Québec</x:v>
      </x:c>
      <x:c r="C222" s="143" t="str">
        <x:v>2022</x:v>
      </x:c>
      <x:c r="D222" s="143" t="n">
        <x:v>132</x:v>
      </x:c>
      <x:c r="E222" s="143" t="str">
        <x:v>Richmond</x:v>
      </x:c>
      <x:c r="F222" s="149" t="n">
        <x:v>0.23166015700527892</x:v>
      </x:c>
      <x:c r="G222" s="144" t="n">
        <x:v>2</x:v>
      </x:c>
    </x:row>
    <x:row r="223">
      <x:c r="A223" s="142" t="str">
        <x:v>Mégantic</x:v>
      </x:c>
      <x:c r="B223" s="143" t="str">
        <x:v>Reste du Québec</x:v>
      </x:c>
      <x:c r="C223" s="143" t="str">
        <x:v>2017</x:v>
      </x:c>
      <x:c r="D223" s="143" t="n">
        <x:v>104</x:v>
      </x:c>
      <x:c r="E223" s="143" t="str">
        <x:v>Mégantic</x:v>
      </x:c>
      <x:c r="F223" s="149" t="n">
        <x:v>0.7683175417446171</x:v>
      </x:c>
      <x:c r="G223" s="144" t="n">
        <x:v>1</x:v>
      </x:c>
    </x:row>
    <x:row r="224">
      <x:c r="A224" s="142" t="str">
        <x:v>Mégantic</x:v>
      </x:c>
      <x:c r="B224" s="143" t="str">
        <x:v>Reste du Québec</x:v>
      </x:c>
      <x:c r="C224" s="143" t="str">
        <x:v>2017</x:v>
      </x:c>
      <x:c r="D224" s="143" t="n">
        <x:v>132</x:v>
      </x:c>
      <x:c r="E224" s="143" t="str">
        <x:v>Richmond</x:v>
      </x:c>
      <x:c r="F224" s="149" t="n">
        <x:v>0.23165104805718076</x:v>
      </x:c>
      <x:c r="G224" s="144" t="n">
        <x:v>2</x:v>
      </x:c>
    </x:row>
    <x:row r="225">
      <x:c r="A225" s="142" t="str">
        <x:v>Mercier</x:v>
      </x:c>
      <x:c r="B225" s="143" t="str">
        <x:v>Île de Montréal</x:v>
      </x:c>
      <x:c r="C225" s="143" t="str">
        <x:v>2022</x:v>
      </x:c>
      <x:c r="D225" s="143" t="n">
        <x:v>350</x:v>
      </x:c>
      <x:c r="E225" s="143" t="str">
        <x:v>Mercier</x:v>
      </x:c>
      <x:c r="F225" s="149" t="n">
        <x:v>0.999967165047234</x:v>
      </x:c>
      <x:c r="G225" s="144" t="n">
        <x:v>1</x:v>
      </x:c>
    </x:row>
    <x:row r="226">
      <x:c r="A226" s="142" t="str">
        <x:v>Mercier</x:v>
      </x:c>
      <x:c r="B226" s="143" t="str">
        <x:v>Île de Montréal</x:v>
      </x:c>
      <x:c r="C226" s="143" t="str">
        <x:v>2017</x:v>
      </x:c>
      <x:c r="D226" s="143" t="n">
        <x:v>350</x:v>
      </x:c>
      <x:c r="E226" s="143" t="str">
        <x:v>Mercier</x:v>
      </x:c>
      <x:c r="F226" s="149" t="n">
        <x:v>0.999967165047234</x:v>
      </x:c>
      <x:c r="G226" s="144" t="n">
        <x:v>1</x:v>
      </x:c>
    </x:row>
    <x:row r="227">
      <x:c r="A227" s="142" t="str">
        <x:v>Mille-Îles</x:v>
      </x:c>
      <x:c r="B227" s="143" t="str">
        <x:v>Banlieue de Montréal</x:v>
      </x:c>
      <x:c r="C227" s="143" t="str">
        <x:v>2022</x:v>
      </x:c>
      <x:c r="D227" s="143" t="n">
        <x:v>482</x:v>
      </x:c>
      <x:c r="E227" s="143" t="str">
        <x:v>Mille-Îles</x:v>
      </x:c>
      <x:c r="F227" s="149" t="n">
        <x:v>0.9105333011579494</x:v>
      </x:c>
      <x:c r="G227" s="144" t="n">
        <x:v>1</x:v>
      </x:c>
    </x:row>
    <x:row r="228">
      <x:c r="A228" s="142" t="str">
        <x:v>Mille-Îles</x:v>
      </x:c>
      <x:c r="B228" s="143" t="str">
        <x:v>Banlieue de Montréal</x:v>
      </x:c>
      <x:c r="C228" s="143" t="str">
        <x:v>2022</x:v>
      </x:c>
      <x:c r="D228" s="143" t="n">
        <x:v>454</x:v>
      </x:c>
      <x:c r="E228" s="143" t="str">
        <x:v>Laval-des-Rapides</x:v>
      </x:c>
      <x:c r="F228" s="149" t="n">
        <x:v>0.08946669884177555</x:v>
      </x:c>
      <x:c r="G228" s="144" t="n">
        <x:v>2</x:v>
      </x:c>
    </x:row>
    <x:row r="229">
      <x:c r="A229" s="142" t="str">
        <x:v>Mille-Îles</x:v>
      </x:c>
      <x:c r="B229" s="143" t="str">
        <x:v>Banlieue de Montréal</x:v>
      </x:c>
      <x:c r="C229" s="143" t="str">
        <x:v>2017</x:v>
      </x:c>
      <x:c r="D229" s="143" t="n">
        <x:v>482</x:v>
      </x:c>
      <x:c r="E229" s="143" t="str">
        <x:v>Mille-Îles</x:v>
      </x:c>
      <x:c r="F229" s="149" t="n">
        <x:v>0.9105333011579494</x:v>
      </x:c>
      <x:c r="G229" s="144" t="n">
        <x:v>1</x:v>
      </x:c>
    </x:row>
    <x:row r="230">
      <x:c r="A230" s="142" t="str">
        <x:v>Mille-Îles</x:v>
      </x:c>
      <x:c r="B230" s="143" t="str">
        <x:v>Banlieue de Montréal</x:v>
      </x:c>
      <x:c r="C230" s="143" t="str">
        <x:v>2017</x:v>
      </x:c>
      <x:c r="D230" s="143" t="n">
        <x:v>454</x:v>
      </x:c>
      <x:c r="E230" s="143" t="str">
        <x:v>Laval-des-Rapides</x:v>
      </x:c>
      <x:c r="F230" s="149" t="n">
        <x:v>0.08946669884177555</x:v>
      </x:c>
      <x:c r="G230" s="144" t="n">
        <x:v>2</x:v>
      </x:c>
    </x:row>
    <x:row r="231">
      <x:c r="A231" s="142" t="str">
        <x:v>Mirabel</x:v>
      </x:c>
      <x:c r="B231" s="143" t="str">
        <x:v>Banlieue de Montréal</x:v>
      </x:c>
      <x:c r="C231" s="143" t="str">
        <x:v>2022</x:v>
      </x:c>
      <x:c r="D231" s="143" t="n">
        <x:v>514</x:v>
      </x:c>
      <x:c r="E231" s="143" t="str">
        <x:v>Mirabel</x:v>
      </x:c>
      <x:c r="F231" s="149" t="n">
        <x:v>0.9999474635599614</x:v>
      </x:c>
      <x:c r="G231" s="144" t="n">
        <x:v>1</x:v>
      </x:c>
    </x:row>
    <x:row r="232">
      <x:c r="A232" s="142" t="str">
        <x:v>Mirabel</x:v>
      </x:c>
      <x:c r="B232" s="143" t="str">
        <x:v>Banlieue de Montréal</x:v>
      </x:c>
      <x:c r="C232" s="143" t="str">
        <x:v>2017</x:v>
      </x:c>
      <x:c r="D232" s="143" t="n">
        <x:v>514</x:v>
      </x:c>
      <x:c r="E232" s="143" t="str">
        <x:v>Mirabel</x:v>
      </x:c>
      <x:c r="F232" s="149" t="n">
        <x:v>0.9999474635599614</x:v>
      </x:c>
      <x:c r="G232" s="144" t="n">
        <x:v>1</x:v>
      </x:c>
    </x:row>
    <x:row r="233">
      <x:c r="A233" s="142" t="str">
        <x:v>Montarville</x:v>
      </x:c>
      <x:c r="B233" s="143" t="str">
        <x:v>Banlieue de Montréal</x:v>
      </x:c>
      <x:c r="C233" s="143" t="str">
        <x:v>2022</x:v>
      </x:c>
      <x:c r="D233" s="143" t="n">
        <x:v>252</x:v>
      </x:c>
      <x:c r="E233" s="143" t="str">
        <x:v>Montarville</x:v>
      </x:c>
      <x:c r="F233" s="149" t="n">
        <x:v>0.9999999999998664</x:v>
      </x:c>
      <x:c r="G233" s="144" t="n">
        <x:v>1</x:v>
      </x:c>
    </x:row>
    <x:row r="234">
      <x:c r="A234" s="142" t="str">
        <x:v>Montarville</x:v>
      </x:c>
      <x:c r="B234" s="143" t="str">
        <x:v>Banlieue de Montréal</x:v>
      </x:c>
      <x:c r="C234" s="143" t="str">
        <x:v>2017</x:v>
      </x:c>
      <x:c r="D234" s="143" t="n">
        <x:v>252</x:v>
      </x:c>
      <x:c r="E234" s="143" t="str">
        <x:v>Montarville</x:v>
      </x:c>
      <x:c r="F234" s="149" t="n">
        <x:v>0.999527911536662</x:v>
      </x:c>
      <x:c r="G234" s="144" t="n">
        <x:v>1</x:v>
      </x:c>
    </x:row>
    <x:row r="235">
      <x:c r="A235" s="142" t="str">
        <x:v>Montarville</x:v>
      </x:c>
      <x:c r="B235" s="143" t="str">
        <x:v>Banlieue de Montréal</x:v>
      </x:c>
      <x:c r="C235" s="143" t="str">
        <x:v>2017</x:v>
      </x:c>
      <x:c r="D235" s="143" t="n">
        <x:v>238</x:v>
      </x:c>
      <x:c r="E235" s="143" t="str">
        <x:v>Chambly</x:v>
      </x:c>
      <x:c r="F235" s="149" t="n">
        <x:v>0.00038635716955949013</x:v>
      </x:c>
      <x:c r="G235" s="144" t="n">
        <x:v>2</x:v>
      </x:c>
    </x:row>
    <x:row r="236">
      <x:c r="A236" s="142" t="str">
        <x:v>Montmorency</x:v>
      </x:c>
      <x:c r="B236" s="143" t="str">
        <x:v>Québec RMR</x:v>
      </x:c>
      <x:c r="C236" s="143" t="str">
        <x:v>2022</x:v>
      </x:c>
      <x:c r="D236" s="143" t="n">
        <x:v>742</x:v>
      </x:c>
      <x:c r="E236" s="143" t="str">
        <x:v>Montmorency</x:v>
      </x:c>
      <x:c r="F236" s="149" t="n">
        <x:v>0.999983411536557</x:v>
      </x:c>
      <x:c r="G236" s="144" t="n">
        <x:v>1</x:v>
      </x:c>
    </x:row>
    <x:row r="237">
      <x:c r="A237" s="142" t="str">
        <x:v>Montmorency</x:v>
      </x:c>
      <x:c r="B237" s="143" t="str">
        <x:v>Québec RMR</x:v>
      </x:c>
      <x:c r="C237" s="143" t="str">
        <x:v>2017</x:v>
      </x:c>
      <x:c r="D237" s="143" t="n">
        <x:v>742</x:v>
      </x:c>
      <x:c r="E237" s="143" t="str">
        <x:v>Montmorency</x:v>
      </x:c>
      <x:c r="F237" s="149" t="n">
        <x:v>0.9999695700538285</x:v>
      </x:c>
      <x:c r="G237" s="144" t="n">
        <x:v>1</x:v>
      </x:c>
    </x:row>
    <x:row r="238">
      <x:c r="A238" s="142" t="str">
        <x:v>Mont-Royal-Outremont</x:v>
      </x:c>
      <x:c r="B238" s="143" t="str">
        <x:v>Île de Montréal</x:v>
      </x:c>
      <x:c r="C238" s="143" t="str">
        <x:v>2022</x:v>
      </x:c>
      <x:c r="D238" s="143" t="n">
        <x:v>336</x:v>
      </x:c>
      <x:c r="E238" s="143" t="str">
        <x:v>Mont-Royal-Outremont</x:v>
      </x:c>
      <x:c r="F238" s="149" t="n">
        <x:v>0.999999994080044</x:v>
      </x:c>
      <x:c r="G238" s="144" t="n">
        <x:v>1</x:v>
      </x:c>
    </x:row>
    <x:row r="239">
      <x:c r="A239" s="142" t="str">
        <x:v>Mont-Royal-Outremont</x:v>
      </x:c>
      <x:c r="B239" s="143" t="str">
        <x:v>Île de Montréal</x:v>
      </x:c>
      <x:c r="C239" s="143" t="str">
        <x:v>2017</x:v>
      </x:c>
      <x:c r="D239" s="143" t="n">
        <x:v>336</x:v>
      </x:c>
      <x:c r="E239" s="143" t="str">
        <x:v>Mont-Royal-Outremont</x:v>
      </x:c>
      <x:c r="F239" s="149" t="n">
        <x:v>0.999999984259995</x:v>
      </x:c>
      <x:c r="G239" s="144" t="n">
        <x:v>1</x:v>
      </x:c>
    </x:row>
    <x:row r="240">
      <x:c r="A240" s="142" t="str">
        <x:v>Nelligan</x:v>
      </x:c>
      <x:c r="B240" s="143" t="str">
        <x:v>Île de Montréal</x:v>
      </x:c>
      <x:c r="C240" s="143" t="str">
        <x:v>2022</x:v>
      </x:c>
      <x:c r="D240" s="143" t="n">
        <x:v>312</x:v>
      </x:c>
      <x:c r="E240" s="143" t="str">
        <x:v>Nelligan</x:v>
      </x:c>
      <x:c r="F240" s="149" t="n">
        <x:v>0.9999326071193891</x:v>
      </x:c>
      <x:c r="G240" s="144" t="n">
        <x:v>1</x:v>
      </x:c>
    </x:row>
    <x:row r="241">
      <x:c r="A241" s="142" t="str">
        <x:v>Nelligan</x:v>
      </x:c>
      <x:c r="B241" s="143" t="str">
        <x:v>Île de Montréal</x:v>
      </x:c>
      <x:c r="C241" s="143" t="str">
        <x:v>2017</x:v>
      </x:c>
      <x:c r="D241" s="143" t="n">
        <x:v>312</x:v>
      </x:c>
      <x:c r="E241" s="143" t="str">
        <x:v>Nelligan</x:v>
      </x:c>
      <x:c r="F241" s="149" t="n">
        <x:v>0.9999326071193891</x:v>
      </x:c>
      <x:c r="G241" s="144" t="n">
        <x:v>1</x:v>
      </x:c>
    </x:row>
    <x:row r="242">
      <x:c r="A242" s="142" t="str">
        <x:v>Nicolet-Bécancour</x:v>
      </x:c>
      <x:c r="B242" s="143" t="str">
        <x:v>Reste du Québec</x:v>
      </x:c>
      <x:c r="C242" s="143" t="str">
        <x:v>2022</x:v>
      </x:c>
      <x:c r="D242" s="143" t="n">
        <x:v>150</x:v>
      </x:c>
      <x:c r="E242" s="143" t="str">
        <x:v>Nicolet-Bécancour</x:v>
      </x:c>
      <x:c r="F242" s="149" t="n">
        <x:v>0.9620893549296967</x:v>
      </x:c>
      <x:c r="G242" s="144" t="n">
        <x:v>1</x:v>
      </x:c>
    </x:row>
    <x:row r="243">
      <x:c r="A243" s="142" t="str">
        <x:v>Nicolet-Bécancour</x:v>
      </x:c>
      <x:c r="B243" s="143" t="str">
        <x:v>Reste du Québec</x:v>
      </x:c>
      <x:c r="C243" s="143" t="str">
        <x:v>2022</x:v>
      </x:c>
      <x:c r="D243" s="143" t="n">
        <x:v>144</x:v>
      </x:c>
      <x:c r="E243" s="143" t="str">
        <x:v>Arthabaska</x:v>
      </x:c>
      <x:c r="F243" s="149" t="n">
        <x:v>0.037609601570812466</x:v>
      </x:c>
      <x:c r="G243" s="144" t="n">
        <x:v>2</x:v>
      </x:c>
    </x:row>
    <x:row r="244">
      <x:c r="A244" s="142" t="str">
        <x:v>Nicolet-Bécancour</x:v>
      </x:c>
      <x:c r="B244" s="143" t="str">
        <x:v>Reste du Québec</x:v>
      </x:c>
      <x:c r="C244" s="143" t="str">
        <x:v>2022</x:v>
      </x:c>
      <x:c r="D244" s="143" t="n">
        <x:v>264</x:v>
      </x:c>
      <x:c r="E244" s="143" t="str">
        <x:v>Richelieu</x:v>
      </x:c>
      <x:c r="F244" s="149" t="n">
        <x:v>0.00018107666790975326</x:v>
      </x:c>
      <x:c r="G244" s="144" t="n">
        <x:v>3</x:v>
      </x:c>
    </x:row>
    <x:row r="245">
      <x:c r="A245" s="142" t="str">
        <x:v>Nicolet-Bécancour</x:v>
      </x:c>
      <x:c r="B245" s="143" t="str">
        <x:v>Reste du Québec</x:v>
      </x:c>
      <x:c r="C245" s="143" t="str">
        <x:v>2022</x:v>
      </x:c>
      <x:c r="D245" s="143" t="n">
        <x:v>138</x:v>
      </x:c>
      <x:c r="E245" s="143" t="str">
        <x:v>Drummond-Bois-Francs</x:v>
      </x:c>
      <x:c r="F245" s="149" t="n">
        <x:v>0.00011981436491419073</x:v>
      </x:c>
      <x:c r="G245" s="144" t="n">
        <x:v>4</x:v>
      </x:c>
    </x:row>
    <x:row r="246">
      <x:c r="A246" s="142" t="str">
        <x:v>Nicolet-Bécancour</x:v>
      </x:c>
      <x:c r="B246" s="143" t="str">
        <x:v>Reste du Québec</x:v>
      </x:c>
      <x:c r="C246" s="143" t="str">
        <x:v>2017</x:v>
      </x:c>
      <x:c r="D246" s="143" t="n">
        <x:v>150</x:v>
      </x:c>
      <x:c r="E246" s="143" t="str">
        <x:v>Nicolet-Bécancour</x:v>
      </x:c>
      <x:c r="F246" s="149" t="n">
        <x:v>0.9620893549296967</x:v>
      </x:c>
      <x:c r="G246" s="144" t="n">
        <x:v>1</x:v>
      </x:c>
    </x:row>
    <x:row r="247">
      <x:c r="A247" s="142" t="str">
        <x:v>Nicolet-Bécancour</x:v>
      </x:c>
      <x:c r="B247" s="143" t="str">
        <x:v>Reste du Québec</x:v>
      </x:c>
      <x:c r="C247" s="143" t="str">
        <x:v>2017</x:v>
      </x:c>
      <x:c r="D247" s="143" t="n">
        <x:v>144</x:v>
      </x:c>
      <x:c r="E247" s="143" t="str">
        <x:v>Arthabaska</x:v>
      </x:c>
      <x:c r="F247" s="149" t="n">
        <x:v>0.037609601570812466</x:v>
      </x:c>
      <x:c r="G247" s="144" t="n">
        <x:v>2</x:v>
      </x:c>
    </x:row>
    <x:row r="248">
      <x:c r="A248" s="142" t="str">
        <x:v>Nicolet-Bécancour</x:v>
      </x:c>
      <x:c r="B248" s="143" t="str">
        <x:v>Reste du Québec</x:v>
      </x:c>
      <x:c r="C248" s="143" t="str">
        <x:v>2017</x:v>
      </x:c>
      <x:c r="D248" s="143" t="n">
        <x:v>264</x:v>
      </x:c>
      <x:c r="E248" s="143" t="str">
        <x:v>Richelieu</x:v>
      </x:c>
      <x:c r="F248" s="149" t="n">
        <x:v>0.00018107666790975326</x:v>
      </x:c>
      <x:c r="G248" s="144" t="n">
        <x:v>3</x:v>
      </x:c>
    </x:row>
    <x:row r="249">
      <x:c r="A249" s="142" t="str">
        <x:v>Nicolet-Bécancour</x:v>
      </x:c>
      <x:c r="B249" s="143" t="str">
        <x:v>Reste du Québec</x:v>
      </x:c>
      <x:c r="C249" s="143" t="str">
        <x:v>2017</x:v>
      </x:c>
      <x:c r="D249" s="143" t="n">
        <x:v>138</x:v>
      </x:c>
      <x:c r="E249" s="143" t="str">
        <x:v>Drummond-Bois-Francs</x:v>
      </x:c>
      <x:c r="F249" s="149" t="n">
        <x:v>0.00011981436491419073</x:v>
      </x:c>
      <x:c r="G249" s="144" t="n">
        <x:v>4</x:v>
      </x:c>
    </x:row>
    <x:row r="250">
      <x:c r="A250" s="142" t="str">
        <x:v>Notre-Dame-de-Grâce</x:v>
      </x:c>
      <x:c r="B250" s="143" t="str">
        <x:v>Île de Montréal</x:v>
      </x:c>
      <x:c r="C250" s="143" t="str">
        <x:v>2022</x:v>
      </x:c>
      <x:c r="D250" s="143" t="n">
        <x:v>324</x:v>
      </x:c>
      <x:c r="E250" s="143" t="str">
        <x:v>Notre-Dame-de-Grâce</x:v>
      </x:c>
      <x:c r="F250" s="149" t="n">
        <x:v>0.9999999993447667</x:v>
      </x:c>
      <x:c r="G250" s="144" t="n">
        <x:v>1</x:v>
      </x:c>
    </x:row>
    <x:row r="251">
      <x:c r="A251" s="142" t="str">
        <x:v>Notre-Dame-de-Grâce</x:v>
      </x:c>
      <x:c r="B251" s="143" t="str">
        <x:v>Île de Montréal</x:v>
      </x:c>
      <x:c r="C251" s="143" t="str">
        <x:v>2017</x:v>
      </x:c>
      <x:c r="D251" s="143" t="n">
        <x:v>324</x:v>
      </x:c>
      <x:c r="E251" s="143" t="str">
        <x:v>Notre-Dame-de-Grâce</x:v>
      </x:c>
      <x:c r="F251" s="149" t="n">
        <x:v>0.9999999993447667</x:v>
      </x:c>
      <x:c r="G251" s="144" t="n">
        <x:v>1</x:v>
      </x:c>
    </x:row>
    <x:row r="252">
      <x:c r="A252" s="142" t="str">
        <x:v>Orford</x:v>
      </x:c>
      <x:c r="B252" s="143" t="str">
        <x:v>Reste du Québec</x:v>
      </x:c>
      <x:c r="C252" s="143" t="str">
        <x:v>2022</x:v>
      </x:c>
      <x:c r="D252" s="143" t="n">
        <x:v>120</x:v>
      </x:c>
      <x:c r="E252" s="143" t="str">
        <x:v>Orford</x:v>
      </x:c>
      <x:c r="F252" s="149" t="n">
        <x:v>0.9999890161028874</x:v>
      </x:c>
      <x:c r="G252" s="144" t="n">
        <x:v>1</x:v>
      </x:c>
    </x:row>
    <x:row r="253">
      <x:c r="A253" s="142" t="str">
        <x:v>Orford</x:v>
      </x:c>
      <x:c r="B253" s="143" t="str">
        <x:v>Reste du Québec</x:v>
      </x:c>
      <x:c r="C253" s="143" t="str">
        <x:v>2017</x:v>
      </x:c>
      <x:c r="D253" s="143" t="n">
        <x:v>120</x:v>
      </x:c>
      <x:c r="E253" s="143" t="str">
        <x:v>Orford</x:v>
      </x:c>
      <x:c r="F253" s="149" t="n">
        <x:v>0.9999136610124596</x:v>
      </x:c>
      <x:c r="G253" s="144" t="n">
        <x:v>1</x:v>
      </x:c>
    </x:row>
    <x:row r="254">
      <x:c r="A254" s="142" t="str">
        <x:v>Papineau</x:v>
      </x:c>
      <x:c r="B254" s="143" t="str">
        <x:v>Banlieue de Montréal</x:v>
      </x:c>
      <x:c r="C254" s="143" t="str">
        <x:v>2022</x:v>
      </x:c>
      <x:c r="D254" s="143" t="n">
        <x:v>626</x:v>
      </x:c>
      <x:c r="E254" s="143" t="str">
        <x:v>Papineau</x:v>
      </x:c>
      <x:c r="F254" s="149" t="n">
        <x:v>0.9999357756450343</x:v>
      </x:c>
      <x:c r="G254" s="144" t="n">
        <x:v>1</x:v>
      </x:c>
    </x:row>
    <x:row r="255">
      <x:c r="A255" s="142" t="str">
        <x:v>Papineau</x:v>
      </x:c>
      <x:c r="B255" s="143" t="str">
        <x:v>Banlieue de Montréal</x:v>
      </x:c>
      <x:c r="C255" s="143" t="str">
        <x:v>2017</x:v>
      </x:c>
      <x:c r="D255" s="143" t="n">
        <x:v>626</x:v>
      </x:c>
      <x:c r="E255" s="143" t="str">
        <x:v>Papineau</x:v>
      </x:c>
      <x:c r="F255" s="149" t="n">
        <x:v>0.999930959024131</x:v>
      </x:c>
      <x:c r="G255" s="144" t="n">
        <x:v>1</x:v>
      </x:c>
    </x:row>
    <x:row r="256">
      <x:c r="A256" s="142" t="str">
        <x:v>Pierre-Laporte</x:v>
      </x:c>
      <x:c r="B256" s="143" t="str">
        <x:v>Banlieue de Montréal</x:v>
      </x:c>
      <x:c r="C256" s="143" t="str">
        <x:v>2022</x:v>
      </x:c>
      <x:c r="D256" s="143" t="n">
        <x:v>244</x:v>
      </x:c>
      <x:c r="E256" s="143" t="str">
        <x:v>Laporte</x:v>
      </x:c>
      <x:c r="F256" s="149" t="n">
        <x:v>0.9999999999988796</x:v>
      </x:c>
      <x:c r="G256" s="144" t="n">
        <x:v>1</x:v>
      </x:c>
    </x:row>
    <x:row r="257">
      <x:c r="A257" s="142" t="str">
        <x:v>Pierre-Laporte</x:v>
      </x:c>
      <x:c r="B257" s="143" t="str">
        <x:v>Banlieue de Montréal</x:v>
      </x:c>
      <x:c r="C257" s="143" t="str">
        <x:v>2017</x:v>
      </x:c>
      <x:c r="D257" s="143" t="n">
        <x:v>244</x:v>
      </x:c>
      <x:c r="E257" s="143" t="str">
        <x:v>Laporte</x:v>
      </x:c>
      <x:c r="F257" s="149" t="n">
        <x:v>0.9997568989074797</x:v>
      </x:c>
      <x:c r="G257" s="144" t="n">
        <x:v>1</x:v>
      </x:c>
    </x:row>
    <x:row r="258">
      <x:c r="A258" s="142" t="str">
        <x:v>Pierre-Laporte</x:v>
      </x:c>
      <x:c r="B258" s="143" t="str">
        <x:v>Banlieue de Montréal</x:v>
      </x:c>
      <x:c r="C258" s="143" t="str">
        <x:v>2017</x:v>
      </x:c>
      <x:c r="D258" s="143" t="n">
        <x:v>246</x:v>
      </x:c>
      <x:c r="E258" s="143" t="str">
        <x:v>Marie-Victorin</x:v>
      </x:c>
      <x:c r="F258" s="149" t="n">
        <x:v>0.00024310109160617036</x:v>
      </x:c>
      <x:c r="G258" s="144" t="n">
        <x:v>2</x:v>
      </x:c>
    </x:row>
    <x:row r="259">
      <x:c r="A259" s="142" t="str">
        <x:v>Pointe-aux-Trembles</x:v>
      </x:c>
      <x:c r="B259" s="143" t="str">
        <x:v>Île de Montréal</x:v>
      </x:c>
      <x:c r="C259" s="143" t="str">
        <x:v>2022</x:v>
      </x:c>
      <x:c r="D259" s="143" t="n">
        <x:v>380</x:v>
      </x:c>
      <x:c r="E259" s="143" t="str">
        <x:v>Pointe-aux-Trembles</x:v>
      </x:c>
      <x:c r="F259" s="149" t="n">
        <x:v>0.9999999999582615</x:v>
      </x:c>
      <x:c r="G259" s="144" t="n">
        <x:v>1</x:v>
      </x:c>
    </x:row>
    <x:row r="260">
      <x:c r="A260" s="142" t="str">
        <x:v>Pointe-aux-Trembles</x:v>
      </x:c>
      <x:c r="B260" s="143" t="str">
        <x:v>Île de Montréal</x:v>
      </x:c>
      <x:c r="C260" s="143" t="str">
        <x:v>2017</x:v>
      </x:c>
      <x:c r="D260" s="143" t="n">
        <x:v>380</x:v>
      </x:c>
      <x:c r="E260" s="143" t="str">
        <x:v>Pointe-aux-Trembles</x:v>
      </x:c>
      <x:c r="F260" s="149" t="n">
        <x:v>0.99999999880216</x:v>
      </x:c>
      <x:c r="G260" s="144" t="n">
        <x:v>1</x:v>
      </x:c>
    </x:row>
    <x:row r="261">
      <x:c r="A261" s="142" t="str">
        <x:v>Pontiac</x:v>
      </x:c>
      <x:c r="B261" s="143" t="str">
        <x:v>Reste du Québec</x:v>
      </x:c>
      <x:c r="C261" s="143" t="str">
        <x:v>2022</x:v>
      </x:c>
      <x:c r="D261" s="143" t="n">
        <x:v>608</x:v>
      </x:c>
      <x:c r="E261" s="143" t="str">
        <x:v>Pontiac</x:v>
      </x:c>
      <x:c r="F261" s="149" t="n">
        <x:v>0.999931342651428</x:v>
      </x:c>
      <x:c r="G261" s="144" t="n">
        <x:v>1</x:v>
      </x:c>
    </x:row>
    <x:row r="262">
      <x:c r="A262" s="142" t="str">
        <x:v>Pontiac</x:v>
      </x:c>
      <x:c r="B262" s="143" t="str">
        <x:v>Reste du Québec</x:v>
      </x:c>
      <x:c r="C262" s="143" t="str">
        <x:v>2017</x:v>
      </x:c>
      <x:c r="D262" s="143" t="n">
        <x:v>608</x:v>
      </x:c>
      <x:c r="E262" s="143" t="str">
        <x:v>Pontiac</x:v>
      </x:c>
      <x:c r="F262" s="149" t="n">
        <x:v>0.9999010925202753</x:v>
      </x:c>
      <x:c r="G262" s="144" t="n">
        <x:v>1</x:v>
      </x:c>
    </x:row>
    <x:row r="263">
      <x:c r="A263" s="142" t="str">
        <x:v>Portneuf</x:v>
      </x:c>
      <x:c r="B263" s="143" t="str">
        <x:v>Québec RMR</x:v>
      </x:c>
      <x:c r="C263" s="143" t="str">
        <x:v>2022</x:v>
      </x:c>
      <x:c r="D263" s="143" t="n">
        <x:v>714</x:v>
      </x:c>
      <x:c r="E263" s="143" t="str">
        <x:v>Portneuf</x:v>
      </x:c>
      <x:c r="F263" s="149" t="n">
        <x:v>0.8356659627017631</x:v>
      </x:c>
      <x:c r="G263" s="144" t="n">
        <x:v>1</x:v>
      </x:c>
    </x:row>
    <x:row r="264">
      <x:c r="A264" s="142" t="str">
        <x:v>Portneuf</x:v>
      </x:c>
      <x:c r="B264" s="143" t="str">
        <x:v>Québec RMR</x:v>
      </x:c>
      <x:c r="C264" s="143" t="str">
        <x:v>2022</x:v>
      </x:c>
      <x:c r="D264" s="143" t="n">
        <x:v>720</x:v>
      </x:c>
      <x:c r="E264" s="143" t="str">
        <x:v>La Peltrie</x:v>
      </x:c>
      <x:c r="F264" s="149" t="n">
        <x:v>0.16433403729820176</x:v>
      </x:c>
      <x:c r="G264" s="144" t="n">
        <x:v>2</x:v>
      </x:c>
    </x:row>
    <x:row r="265">
      <x:c r="A265" s="142" t="str">
        <x:v>Portneuf</x:v>
      </x:c>
      <x:c r="B265" s="143" t="str">
        <x:v>Québec RMR</x:v>
      </x:c>
      <x:c r="C265" s="143" t="str">
        <x:v>2017</x:v>
      </x:c>
      <x:c r="D265" s="143" t="n">
        <x:v>714</x:v>
      </x:c>
      <x:c r="E265" s="143" t="str">
        <x:v>Portneuf</x:v>
      </x:c>
      <x:c r="F265" s="149" t="n">
        <x:v>0.8355809785520014</x:v>
      </x:c>
      <x:c r="G265" s="144" t="n">
        <x:v>1</x:v>
      </x:c>
    </x:row>
    <x:row r="266">
      <x:c r="A266" s="142" t="str">
        <x:v>Portneuf</x:v>
      </x:c>
      <x:c r="B266" s="143" t="str">
        <x:v>Québec RMR</x:v>
      </x:c>
      <x:c r="C266" s="143" t="str">
        <x:v>2017</x:v>
      </x:c>
      <x:c r="D266" s="143" t="n">
        <x:v>720</x:v>
      </x:c>
      <x:c r="E266" s="143" t="str">
        <x:v>La Peltrie</x:v>
      </x:c>
      <x:c r="F266" s="149" t="n">
        <x:v>0.16433403729820173</x:v>
      </x:c>
      <x:c r="G266" s="144" t="n">
        <x:v>2</x:v>
      </x:c>
    </x:row>
    <x:row r="267">
      <x:c r="A267" s="142" t="str">
        <x:v>Prévost</x:v>
      </x:c>
      <x:c r="B267" s="143" t="str">
        <x:v>Banlieue de Montréal</x:v>
      </x:c>
      <x:c r="C267" s="143" t="str">
        <x:v>2022</x:v>
      </x:c>
      <x:c r="D267" s="143" t="n">
        <x:v>582</x:v>
      </x:c>
      <x:c r="E267" s="143" t="str">
        <x:v>Prévost</x:v>
      </x:c>
      <x:c r="F267" s="149" t="n">
        <x:v>0.9991186872360301</x:v>
      </x:c>
      <x:c r="G267" s="144" t="n">
        <x:v>1</x:v>
      </x:c>
    </x:row>
    <x:row r="268">
      <x:c r="A268" s="142" t="str">
        <x:v>Prévost</x:v>
      </x:c>
      <x:c r="B268" s="143" t="str">
        <x:v>Banlieue de Montréal</x:v>
      </x:c>
      <x:c r="C268" s="143" t="str">
        <x:v>2022</x:v>
      </x:c>
      <x:c r="D268" s="143" t="n">
        <x:v>526</x:v>
      </x:c>
      <x:c r="E268" s="143" t="str">
        <x:v>Saint-Jérôme</x:v>
      </x:c>
      <x:c r="F268" s="149" t="n">
        <x:v>0.000577393593135549</x:v>
      </x:c>
      <x:c r="G268" s="144" t="n">
        <x:v>2</x:v>
      </x:c>
    </x:row>
    <x:row r="269">
      <x:c r="A269" s="142" t="str">
        <x:v>Prévost</x:v>
      </x:c>
      <x:c r="B269" s="143" t="str">
        <x:v>Banlieue de Montréal</x:v>
      </x:c>
      <x:c r="C269" s="143" t="str">
        <x:v>2022</x:v>
      </x:c>
      <x:c r="D269" s="143" t="n">
        <x:v>576</x:v>
      </x:c>
      <x:c r="E269" s="143" t="str">
        <x:v>Rousseau</x:v>
      </x:c>
      <x:c r="F269" s="149" t="n">
        <x:v>0.00028359251100899607</x:v>
      </x:c>
      <x:c r="G269" s="144" t="n">
        <x:v>3</x:v>
      </x:c>
    </x:row>
    <x:row r="270">
      <x:c r="A270" s="142" t="str">
        <x:v>Prévost</x:v>
      </x:c>
      <x:c r="B270" s="143" t="str">
        <x:v>Banlieue de Montréal</x:v>
      </x:c>
      <x:c r="C270" s="143" t="str">
        <x:v>2017</x:v>
      </x:c>
      <x:c r="D270" s="143" t="n">
        <x:v>582</x:v>
      </x:c>
      <x:c r="E270" s="143" t="str">
        <x:v>Prévost</x:v>
      </x:c>
      <x:c r="F270" s="149" t="n">
        <x:v>0.9991186872360301</x:v>
      </x:c>
      <x:c r="G270" s="144" t="n">
        <x:v>1</x:v>
      </x:c>
    </x:row>
    <x:row r="271">
      <x:c r="A271" s="142" t="str">
        <x:v>Prévost</x:v>
      </x:c>
      <x:c r="B271" s="143" t="str">
        <x:v>Banlieue de Montréal</x:v>
      </x:c>
      <x:c r="C271" s="143" t="str">
        <x:v>2017</x:v>
      </x:c>
      <x:c r="D271" s="143" t="n">
        <x:v>526</x:v>
      </x:c>
      <x:c r="E271" s="143" t="str">
        <x:v>Saint-Jérôme</x:v>
      </x:c>
      <x:c r="F271" s="149" t="n">
        <x:v>0.000577393593135549</x:v>
      </x:c>
      <x:c r="G271" s="144" t="n">
        <x:v>2</x:v>
      </x:c>
    </x:row>
    <x:row r="272">
      <x:c r="A272" s="142" t="str">
        <x:v>Prévost</x:v>
      </x:c>
      <x:c r="B272" s="143" t="str">
        <x:v>Banlieue de Montréal</x:v>
      </x:c>
      <x:c r="C272" s="143" t="str">
        <x:v>2017</x:v>
      </x:c>
      <x:c r="D272" s="143" t="n">
        <x:v>576</x:v>
      </x:c>
      <x:c r="E272" s="143" t="str">
        <x:v>Rousseau</x:v>
      </x:c>
      <x:c r="F272" s="149" t="n">
        <x:v>0.00028359251100899607</x:v>
      </x:c>
      <x:c r="G272" s="144" t="n">
        <x:v>3</x:v>
      </x:c>
    </x:row>
    <x:row r="273">
      <x:c r="A273" s="142" t="str">
        <x:v>René-Lévesque</x:v>
      </x:c>
      <x:c r="B273" s="143" t="str">
        <x:v>Reste du Québec</x:v>
      </x:c>
      <x:c r="C273" s="143" t="str">
        <x:v>2022</x:v>
      </x:c>
      <x:c r="D273" s="143" t="n">
        <x:v>906</x:v>
      </x:c>
      <x:c r="E273" s="143" t="str">
        <x:v>René-Lévesque</x:v>
      </x:c>
      <x:c r="F273" s="149" t="n">
        <x:v>0.9999999999999967</x:v>
      </x:c>
      <x:c r="G273" s="144" t="n">
        <x:v>1</x:v>
      </x:c>
    </x:row>
    <x:row r="274">
      <x:c r="A274" s="142" t="str">
        <x:v>René-Lévesque</x:v>
      </x:c>
      <x:c r="B274" s="143" t="str">
        <x:v>Reste du Québec</x:v>
      </x:c>
      <x:c r="C274" s="143" t="str">
        <x:v>2017</x:v>
      </x:c>
      <x:c r="D274" s="143" t="n">
        <x:v>906</x:v>
      </x:c>
      <x:c r="E274" s="143" t="str">
        <x:v>René-Lévesque</x:v>
      </x:c>
      <x:c r="F274" s="149" t="n">
        <x:v>0.9999999999999967</x:v>
      </x:c>
      <x:c r="G274" s="144" t="n">
        <x:v>1</x:v>
      </x:c>
    </x:row>
    <x:row r="275">
      <x:c r="A275" s="142" t="str">
        <x:v>Repentigny</x:v>
      </x:c>
      <x:c r="B275" s="143" t="str">
        <x:v>Banlieue de Montréal</x:v>
      </x:c>
      <x:c r="C275" s="143" t="str">
        <x:v>2022</x:v>
      </x:c>
      <x:c r="D275" s="143" t="n">
        <x:v>560</x:v>
      </x:c>
      <x:c r="E275" s="143" t="str">
        <x:v>Repentigny</x:v>
      </x:c>
      <x:c r="F275" s="149" t="n">
        <x:v>0.9080686065513773</x:v>
      </x:c>
      <x:c r="G275" s="144" t="n">
        <x:v>1</x:v>
      </x:c>
    </x:row>
    <x:row r="276">
      <x:c r="A276" s="142" t="str">
        <x:v>Repentigny</x:v>
      </x:c>
      <x:c r="B276" s="143" t="str">
        <x:v>Banlieue de Montréal</x:v>
      </x:c>
      <x:c r="C276" s="143" t="str">
        <x:v>2022</x:v>
      </x:c>
      <x:c r="D276" s="143" t="n">
        <x:v>554</x:v>
      </x:c>
      <x:c r="E276" s="143" t="str">
        <x:v>L'Assomption</x:v>
      </x:c>
      <x:c r="F276" s="149" t="n">
        <x:v>0.09193139344844975</x:v>
      </x:c>
      <x:c r="G276" s="144" t="n">
        <x:v>2</x:v>
      </x:c>
    </x:row>
    <x:row r="277">
      <x:c r="A277" s="142" t="str">
        <x:v>Repentigny</x:v>
      </x:c>
      <x:c r="B277" s="143" t="str">
        <x:v>Banlieue de Montréal</x:v>
      </x:c>
      <x:c r="C277" s="143" t="str">
        <x:v>2017</x:v>
      </x:c>
      <x:c r="D277" s="143" t="n">
        <x:v>560</x:v>
      </x:c>
      <x:c r="E277" s="143" t="str">
        <x:v>Repentigny</x:v>
      </x:c>
      <x:c r="F277" s="149" t="n">
        <x:v>0.9074319912823164</x:v>
      </x:c>
      <x:c r="G277" s="144" t="n">
        <x:v>1</x:v>
      </x:c>
    </x:row>
    <x:row r="278">
      <x:c r="A278" s="142" t="str">
        <x:v>Repentigny</x:v>
      </x:c>
      <x:c r="B278" s="143" t="str">
        <x:v>Banlieue de Montréal</x:v>
      </x:c>
      <x:c r="C278" s="143" t="str">
        <x:v>2017</x:v>
      </x:c>
      <x:c r="D278" s="143" t="n">
        <x:v>554</x:v>
      </x:c>
      <x:c r="E278" s="143" t="str">
        <x:v>L'Assomption</x:v>
      </x:c>
      <x:c r="F278" s="149" t="n">
        <x:v>0.09256800871752864</x:v>
      </x:c>
      <x:c r="G278" s="144" t="n">
        <x:v>2</x:v>
      </x:c>
    </x:row>
    <x:row r="279">
      <x:c r="A279" s="142" t="str">
        <x:v>Richelieu</x:v>
      </x:c>
      <x:c r="B279" s="143" t="str">
        <x:v>Banlieue de Montréal</x:v>
      </x:c>
      <x:c r="C279" s="143" t="str">
        <x:v>2022</x:v>
      </x:c>
      <x:c r="D279" s="143" t="n">
        <x:v>264</x:v>
      </x:c>
      <x:c r="E279" s="143" t="str">
        <x:v>Richelieu</x:v>
      </x:c>
      <x:c r="F279" s="149" t="n">
        <x:v>0.8574807352004895</x:v>
      </x:c>
      <x:c r="G279" s="144" t="n">
        <x:v>1</x:v>
      </x:c>
    </x:row>
    <x:row r="280">
      <x:c r="A280" s="142" t="str">
        <x:v>Richelieu</x:v>
      </x:c>
      <x:c r="B280" s="143" t="str">
        <x:v>Banlieue de Montréal</x:v>
      </x:c>
      <x:c r="C280" s="143" t="str">
        <x:v>2022</x:v>
      </x:c>
      <x:c r="D280" s="143" t="n">
        <x:v>256</x:v>
      </x:c>
      <x:c r="E280" s="143" t="str">
        <x:v>Verchères</x:v>
      </x:c>
      <x:c r="F280" s="149" t="n">
        <x:v>0.1424815618014299</x:v>
      </x:c>
      <x:c r="G280" s="144" t="n">
        <x:v>2</x:v>
      </x:c>
    </x:row>
    <x:row r="281">
      <x:c r="A281" s="142" t="str">
        <x:v>Richelieu</x:v>
      </x:c>
      <x:c r="B281" s="143" t="str">
        <x:v>Banlieue de Montréal</x:v>
      </x:c>
      <x:c r="C281" s="143" t="str">
        <x:v>2017</x:v>
      </x:c>
      <x:c r="D281" s="143" t="n">
        <x:v>264</x:v>
      </x:c>
      <x:c r="E281" s="143" t="str">
        <x:v>Richelieu</x:v>
      </x:c>
      <x:c r="F281" s="149" t="n">
        <x:v>0.8574807352004895</x:v>
      </x:c>
      <x:c r="G281" s="144" t="n">
        <x:v>1</x:v>
      </x:c>
    </x:row>
    <x:row r="282">
      <x:c r="A282" s="142" t="str">
        <x:v>Richelieu</x:v>
      </x:c>
      <x:c r="B282" s="143" t="str">
        <x:v>Banlieue de Montréal</x:v>
      </x:c>
      <x:c r="C282" s="143" t="str">
        <x:v>2017</x:v>
      </x:c>
      <x:c r="D282" s="143" t="n">
        <x:v>256</x:v>
      </x:c>
      <x:c r="E282" s="143" t="str">
        <x:v>Verchères</x:v>
      </x:c>
      <x:c r="F282" s="149" t="n">
        <x:v>0.1424815618014299</x:v>
      </x:c>
      <x:c r="G282" s="144" t="n">
        <x:v>2</x:v>
      </x:c>
    </x:row>
    <x:row r="283">
      <x:c r="A283" s="142" t="str">
        <x:v>Richmond</x:v>
      </x:c>
      <x:c r="B283" s="143" t="str">
        <x:v>Reste du Québec</x:v>
      </x:c>
      <x:c r="C283" s="143" t="str">
        <x:v>2022</x:v>
      </x:c>
      <x:c r="D283" s="143" t="n">
        <x:v>132</x:v>
      </x:c>
      <x:c r="E283" s="143" t="str">
        <x:v>Richmond</x:v>
      </x:c>
      <x:c r="F283" s="149" t="n">
        <x:v>0.8619882644234347</x:v>
      </x:c>
      <x:c r="G283" s="144" t="n">
        <x:v>1</x:v>
      </x:c>
    </x:row>
    <x:row r="284">
      <x:c r="A284" s="142" t="str">
        <x:v>Richmond</x:v>
      </x:c>
      <x:c r="B284" s="143" t="str">
        <x:v>Reste du Québec</x:v>
      </x:c>
      <x:c r="C284" s="143" t="str">
        <x:v>2022</x:v>
      </x:c>
      <x:c r="D284" s="143" t="n">
        <x:v>110</x:v>
      </x:c>
      <x:c r="E284" s="143" t="str">
        <x:v>Saint-François</x:v>
      </x:c>
      <x:c r="F284" s="149" t="n">
        <x:v>0.09642845029338687</x:v>
      </x:c>
      <x:c r="G284" s="144" t="n">
        <x:v>2</x:v>
      </x:c>
    </x:row>
    <x:row r="285">
      <x:c r="A285" s="142" t="str">
        <x:v>Richmond</x:v>
      </x:c>
      <x:c r="B285" s="143" t="str">
        <x:v>Reste du Québec</x:v>
      </x:c>
      <x:c r="C285" s="143" t="str">
        <x:v>2022</x:v>
      </x:c>
      <x:c r="D285" s="143" t="n">
        <x:v>104</x:v>
      </x:c>
      <x:c r="E285" s="143" t="str">
        <x:v>Mégantic</x:v>
      </x:c>
      <x:c r="F285" s="149" t="n">
        <x:v>0.04158328528304298</x:v>
      </x:c>
      <x:c r="G285" s="144" t="n">
        <x:v>3</x:v>
      </x:c>
    </x:row>
    <x:row r="286">
      <x:c r="A286" s="142" t="str">
        <x:v>Richmond</x:v>
      </x:c>
      <x:c r="B286" s="143" t="str">
        <x:v>Reste du Québec</x:v>
      </x:c>
      <x:c r="C286" s="143" t="str">
        <x:v>2017</x:v>
      </x:c>
      <x:c r="D286" s="143" t="n">
        <x:v>132</x:v>
      </x:c>
      <x:c r="E286" s="143" t="str">
        <x:v>Richmond</x:v>
      </x:c>
      <x:c r="F286" s="149" t="n">
        <x:v>0.8619882647255006</x:v>
      </x:c>
      <x:c r="G286" s="144" t="n">
        <x:v>1</x:v>
      </x:c>
    </x:row>
    <x:row r="287">
      <x:c r="A287" s="142" t="str">
        <x:v>Richmond</x:v>
      </x:c>
      <x:c r="B287" s="143" t="str">
        <x:v>Reste du Québec</x:v>
      </x:c>
      <x:c r="C287" s="143" t="str">
        <x:v>2017</x:v>
      </x:c>
      <x:c r="D287" s="143" t="n">
        <x:v>110</x:v>
      </x:c>
      <x:c r="E287" s="143" t="str">
        <x:v>Saint-François</x:v>
      </x:c>
      <x:c r="F287" s="149" t="n">
        <x:v>0.09642844999132101</x:v>
      </x:c>
      <x:c r="G287" s="144" t="n">
        <x:v>2</x:v>
      </x:c>
    </x:row>
    <x:row r="288">
      <x:c r="A288" s="142" t="str">
        <x:v>Richmond</x:v>
      </x:c>
      <x:c r="B288" s="143" t="str">
        <x:v>Reste du Québec</x:v>
      </x:c>
      <x:c r="C288" s="143" t="str">
        <x:v>2017</x:v>
      </x:c>
      <x:c r="D288" s="143" t="n">
        <x:v>104</x:v>
      </x:c>
      <x:c r="E288" s="143" t="str">
        <x:v>Mégantic</x:v>
      </x:c>
      <x:c r="F288" s="149" t="n">
        <x:v>0.04158328528304298</x:v>
      </x:c>
      <x:c r="G288" s="144" t="n">
        <x:v>3</x:v>
      </x:c>
    </x:row>
    <x:row r="289">
      <x:c r="A289" s="142" t="str">
        <x:v>Rimouski</x:v>
      </x:c>
      <x:c r="B289" s="143" t="str">
        <x:v>Reste du Québec</x:v>
      </x:c>
      <x:c r="C289" s="143" t="str">
        <x:v>2022</x:v>
      </x:c>
      <x:c r="D289" s="143" t="n">
        <x:v>838</x:v>
      </x:c>
      <x:c r="E289" s="143" t="str">
        <x:v>Rimouski</x:v>
      </x:c>
      <x:c r="F289" s="149" t="n">
        <x:v>0.999999999987145</x:v>
      </x:c>
      <x:c r="G289" s="144" t="n">
        <x:v>1</x:v>
      </x:c>
    </x:row>
    <x:row r="290">
      <x:c r="A290" s="142" t="str">
        <x:v>Rimouski</x:v>
      </x:c>
      <x:c r="B290" s="143" t="str">
        <x:v>Reste du Québec</x:v>
      </x:c>
      <x:c r="C290" s="143" t="str">
        <x:v>2017</x:v>
      </x:c>
      <x:c r="D290" s="143" t="n">
        <x:v>838</x:v>
      </x:c>
      <x:c r="E290" s="143" t="str">
        <x:v>Rimouski</x:v>
      </x:c>
      <x:c r="F290" s="149" t="n">
        <x:v>0.999999999987145</x:v>
      </x:c>
      <x:c r="G290" s="144" t="n">
        <x:v>1</x:v>
      </x:c>
    </x:row>
    <x:row r="291">
      <x:c r="A291" s="142" t="str">
        <x:v>Rivière-du-Loup–Témiscouata–Les Basques</x:v>
      </x:c>
      <x:c r="B291" s="143" t="str">
        <x:v>Reste du Québec</x:v>
      </x:c>
      <x:c r="C291" s="143" t="str">
        <x:v>2022</x:v>
      </x:c>
      <x:c r="D291" s="143" t="n">
        <x:v>834</x:v>
      </x:c>
      <x:c r="E291" s="143" t="str">
        <x:v>Rivière-du-Loup-Témiscouata</x:v>
      </x:c>
      <x:c r="F291" s="149" t="n">
        <x:v>0.9999999999999891</x:v>
      </x:c>
      <x:c r="G291" s="144" t="n">
        <x:v>1</x:v>
      </x:c>
    </x:row>
    <x:row r="292">
      <x:c r="A292" s="142" t="str">
        <x:v>Rivière-du-Loup–Témiscouata–Les Basques</x:v>
      </x:c>
      <x:c r="B292" s="143" t="str">
        <x:v>Reste du Québec</x:v>
      </x:c>
      <x:c r="C292" s="143" t="str">
        <x:v>2017</x:v>
      </x:c>
      <x:c r="D292" s="143" t="n">
        <x:v>834</x:v>
      </x:c>
      <x:c r="E292" s="143" t="str">
        <x:v>Rivière-du-Loup-Témiscouata</x:v>
      </x:c>
      <x:c r="F292" s="149" t="n">
        <x:v>0.9999999998638172</x:v>
      </x:c>
      <x:c r="G292" s="144" t="n">
        <x:v>1</x:v>
      </x:c>
    </x:row>
    <x:row r="293">
      <x:c r="A293" s="142" t="str">
        <x:v>Robert-Baldwin</x:v>
      </x:c>
      <x:c r="B293" s="143" t="str">
        <x:v>Île de Montréal</x:v>
      </x:c>
      <x:c r="C293" s="143" t="str">
        <x:v>2022</x:v>
      </x:c>
      <x:c r="D293" s="143" t="n">
        <x:v>316</x:v>
      </x:c>
      <x:c r="E293" s="143" t="str">
        <x:v>Robert-Baldwin</x:v>
      </x:c>
      <x:c r="F293" s="149" t="n">
        <x:v>0.9998924910973966</x:v>
      </x:c>
      <x:c r="G293" s="144" t="n">
        <x:v>1</x:v>
      </x:c>
    </x:row>
    <x:row r="294">
      <x:c r="A294" s="142" t="str">
        <x:v>Robert-Baldwin</x:v>
      </x:c>
      <x:c r="B294" s="143" t="str">
        <x:v>Île de Montréal</x:v>
      </x:c>
      <x:c r="C294" s="143" t="str">
        <x:v>2022</x:v>
      </x:c>
      <x:c r="D294" s="143" t="n">
        <x:v>312</x:v>
      </x:c>
      <x:c r="E294" s="143" t="str">
        <x:v>Nelligan</x:v>
      </x:c>
      <x:c r="F294" s="149" t="n">
        <x:v>0.00010750890223300269</x:v>
      </x:c>
      <x:c r="G294" s="144" t="n">
        <x:v>2</x:v>
      </x:c>
    </x:row>
    <x:row r="295">
      <x:c r="A295" s="142" t="str">
        <x:v>Robert-Baldwin</x:v>
      </x:c>
      <x:c r="B295" s="143" t="str">
        <x:v>Île de Montréal</x:v>
      </x:c>
      <x:c r="C295" s="143" t="str">
        <x:v>2017</x:v>
      </x:c>
      <x:c r="D295" s="143" t="n">
        <x:v>316</x:v>
      </x:c>
      <x:c r="E295" s="143" t="str">
        <x:v>Robert-Baldwin</x:v>
      </x:c>
      <x:c r="F295" s="149" t="n">
        <x:v>0.9998924640493021</x:v>
      </x:c>
      <x:c r="G295" s="144" t="n">
        <x:v>1</x:v>
      </x:c>
    </x:row>
    <x:row r="296">
      <x:c r="A296" s="142" t="str">
        <x:v>Robert-Baldwin</x:v>
      </x:c>
      <x:c r="B296" s="143" t="str">
        <x:v>Île de Montréal</x:v>
      </x:c>
      <x:c r="C296" s="143" t="str">
        <x:v>2017</x:v>
      </x:c>
      <x:c r="D296" s="143" t="n">
        <x:v>312</x:v>
      </x:c>
      <x:c r="E296" s="143" t="str">
        <x:v>Nelligan</x:v>
      </x:c>
      <x:c r="F296" s="149" t="n">
        <x:v>0.00010750890223300269</x:v>
      </x:c>
      <x:c r="G296" s="144" t="n">
        <x:v>2</x:v>
      </x:c>
    </x:row>
    <x:row r="297">
      <x:c r="A297" s="142" t="str">
        <x:v>Roberval</x:v>
      </x:c>
      <x:c r="B297" s="143" t="str">
        <x:v>Reste du Québec</x:v>
      </x:c>
      <x:c r="C297" s="143" t="str">
        <x:v>2022</x:v>
      </x:c>
      <x:c r="D297" s="143" t="n">
        <x:v>930</x:v>
      </x:c>
      <x:c r="E297" s="143" t="str">
        <x:v>Roberval</x:v>
      </x:c>
      <x:c r="F297" s="149" t="n">
        <x:v>0.9999999999991097</x:v>
      </x:c>
      <x:c r="G297" s="144" t="n">
        <x:v>1</x:v>
      </x:c>
    </x:row>
    <x:row r="298">
      <x:c r="A298" s="142" t="str">
        <x:v>Roberval</x:v>
      </x:c>
      <x:c r="B298" s="143" t="str">
        <x:v>Reste du Québec</x:v>
      </x:c>
      <x:c r="C298" s="143" t="str">
        <x:v>2017</x:v>
      </x:c>
      <x:c r="D298" s="143" t="n">
        <x:v>930</x:v>
      </x:c>
      <x:c r="E298" s="143" t="str">
        <x:v>Roberval</x:v>
      </x:c>
      <x:c r="F298" s="149" t="n">
        <x:v>0.9999999999991097</x:v>
      </x:c>
      <x:c r="G298" s="144" t="n">
        <x:v>1</x:v>
      </x:c>
    </x:row>
    <x:row r="299">
      <x:c r="A299" s="142" t="str">
        <x:v>Rosemont</x:v>
      </x:c>
      <x:c r="B299" s="143" t="str">
        <x:v>Île de Montréal</x:v>
      </x:c>
      <x:c r="C299" s="143" t="str">
        <x:v>2022</x:v>
      </x:c>
      <x:c r="D299" s="143" t="n">
        <x:v>356</x:v>
      </x:c>
      <x:c r="E299" s="143" t="str">
        <x:v>Rosemont</x:v>
      </x:c>
      <x:c r="F299" s="149" t="n">
        <x:v>0.9999999997481231</x:v>
      </x:c>
      <x:c r="G299" s="144" t="n">
        <x:v>1</x:v>
      </x:c>
    </x:row>
    <x:row r="300">
      <x:c r="A300" s="142" t="str">
        <x:v>Rosemont</x:v>
      </x:c>
      <x:c r="B300" s="143" t="str">
        <x:v>Île de Montréal</x:v>
      </x:c>
      <x:c r="C300" s="143" t="str">
        <x:v>2017</x:v>
      </x:c>
      <x:c r="D300" s="143" t="n">
        <x:v>356</x:v>
      </x:c>
      <x:c r="E300" s="143" t="str">
        <x:v>Rosemont</x:v>
      </x:c>
      <x:c r="F300" s="149" t="n">
        <x:v>0.9999999997481231</x:v>
      </x:c>
      <x:c r="G300" s="144" t="n">
        <x:v>1</x:v>
      </x:c>
    </x:row>
    <x:row r="301">
      <x:c r="A301" s="142" t="str">
        <x:v>Rousseau</x:v>
      </x:c>
      <x:c r="B301" s="143" t="str">
        <x:v>Banlieue de Montréal</x:v>
      </x:c>
      <x:c r="C301" s="143" t="str">
        <x:v>2022</x:v>
      </x:c>
      <x:c r="D301" s="143" t="n">
        <x:v>576</x:v>
      </x:c>
      <x:c r="E301" s="143" t="str">
        <x:v>Rousseau</x:v>
      </x:c>
      <x:c r="F301" s="149" t="n">
        <x:v>0.9990699279823196</x:v>
      </x:c>
      <x:c r="G301" s="144" t="n">
        <x:v>1</x:v>
      </x:c>
    </x:row>
    <x:row r="302">
      <x:c r="A302" s="142" t="str">
        <x:v>Rousseau</x:v>
      </x:c>
      <x:c r="B302" s="143" t="str">
        <x:v>Banlieue de Montréal</x:v>
      </x:c>
      <x:c r="C302" s="143" t="str">
        <x:v>2022</x:v>
      </x:c>
      <x:c r="D302" s="143" t="n">
        <x:v>588</x:v>
      </x:c>
      <x:c r="E302" s="143" t="str">
        <x:v>Bertrand</x:v>
      </x:c>
      <x:c r="F302" s="149" t="n">
        <x:v>0.0004023493380766103</x:v>
      </x:c>
      <x:c r="G302" s="144" t="n">
        <x:v>2</x:v>
      </x:c>
    </x:row>
    <x:row r="303">
      <x:c r="A303" s="142" t="str">
        <x:v>Rousseau</x:v>
      </x:c>
      <x:c r="B303" s="143" t="str">
        <x:v>Banlieue de Montréal</x:v>
      </x:c>
      <x:c r="C303" s="143" t="str">
        <x:v>2022</x:v>
      </x:c>
      <x:c r="D303" s="143" t="n">
        <x:v>582</x:v>
      </x:c>
      <x:c r="E303" s="143" t="str">
        <x:v>Prévost</x:v>
      </x:c>
      <x:c r="F303" s="149" t="n">
        <x:v>0.0003727306322843687</x:v>
      </x:c>
      <x:c r="G303" s="144" t="n">
        <x:v>3</x:v>
      </x:c>
    </x:row>
    <x:row r="304">
      <x:c r="A304" s="142" t="str">
        <x:v>Rousseau</x:v>
      </x:c>
      <x:c r="B304" s="143" t="str">
        <x:v>Banlieue de Montréal</x:v>
      </x:c>
      <x:c r="C304" s="143" t="str">
        <x:v>2022</x:v>
      </x:c>
      <x:c r="D304" s="143" t="n">
        <x:v>554</x:v>
      </x:c>
      <x:c r="E304" s="143" t="str">
        <x:v>L'Assomption</x:v>
      </x:c>
      <x:c r="F304" s="149" t="n">
        <x:v>0.00012687709368708496</x:v>
      </x:c>
      <x:c r="G304" s="144" t="n">
        <x:v>4</x:v>
      </x:c>
    </x:row>
    <x:row r="305">
      <x:c r="A305" s="142" t="str">
        <x:v>Rousseau</x:v>
      </x:c>
      <x:c r="B305" s="143" t="str">
        <x:v>Banlieue de Montréal</x:v>
      </x:c>
      <x:c r="C305" s="143" t="str">
        <x:v>2017</x:v>
      </x:c>
      <x:c r="D305" s="143" t="n">
        <x:v>576</x:v>
      </x:c>
      <x:c r="E305" s="143" t="str">
        <x:v>Rousseau</x:v>
      </x:c>
      <x:c r="F305" s="149" t="n">
        <x:v>0.9990408525172163</x:v>
      </x:c>
      <x:c r="G305" s="144" t="n">
        <x:v>1</x:v>
      </x:c>
    </x:row>
    <x:row r="306">
      <x:c r="A306" s="142" t="str">
        <x:v>Rousseau</x:v>
      </x:c>
      <x:c r="B306" s="143" t="str">
        <x:v>Banlieue de Montréal</x:v>
      </x:c>
      <x:c r="C306" s="143" t="str">
        <x:v>2017</x:v>
      </x:c>
      <x:c r="D306" s="143" t="n">
        <x:v>588</x:v>
      </x:c>
      <x:c r="E306" s="143" t="str">
        <x:v>Bertrand</x:v>
      </x:c>
      <x:c r="F306" s="149" t="n">
        <x:v>0.0004023493380766103</x:v>
      </x:c>
      <x:c r="G306" s="144" t="n">
        <x:v>2</x:v>
      </x:c>
    </x:row>
    <x:row r="307">
      <x:c r="A307" s="142" t="str">
        <x:v>Rousseau</x:v>
      </x:c>
      <x:c r="B307" s="143" t="str">
        <x:v>Banlieue de Montréal</x:v>
      </x:c>
      <x:c r="C307" s="143" t="str">
        <x:v>2017</x:v>
      </x:c>
      <x:c r="D307" s="143" t="n">
        <x:v>582</x:v>
      </x:c>
      <x:c r="E307" s="143" t="str">
        <x:v>Prévost</x:v>
      </x:c>
      <x:c r="F307" s="149" t="n">
        <x:v>0.0003727306322843687</x:v>
      </x:c>
      <x:c r="G307" s="144" t="n">
        <x:v>3</x:v>
      </x:c>
    </x:row>
    <x:row r="308">
      <x:c r="A308" s="142" t="str">
        <x:v>Rousseau</x:v>
      </x:c>
      <x:c r="B308" s="143" t="str">
        <x:v>Banlieue de Montréal</x:v>
      </x:c>
      <x:c r="C308" s="143" t="str">
        <x:v>2017</x:v>
      </x:c>
      <x:c r="D308" s="143" t="n">
        <x:v>554</x:v>
      </x:c>
      <x:c r="E308" s="143" t="str">
        <x:v>L'Assomption</x:v>
      </x:c>
      <x:c r="F308" s="149" t="n">
        <x:v>0.00012687709368708496</x:v>
      </x:c>
      <x:c r="G308" s="144" t="n">
        <x:v>4</x:v>
      </x:c>
    </x:row>
    <x:row r="309">
      <x:c r="A309" s="142" t="str">
        <x:v>Rouyn-Noranda-Témiscamingue</x:v>
      </x:c>
      <x:c r="B309" s="143" t="str">
        <x:v>Reste du Québec</x:v>
      </x:c>
      <x:c r="C309" s="143" t="str">
        <x:v>2022</x:v>
      </x:c>
      <x:c r="D309" s="143" t="n">
        <x:v>636</x:v>
      </x:c>
      <x:c r="E309" s="143" t="str">
        <x:v>Rouyn-Noranda-Témiscamingue</x:v>
      </x:c>
      <x:c r="F309" s="149" t="n">
        <x:v>0.9999999999999969</x:v>
      </x:c>
      <x:c r="G309" s="144" t="n">
        <x:v>1</x:v>
      </x:c>
    </x:row>
    <x:row r="310">
      <x:c r="A310" s="142" t="str">
        <x:v>Rouyn-Noranda-Témiscamingue</x:v>
      </x:c>
      <x:c r="B310" s="143" t="str">
        <x:v>Reste du Québec</x:v>
      </x:c>
      <x:c r="C310" s="143" t="str">
        <x:v>2017</x:v>
      </x:c>
      <x:c r="D310" s="143" t="n">
        <x:v>636</x:v>
      </x:c>
      <x:c r="E310" s="143" t="str">
        <x:v>Rouyn-Noranda-Témiscamingue</x:v>
      </x:c>
      <x:c r="F310" s="149" t="n">
        <x:v>0.9999999999960002</x:v>
      </x:c>
      <x:c r="G310" s="144" t="n">
        <x:v>1</x:v>
      </x:c>
    </x:row>
    <x:row r="311">
      <x:c r="A311" s="142" t="str">
        <x:v>Saint-François</x:v>
      </x:c>
      <x:c r="B311" s="143" t="str">
        <x:v>Reste du Québec</x:v>
      </x:c>
      <x:c r="C311" s="143" t="str">
        <x:v>2022</x:v>
      </x:c>
      <x:c r="D311" s="143" t="n">
        <x:v>110</x:v>
      </x:c>
      <x:c r="E311" s="143" t="str">
        <x:v>Saint-François</x:v>
      </x:c>
      <x:c r="F311" s="149" t="n">
        <x:v>0.9999999999998006</x:v>
      </x:c>
      <x:c r="G311" s="144" t="n">
        <x:v>1</x:v>
      </x:c>
    </x:row>
    <x:row r="312">
      <x:c r="A312" s="142" t="str">
        <x:v>Saint-François</x:v>
      </x:c>
      <x:c r="B312" s="143" t="str">
        <x:v>Reste du Québec</x:v>
      </x:c>
      <x:c r="C312" s="143" t="str">
        <x:v>2017</x:v>
      </x:c>
      <x:c r="D312" s="143" t="n">
        <x:v>110</x:v>
      </x:c>
      <x:c r="E312" s="143" t="str">
        <x:v>Saint-François</x:v>
      </x:c>
      <x:c r="F312" s="149" t="n">
        <x:v>0.9999924503107548</x:v>
      </x:c>
      <x:c r="G312" s="144" t="n">
        <x:v>1</x:v>
      </x:c>
    </x:row>
    <x:row r="313">
      <x:c r="A313" s="142" t="str">
        <x:v>Saint-Henri-Sainte-Anne</x:v>
      </x:c>
      <x:c r="B313" s="143" t="str">
        <x:v>Île de Montréal</x:v>
      </x:c>
      <x:c r="C313" s="143" t="str">
        <x:v>2022</x:v>
      </x:c>
      <x:c r="D313" s="143" t="n">
        <x:v>326</x:v>
      </x:c>
      <x:c r="E313" s="143" t="str">
        <x:v>Saint-Henri-Sainte-Anne</x:v>
      </x:c>
      <x:c r="F313" s="149" t="n">
        <x:v>0.9999999999655732</x:v>
      </x:c>
      <x:c r="G313" s="144" t="n">
        <x:v>1</x:v>
      </x:c>
    </x:row>
    <x:row r="314">
      <x:c r="A314" s="142" t="str">
        <x:v>Saint-Henri-Sainte-Anne</x:v>
      </x:c>
      <x:c r="B314" s="143" t="str">
        <x:v>Île de Montréal</x:v>
      </x:c>
      <x:c r="C314" s="143" t="str">
        <x:v>2017</x:v>
      </x:c>
      <x:c r="D314" s="143" t="n">
        <x:v>326</x:v>
      </x:c>
      <x:c r="E314" s="143" t="str">
        <x:v>Saint-Henri-Sainte-Anne</x:v>
      </x:c>
      <x:c r="F314" s="149" t="n">
        <x:v>0.9999999997328687</x:v>
      </x:c>
      <x:c r="G314" s="144" t="n">
        <x:v>1</x:v>
      </x:c>
    </x:row>
    <x:row r="315">
      <x:c r="A315" s="142" t="str">
        <x:v>Saint-Hyacinthe</x:v>
      </x:c>
      <x:c r="B315" s="143" t="str">
        <x:v>Reste du Québec</x:v>
      </x:c>
      <x:c r="C315" s="143" t="str">
        <x:v>2022</x:v>
      </x:c>
      <x:c r="D315" s="143" t="n">
        <x:v>260</x:v>
      </x:c>
      <x:c r="E315" s="143" t="str">
        <x:v>Saint-Hyacinthe</x:v>
      </x:c>
      <x:c r="F315" s="149" t="n">
        <x:v>0.9260359827519233</x:v>
      </x:c>
      <x:c r="G315" s="144" t="n">
        <x:v>1</x:v>
      </x:c>
    </x:row>
    <x:row r="316">
      <x:c r="A316" s="142" t="str">
        <x:v>Saint-Hyacinthe</x:v>
      </x:c>
      <x:c r="B316" s="143" t="str">
        <x:v>Reste du Québec</x:v>
      </x:c>
      <x:c r="C316" s="143" t="str">
        <x:v>2022</x:v>
      </x:c>
      <x:c r="D316" s="143" t="n">
        <x:v>258</x:v>
      </x:c>
      <x:c r="E316" s="143" t="str">
        <x:v>Borduas</x:v>
      </x:c>
      <x:c r="F316" s="149" t="n">
        <x:v>0.0739505794567696</x:v>
      </x:c>
      <x:c r="G316" s="144" t="n">
        <x:v>2</x:v>
      </x:c>
    </x:row>
    <x:row r="317">
      <x:c r="A317" s="142" t="str">
        <x:v>Saint-Hyacinthe</x:v>
      </x:c>
      <x:c r="B317" s="143" t="str">
        <x:v>Reste du Québec</x:v>
      </x:c>
      <x:c r="C317" s="143" t="str">
        <x:v>2017</x:v>
      </x:c>
      <x:c r="D317" s="143" t="n">
        <x:v>260</x:v>
      </x:c>
      <x:c r="E317" s="143" t="str">
        <x:v>Saint-Hyacinthe</x:v>
      </x:c>
      <x:c r="F317" s="149" t="n">
        <x:v>0.9260358888864745</x:v>
      </x:c>
      <x:c r="G317" s="144" t="n">
        <x:v>1</x:v>
      </x:c>
    </x:row>
    <x:row r="318">
      <x:c r="A318" s="142" t="str">
        <x:v>Saint-Hyacinthe</x:v>
      </x:c>
      <x:c r="B318" s="143" t="str">
        <x:v>Reste du Québec</x:v>
      </x:c>
      <x:c r="C318" s="143" t="str">
        <x:v>2017</x:v>
      </x:c>
      <x:c r="D318" s="143" t="n">
        <x:v>258</x:v>
      </x:c>
      <x:c r="E318" s="143" t="str">
        <x:v>Borduas</x:v>
      </x:c>
      <x:c r="F318" s="149" t="n">
        <x:v>0.0739506733222185</x:v>
      </x:c>
      <x:c r="G318" s="144" t="n">
        <x:v>2</x:v>
      </x:c>
    </x:row>
    <x:row r="319">
      <x:c r="A319" s="142" t="str">
        <x:v>Saint-Jean</x:v>
      </x:c>
      <x:c r="B319" s="143" t="str">
        <x:v>Banlieue de Montréal</x:v>
      </x:c>
      <x:c r="C319" s="143" t="str">
        <x:v>2022</x:v>
      </x:c>
      <x:c r="D319" s="143" t="n">
        <x:v>212</x:v>
      </x:c>
      <x:c r="E319" s="143" t="str">
        <x:v>Saint-Jean</x:v>
      </x:c>
      <x:c r="F319" s="149" t="n">
        <x:v>0.9999847147857226</x:v>
      </x:c>
      <x:c r="G319" s="144" t="n">
        <x:v>1</x:v>
      </x:c>
    </x:row>
    <x:row r="320">
      <x:c r="A320" s="142" t="str">
        <x:v>Saint-Jean</x:v>
      </x:c>
      <x:c r="B320" s="143" t="str">
        <x:v>Banlieue de Montréal</x:v>
      </x:c>
      <x:c r="C320" s="143" t="str">
        <x:v>2017</x:v>
      </x:c>
      <x:c r="D320" s="143" t="n">
        <x:v>212</x:v>
      </x:c>
      <x:c r="E320" s="143" t="str">
        <x:v>Saint-Jean</x:v>
      </x:c>
      <x:c r="F320" s="149" t="n">
        <x:v>0.9999847147274713</x:v>
      </x:c>
      <x:c r="G320" s="144" t="n">
        <x:v>1</x:v>
      </x:c>
    </x:row>
    <x:row r="321">
      <x:c r="A321" s="142" t="str">
        <x:v>Saint-Jérôme</x:v>
      </x:c>
      <x:c r="B321" s="143" t="str">
        <x:v>Reste du Québec</x:v>
      </x:c>
      <x:c r="C321" s="143" t="str">
        <x:v>2022</x:v>
      </x:c>
      <x:c r="D321" s="143" t="n">
        <x:v>526</x:v>
      </x:c>
      <x:c r="E321" s="143" t="str">
        <x:v>Saint-Jérôme</x:v>
      </x:c>
      <x:c r="F321" s="149" t="n">
        <x:v>0.9998912552214497</x:v>
      </x:c>
      <x:c r="G321" s="144" t="n">
        <x:v>1</x:v>
      </x:c>
    </x:row>
    <x:row r="322">
      <x:c r="A322" s="142" t="str">
        <x:v>Saint-Jérôme</x:v>
      </x:c>
      <x:c r="B322" s="143" t="str">
        <x:v>Reste du Québec</x:v>
      </x:c>
      <x:c r="C322" s="143" t="str">
        <x:v>2022</x:v>
      </x:c>
      <x:c r="D322" s="143" t="n">
        <x:v>582</x:v>
      </x:c>
      <x:c r="E322" s="143" t="str">
        <x:v>Prévost</x:v>
      </x:c>
      <x:c r="F322" s="149" t="n">
        <x:v>0.00010874477835186954</x:v>
      </x:c>
      <x:c r="G322" s="144" t="n">
        <x:v>2</x:v>
      </x:c>
    </x:row>
    <x:row r="323">
      <x:c r="A323" s="142" t="str">
        <x:v>Saint-Jérôme</x:v>
      </x:c>
      <x:c r="B323" s="143" t="str">
        <x:v>Reste du Québec</x:v>
      </x:c>
      <x:c r="C323" s="143" t="str">
        <x:v>2017</x:v>
      </x:c>
      <x:c r="D323" s="143" t="n">
        <x:v>526</x:v>
      </x:c>
      <x:c r="E323" s="143" t="str">
        <x:v>Saint-Jérôme</x:v>
      </x:c>
      <x:c r="F323" s="149" t="n">
        <x:v>0.9998912552214497</x:v>
      </x:c>
      <x:c r="G323" s="144" t="n">
        <x:v>1</x:v>
      </x:c>
    </x:row>
    <x:row r="324">
      <x:c r="A324" s="142" t="str">
        <x:v>Saint-Jérôme</x:v>
      </x:c>
      <x:c r="B324" s="143" t="str">
        <x:v>Reste du Québec</x:v>
      </x:c>
      <x:c r="C324" s="143" t="str">
        <x:v>2017</x:v>
      </x:c>
      <x:c r="D324" s="143" t="n">
        <x:v>582</x:v>
      </x:c>
      <x:c r="E324" s="143" t="str">
        <x:v>Prévost</x:v>
      </x:c>
      <x:c r="F324" s="149" t="n">
        <x:v>0.00010874477835186954</x:v>
      </x:c>
      <x:c r="G324" s="144" t="n">
        <x:v>2</x:v>
      </x:c>
    </x:row>
    <x:row r="325">
      <x:c r="A325" s="142" t="str">
        <x:v>Saint-Laurent</x:v>
      </x:c>
      <x:c r="B325" s="143" t="str">
        <x:v>Île de Montréal</x:v>
      </x:c>
      <x:c r="C325" s="143" t="str">
        <x:v>2022</x:v>
      </x:c>
      <x:c r="D325" s="143" t="n">
        <x:v>318</x:v>
      </x:c>
      <x:c r="E325" s="143" t="str">
        <x:v>Saint-Laurent</x:v>
      </x:c>
      <x:c r="F325" s="149" t="n">
        <x:v>0.999999999980389</x:v>
      </x:c>
      <x:c r="G325" s="144" t="n">
        <x:v>1</x:v>
      </x:c>
    </x:row>
    <x:row r="326">
      <x:c r="A326" s="142" t="str">
        <x:v>Saint-Laurent</x:v>
      </x:c>
      <x:c r="B326" s="143" t="str">
        <x:v>Île de Montréal</x:v>
      </x:c>
      <x:c r="C326" s="143" t="str">
        <x:v>2017</x:v>
      </x:c>
      <x:c r="D326" s="143" t="n">
        <x:v>318</x:v>
      </x:c>
      <x:c r="E326" s="143" t="str">
        <x:v>Saint-Laurent</x:v>
      </x:c>
      <x:c r="F326" s="149" t="n">
        <x:v>0.9999999999995461</x:v>
      </x:c>
      <x:c r="G326" s="144" t="n">
        <x:v>1</x:v>
      </x:c>
    </x:row>
    <x:row r="327">
      <x:c r="A327" s="142" t="str">
        <x:v>Sainte-Marie-Saint-Jacques</x:v>
      </x:c>
      <x:c r="B327" s="143" t="str">
        <x:v>Île de Montréal</x:v>
      </x:c>
      <x:c r="C327" s="143" t="str">
        <x:v>2022</x:v>
      </x:c>
      <x:c r="D327" s="143" t="n">
        <x:v>330</x:v>
      </x:c>
      <x:c r="E327" s="143" t="str">
        <x:v>Sainte-Marie-Saint-Jacques</x:v>
      </x:c>
      <x:c r="F327" s="149" t="n">
        <x:v>0.9998156379745569</x:v>
      </x:c>
      <x:c r="G327" s="144" t="n">
        <x:v>1</x:v>
      </x:c>
    </x:row>
    <x:row r="328">
      <x:c r="A328" s="142" t="str">
        <x:v>Sainte-Marie-Saint-Jacques</x:v>
      </x:c>
      <x:c r="B328" s="143" t="str">
        <x:v>Île de Montréal</x:v>
      </x:c>
      <x:c r="C328" s="143" t="str">
        <x:v>2022</x:v>
      </x:c>
      <x:c r="D328" s="143" t="n">
        <x:v>352</x:v>
      </x:c>
      <x:c r="E328" s="143" t="str">
        <x:v>Hochelaga-Maisonneuve</x:v>
      </x:c>
      <x:c r="F328" s="149" t="n">
        <x:v>0.000184360661169163</x:v>
      </x:c>
      <x:c r="G328" s="144" t="n">
        <x:v>2</x:v>
      </x:c>
    </x:row>
    <x:row r="329">
      <x:c r="A329" s="142" t="str">
        <x:v>Sainte-Marie-Saint-Jacques</x:v>
      </x:c>
      <x:c r="B329" s="143" t="str">
        <x:v>Île de Montréal</x:v>
      </x:c>
      <x:c r="C329" s="143" t="str">
        <x:v>2017</x:v>
      </x:c>
      <x:c r="D329" s="143" t="n">
        <x:v>330</x:v>
      </x:c>
      <x:c r="E329" s="143" t="str">
        <x:v>Sainte-Marie-Saint-Jacques</x:v>
      </x:c>
      <x:c r="F329" s="149" t="n">
        <x:v>0.9998156379294801</x:v>
      </x:c>
      <x:c r="G329" s="144" t="n">
        <x:v>1</x:v>
      </x:c>
    </x:row>
    <x:row r="330">
      <x:c r="A330" s="142" t="str">
        <x:v>Sainte-Marie-Saint-Jacques</x:v>
      </x:c>
      <x:c r="B330" s="143" t="str">
        <x:v>Île de Montréal</x:v>
      </x:c>
      <x:c r="C330" s="143" t="str">
        <x:v>2017</x:v>
      </x:c>
      <x:c r="D330" s="143" t="n">
        <x:v>352</x:v>
      </x:c>
      <x:c r="E330" s="143" t="str">
        <x:v>Hochelaga-Maisonneuve</x:v>
      </x:c>
      <x:c r="F330" s="149" t="n">
        <x:v>0.00018436066116916296</x:v>
      </x:c>
      <x:c r="G330" s="144" t="n">
        <x:v>2</x:v>
      </x:c>
    </x:row>
    <x:row r="331">
      <x:c r="A331" s="142" t="str">
        <x:v>Sainte-Rose</x:v>
      </x:c>
      <x:c r="B331" s="143" t="str">
        <x:v>Banlieue de Montréal</x:v>
      </x:c>
      <x:c r="C331" s="143" t="str">
        <x:v>2022</x:v>
      </x:c>
      <x:c r="D331" s="143" t="n">
        <x:v>470</x:v>
      </x:c>
      <x:c r="E331" s="143" t="str">
        <x:v>Sainte-Rose</x:v>
      </x:c>
      <x:c r="F331" s="149" t="n">
        <x:v>0.9999996803117583</x:v>
      </x:c>
      <x:c r="G331" s="144" t="n">
        <x:v>1</x:v>
      </x:c>
    </x:row>
    <x:row r="332">
      <x:c r="A332" s="142" t="str">
        <x:v>Sainte-Rose</x:v>
      </x:c>
      <x:c r="B332" s="143" t="str">
        <x:v>Banlieue de Montréal</x:v>
      </x:c>
      <x:c r="C332" s="143" t="str">
        <x:v>2017</x:v>
      </x:c>
      <x:c r="D332" s="143" t="n">
        <x:v>470</x:v>
      </x:c>
      <x:c r="E332" s="143" t="str">
        <x:v>Sainte-Rose</x:v>
      </x:c>
      <x:c r="F332" s="149" t="n">
        <x:v>0.9999996803117583</x:v>
      </x:c>
      <x:c r="G332" s="144" t="n">
        <x:v>1</x:v>
      </x:c>
    </x:row>
    <x:row r="333">
      <x:c r="A333" s="142" t="str">
        <x:v>Sanguinet</x:v>
      </x:c>
      <x:c r="B333" s="143" t="str">
        <x:v>Banlieue de Montréal</x:v>
      </x:c>
      <x:c r="C333" s="143" t="str">
        <x:v>2022</x:v>
      </x:c>
      <x:c r="D333" s="143" t="n">
        <x:v>230</x:v>
      </x:c>
      <x:c r="E333" s="143" t="str">
        <x:v>Sanguinet</x:v>
      </x:c>
      <x:c r="F333" s="149" t="n">
        <x:v>0.9986958655192422</x:v>
      </x:c>
      <x:c r="G333" s="144" t="n">
        <x:v>1</x:v>
      </x:c>
    </x:row>
    <x:row r="334">
      <x:c r="A334" s="142" t="str">
        <x:v>Sanguinet</x:v>
      </x:c>
      <x:c r="B334" s="143" t="str">
        <x:v>Banlieue de Montréal</x:v>
      </x:c>
      <x:c r="C334" s="143" t="str">
        <x:v>2022</x:v>
      </x:c>
      <x:c r="D334" s="143" t="n">
        <x:v>232</x:v>
      </x:c>
      <x:c r="E334" s="143" t="str">
        <x:v>La Prairie</x:v>
      </x:c>
      <x:c r="F334" s="149" t="n">
        <x:v>0.0013039723317707513</x:v>
      </x:c>
      <x:c r="G334" s="144" t="n">
        <x:v>2</x:v>
      </x:c>
    </x:row>
    <x:row r="335">
      <x:c r="A335" s="142" t="str">
        <x:v>Sanguinet</x:v>
      </x:c>
      <x:c r="B335" s="143" t="str">
        <x:v>Banlieue de Montréal</x:v>
      </x:c>
      <x:c r="C335" s="143" t="str">
        <x:v>2017</x:v>
      </x:c>
      <x:c r="D335" s="143" t="n">
        <x:v>230</x:v>
      </x:c>
      <x:c r="E335" s="143" t="str">
        <x:v>Sanguinet</x:v>
      </x:c>
      <x:c r="F335" s="149" t="n">
        <x:v>0.9985839958119621</x:v>
      </x:c>
      <x:c r="G335" s="144" t="n">
        <x:v>1</x:v>
      </x:c>
    </x:row>
    <x:row r="336">
      <x:c r="A336" s="142" t="str">
        <x:v>Sanguinet</x:v>
      </x:c>
      <x:c r="B336" s="143" t="str">
        <x:v>Banlieue de Montréal</x:v>
      </x:c>
      <x:c r="C336" s="143" t="str">
        <x:v>2017</x:v>
      </x:c>
      <x:c r="D336" s="143" t="n">
        <x:v>232</x:v>
      </x:c>
      <x:c r="E336" s="143" t="str">
        <x:v>La Prairie</x:v>
      </x:c>
      <x:c r="F336" s="149" t="n">
        <x:v>0.0013272010518731675</x:v>
      </x:c>
      <x:c r="G336" s="144" t="n">
        <x:v>2</x:v>
      </x:c>
    </x:row>
    <x:row r="337">
      <x:c r="A337" s="142" t="str">
        <x:v>Sherbrooke</x:v>
      </x:c>
      <x:c r="B337" s="143" t="str">
        <x:v>Reste du Québec</x:v>
      </x:c>
      <x:c r="C337" s="143" t="str">
        <x:v>2022</x:v>
      </x:c>
      <x:c r="D337" s="143" t="n">
        <x:v>116</x:v>
      </x:c>
      <x:c r="E337" s="143" t="str">
        <x:v>Sherbrooke</x:v>
      </x:c>
      <x:c r="F337" s="149" t="n">
        <x:v>0.9999999999997282</x:v>
      </x:c>
      <x:c r="G337" s="144" t="n">
        <x:v>1</x:v>
      </x:c>
    </x:row>
    <x:row r="338">
      <x:c r="A338" s="142" t="str">
        <x:v>Sherbrooke</x:v>
      </x:c>
      <x:c r="B338" s="143" t="str">
        <x:v>Reste du Québec</x:v>
      </x:c>
      <x:c r="C338" s="143" t="str">
        <x:v>2017</x:v>
      </x:c>
      <x:c r="D338" s="143" t="n">
        <x:v>116</x:v>
      </x:c>
      <x:c r="E338" s="143" t="str">
        <x:v>Sherbrooke</x:v>
      </x:c>
      <x:c r="F338" s="149" t="n">
        <x:v>0.9999999999997282</x:v>
      </x:c>
      <x:c r="G338" s="144" t="n">
        <x:v>1</x:v>
      </x:c>
    </x:row>
    <x:row r="339">
      <x:c r="A339" s="142" t="str">
        <x:v>Soulanges</x:v>
      </x:c>
      <x:c r="B339" s="143" t="str">
        <x:v>Banlieue de Montréal</x:v>
      </x:c>
      <x:c r="C339" s="143" t="str">
        <x:v>2022</x:v>
      </x:c>
      <x:c r="D339" s="143" t="n">
        <x:v>220</x:v>
      </x:c>
      <x:c r="E339" s="143" t="str">
        <x:v>Soulanges</x:v>
      </x:c>
      <x:c r="F339" s="149" t="n">
        <x:v>0.963642558991259</x:v>
      </x:c>
      <x:c r="G339" s="144" t="n">
        <x:v>1</x:v>
      </x:c>
    </x:row>
    <x:row r="340">
      <x:c r="A340" s="142" t="str">
        <x:v>Soulanges</x:v>
      </x:c>
      <x:c r="B340" s="143" t="str">
        <x:v>Banlieue de Montréal</x:v>
      </x:c>
      <x:c r="C340" s="143" t="str">
        <x:v>2022</x:v>
      </x:c>
      <x:c r="D340" s="143" t="n">
        <x:v>224</x:v>
      </x:c>
      <x:c r="E340" s="143" t="str">
        <x:v>Vaudreuil</x:v>
      </x:c>
      <x:c r="F340" s="149" t="n">
        <x:v>0.036357441008692856</x:v>
      </x:c>
      <x:c r="G340" s="144" t="n">
        <x:v>2</x:v>
      </x:c>
    </x:row>
    <x:row r="341">
      <x:c r="A341" s="142" t="str">
        <x:v>Soulanges</x:v>
      </x:c>
      <x:c r="B341" s="143" t="str">
        <x:v>Banlieue de Montréal</x:v>
      </x:c>
      <x:c r="C341" s="143" t="str">
        <x:v>2017</x:v>
      </x:c>
      <x:c r="D341" s="143" t="n">
        <x:v>220</x:v>
      </x:c>
      <x:c r="E341" s="143" t="str">
        <x:v>Soulanges</x:v>
      </x:c>
      <x:c r="F341" s="149" t="n">
        <x:v>0.9636395128221823</x:v>
      </x:c>
      <x:c r="G341" s="144" t="n">
        <x:v>1</x:v>
      </x:c>
    </x:row>
    <x:row r="342">
      <x:c r="A342" s="142" t="str">
        <x:v>Soulanges</x:v>
      </x:c>
      <x:c r="B342" s="143" t="str">
        <x:v>Banlieue de Montréal</x:v>
      </x:c>
      <x:c r="C342" s="143" t="str">
        <x:v>2017</x:v>
      </x:c>
      <x:c r="D342" s="143" t="n">
        <x:v>224</x:v>
      </x:c>
      <x:c r="E342" s="143" t="str">
        <x:v>Vaudreuil</x:v>
      </x:c>
      <x:c r="F342" s="149" t="n">
        <x:v>0.036357441008692856</x:v>
      </x:c>
      <x:c r="G342" s="144" t="n">
        <x:v>2</x:v>
      </x:c>
    </x:row>
    <x:row r="343">
      <x:c r="A343" s="142" t="str">
        <x:v>Taillon</x:v>
      </x:c>
      <x:c r="B343" s="143" t="str">
        <x:v>Banlieue de Montréal</x:v>
      </x:c>
      <x:c r="C343" s="143" t="str">
        <x:v>2022</x:v>
      </x:c>
      <x:c r="D343" s="143" t="n">
        <x:v>250</x:v>
      </x:c>
      <x:c r="E343" s="143" t="str">
        <x:v>Taillon</x:v>
      </x:c>
      <x:c r="F343" s="149" t="n">
        <x:v>0.9999999999996199</x:v>
      </x:c>
      <x:c r="G343" s="144" t="n">
        <x:v>1</x:v>
      </x:c>
    </x:row>
    <x:row r="344">
      <x:c r="A344" s="142" t="str">
        <x:v>Taillon</x:v>
      </x:c>
      <x:c r="B344" s="143" t="str">
        <x:v>Banlieue de Montréal</x:v>
      </x:c>
      <x:c r="C344" s="143" t="str">
        <x:v>2017</x:v>
      </x:c>
      <x:c r="D344" s="143" t="n">
        <x:v>250</x:v>
      </x:c>
      <x:c r="E344" s="143" t="str">
        <x:v>Taillon</x:v>
      </x:c>
      <x:c r="F344" s="149" t="n">
        <x:v>0.9999999991621171</x:v>
      </x:c>
      <x:c r="G344" s="144" t="n">
        <x:v>1</x:v>
      </x:c>
    </x:row>
    <x:row r="345">
      <x:c r="A345" s="142" t="str">
        <x:v>Taschereau</x:v>
      </x:c>
      <x:c r="B345" s="143" t="str">
        <x:v>Québec RMR</x:v>
      </x:c>
      <x:c r="C345" s="143" t="str">
        <x:v>2022</x:v>
      </x:c>
      <x:c r="D345" s="143" t="n">
        <x:v>730</x:v>
      </x:c>
      <x:c r="E345" s="143" t="str">
        <x:v>Taschereau</x:v>
      </x:c>
      <x:c r="F345" s="149" t="n">
        <x:v>0.9999999999994592</x:v>
      </x:c>
      <x:c r="G345" s="144" t="n">
        <x:v>1</x:v>
      </x:c>
    </x:row>
    <x:row r="346">
      <x:c r="A346" s="142" t="str">
        <x:v>Taschereau</x:v>
      </x:c>
      <x:c r="B346" s="143" t="str">
        <x:v>Québec RMR</x:v>
      </x:c>
      <x:c r="C346" s="143" t="str">
        <x:v>2017</x:v>
      </x:c>
      <x:c r="D346" s="143" t="n">
        <x:v>730</x:v>
      </x:c>
      <x:c r="E346" s="143" t="str">
        <x:v>Taschereau</x:v>
      </x:c>
      <x:c r="F346" s="149" t="n">
        <x:v>0.9999999999994592</x:v>
      </x:c>
      <x:c r="G346" s="144" t="n">
        <x:v>1</x:v>
      </x:c>
    </x:row>
    <x:row r="347">
      <x:c r="A347" s="142" t="str">
        <x:v>Terrebonne</x:v>
      </x:c>
      <x:c r="B347" s="143" t="str">
        <x:v>Banlieue de Montréal</x:v>
      </x:c>
      <x:c r="C347" s="143" t="str">
        <x:v>2022</x:v>
      </x:c>
      <x:c r="D347" s="143" t="n">
        <x:v>542</x:v>
      </x:c>
      <x:c r="E347" s="143" t="str">
        <x:v>Terrebonne</x:v>
      </x:c>
      <x:c r="F347" s="149" t="n">
        <x:v>0.9999361836106522</x:v>
      </x:c>
      <x:c r="G347" s="144" t="n">
        <x:v>1</x:v>
      </x:c>
    </x:row>
    <x:row r="348">
      <x:c r="A348" s="142" t="str">
        <x:v>Terrebonne</x:v>
      </x:c>
      <x:c r="B348" s="143" t="str">
        <x:v>Banlieue de Montréal</x:v>
      </x:c>
      <x:c r="C348" s="143" t="str">
        <x:v>2017</x:v>
      </x:c>
      <x:c r="D348" s="143" t="n">
        <x:v>542</x:v>
      </x:c>
      <x:c r="E348" s="143" t="str">
        <x:v>Terrebonne</x:v>
      </x:c>
      <x:c r="F348" s="149" t="n">
        <x:v>0.9999361836106522</x:v>
      </x:c>
      <x:c r="G348" s="144" t="n">
        <x:v>1</x:v>
      </x:c>
    </x:row>
    <x:row r="349">
      <x:c r="A349" s="142" t="str">
        <x:v>Trois-Rivières</x:v>
      </x:c>
      <x:c r="B349" s="143" t="str">
        <x:v>Reste du Québec</x:v>
      </x:c>
      <x:c r="C349" s="143" t="str">
        <x:v>2022</x:v>
      </x:c>
      <x:c r="D349" s="143" t="n">
        <x:v>660</x:v>
      </x:c>
      <x:c r="E349" s="143" t="str">
        <x:v>Trois-Rivières</x:v>
      </x:c>
      <x:c r="F349" s="149" t="n">
        <x:v>0.9999999999998324</x:v>
      </x:c>
      <x:c r="G349" s="144" t="n">
        <x:v>1</x:v>
      </x:c>
    </x:row>
    <x:row r="350">
      <x:c r="A350" s="142" t="str">
        <x:v>Trois-Rivières</x:v>
      </x:c>
      <x:c r="B350" s="143" t="str">
        <x:v>Reste du Québec</x:v>
      </x:c>
      <x:c r="C350" s="143" t="str">
        <x:v>2017</x:v>
      </x:c>
      <x:c r="D350" s="143" t="n">
        <x:v>660</x:v>
      </x:c>
      <x:c r="E350" s="143" t="str">
        <x:v>Trois-Rivières</x:v>
      </x:c>
      <x:c r="F350" s="149" t="n">
        <x:v>0.9999999999998324</x:v>
      </x:c>
      <x:c r="G350" s="144" t="n">
        <x:v>1</x:v>
      </x:c>
    </x:row>
    <x:row r="351">
      <x:c r="A351" s="142" t="str">
        <x:v>Ungava</x:v>
      </x:c>
      <x:c r="B351" s="143" t="str">
        <x:v>Reste du Québec</x:v>
      </x:c>
      <x:c r="C351" s="143" t="str">
        <x:v>2022</x:v>
      </x:c>
      <x:c r="D351" s="143" t="n">
        <x:v>938</x:v>
      </x:c>
      <x:c r="E351" s="143" t="str">
        <x:v>Ungava</x:v>
      </x:c>
      <x:c r="F351" s="149" t="n">
        <x:v>0.9999991049603527</x:v>
      </x:c>
      <x:c r="G351" s="144" t="n">
        <x:v>1</x:v>
      </x:c>
    </x:row>
    <x:row r="352">
      <x:c r="A352" s="142" t="str">
        <x:v>Ungava</x:v>
      </x:c>
      <x:c r="B352" s="143" t="str">
        <x:v>Reste du Québec</x:v>
      </x:c>
      <x:c r="C352" s="143" t="str">
        <x:v>2017</x:v>
      </x:c>
      <x:c r="D352" s="143" t="n">
        <x:v>938</x:v>
      </x:c>
      <x:c r="E352" s="143" t="str">
        <x:v>Ungava</x:v>
      </x:c>
      <x:c r="F352" s="149" t="n">
        <x:v>0.9999991005947233</x:v>
      </x:c>
      <x:c r="G352" s="144" t="n">
        <x:v>1</x:v>
      </x:c>
    </x:row>
    <x:row r="353">
      <x:c r="A353" s="142" t="str">
        <x:v>Vachon</x:v>
      </x:c>
      <x:c r="B353" s="143" t="str">
        <x:v>Reste du Québec</x:v>
      </x:c>
      <x:c r="C353" s="143" t="str">
        <x:v>2022</x:v>
      </x:c>
      <x:c r="D353" s="143" t="n">
        <x:v>240</x:v>
      </x:c>
      <x:c r="E353" s="143" t="str">
        <x:v>Vachon</x:v>
      </x:c>
      <x:c r="F353" s="149" t="n">
        <x:v>0.9999999999996222</x:v>
      </x:c>
      <x:c r="G353" s="144" t="n">
        <x:v>1</x:v>
      </x:c>
    </x:row>
    <x:row r="354">
      <x:c r="A354" s="142" t="str">
        <x:v>Vachon</x:v>
      </x:c>
      <x:c r="B354" s="143" t="str">
        <x:v>Reste du Québec</x:v>
      </x:c>
      <x:c r="C354" s="143" t="str">
        <x:v>2017</x:v>
      </x:c>
      <x:c r="D354" s="143" t="n">
        <x:v>240</x:v>
      </x:c>
      <x:c r="E354" s="143" t="str">
        <x:v>Vachon</x:v>
      </x:c>
      <x:c r="F354" s="149" t="n">
        <x:v>0.9999999999996222</x:v>
      </x:c>
      <x:c r="G354" s="144" t="n">
        <x:v>1</x:v>
      </x:c>
    </x:row>
    <x:row r="355">
      <x:c r="A355" s="142" t="str">
        <x:v>Vanier-Les Rivières</x:v>
      </x:c>
      <x:c r="B355" s="143" t="str">
        <x:v>Québec RMR</x:v>
      </x:c>
      <x:c r="C355" s="143" t="str">
        <x:v>2022</x:v>
      </x:c>
      <x:c r="D355" s="143" t="n">
        <x:v>726</x:v>
      </x:c>
      <x:c r="E355" s="143" t="str">
        <x:v>Vanier-Les Rivières</x:v>
      </x:c>
      <x:c r="F355" s="149" t="n">
        <x:v>0.9999999999996765</x:v>
      </x:c>
      <x:c r="G355" s="144" t="n">
        <x:v>1</x:v>
      </x:c>
    </x:row>
    <x:row r="356">
      <x:c r="A356" s="142" t="str">
        <x:v>Vanier-Les Rivières</x:v>
      </x:c>
      <x:c r="B356" s="143" t="str">
        <x:v>Québec RMR</x:v>
      </x:c>
      <x:c r="C356" s="143" t="str">
        <x:v>2017</x:v>
      </x:c>
      <x:c r="D356" s="143" t="n">
        <x:v>726</x:v>
      </x:c>
      <x:c r="E356" s="143" t="str">
        <x:v>Vanier-Les Rivières</x:v>
      </x:c>
      <x:c r="F356" s="149" t="n">
        <x:v>0.9999999999996765</x:v>
      </x:c>
      <x:c r="G356" s="144" t="n">
        <x:v>1</x:v>
      </x:c>
    </x:row>
    <x:row r="357">
      <x:c r="A357" s="142" t="str">
        <x:v>Vaudreuil</x:v>
      </x:c>
      <x:c r="B357" s="143" t="str">
        <x:v>Banlieue de Montréal</x:v>
      </x:c>
      <x:c r="C357" s="143" t="str">
        <x:v>2022</x:v>
      </x:c>
      <x:c r="D357" s="143" t="n">
        <x:v>224</x:v>
      </x:c>
      <x:c r="E357" s="143" t="str">
        <x:v>Vaudreuil</x:v>
      </x:c>
      <x:c r="F357" s="149" t="n">
        <x:v>0.999999999999976</x:v>
      </x:c>
      <x:c r="G357" s="144" t="n">
        <x:v>1</x:v>
      </x:c>
    </x:row>
    <x:row r="358">
      <x:c r="A358" s="142" t="str">
        <x:v>Vaudreuil</x:v>
      </x:c>
      <x:c r="B358" s="143" t="str">
        <x:v>Banlieue de Montréal</x:v>
      </x:c>
      <x:c r="C358" s="143" t="str">
        <x:v>2017</x:v>
      </x:c>
      <x:c r="D358" s="143" t="n">
        <x:v>224</x:v>
      </x:c>
      <x:c r="E358" s="143" t="str">
        <x:v>Vaudreuil</x:v>
      </x:c>
      <x:c r="F358" s="149" t="n">
        <x:v>0.999999999999976</x:v>
      </x:c>
      <x:c r="G358" s="144" t="n">
        <x:v>1</x:v>
      </x:c>
    </x:row>
    <x:row r="359">
      <x:c r="A359" s="142" t="str">
        <x:v>Verchères</x:v>
      </x:c>
      <x:c r="B359" s="143" t="str">
        <x:v>Banlieue de Montréal</x:v>
      </x:c>
      <x:c r="C359" s="143" t="str">
        <x:v>2022</x:v>
      </x:c>
      <x:c r="D359" s="143" t="n">
        <x:v>256</x:v>
      </x:c>
      <x:c r="E359" s="143" t="str">
        <x:v>Verchères</x:v>
      </x:c>
      <x:c r="F359" s="149" t="n">
        <x:v>0.9999999999998225</x:v>
      </x:c>
      <x:c r="G359" s="144" t="n">
        <x:v>1</x:v>
      </x:c>
    </x:row>
    <x:row r="360">
      <x:c r="A360" s="142" t="str">
        <x:v>Verchères</x:v>
      </x:c>
      <x:c r="B360" s="143" t="str">
        <x:v>Banlieue de Montréal</x:v>
      </x:c>
      <x:c r="C360" s="143" t="str">
        <x:v>2017</x:v>
      </x:c>
      <x:c r="D360" s="143" t="n">
        <x:v>256</x:v>
      </x:c>
      <x:c r="E360" s="143" t="str">
        <x:v>Verchères</x:v>
      </x:c>
      <x:c r="F360" s="149" t="n">
        <x:v>0.9995848784141419</x:v>
      </x:c>
      <x:c r="G360" s="144" t="n">
        <x:v>1</x:v>
      </x:c>
    </x:row>
    <x:row r="361">
      <x:c r="A361" s="142" t="str">
        <x:v>Verchères</x:v>
      </x:c>
      <x:c r="B361" s="143" t="str">
        <x:v>Banlieue de Montréal</x:v>
      </x:c>
      <x:c r="C361" s="143" t="str">
        <x:v>2017</x:v>
      </x:c>
      <x:c r="D361" s="143" t="n">
        <x:v>252</x:v>
      </x:c>
      <x:c r="E361" s="143" t="str">
        <x:v>Montarville</x:v>
      </x:c>
      <x:c r="F361" s="149" t="n">
        <x:v>0.0004143918105623717</x:v>
      </x:c>
      <x:c r="G361" s="144" t="n">
        <x:v>2</x:v>
      </x:c>
    </x:row>
    <x:row r="362">
      <x:c r="A362" s="142" t="str">
        <x:v>Verdun</x:v>
      </x:c>
      <x:c r="B362" s="143" t="str">
        <x:v>Île de Montréal</x:v>
      </x:c>
      <x:c r="C362" s="143" t="str">
        <x:v>2022</x:v>
      </x:c>
      <x:c r="D362" s="143" t="n">
        <x:v>300</x:v>
      </x:c>
      <x:c r="E362" s="143" t="str">
        <x:v>Verdun</x:v>
      </x:c>
      <x:c r="F362" s="149" t="n">
        <x:v>0.9999999999979126</x:v>
      </x:c>
      <x:c r="G362" s="144" t="n">
        <x:v>1</x:v>
      </x:c>
    </x:row>
    <x:row r="363">
      <x:c r="A363" s="142" t="str">
        <x:v>Verdun</x:v>
      </x:c>
      <x:c r="B363" s="143" t="str">
        <x:v>Île de Montréal</x:v>
      </x:c>
      <x:c r="C363" s="143" t="str">
        <x:v>2017</x:v>
      </x:c>
      <x:c r="D363" s="143" t="n">
        <x:v>300</x:v>
      </x:c>
      <x:c r="E363" s="143" t="str">
        <x:v>Verdun</x:v>
      </x:c>
      <x:c r="F363" s="149" t="n">
        <x:v>0.9999999999979163</x:v>
      </x:c>
      <x:c r="G363" s="144" t="n">
        <x:v>1</x:v>
      </x:c>
    </x:row>
    <x:row r="364">
      <x:c r="A364" s="142" t="str">
        <x:v>Viau</x:v>
      </x:c>
      <x:c r="B364" s="143" t="str">
        <x:v>Île de Montréal</x:v>
      </x:c>
      <x:c r="C364" s="143" t="str">
        <x:v>2022</x:v>
      </x:c>
      <x:c r="D364" s="143" t="n">
        <x:v>358</x:v>
      </x:c>
      <x:c r="E364" s="143" t="str">
        <x:v>Viau</x:v>
      </x:c>
      <x:c r="F364" s="149" t="n">
        <x:v>0.9996973208305867</x:v>
      </x:c>
      <x:c r="G364" s="144" t="n">
        <x:v>1</x:v>
      </x:c>
    </x:row>
    <x:row r="365">
      <x:c r="A365" s="142" t="str">
        <x:v>Viau</x:v>
      </x:c>
      <x:c r="B365" s="143" t="str">
        <x:v>Île de Montréal</x:v>
      </x:c>
      <x:c r="C365" s="143" t="str">
        <x:v>2022</x:v>
      </x:c>
      <x:c r="D365" s="143" t="n">
        <x:v>344</x:v>
      </x:c>
      <x:c r="E365" s="143" t="str">
        <x:v>Laurier-Dorion</x:v>
      </x:c>
      <x:c r="F365" s="149" t="n">
        <x:v>0.0003026791683135905</x:v>
      </x:c>
      <x:c r="G365" s="144" t="n">
        <x:v>2</x:v>
      </x:c>
    </x:row>
    <x:row r="366">
      <x:c r="A366" s="142" t="str">
        <x:v>Viau</x:v>
      </x:c>
      <x:c r="B366" s="143" t="str">
        <x:v>Île de Montréal</x:v>
      </x:c>
      <x:c r="C366" s="143" t="str">
        <x:v>2017</x:v>
      </x:c>
      <x:c r="D366" s="143" t="n">
        <x:v>358</x:v>
      </x:c>
      <x:c r="E366" s="143" t="str">
        <x:v>Viau</x:v>
      </x:c>
      <x:c r="F366" s="149" t="n">
        <x:v>0.9996973133333699</x:v>
      </x:c>
      <x:c r="G366" s="144" t="n">
        <x:v>1</x:v>
      </x:c>
    </x:row>
    <x:row r="367">
      <x:c r="A367" s="142" t="str">
        <x:v>Viau</x:v>
      </x:c>
      <x:c r="B367" s="143" t="str">
        <x:v>Île de Montréal</x:v>
      </x:c>
      <x:c r="C367" s="143" t="str">
        <x:v>2017</x:v>
      </x:c>
      <x:c r="D367" s="143" t="n">
        <x:v>344</x:v>
      </x:c>
      <x:c r="E367" s="143" t="str">
        <x:v>Laurier-Dorion</x:v>
      </x:c>
      <x:c r="F367" s="149" t="n">
        <x:v>0.0003026791683135905</x:v>
      </x:c>
      <x:c r="G367" s="144" t="n">
        <x:v>2</x:v>
      </x:c>
    </x:row>
    <x:row r="368">
      <x:c r="A368" s="142" t="str">
        <x:v>Vimont-Auteuil</x:v>
      </x:c>
      <x:c r="B368" s="143" t="str">
        <x:v>Banlieue de Montréal</x:v>
      </x:c>
      <x:c r="C368" s="143" t="str">
        <x:v>2022</x:v>
      </x:c>
      <x:c r="D368" s="143" t="n">
        <x:v>476</x:v>
      </x:c>
      <x:c r="E368" s="143" t="str">
        <x:v>Vimont</x:v>
      </x:c>
      <x:c r="F368" s="149" t="n">
        <x:v>0.9999995763857426</x:v>
      </x:c>
      <x:c r="G368" s="144" t="n">
        <x:v>1</x:v>
      </x:c>
    </x:row>
    <x:row r="369">
      <x:c r="A369" s="142" t="str">
        <x:v>Vimont-Auteuil</x:v>
      </x:c>
      <x:c r="B369" s="143" t="str">
        <x:v>Banlieue de Montréal</x:v>
      </x:c>
      <x:c r="C369" s="143" t="str">
        <x:v>2017</x:v>
      </x:c>
      <x:c r="D369" s="143" t="n">
        <x:v>476</x:v>
      </x:c>
      <x:c r="E369" s="143" t="str">
        <x:v>Vimont</x:v>
      </x:c>
      <x:c r="F369" s="149" t="n">
        <x:v>0.9999995763857426</x:v>
      </x:c>
      <x:c r="G369" s="144" t="n">
        <x:v>1</x:v>
      </x:c>
    </x:row>
    <x:row r="370">
      <x:c r="A370" s="142" t="str">
        <x:v>Westmount-Saint-Louis</x:v>
      </x:c>
      <x:c r="B370" s="143" t="str">
        <x:v>Île de Montréal</x:v>
      </x:c>
      <x:c r="C370" s="143" t="str">
        <x:v>2022</x:v>
      </x:c>
      <x:c r="D370" s="143" t="n">
        <x:v>332</x:v>
      </x:c>
      <x:c r="E370" s="143" t="str">
        <x:v>Westmount-Saint-Louis</x:v>
      </x:c>
      <x:c r="F370" s="149" t="n">
        <x:v>0.9999999999988413</x:v>
      </x:c>
      <x:c r="G370" s="144" t="n">
        <x:v>1</x:v>
      </x:c>
    </x:row>
    <x:row r="371">
      <x:c r="A371" s="151" t="str">
        <x:v>Westmount-Saint-Louis</x:v>
      </x:c>
      <x:c r="B371" s="152" t="str">
        <x:v>Île de Montréal</x:v>
      </x:c>
      <x:c r="C371" s="152" t="str">
        <x:v>2017</x:v>
      </x:c>
      <x:c r="D371" s="152" t="n">
        <x:v>332</x:v>
      </x:c>
      <x:c r="E371" s="152" t="str">
        <x:v>Westmount-Saint-Louis</x:v>
      </x:c>
      <x:c r="F371" s="154" t="n">
        <x:v>0.9999999999988413</x:v>
      </x:c>
      <x:c r="G371" s="156" t="n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12" hidden="0" customWidth="1"/>
  </x:cols>
  <x:sheetData>
    <x:row r="1">
      <x:c r="A1" s="162" t="str">
        <x:v>Paramètre</x:v>
      </x:c>
      <x:c r="B1" s="163" t="str">
        <x:v>Description</x:v>
      </x:c>
    </x:row>
    <x:row r="2" ht="48" customHeight="1">
      <x:c r="A2" s="164" t="str">
        <x:v>Modèle QC127 v4.1</x:v>
      </x:c>
      <x:c r="B2" s="165" t="str">
        <x:v>Projection électorale québécoise – 127 circonscriptions, quatre scénarios; seuil majoritaire de 64 sièges.</x:v>
      </x:c>
    </x:row>
    <x:row r="3" ht="48" customHeight="1">
      <x:c r="A3" s="164" t="str">
        <x:v>Sondage</x:v>
      </x:c>
      <x:c r="B3" s="165" t="str">
        <x:v>Synopsis Recherche / La Presse, 24–26 août 2026, après répartition (n=867). Intrants régionaux repris du modèle QC125 fourni.</x:v>
      </x:c>
    </x:row>
    <x:row r="4" ht="48" customHeight="1">
      <x:c r="A4" s="164" t="str">
        <x:v>Carte 2026</x:v>
      </x:c>
      <x:c r="B4" s="165" t="str">
        <x:v>127 circonscriptions conformes aux fichiers géographiques d’Élections Québec fournis, avec électeurs inscrits au 15 juillet 2026.</x:v>
      </x:c>
    </x:row>
    <x:row r="5" ht="48" customHeight="1">
      <x:c r="A5" s="164" t="str">
        <x:v>Référence 2022 transposée</x:v>
      </x:c>
      <x:c r="B5" s="165" t="str">
        <x:v>Chaque section de vote 2026 est intersectée avec les circonscriptions de 2022. Ses électeurs sont répartis selon les superficies d’intersection; les profils partisans 2022 sont ensuite pondérés par ces électeurs.</x:v>
      </x:c>
    </x:row>
    <x:row r="6" ht="48" customHeight="1">
      <x:c r="A6" s="164" t="str">
        <x:v>Référence 2018 transposée</x:v>
      </x:c>
      <x:c r="B6" s="165" t="str">
        <x:v>La même méthode est appliquée avec la carte de 2017 utilisée lors de l’élection de 2018. Les inerties locales 2018→2022 sont ainsi recalculées sur la géographie commune de 2026.</x:v>
      </x:c>
    </x:row>
    <x:row r="7" ht="48" customHeight="1">
      <x:c r="A7" s="164" t="str">
        <x:v>Régions</x:v>
      </x:c>
      <x:c r="B7" s="165" t="str">
        <x:v>Île de Montréal (28), Banlieue de Montréal (40), Québec RMR (13), Reste du Québec (46). Montréal RMR demeure un agrégat de sondage seulement.</x:v>
      </x:c>
    </x:row>
    <x:row r="8" ht="48" customHeight="1">
      <x:c r="A8" s="164" t="str">
        <x:v>Scénario A</x:v>
      </x:c>
      <x:c r="B8" s="165" t="str">
        <x:v>Swing proportionnel régional : votes projetés = votes de référence × (sondage régional / référence régionale).</x:v>
      </x:c>
    </x:row>
    <x:row r="9" ht="48" customHeight="1">
      <x:c r="A9" s="164" t="str">
        <x:v>Scénario B</x:v>
      </x:c>
      <x:c r="B9" s="165" t="str">
        <x:v>Scénario A + inertie locale 2018→2022 × facteur d’inertie. Les votes négatifs sont ramenés à zéro.</x:v>
      </x:c>
    </x:row>
    <x:row r="10" ht="48" customHeight="1">
      <x:c r="A10" s="164" t="str">
        <x:v>Scénarios C/D</x:v>
      </x:c>
      <x:c r="B10" s="165" t="str">
        <x:v>Fourchette déterministe : sondage régional ± marge inscrite dans Régions!N2.</x:v>
      </x:c>
    </x:row>
    <x:row r="11" ht="48" customHeight="1">
      <x:c r="A11" s="164" t="str">
        <x:v>Intrants</x:v>
      </x:c>
      <x:c r="B11" s="165" t="str">
        <x:v>Les cellules à police bleue sont modifiables : votes de référence synthétiques, sondages régionaux, marge, facteur d’inertie et résidus.</x:v>
      </x:c>
    </x:row>
    <x:row r="12" ht="48" customHeight="1">
      <x:c r="A12" s="164" t="str">
        <x:v>Limite principale</x:v>
      </x:c>
      <x:c r="B12" s="165" t="str">
        <x:v>Les votes historiques sont disponibles par circonscription, non sous forme de polygones de bureaux historiques. La méthode suppose donc que le profil partisan d’une ancienne circonscription est homogène à l’intérieur de ses limites; elle est néanmoins pondérée par la distribution fine des électeurs 2026.</x:v>
      </x:c>
    </x:row>
    <x:row r="13" ht="48" customHeight="1">
      <x:c r="A13" s="164" t="str">
        <x:v>Autres limites</x:v>
      </x:c>
      <x:c r="B13" s="165" t="str">
        <x:v>Modèle déterministe, sans régression vers la moyenne, effets de candidature, simulation probabiliste ni correction des corrélations régionales.</x:v>
      </x:c>
    </x:row>
    <x:row r="14" ht="48" customHeight="1">
      <x:c r="A14" s="164" t="str">
        <x:v>Sources locales</x:v>
      </x:c>
      <x:c r="B14" s="165" t="str">
        <x:v>Résultats par bureau de vote 2018 et 2022; cartes des circonscriptions 2017 et 2022; carte des 127 circonscriptions et sections de vote 2026; modèle QC125 fourni.</x:v>
      </x:c>
    </x:row>
    <x:row r="15" ht="48" customHeight="1">
      <x:c r="A15" s="164" t="str">
        <x:v>Source Web</x:v>
      </x:c>
      <x:c r="B15" s="165" t="str">
        <x:v>https://www.electionsquebec.qc.ca/</x:v>
      </x:c>
    </x:row>
    <x:row r="16" ht="48" customHeight="1">
      <x:c r="A16" s="166" t="str">
        <x:v>Pour actualiser</x:v>
      </x:c>
      <x:c r="B16" s="167" t="str">
        <x:v>1) Modifier Régions!H2:M6; 2) ajuster Régions!N2 et O2; 3) consulter Sièges; 4) revoir les estimations des nouvelles limites lorsqu’une table de correspondance officielle devient disponible.</x:v>
      </x:c>
    </x:row>
  </x:sheetData>
  <x:pageMargins left="0.7" right="0.7" top="0.75" bottom="0.75" header="0.3" footer="0.3"/>
</x:worksheet>
</file>